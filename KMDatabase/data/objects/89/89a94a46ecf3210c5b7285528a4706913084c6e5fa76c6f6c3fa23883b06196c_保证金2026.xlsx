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activeTab="1"/>
  </bookViews>
  <sheets>
    <sheet name="保证金登记" sheetId="1" r:id="rId1"/>
    <sheet name="退款明细" sheetId="13" r:id="rId2"/>
    <sheet name="标书" sheetId="3" r:id="rId3"/>
    <sheet name="Sheet1 (2)" sheetId="2" state="hidden" r:id="rId4"/>
    <sheet name="Sheet2" sheetId="4" state="hidden" r:id="rId5"/>
    <sheet name="Sheet3-婷" sheetId="6" r:id="rId6"/>
    <sheet name="Sheet4-婷" sheetId="7" r:id="rId7"/>
    <sheet name="Sheet5-婷" sheetId="8" r:id="rId8"/>
    <sheet name="编号对比" sheetId="12" r:id="rId9"/>
  </sheets>
  <externalReferences>
    <externalReference r:id="rId15"/>
    <externalReference r:id="rId16"/>
  </externalReferences>
  <definedNames>
    <definedName name="_xlnm._FilterDatabase" localSheetId="0" hidden="1">保证金登记!$A$2:$Y$1117</definedName>
    <definedName name="_xlnm._FilterDatabase" localSheetId="1" hidden="1">退款明细!$A$2:$K$137</definedName>
    <definedName name="_xlnm._FilterDatabase" localSheetId="2" hidden="1">标书!$A$2:$X$885</definedName>
    <definedName name="_xlnm._FilterDatabase" localSheetId="3" hidden="1">'Sheet1 (2)'!$A$2:$V$885</definedName>
    <definedName name="_xlnm._FilterDatabase" localSheetId="8" hidden="1">编号对比!$A$1:$O$716</definedName>
    <definedName name="_xlnm._FilterDatabase" localSheetId="6" hidden="1">'Sheet4-婷'!$A$1:$F$179</definedName>
  </definedNames>
  <calcPr calcId="191029"/>
  <pivotCaches>
    <pivotCache cacheId="0" r:id="rId13"/>
    <pivotCache cacheId="1" r:id="rId1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AZB-001</author>
    <author>D</author>
    <author>QQ</author>
  </authors>
  <commentList>
    <comment ref="M69" authorId="0">
      <text>
        <r>
          <rPr>
            <sz val="9"/>
            <rFont val="宋体"/>
            <charset val="134"/>
          </rPr>
          <t>Administrator:
门禁卡押金</t>
        </r>
      </text>
    </comment>
    <comment ref="R95" authorId="0">
      <text>
        <r>
          <rPr>
            <sz val="9"/>
            <rFont val="宋体"/>
            <charset val="134"/>
          </rPr>
          <t>Administrator:
2.2022-9-28殷坤鹏回复扯皮中，需商务部催
1.艾江杰在跟进，预计5月。</t>
        </r>
      </text>
    </comment>
    <comment ref="S158" authorId="1">
      <text>
        <r>
          <rPr>
            <sz val="9"/>
            <rFont val="宋体"/>
            <charset val="134"/>
          </rPr>
          <t>AZB-001:
饶亚龙借葛洲坝石门特种水泥公司回转窑轮带及托轮维修在线挖补修复项目履约保证金</t>
        </r>
      </text>
    </comment>
    <comment ref="N215" authorId="2">
      <text>
        <r>
          <rPr>
            <b/>
            <sz val="9"/>
            <rFont val="宋体"/>
            <charset val="134"/>
          </rPr>
          <t>D:</t>
        </r>
        <r>
          <rPr>
            <sz val="9"/>
            <rFont val="宋体"/>
            <charset val="134"/>
          </rPr>
          <t xml:space="preserve">
2026.2.26销账</t>
        </r>
      </text>
    </comment>
    <comment ref="N288" authorId="2">
      <text>
        <r>
          <rPr>
            <b/>
            <sz val="9"/>
            <rFont val="宋体"/>
            <charset val="134"/>
          </rPr>
          <t>D:</t>
        </r>
        <r>
          <rPr>
            <sz val="9"/>
            <rFont val="宋体"/>
            <charset val="134"/>
          </rPr>
          <t xml:space="preserve">
2026.2.26销账</t>
        </r>
      </text>
    </comment>
    <comment ref="N291" authorId="2">
      <text>
        <r>
          <rPr>
            <b/>
            <sz val="9"/>
            <rFont val="宋体"/>
            <charset val="134"/>
          </rPr>
          <t>D:</t>
        </r>
        <r>
          <rPr>
            <sz val="9"/>
            <rFont val="宋体"/>
            <charset val="134"/>
          </rPr>
          <t xml:space="preserve">
2026.2.26销账</t>
        </r>
      </text>
    </comment>
    <comment ref="P307" authorId="0">
      <text>
        <r>
          <rPr>
            <sz val="9"/>
            <rFont val="宋体"/>
            <charset val="134"/>
          </rPr>
          <t>Administrator:
1800中标服务费发票回，退回28200</t>
        </r>
      </text>
    </comment>
    <comment ref="N321" authorId="2">
      <text>
        <r>
          <rPr>
            <b/>
            <sz val="9"/>
            <rFont val="宋体"/>
            <charset val="134"/>
          </rPr>
          <t>D收款单位：武汉开明</t>
        </r>
      </text>
    </comment>
    <comment ref="P325" authorId="0">
      <text>
        <r>
          <rPr>
            <sz val="9"/>
            <rFont val="宋体"/>
            <charset val="134"/>
          </rPr>
          <t>Administrator:
退到中信账户</t>
        </r>
      </text>
    </comment>
    <comment ref="M433" authorId="0">
      <text>
        <r>
          <rPr>
            <sz val="9"/>
            <rFont val="宋体"/>
            <charset val="134"/>
          </rPr>
          <t>Administrator:
中标服务费</t>
        </r>
      </text>
    </comment>
    <comment ref="N486" authorId="0">
      <text>
        <r>
          <rPr>
            <sz val="9"/>
            <rFont val="宋体"/>
            <charset val="134"/>
          </rPr>
          <t>Administrator:
发票冲账</t>
        </r>
      </text>
    </comment>
    <comment ref="H502" authorId="0">
      <text>
        <r>
          <rPr>
            <sz val="9"/>
            <rFont val="宋体"/>
            <charset val="134"/>
          </rPr>
          <t>Administrator:
中金支付</t>
        </r>
      </text>
    </comment>
    <comment ref="N502" authorId="0">
      <text>
        <r>
          <rPr>
            <sz val="9"/>
            <rFont val="宋体"/>
            <charset val="134"/>
          </rPr>
          <t>Administrator:
收据</t>
        </r>
      </text>
    </comment>
    <comment ref="H503" authorId="0">
      <text>
        <r>
          <rPr>
            <sz val="9"/>
            <rFont val="宋体"/>
            <charset val="134"/>
          </rPr>
          <t>Administrator:
中金支付</t>
        </r>
      </text>
    </comment>
    <comment ref="N508" authorId="0">
      <text>
        <r>
          <rPr>
            <sz val="9"/>
            <rFont val="宋体"/>
            <charset val="134"/>
          </rPr>
          <t>Administrator:
收据</t>
        </r>
      </text>
    </comment>
    <comment ref="N510" authorId="0">
      <text>
        <r>
          <rPr>
            <sz val="9"/>
            <rFont val="宋体"/>
            <charset val="134"/>
          </rPr>
          <t>Administrator:
收据</t>
        </r>
      </text>
    </comment>
    <comment ref="N515" authorId="0">
      <text>
        <r>
          <rPr>
            <sz val="9"/>
            <rFont val="宋体"/>
            <charset val="134"/>
          </rPr>
          <t>Administrator:
收据</t>
        </r>
      </text>
    </comment>
    <comment ref="M543" authorId="0">
      <text>
        <r>
          <rPr>
            <sz val="9"/>
            <rFont val="宋体"/>
            <charset val="134"/>
          </rPr>
          <t>Administrator:
围标费</t>
        </r>
      </text>
    </comment>
    <comment ref="N547" authorId="0">
      <text>
        <r>
          <rPr>
            <sz val="9"/>
            <rFont val="宋体"/>
            <charset val="134"/>
          </rPr>
          <t>Administrator:
武长军罚款，工人扣除</t>
        </r>
      </text>
    </comment>
    <comment ref="M549" authorId="0">
      <text>
        <r>
          <rPr>
            <sz val="9"/>
            <rFont val="宋体"/>
            <charset val="134"/>
          </rPr>
          <t>Administrator:
围标费</t>
        </r>
      </text>
    </comment>
    <comment ref="P552" authorId="0">
      <text>
        <r>
          <rPr>
            <sz val="9"/>
            <rFont val="宋体"/>
            <charset val="134"/>
          </rPr>
          <t>公司名称变更，变更后为：贵州天山水泥有限公司，2025.8.21补登</t>
        </r>
      </text>
    </comment>
    <comment ref="N575" authorId="0">
      <text>
        <r>
          <rPr>
            <sz val="9"/>
            <rFont val="宋体"/>
            <charset val="134"/>
          </rPr>
          <t>Administrator:
2023/9/20  10000
2024/1/22 4000</t>
        </r>
      </text>
    </comment>
    <comment ref="H605" authorId="0">
      <text>
        <r>
          <rPr>
            <sz val="9"/>
            <rFont val="宋体"/>
            <charset val="134"/>
          </rPr>
          <t>Administrator:
内蒙古霍宁碳素有限责任公司</t>
        </r>
      </text>
    </comment>
    <comment ref="N706" authorId="2">
      <text>
        <r>
          <rPr>
            <b/>
            <sz val="9"/>
            <rFont val="宋体"/>
            <charset val="134"/>
          </rPr>
          <t>D:</t>
        </r>
        <r>
          <rPr>
            <sz val="9"/>
            <rFont val="宋体"/>
            <charset val="134"/>
          </rPr>
          <t xml:space="preserve">
2026.2.26销账</t>
        </r>
      </text>
    </comment>
    <comment ref="J735" authorId="0">
      <text>
        <r>
          <rPr>
            <sz val="9"/>
            <rFont val="宋体"/>
            <charset val="134"/>
          </rPr>
          <t>待确认</t>
        </r>
      </text>
    </comment>
    <comment ref="E744" authorId="0">
      <text>
        <r>
          <rPr>
            <sz val="9"/>
            <rFont val="宋体"/>
            <charset val="134"/>
          </rPr>
          <t>Administrator:
12月补红圈单</t>
        </r>
      </text>
    </comment>
    <comment ref="E745" authorId="0">
      <text>
        <r>
          <rPr>
            <sz val="9"/>
            <rFont val="宋体"/>
            <charset val="134"/>
          </rPr>
          <t>Administrator:
12月补红圈单</t>
        </r>
      </text>
    </comment>
    <comment ref="L786" authorId="0">
      <text>
        <r>
          <rPr>
            <sz val="9"/>
            <rFont val="宋体"/>
            <charset val="134"/>
          </rPr>
          <t>Administrator:
金蝶无</t>
        </r>
      </text>
    </comment>
    <comment ref="N787" authorId="0">
      <text>
        <r>
          <rPr>
            <sz val="9"/>
            <rFont val="宋体"/>
            <charset val="134"/>
          </rPr>
          <t>Administrator:
实际回款3100，多余50元</t>
        </r>
      </text>
    </comment>
    <comment ref="L794" authorId="0">
      <text>
        <r>
          <rPr>
            <sz val="9"/>
            <rFont val="宋体"/>
            <charset val="134"/>
          </rPr>
          <t>Administrator:
金蝶无</t>
        </r>
      </text>
    </comment>
    <comment ref="B808" authorId="0">
      <text>
        <r>
          <rPr>
            <sz val="9"/>
            <rFont val="宋体"/>
            <charset val="134"/>
          </rPr>
          <t>红圈编号：BZJSQ-20240204-0027</t>
        </r>
      </text>
    </comment>
    <comment ref="N808" authorId="0">
      <text>
        <r>
          <rPr>
            <sz val="9"/>
            <rFont val="宋体"/>
            <charset val="134"/>
          </rPr>
          <t>2025.9.9与邵玉海签署往来销账函</t>
        </r>
      </text>
    </comment>
    <comment ref="K809" authorId="0">
      <text>
        <r>
          <rPr>
            <sz val="9"/>
            <rFont val="宋体"/>
            <charset val="134"/>
          </rPr>
          <t xml:space="preserve">金蝶无
</t>
        </r>
      </text>
    </comment>
    <comment ref="K823" authorId="0">
      <text>
        <r>
          <rPr>
            <sz val="9"/>
            <rFont val="宋体"/>
            <charset val="134"/>
          </rPr>
          <t xml:space="preserve">金蝶无
</t>
        </r>
      </text>
    </comment>
    <comment ref="P825" authorId="2">
      <text>
        <r>
          <rPr>
            <b/>
            <sz val="9"/>
            <rFont val="宋体"/>
            <charset val="134"/>
          </rPr>
          <t>D:</t>
        </r>
        <r>
          <rPr>
            <sz val="9"/>
            <rFont val="宋体"/>
            <charset val="134"/>
          </rPr>
          <t xml:space="preserve">
马全花那边说是2025.6月退的</t>
        </r>
      </text>
    </comment>
    <comment ref="P828" authorId="2">
      <text>
        <r>
          <rPr>
            <b/>
            <sz val="9"/>
            <rFont val="宋体"/>
            <charset val="134"/>
          </rPr>
          <t>D:</t>
        </r>
        <r>
          <rPr>
            <sz val="9"/>
            <rFont val="宋体"/>
            <charset val="134"/>
          </rPr>
          <t xml:space="preserve">
马说是2025.9退的</t>
        </r>
      </text>
    </comment>
    <comment ref="P829" authorId="2">
      <text>
        <r>
          <rPr>
            <b/>
            <sz val="9"/>
            <rFont val="宋体"/>
            <charset val="134"/>
          </rPr>
          <t>D:</t>
        </r>
        <r>
          <rPr>
            <sz val="9"/>
            <rFont val="宋体"/>
            <charset val="134"/>
          </rPr>
          <t xml:space="preserve">
马说是2025.9.28退的</t>
        </r>
      </text>
    </comment>
    <comment ref="N849" authorId="0">
      <text>
        <r>
          <rPr>
            <sz val="9"/>
            <rFont val="宋体"/>
            <charset val="134"/>
          </rPr>
          <t>Administrator:
2024.12.24回款180180多退了180不着调下哪个项目</t>
        </r>
      </text>
    </comment>
    <comment ref="J850" authorId="0">
      <text>
        <r>
          <rPr>
            <sz val="9"/>
            <rFont val="宋体"/>
            <charset val="134"/>
          </rPr>
          <t xml:space="preserve">治安消防押金
</t>
        </r>
      </text>
    </comment>
    <comment ref="N882" authorId="0">
      <text>
        <r>
          <rPr>
            <sz val="9"/>
            <rFont val="宋体"/>
            <charset val="134"/>
          </rPr>
          <t>Administrator:
打钱的是中国电能成套设备有限公司</t>
        </r>
      </text>
    </comment>
    <comment ref="M892" authorId="0">
      <text>
        <r>
          <rPr>
            <sz val="9"/>
            <rFont val="宋体"/>
            <charset val="134"/>
          </rPr>
          <t>Administrator:
由投标保证金转履约保证金</t>
        </r>
      </text>
    </comment>
    <comment ref="N910" authorId="2">
      <text>
        <r>
          <rPr>
            <b/>
            <sz val="9"/>
            <rFont val="宋体"/>
            <charset val="134"/>
          </rPr>
          <t>D:退回41100元，另扣6000元安全罚款</t>
        </r>
      </text>
    </comment>
    <comment ref="N916" authorId="2">
      <text>
        <r>
          <rPr>
            <b/>
            <sz val="9"/>
            <rFont val="宋体"/>
            <charset val="134"/>
          </rPr>
          <t>D:</t>
        </r>
        <r>
          <rPr>
            <sz val="9"/>
            <rFont val="宋体"/>
            <charset val="134"/>
          </rPr>
          <t xml:space="preserve">
2026.2.26销账500</t>
        </r>
      </text>
    </comment>
    <comment ref="J919" authorId="0">
      <text>
        <r>
          <rPr>
            <sz val="9"/>
            <rFont val="宋体"/>
            <charset val="134"/>
          </rPr>
          <t>Administrator:
全部终止支付</t>
        </r>
      </text>
    </comment>
    <comment ref="J946" authorId="0">
      <text>
        <r>
          <rPr>
            <sz val="9"/>
            <rFont val="宋体"/>
            <charset val="134"/>
          </rPr>
          <t>Admnistrator:全部终止支付</t>
        </r>
      </text>
    </comment>
    <comment ref="N951" authorId="0">
      <text>
        <r>
          <rPr>
            <sz val="9"/>
            <rFont val="宋体"/>
            <charset val="134"/>
          </rPr>
          <t xml:space="preserve">2025.9.9与邵玉海签署往来销账函
</t>
        </r>
      </text>
    </comment>
    <comment ref="J963" authorId="0">
      <text>
        <r>
          <rPr>
            <sz val="9"/>
            <rFont val="宋体"/>
            <charset val="134"/>
          </rPr>
          <t>Administrator:
终止支付</t>
        </r>
      </text>
    </comment>
    <comment ref="J968" authorId="3">
      <text>
        <r>
          <rPr>
            <sz val="9"/>
            <rFont val="宋体"/>
            <charset val="134"/>
          </rPr>
          <t xml:space="preserve">QQ:
申请45000，实际支付15000
</t>
        </r>
      </text>
    </comment>
    <comment ref="N1000" authorId="2">
      <text>
        <r>
          <rPr>
            <b/>
            <sz val="9"/>
            <rFont val="宋体"/>
            <charset val="134"/>
          </rPr>
          <t>D:</t>
        </r>
        <r>
          <rPr>
            <sz val="9"/>
            <rFont val="宋体"/>
            <charset val="134"/>
          </rPr>
          <t xml:space="preserve">
2026.2.26销账</t>
        </r>
      </text>
    </comment>
    <comment ref="N1034" authorId="2">
      <text>
        <r>
          <rPr>
            <b/>
            <sz val="9"/>
            <rFont val="宋体"/>
            <charset val="134"/>
          </rPr>
          <t>D:</t>
        </r>
        <r>
          <rPr>
            <sz val="9"/>
            <rFont val="宋体"/>
            <charset val="134"/>
          </rPr>
          <t xml:space="preserve">
2026.2.26销账</t>
        </r>
      </text>
    </comment>
    <comment ref="B1043" authorId="0">
      <text>
        <r>
          <rPr>
            <sz val="9"/>
            <rFont val="宋体"/>
            <charset val="134"/>
          </rPr>
          <t>审批中2025.9.22</t>
        </r>
      </text>
    </comment>
    <comment ref="B1051" authorId="0">
      <text>
        <r>
          <rPr>
            <sz val="9"/>
            <rFont val="宋体"/>
            <charset val="134"/>
          </rPr>
          <t>不参与</t>
        </r>
      </text>
    </comment>
    <comment ref="B1055" authorId="0">
      <text>
        <r>
          <rPr>
            <sz val="9"/>
            <rFont val="宋体"/>
            <charset val="134"/>
          </rPr>
          <t>不参与</t>
        </r>
      </text>
    </comment>
  </commentList>
</comments>
</file>

<file path=xl/comments2.xml><?xml version="1.0" encoding="utf-8"?>
<comments xmlns="http://schemas.openxmlformats.org/spreadsheetml/2006/main">
  <authors>
    <author>D</author>
  </authors>
  <commentList>
    <comment ref="F28" authorId="0">
      <text>
        <r>
          <rPr>
            <b/>
            <sz val="9"/>
            <rFont val="宋体"/>
            <charset val="134"/>
          </rPr>
          <t>D:</t>
        </r>
        <r>
          <rPr>
            <sz val="9"/>
            <rFont val="宋体"/>
            <charset val="134"/>
          </rPr>
          <t xml:space="preserve">
合计回款90231.71，下账14300</t>
        </r>
      </text>
    </comment>
    <comment ref="F29" authorId="0">
      <text>
        <r>
          <rPr>
            <b/>
            <sz val="9"/>
            <rFont val="宋体"/>
            <charset val="134"/>
          </rPr>
          <t>D:</t>
        </r>
        <r>
          <rPr>
            <sz val="9"/>
            <rFont val="宋体"/>
            <charset val="134"/>
          </rPr>
          <t xml:space="preserve">
合计回款90231.71，下账14300
</t>
        </r>
      </text>
    </comment>
    <comment ref="F30" authorId="0">
      <text>
        <r>
          <rPr>
            <b/>
            <sz val="9"/>
            <rFont val="宋体"/>
            <charset val="134"/>
          </rPr>
          <t>D:</t>
        </r>
        <r>
          <rPr>
            <sz val="9"/>
            <rFont val="宋体"/>
            <charset val="134"/>
          </rPr>
          <t xml:space="preserve">
合计回款90231.71，下账50000  余下131.71元下项目款里
</t>
        </r>
      </text>
    </comment>
    <comment ref="F115" authorId="0">
      <text>
        <r>
          <rPr>
            <sz val="9"/>
            <rFont val="宋体"/>
            <charset val="134"/>
          </rPr>
          <t>支付金额：47100元，扣款6000元，退回41100元</t>
        </r>
      </text>
    </comment>
    <comment ref="F116" authorId="0">
      <text>
        <r>
          <rPr>
            <b/>
            <sz val="9"/>
            <rFont val="宋体"/>
            <charset val="134"/>
          </rPr>
          <t>D:</t>
        </r>
        <r>
          <rPr>
            <sz val="9"/>
            <rFont val="宋体"/>
            <charset val="134"/>
          </rPr>
          <t xml:space="preserve">
收款单位武汉开明，下账单位湖北开明</t>
        </r>
      </text>
    </comment>
  </commentList>
</comments>
</file>

<file path=xl/comments3.xml><?xml version="1.0" encoding="utf-8"?>
<comments xmlns="http://schemas.openxmlformats.org/spreadsheetml/2006/main">
  <authors>
    <author>Administrator</author>
    <author>AZB-001</author>
  </authors>
  <commentList>
    <comment ref="M69" authorId="0">
      <text>
        <r>
          <rPr>
            <sz val="9"/>
            <rFont val="宋体"/>
            <charset val="134"/>
          </rPr>
          <t>Administrator:
门禁卡押金</t>
        </r>
      </text>
    </comment>
    <comment ref="R95" authorId="0">
      <text>
        <r>
          <rPr>
            <sz val="9"/>
            <rFont val="宋体"/>
            <charset val="134"/>
          </rPr>
          <t>Administrator:
2.2022-9-28殷坤鹏回复扯皮中，需商务部催
1.艾江杰在跟进，预计5月。</t>
        </r>
      </text>
    </comment>
    <comment ref="S158" authorId="1">
      <text>
        <r>
          <rPr>
            <sz val="9"/>
            <rFont val="宋体"/>
            <charset val="134"/>
          </rPr>
          <t>AZB-001:
饶亚龙借葛洲坝石门特种水泥公司回转窑轮带及托轮维修在线挖补修复项目履约保证金</t>
        </r>
      </text>
    </comment>
    <comment ref="P307" authorId="0">
      <text>
        <r>
          <rPr>
            <sz val="9"/>
            <rFont val="宋体"/>
            <charset val="134"/>
          </rPr>
          <t>Administrator:
1800中标服务费发票回，退回28200</t>
        </r>
      </text>
    </comment>
    <comment ref="P325" authorId="0">
      <text>
        <r>
          <rPr>
            <sz val="9"/>
            <rFont val="宋体"/>
            <charset val="134"/>
          </rPr>
          <t>Administrator:
退到中信账户</t>
        </r>
      </text>
    </comment>
    <comment ref="M433" authorId="0">
      <text>
        <r>
          <rPr>
            <sz val="9"/>
            <rFont val="宋体"/>
            <charset val="134"/>
          </rPr>
          <t>Administrator:
中标服务费</t>
        </r>
      </text>
    </comment>
    <comment ref="N486" authorId="0">
      <text>
        <r>
          <rPr>
            <sz val="9"/>
            <rFont val="宋体"/>
            <charset val="134"/>
          </rPr>
          <t>Administrator:
发票冲账</t>
        </r>
      </text>
    </comment>
    <comment ref="H502" authorId="0">
      <text>
        <r>
          <rPr>
            <sz val="9"/>
            <rFont val="宋体"/>
            <charset val="134"/>
          </rPr>
          <t>Administrator:
中金支付</t>
        </r>
      </text>
    </comment>
    <comment ref="N502" authorId="0">
      <text>
        <r>
          <rPr>
            <sz val="9"/>
            <rFont val="宋体"/>
            <charset val="134"/>
          </rPr>
          <t>Administrator:
收据</t>
        </r>
      </text>
    </comment>
    <comment ref="H503" authorId="0">
      <text>
        <r>
          <rPr>
            <sz val="9"/>
            <rFont val="宋体"/>
            <charset val="134"/>
          </rPr>
          <t>Administrator:
中金支付</t>
        </r>
      </text>
    </comment>
    <comment ref="N508" authorId="0">
      <text>
        <r>
          <rPr>
            <sz val="9"/>
            <rFont val="宋体"/>
            <charset val="134"/>
          </rPr>
          <t>Administrator:
收据</t>
        </r>
      </text>
    </comment>
    <comment ref="N510" authorId="0">
      <text>
        <r>
          <rPr>
            <sz val="9"/>
            <rFont val="宋体"/>
            <charset val="134"/>
          </rPr>
          <t>Administrator:
收据</t>
        </r>
      </text>
    </comment>
    <comment ref="N515" authorId="0">
      <text>
        <r>
          <rPr>
            <sz val="9"/>
            <rFont val="宋体"/>
            <charset val="134"/>
          </rPr>
          <t>Administrator:
收据</t>
        </r>
      </text>
    </comment>
    <comment ref="M543" authorId="0">
      <text>
        <r>
          <rPr>
            <sz val="9"/>
            <rFont val="宋体"/>
            <charset val="134"/>
          </rPr>
          <t>Administrator:
围标费</t>
        </r>
      </text>
    </comment>
    <comment ref="N547" authorId="0">
      <text>
        <r>
          <rPr>
            <sz val="9"/>
            <rFont val="宋体"/>
            <charset val="134"/>
          </rPr>
          <t>Administrator:
武长军罚款，工人扣除</t>
        </r>
      </text>
    </comment>
    <comment ref="M549" authorId="0">
      <text>
        <r>
          <rPr>
            <sz val="9"/>
            <rFont val="宋体"/>
            <charset val="134"/>
          </rPr>
          <t>Administrator:
围标费</t>
        </r>
      </text>
    </comment>
    <comment ref="N575" authorId="0">
      <text>
        <r>
          <rPr>
            <sz val="9"/>
            <rFont val="宋体"/>
            <charset val="134"/>
          </rPr>
          <t>Administrator:
2023/9/20  10000
2024/1/22 4000</t>
        </r>
      </text>
    </comment>
    <comment ref="H605" authorId="0">
      <text>
        <r>
          <rPr>
            <sz val="9"/>
            <rFont val="宋体"/>
            <charset val="134"/>
          </rPr>
          <t>Administrator:
内蒙古霍宁碳素有限责任公司</t>
        </r>
      </text>
    </comment>
    <comment ref="J735" authorId="0">
      <text>
        <r>
          <rPr>
            <sz val="9"/>
            <rFont val="宋体"/>
            <charset val="134"/>
          </rPr>
          <t>待确认</t>
        </r>
      </text>
    </comment>
    <comment ref="E744" authorId="0">
      <text>
        <r>
          <rPr>
            <sz val="9"/>
            <rFont val="宋体"/>
            <charset val="134"/>
          </rPr>
          <t>Administrator:
12月补红圈单</t>
        </r>
      </text>
    </comment>
    <comment ref="E745" authorId="0">
      <text>
        <r>
          <rPr>
            <sz val="9"/>
            <rFont val="宋体"/>
            <charset val="134"/>
          </rPr>
          <t>Administrator:
12月补红圈单</t>
        </r>
      </text>
    </comment>
    <comment ref="L786" authorId="0">
      <text>
        <r>
          <rPr>
            <sz val="9"/>
            <rFont val="宋体"/>
            <charset val="134"/>
          </rPr>
          <t>Administrator:
金蝶无</t>
        </r>
      </text>
    </comment>
    <comment ref="L794" authorId="0">
      <text>
        <r>
          <rPr>
            <sz val="9"/>
            <rFont val="宋体"/>
            <charset val="134"/>
          </rPr>
          <t>Administrator:
金蝶无</t>
        </r>
      </text>
    </comment>
    <comment ref="K809" authorId="0">
      <text>
        <r>
          <rPr>
            <sz val="9"/>
            <rFont val="宋体"/>
            <charset val="134"/>
          </rPr>
          <t xml:space="preserve">金蝶无
</t>
        </r>
      </text>
    </comment>
    <comment ref="K823" authorId="0">
      <text>
        <r>
          <rPr>
            <sz val="9"/>
            <rFont val="宋体"/>
            <charset val="134"/>
          </rPr>
          <t xml:space="preserve">金蝶无
</t>
        </r>
      </text>
    </comment>
    <comment ref="J850" authorId="0">
      <text>
        <r>
          <rPr>
            <sz val="9"/>
            <rFont val="宋体"/>
            <charset val="134"/>
          </rPr>
          <t xml:space="preserve">治安消防押金
</t>
        </r>
      </text>
    </comment>
  </commentList>
</comments>
</file>

<file path=xl/comments4.xml><?xml version="1.0" encoding="utf-8"?>
<comments xmlns="http://schemas.openxmlformats.org/spreadsheetml/2006/main">
  <authors>
    <author>Administrator</author>
    <author>AZB-001</author>
  </authors>
  <commentList>
    <comment ref="M69" authorId="0">
      <text>
        <r>
          <rPr>
            <sz val="9"/>
            <rFont val="宋体"/>
            <charset val="134"/>
          </rPr>
          <t>Administrator:
门禁卡押金</t>
        </r>
      </text>
    </comment>
    <comment ref="R95" authorId="0">
      <text>
        <r>
          <rPr>
            <sz val="9"/>
            <rFont val="宋体"/>
            <charset val="134"/>
          </rPr>
          <t>Administrator:
2.2022-9-28殷坤鹏回复扯皮中，需商务部催
1.艾江杰在跟进，预计5月。</t>
        </r>
      </text>
    </comment>
    <comment ref="S158" authorId="1">
      <text>
        <r>
          <rPr>
            <sz val="9"/>
            <rFont val="宋体"/>
            <charset val="134"/>
          </rPr>
          <t>AZB-001:
饶亚龙借葛洲坝石门特种水泥公司回转窑轮带及托轮维修在线挖补修复项目履约保证金</t>
        </r>
      </text>
    </comment>
    <comment ref="P307" authorId="0">
      <text>
        <r>
          <rPr>
            <sz val="9"/>
            <rFont val="宋体"/>
            <charset val="134"/>
          </rPr>
          <t>Administrator:
1800中标服务费发票回，退回28200</t>
        </r>
      </text>
    </comment>
    <comment ref="P325" authorId="0">
      <text>
        <r>
          <rPr>
            <sz val="9"/>
            <rFont val="宋体"/>
            <charset val="134"/>
          </rPr>
          <t>Administrator:
退到中信账户</t>
        </r>
      </text>
    </comment>
    <comment ref="M433" authorId="0">
      <text>
        <r>
          <rPr>
            <sz val="9"/>
            <rFont val="宋体"/>
            <charset val="134"/>
          </rPr>
          <t>Administrator:
中标服务费</t>
        </r>
      </text>
    </comment>
    <comment ref="N486" authorId="0">
      <text>
        <r>
          <rPr>
            <sz val="9"/>
            <rFont val="宋体"/>
            <charset val="134"/>
          </rPr>
          <t>Administrator:
发票冲账</t>
        </r>
      </text>
    </comment>
    <comment ref="H502" authorId="0">
      <text>
        <r>
          <rPr>
            <sz val="9"/>
            <rFont val="宋体"/>
            <charset val="134"/>
          </rPr>
          <t>Administrator:
中金支付</t>
        </r>
      </text>
    </comment>
    <comment ref="N502" authorId="0">
      <text>
        <r>
          <rPr>
            <sz val="9"/>
            <rFont val="宋体"/>
            <charset val="134"/>
          </rPr>
          <t>Administrator:
收据</t>
        </r>
      </text>
    </comment>
    <comment ref="H503" authorId="0">
      <text>
        <r>
          <rPr>
            <sz val="9"/>
            <rFont val="宋体"/>
            <charset val="134"/>
          </rPr>
          <t>Administrator:
中金支付</t>
        </r>
      </text>
    </comment>
    <comment ref="N508" authorId="0">
      <text>
        <r>
          <rPr>
            <sz val="9"/>
            <rFont val="宋体"/>
            <charset val="134"/>
          </rPr>
          <t>Administrator:
收据</t>
        </r>
      </text>
    </comment>
    <comment ref="N510" authorId="0">
      <text>
        <r>
          <rPr>
            <sz val="9"/>
            <rFont val="宋体"/>
            <charset val="134"/>
          </rPr>
          <t>Administrator:
收据</t>
        </r>
      </text>
    </comment>
    <comment ref="N515" authorId="0">
      <text>
        <r>
          <rPr>
            <sz val="9"/>
            <rFont val="宋体"/>
            <charset val="134"/>
          </rPr>
          <t>Administrator:
收据</t>
        </r>
      </text>
    </comment>
    <comment ref="M543" authorId="0">
      <text>
        <r>
          <rPr>
            <sz val="9"/>
            <rFont val="宋体"/>
            <charset val="134"/>
          </rPr>
          <t>Administrator:
围标费</t>
        </r>
      </text>
    </comment>
    <comment ref="N547" authorId="0">
      <text>
        <r>
          <rPr>
            <sz val="9"/>
            <rFont val="宋体"/>
            <charset val="134"/>
          </rPr>
          <t>Administrator:
武长军罚款，工人扣除</t>
        </r>
      </text>
    </comment>
    <comment ref="M549" authorId="0">
      <text>
        <r>
          <rPr>
            <sz val="9"/>
            <rFont val="宋体"/>
            <charset val="134"/>
          </rPr>
          <t>Administrator:
围标费</t>
        </r>
      </text>
    </comment>
    <comment ref="N575" authorId="0">
      <text>
        <r>
          <rPr>
            <sz val="9"/>
            <rFont val="宋体"/>
            <charset val="134"/>
          </rPr>
          <t>Administrator:
2023/9/20  10000
2024/1/22 4000</t>
        </r>
      </text>
    </comment>
    <comment ref="H605" authorId="0">
      <text>
        <r>
          <rPr>
            <sz val="9"/>
            <rFont val="宋体"/>
            <charset val="134"/>
          </rPr>
          <t>Administrator:
内蒙古霍宁碳素有限责任公司</t>
        </r>
      </text>
    </comment>
    <comment ref="J735" authorId="0">
      <text>
        <r>
          <rPr>
            <sz val="9"/>
            <rFont val="宋体"/>
            <charset val="134"/>
          </rPr>
          <t>待确认</t>
        </r>
      </text>
    </comment>
    <comment ref="E744" authorId="0">
      <text>
        <r>
          <rPr>
            <sz val="9"/>
            <rFont val="宋体"/>
            <charset val="134"/>
          </rPr>
          <t>Administrator:
12月补红圈单</t>
        </r>
      </text>
    </comment>
    <comment ref="E745" authorId="0">
      <text>
        <r>
          <rPr>
            <sz val="9"/>
            <rFont val="宋体"/>
            <charset val="134"/>
          </rPr>
          <t>Administrator:
12月补红圈单</t>
        </r>
      </text>
    </comment>
    <comment ref="L786" authorId="0">
      <text>
        <r>
          <rPr>
            <sz val="9"/>
            <rFont val="宋体"/>
            <charset val="134"/>
          </rPr>
          <t>Administrator:
金蝶无</t>
        </r>
      </text>
    </comment>
    <comment ref="L794" authorId="0">
      <text>
        <r>
          <rPr>
            <sz val="9"/>
            <rFont val="宋体"/>
            <charset val="134"/>
          </rPr>
          <t>Administrator:
金蝶无</t>
        </r>
      </text>
    </comment>
    <comment ref="K809" authorId="0">
      <text>
        <r>
          <rPr>
            <sz val="9"/>
            <rFont val="宋体"/>
            <charset val="134"/>
          </rPr>
          <t xml:space="preserve">金蝶无
</t>
        </r>
      </text>
    </comment>
    <comment ref="K823" authorId="0">
      <text>
        <r>
          <rPr>
            <sz val="9"/>
            <rFont val="宋体"/>
            <charset val="134"/>
          </rPr>
          <t xml:space="preserve">金蝶无
</t>
        </r>
      </text>
    </comment>
    <comment ref="J850" authorId="0">
      <text>
        <r>
          <rPr>
            <sz val="9"/>
            <rFont val="宋体"/>
            <charset val="134"/>
          </rPr>
          <t xml:space="preserve">治安消防押金
</t>
        </r>
      </text>
    </comment>
  </commentList>
</comments>
</file>

<file path=xl/sharedStrings.xml><?xml version="1.0" encoding="utf-8"?>
<sst xmlns="http://schemas.openxmlformats.org/spreadsheetml/2006/main" count="34475" uniqueCount="2724">
  <si>
    <t>其他应收明细表</t>
  </si>
  <si>
    <t>序号</t>
  </si>
  <si>
    <t>编号</t>
  </si>
  <si>
    <t>月份</t>
  </si>
  <si>
    <t>账龄</t>
  </si>
  <si>
    <t>支付日期</t>
  </si>
  <si>
    <t>部门</t>
  </si>
  <si>
    <t>经办人</t>
  </si>
  <si>
    <t>公司名称</t>
  </si>
  <si>
    <t>公司名称2</t>
  </si>
  <si>
    <t>支付金额</t>
  </si>
  <si>
    <t>公司</t>
  </si>
  <si>
    <t>支付方式</t>
  </si>
  <si>
    <t>支付类型</t>
  </si>
  <si>
    <t>退款金额/
发票冲账</t>
  </si>
  <si>
    <t>未退余额</t>
  </si>
  <si>
    <t>退款时间</t>
  </si>
  <si>
    <t>退回月份</t>
  </si>
  <si>
    <t>未退原因</t>
  </si>
  <si>
    <t>备注</t>
  </si>
  <si>
    <t>省份</t>
  </si>
  <si>
    <t>业务经理</t>
  </si>
  <si>
    <t>联系人</t>
  </si>
  <si>
    <t>中标结果</t>
  </si>
  <si>
    <t>业务员</t>
  </si>
  <si>
    <t>支付状态</t>
  </si>
  <si>
    <t>BZJ-0001</t>
  </si>
  <si>
    <t>三门峡腾跃同力水泥有限公司</t>
  </si>
  <si>
    <t>武汉</t>
  </si>
  <si>
    <t>期初余额</t>
  </si>
  <si>
    <t>投标保证金</t>
  </si>
  <si>
    <t>找付款凭证</t>
  </si>
  <si>
    <t>河南省</t>
  </si>
  <si>
    <t>BZJ-0002</t>
  </si>
  <si>
    <t>云南西南水泥有限公司</t>
  </si>
  <si>
    <t>BZJ-0003</t>
  </si>
  <si>
    <t>淮北众城水泥有限责任公司</t>
  </si>
  <si>
    <t>已被收购</t>
  </si>
  <si>
    <t>安徽省</t>
  </si>
  <si>
    <t>BZJ-0004</t>
  </si>
  <si>
    <t>吉林亚泰（集团）股份有限公司物资经销分公司</t>
  </si>
  <si>
    <t>吉林亚泰集团物资贸易有限公司</t>
  </si>
  <si>
    <t>预计2023.04或2023.05月退还，熊伟跟进中.客人无此笔,我司资料为期初数据有23800</t>
  </si>
  <si>
    <t>有凭证才可查询</t>
  </si>
  <si>
    <t>吉林省</t>
  </si>
  <si>
    <t>张玉鹏13634307383</t>
  </si>
  <si>
    <t>BZJ-0005</t>
  </si>
  <si>
    <t>江苏永钢集团物资贸易有限公司</t>
  </si>
  <si>
    <t>对方财务查询并无此款</t>
  </si>
  <si>
    <t>江苏省</t>
  </si>
  <si>
    <t>BZJ-0006</t>
  </si>
  <si>
    <t>酒泉钢铁（集团）有限公司</t>
  </si>
  <si>
    <t>可能是标书费</t>
  </si>
  <si>
    <t>BZJ-0007</t>
  </si>
  <si>
    <t>吴海波</t>
  </si>
  <si>
    <t>亚泰伊通</t>
  </si>
  <si>
    <t>亚泰集团伊通水泥有限公司</t>
  </si>
  <si>
    <t>武汉对公</t>
  </si>
  <si>
    <t>2016年1月42#凭证</t>
  </si>
  <si>
    <t>BZJ-0008</t>
  </si>
  <si>
    <t>江苏沙钢集团有限公司</t>
  </si>
  <si>
    <t>平台上共8万</t>
  </si>
  <si>
    <t>长期投标不退</t>
  </si>
  <si>
    <t>投标保证金（前期借支2万元   后期借支5万元）   销售部查询系统里面有8万元保证金，长期投标不退</t>
  </si>
  <si>
    <t>BZJ-0009</t>
  </si>
  <si>
    <t>安全保证金</t>
  </si>
  <si>
    <t>2025-9-23退回8万元</t>
  </si>
  <si>
    <t>BZJ-0010</t>
  </si>
  <si>
    <t>汤勇华</t>
  </si>
  <si>
    <t>BZJ-0011</t>
  </si>
  <si>
    <t>生产部</t>
  </si>
  <si>
    <t>姜兵</t>
  </si>
  <si>
    <t>永登祁连山水泥有限公司</t>
  </si>
  <si>
    <t>对公</t>
  </si>
  <si>
    <t>近期要施工</t>
  </si>
  <si>
    <t>BZJ-0012</t>
  </si>
  <si>
    <t>丁俊</t>
  </si>
  <si>
    <t>逸盛大化石化有限公司</t>
  </si>
  <si>
    <t>2023.03月殷总说之前做的质量有重大问题暂时不催</t>
  </si>
  <si>
    <t>2019年12月从丁俊个人转公司账7000元</t>
  </si>
  <si>
    <t>辽宁省</t>
  </si>
  <si>
    <t>BZJ-0013</t>
  </si>
  <si>
    <t>生产一部</t>
  </si>
  <si>
    <t>汪勇刚</t>
  </si>
  <si>
    <t>德州中联大坝水泥有限公司</t>
  </si>
  <si>
    <t>武汉2018.06-40</t>
  </si>
  <si>
    <t>山东省</t>
  </si>
  <si>
    <t>李松林</t>
  </si>
  <si>
    <t>BZJ-0014</t>
  </si>
  <si>
    <t>张子仪</t>
  </si>
  <si>
    <t>四川西南水泥有限公司</t>
  </si>
  <si>
    <t>BZJ-0015</t>
  </si>
  <si>
    <t>刘西</t>
  </si>
  <si>
    <t>新安中联万基水泥有限公司</t>
  </si>
  <si>
    <t>施工质量问题无法办理</t>
  </si>
  <si>
    <t>BZJ-0016</t>
  </si>
  <si>
    <t>个人</t>
  </si>
  <si>
    <t>BZJ-0017</t>
  </si>
  <si>
    <t>韩城尧柏阳山庄水泥有限公司</t>
  </si>
  <si>
    <t>2019/12/24退19800</t>
  </si>
  <si>
    <t>BZJ-0018</t>
  </si>
  <si>
    <t>冯海雄</t>
  </si>
  <si>
    <t>民和祁连山水泥有限公司</t>
  </si>
  <si>
    <t>BZJ-0019</t>
  </si>
  <si>
    <t>吴昌松</t>
  </si>
  <si>
    <t>冀东海天水泥闻喜有限公司</t>
  </si>
  <si>
    <t>BZJ-0020</t>
  </si>
  <si>
    <t>贵州中诚水泥有限公司</t>
  </si>
  <si>
    <t>BZJ-0021</t>
  </si>
  <si>
    <t>覃延吉</t>
  </si>
  <si>
    <t>云南丽江西南水泥有限公司</t>
  </si>
  <si>
    <t>BZJ-0022</t>
  </si>
  <si>
    <t>詹年喜</t>
  </si>
  <si>
    <t>邯郸涉县金隅水泥有限公司</t>
  </si>
  <si>
    <t>BZJ-0023</t>
  </si>
  <si>
    <t>阳泉冀东水泥有限责任公司</t>
  </si>
  <si>
    <t>BZJ-0024</t>
  </si>
  <si>
    <t>河钢股份有限公司邯郸分公司</t>
  </si>
  <si>
    <t>BZJ-0025</t>
  </si>
  <si>
    <t>石靖</t>
  </si>
  <si>
    <t>达州利森水泥有限公司</t>
  </si>
  <si>
    <t>BZJ-0026</t>
  </si>
  <si>
    <t>总经办</t>
  </si>
  <si>
    <t>张家港宏昌钢板有限公司</t>
  </si>
  <si>
    <t>武汉2019.4-50</t>
  </si>
  <si>
    <t>杨春龙</t>
  </si>
  <si>
    <t>预计2022.10月，收完全款后退回</t>
  </si>
  <si>
    <t>BZJ-0027</t>
  </si>
  <si>
    <t>夏锋泽</t>
  </si>
  <si>
    <t>BZJ-0028</t>
  </si>
  <si>
    <t>销售部</t>
  </si>
  <si>
    <t>李辉</t>
  </si>
  <si>
    <t>葛洲坝钟祥水泥有限公司</t>
  </si>
  <si>
    <t>履约保证金</t>
  </si>
  <si>
    <t>BZJ-0029</t>
  </si>
  <si>
    <t>李文池</t>
  </si>
  <si>
    <t>四川峨眉山西南水泥有限公司</t>
  </si>
  <si>
    <t>BZJ-0030</t>
  </si>
  <si>
    <t>云南昆钢嘉华水泥建材有限公司</t>
  </si>
  <si>
    <t>BZJ-0031</t>
  </si>
  <si>
    <t>余茶林</t>
  </si>
  <si>
    <t>汉中尧柏水泥有限公司</t>
  </si>
  <si>
    <t>BZJ-0032</t>
  </si>
  <si>
    <t>房延云</t>
  </si>
  <si>
    <t>鲁南中联水泥有限公司</t>
  </si>
  <si>
    <t>BZJ-0033</t>
  </si>
  <si>
    <t>王小勇</t>
  </si>
  <si>
    <t>莒县中联水泥有限公司</t>
  </si>
  <si>
    <t>BZJ-0034</t>
  </si>
  <si>
    <t>程时勇</t>
  </si>
  <si>
    <t>贵州沿河西南水泥有限公司</t>
  </si>
  <si>
    <t>BZJ-0035</t>
  </si>
  <si>
    <t>西安蓝田尧柏水泥有限公司</t>
  </si>
  <si>
    <t>BZJ-0036</t>
  </si>
  <si>
    <t>会东利森水泥有限公司</t>
  </si>
  <si>
    <t>BZJ-0037</t>
  </si>
  <si>
    <t>熊军</t>
  </si>
  <si>
    <t>冀东水泥铜川有限公司</t>
  </si>
  <si>
    <t>BZJ-0038</t>
  </si>
  <si>
    <t>四川省绵竹澳东水泥有限责任公司</t>
  </si>
  <si>
    <t xml:space="preserve"> </t>
  </si>
  <si>
    <t>BZJ-0039</t>
  </si>
  <si>
    <t>嘉华特种水泥股份有限公司嘉华水泥总厂</t>
  </si>
  <si>
    <t>BZJ-0040</t>
  </si>
  <si>
    <t>山东鲁城水泥有限公司</t>
  </si>
  <si>
    <t>BZJ-0041</t>
  </si>
  <si>
    <t>熊军、左汉军</t>
  </si>
  <si>
    <t>甘肃永固特种水泥有限公司</t>
  </si>
  <si>
    <t>BZJ-0042</t>
  </si>
  <si>
    <t>贵州纳雍隆庆乌江水泥有限公司</t>
  </si>
  <si>
    <t>武汉2019.08-102</t>
  </si>
  <si>
    <t>贵州省</t>
  </si>
  <si>
    <t>陈涛</t>
  </si>
  <si>
    <t>BZJ-0043</t>
  </si>
  <si>
    <t>涿鹿金隅水泥有限公司</t>
  </si>
  <si>
    <t>是投标保证金转为了履约，履约又
转为了质保，质保刚刚到期。大约9月底回</t>
  </si>
  <si>
    <t>BZJ-0044</t>
  </si>
  <si>
    <t>重庆秀山西南水泥有限公司</t>
  </si>
  <si>
    <t>BZJ-0045</t>
  </si>
  <si>
    <t>山东泰西水泥有限公司</t>
  </si>
  <si>
    <t>BZJ-0046</t>
  </si>
  <si>
    <t>武汉2019.9-105</t>
  </si>
  <si>
    <t>河北省</t>
  </si>
  <si>
    <t>BZJ-0047</t>
  </si>
  <si>
    <t>绥江县永固水泥有限责任公司</t>
  </si>
  <si>
    <t>BZJ-0048</t>
  </si>
  <si>
    <t>华新水泥（房县)有限公司</t>
  </si>
  <si>
    <t>BZJ-0049</t>
  </si>
  <si>
    <t>云南普洱西南水泥有限公司</t>
  </si>
  <si>
    <t>BZJ-0050</t>
  </si>
  <si>
    <t>刘思佳</t>
  </si>
  <si>
    <t>冀东水泥重庆江津有限公司</t>
  </si>
  <si>
    <t>BZJ-0051</t>
  </si>
  <si>
    <t>北京金隅琉水环保科技有限公司</t>
  </si>
  <si>
    <t>BZJ-0052</t>
  </si>
  <si>
    <t>刘靖</t>
  </si>
  <si>
    <t>BZJ-0053</t>
  </si>
  <si>
    <t>刘佳</t>
  </si>
  <si>
    <t>BZJ-0054</t>
  </si>
  <si>
    <t>贵州清镇西南水泥有限公司</t>
  </si>
  <si>
    <t>BZJ-0055</t>
  </si>
  <si>
    <t>华新水泥（恩施）有限公司</t>
  </si>
  <si>
    <t>BZJ-0056</t>
  </si>
  <si>
    <t>巴彦淖尔中联水泥有限公司</t>
  </si>
  <si>
    <t>BZJ-0057</t>
  </si>
  <si>
    <t>祝威</t>
  </si>
  <si>
    <t>安康市尧柏水泥有限公司</t>
  </si>
  <si>
    <t>BZJ-0058</t>
  </si>
  <si>
    <t>田学军</t>
  </si>
  <si>
    <t>贵州西南水泥有限公司</t>
  </si>
  <si>
    <t>2022/12/31前退回，年标，转履约</t>
  </si>
  <si>
    <t>窑磨专业测窑调窑及整形，窑磨裂纹：长期投标不退</t>
  </si>
  <si>
    <t>BZJ-0059</t>
  </si>
  <si>
    <t>BZJ-0060</t>
  </si>
  <si>
    <t>BZJ-0061</t>
  </si>
  <si>
    <t>江苏永钢集团有限公司</t>
  </si>
  <si>
    <t>BZJ-0062</t>
  </si>
  <si>
    <t>BZJ-0063</t>
  </si>
  <si>
    <t>BZJ-0064</t>
  </si>
  <si>
    <t>王延军</t>
  </si>
  <si>
    <t>渤海水泥（葫芦岛）有限公司</t>
  </si>
  <si>
    <t>BZJ-0065</t>
  </si>
  <si>
    <t>天瑞新登郑州水泥有限公司</t>
  </si>
  <si>
    <t>BZJ-0066</t>
  </si>
  <si>
    <t>何煜军</t>
  </si>
  <si>
    <t>酒钢（集团）宏达建材有限责任公司</t>
  </si>
  <si>
    <t>BZJ-0067</t>
  </si>
  <si>
    <t>门禁卡押金</t>
  </si>
  <si>
    <t>门禁卡</t>
  </si>
  <si>
    <t>BZJ-0068</t>
  </si>
  <si>
    <t>祝发权</t>
  </si>
  <si>
    <t>安钢集团信阳钢铁有限责任公司</t>
  </si>
  <si>
    <t>BZJ-0069</t>
  </si>
  <si>
    <t>黄庭兴</t>
  </si>
  <si>
    <t>承德金隅水泥有限责任公司</t>
  </si>
  <si>
    <t>预计2023.03月退款</t>
  </si>
  <si>
    <t>武汉2020.1-136</t>
  </si>
  <si>
    <t>安环部詹工</t>
  </si>
  <si>
    <t>BZJ-0070</t>
  </si>
  <si>
    <t>殷坤鹏</t>
  </si>
  <si>
    <t>鄂尔多斯市君正能源化工有限公司水泥分公司</t>
  </si>
  <si>
    <t>BZJ-0071</t>
  </si>
  <si>
    <t>2021/3/24实际退款2900元，2025.11.7签署销账明细</t>
  </si>
  <si>
    <t>BZJ-0072</t>
  </si>
  <si>
    <t>四川金宏通实业有限公司</t>
  </si>
  <si>
    <t>BZJ-0073</t>
  </si>
  <si>
    <t>雍佳强</t>
  </si>
  <si>
    <t>青海海西化工建材股份有限公司</t>
  </si>
  <si>
    <t>BZJ-0074</t>
  </si>
  <si>
    <t>已提供对账单，与货款一起请方渊在跟进。起诉调解，第一批25万已支付</t>
  </si>
  <si>
    <t>武汉2020.04-07</t>
  </si>
  <si>
    <t>甘肃省</t>
  </si>
  <si>
    <t>BZJ-0075</t>
  </si>
  <si>
    <t>河北新金轧材有限公司</t>
  </si>
  <si>
    <t>BZJ-0076</t>
  </si>
  <si>
    <t>吕海洲</t>
  </si>
  <si>
    <t>BZJ-0077</t>
  </si>
  <si>
    <t>四川达州钢铁有限公司</t>
  </si>
  <si>
    <t>BZJ-0078</t>
  </si>
  <si>
    <t>黄国恩</t>
  </si>
  <si>
    <t>BZJ-0079</t>
  </si>
  <si>
    <t>BZJ-0080</t>
  </si>
  <si>
    <t>BZJ-0081</t>
  </si>
  <si>
    <t>四川华蓥西南水泥有限公司</t>
  </si>
  <si>
    <t>BZJ-0082</t>
  </si>
  <si>
    <t>四川西南水泥有限公司（川渝西南）</t>
  </si>
  <si>
    <t>测窑及维修，长期投标不退</t>
  </si>
  <si>
    <t>四川省</t>
  </si>
  <si>
    <t>BZJ-0083</t>
  </si>
  <si>
    <t>天瑞集团郑州水泥有限公司</t>
  </si>
  <si>
    <t>BZJ-0084</t>
  </si>
  <si>
    <t>BZJ-0085</t>
  </si>
  <si>
    <t>贵州松桃高力水泥实业有限公司</t>
  </si>
  <si>
    <t>对公退款800元和交现金200元</t>
  </si>
  <si>
    <t>BZJ-0086</t>
  </si>
  <si>
    <t>冀东水泥璧山有限公司</t>
  </si>
  <si>
    <t>2021年1月27日收2000冀东水泥璧山有限公司退安全保证金</t>
  </si>
  <si>
    <t>BZJ-0087</t>
  </si>
  <si>
    <t>贵州织金西南水泥有限公司</t>
  </si>
  <si>
    <t>BZJ-0088</t>
  </si>
  <si>
    <t>2020-8-27程时勇退3000达州利森水泥安全保证金（款打给达州利森水泥有限公司）</t>
  </si>
  <si>
    <t>BZJ-0089</t>
  </si>
  <si>
    <t>生产二部</t>
  </si>
  <si>
    <t>赞皇金隅水泥有限公司</t>
  </si>
  <si>
    <t>武汉2020.7-147</t>
  </si>
  <si>
    <t>BZJ-0090</t>
  </si>
  <si>
    <t>四川德胜集团水泥有限公司</t>
  </si>
  <si>
    <t>2021年1月25日收四川德胜集团水泥有限公司退安全保证金</t>
  </si>
  <si>
    <t>BZJ-0091</t>
  </si>
  <si>
    <t>2020-8-31程时勇退10000韩城尧柏水泥安全保证金（款打给韩城尧柏阳山庄水泥有限公司）</t>
  </si>
  <si>
    <t>BZJ-0092</t>
  </si>
  <si>
    <t>冀东水泥重庆合川有限责任公司</t>
  </si>
  <si>
    <t>需要上门办理牛国庆处理，预计5月</t>
  </si>
  <si>
    <t>重庆</t>
  </si>
  <si>
    <t>牛国庆</t>
  </si>
  <si>
    <t>武汉2020.08-07</t>
  </si>
  <si>
    <t>BZJ-0093</t>
  </si>
  <si>
    <t>陈冲</t>
  </si>
  <si>
    <t>商洛尧柏龙桥水泥有限公司</t>
  </si>
  <si>
    <t>3.2023.4月林维现场跟进，退款手续办理中，预计5月退回</t>
  </si>
  <si>
    <t>陕西省</t>
  </si>
  <si>
    <t>朱利勇</t>
  </si>
  <si>
    <t>BZJ-0094</t>
  </si>
  <si>
    <t>旺苍川煤水泥有限责任公司</t>
  </si>
  <si>
    <t>BZJ-0095</t>
  </si>
  <si>
    <t>重庆长寿西南水泥有限公司</t>
  </si>
  <si>
    <t>BZJ-0096</t>
  </si>
  <si>
    <t>瞿新虎</t>
  </si>
  <si>
    <t>华新水泥（红河）有限公司</t>
  </si>
  <si>
    <t>BZJ-0097</t>
  </si>
  <si>
    <t>年标，转履约</t>
  </si>
  <si>
    <t>云南省</t>
  </si>
  <si>
    <t>BZJ-0098</t>
  </si>
  <si>
    <t>昌黎冀东水泥有限公司</t>
  </si>
  <si>
    <t>BZJ-0099</t>
  </si>
  <si>
    <t>宁夏建材集团股份有限公司</t>
  </si>
  <si>
    <t>BZJ-0100</t>
  </si>
  <si>
    <t>驻马店市豫龙同力水泥有限公司</t>
  </si>
  <si>
    <t>打款单位：河南兴豫电子商务有限公司</t>
  </si>
  <si>
    <t>BZJ-0101</t>
  </si>
  <si>
    <t>双鸭山新时代水泥有限公司</t>
  </si>
  <si>
    <t>BZJ-0102</t>
  </si>
  <si>
    <t>张寅</t>
  </si>
  <si>
    <t>福建福海创石油化工有限公司</t>
  </si>
  <si>
    <t>BZJ-0103</t>
  </si>
  <si>
    <t>鞍山冀东水泥有限责任公司</t>
  </si>
  <si>
    <t>BZJ-0104</t>
  </si>
  <si>
    <t>江西南方水泥有限公司</t>
  </si>
  <si>
    <t>年标，转履约，对账</t>
  </si>
  <si>
    <t>所有车削、焊补项目，长期投标不退</t>
  </si>
  <si>
    <t>江西省</t>
  </si>
  <si>
    <t>BZJ-0105</t>
  </si>
  <si>
    <t>保山昆钢嘉华水泥建材有限公司</t>
  </si>
  <si>
    <t>前期客户打款时和货款一起支付，已写情况说明冲账</t>
  </si>
  <si>
    <t>BZJ-0106</t>
  </si>
  <si>
    <t>周成新</t>
  </si>
  <si>
    <t>BZJ-0107</t>
  </si>
  <si>
    <t>BZJ-0108</t>
  </si>
  <si>
    <t>彤烨</t>
  </si>
  <si>
    <t>BZJ-0109</t>
  </si>
  <si>
    <t>汪攀</t>
  </si>
  <si>
    <t>临沂中联水泥有限公司</t>
  </si>
  <si>
    <t>BZJ-0110</t>
  </si>
  <si>
    <t>湖南韶峰南方水泥有限公司</t>
  </si>
  <si>
    <t>后期冲个人借支已扣除</t>
  </si>
  <si>
    <t>BZJ-0111</t>
  </si>
  <si>
    <t>葛洲坝嘉鱼水泥有限公司</t>
  </si>
  <si>
    <t>BZJ-0112</t>
  </si>
  <si>
    <t>蒲城尧柏特种水泥有限公司</t>
  </si>
  <si>
    <t>实际退款9800元，剩余200</t>
  </si>
  <si>
    <t>BZJ-0113</t>
  </si>
  <si>
    <t>BZJ-0114</t>
  </si>
  <si>
    <t>甘肃祁连山水泥集团股份有限公司</t>
  </si>
  <si>
    <t>BZJ-0115</t>
  </si>
  <si>
    <t>2021/1/15实际退款4985，扣手续费15元</t>
  </si>
  <si>
    <t>BZJ-0116</t>
  </si>
  <si>
    <t>湖北</t>
  </si>
  <si>
    <t>对公农商</t>
  </si>
  <si>
    <t>BZJ-0117</t>
  </si>
  <si>
    <t>BZJ-0118</t>
  </si>
  <si>
    <t>金隅冀东水泥（唐山）有限责任公司唐山分公司</t>
  </si>
  <si>
    <t>BZJ-0119</t>
  </si>
  <si>
    <t>吐鲁番天山水泥有限责任公司</t>
  </si>
  <si>
    <t>BZJ-0120</t>
  </si>
  <si>
    <t>2021年2月6日收10000西安蓝田尧柏水泥有限公司退安全保证金</t>
  </si>
  <si>
    <t>BZJ-0121</t>
  </si>
  <si>
    <t>河北金隅鼎鑫水泥有限公司</t>
  </si>
  <si>
    <t>武汉2020.12-191</t>
  </si>
  <si>
    <t>BZJ-0122</t>
  </si>
  <si>
    <t>BZJ-0123</t>
  </si>
  <si>
    <t>武汉2021.01-11</t>
  </si>
  <si>
    <t>陈远志</t>
  </si>
  <si>
    <t>BZJ-0124</t>
  </si>
  <si>
    <t>武汉2021.01-14</t>
  </si>
  <si>
    <t>BZJ-0125</t>
  </si>
  <si>
    <t>王怀青</t>
  </si>
  <si>
    <t>九江萍钢钢铁有限公司</t>
  </si>
  <si>
    <t>BZJ-0126</t>
  </si>
  <si>
    <t>张继红</t>
  </si>
  <si>
    <t>陵川金隅冀东环保科技有限公司</t>
  </si>
  <si>
    <t>多次电话王新钢不接，林维处理中。2023.10.11</t>
  </si>
  <si>
    <t>山西省</t>
  </si>
  <si>
    <t>BZJ-0127</t>
  </si>
  <si>
    <t>康达（山东）水泥有限公司</t>
  </si>
  <si>
    <t>内蒙古鄂尔多斯电力冶金集团股份有限公司</t>
  </si>
  <si>
    <t>内蒙古鄂尔多斯电力冶金集团股份有限公司资源综合利用分公司</t>
  </si>
  <si>
    <t>10月已出对账函,办理中,预计12月退回</t>
  </si>
  <si>
    <t>对方公司财务总监不知账到哪里去了等殷总2022-2月过去，再落实一下</t>
  </si>
  <si>
    <t>内蒙古</t>
  </si>
  <si>
    <t>BZJ-0129</t>
  </si>
  <si>
    <t>BZJ-0130</t>
  </si>
  <si>
    <t>BZJ-0131</t>
  </si>
  <si>
    <t>饶凯</t>
  </si>
  <si>
    <t>重庆綦江西南水泥有限公司</t>
  </si>
  <si>
    <t>2023.8.16：需客户开具的收据原件寄回去办理
8.25：牛国庆去现场处理</t>
  </si>
  <si>
    <t>武汉2021.01-170</t>
  </si>
  <si>
    <t>重庆市</t>
  </si>
  <si>
    <t>BZJ-0132</t>
  </si>
  <si>
    <t>徐州中联水泥有限公司</t>
  </si>
  <si>
    <t>江苏徐州中联水泥有限公司</t>
  </si>
  <si>
    <t>因疫情原因一直款去办理，5月过去办。</t>
  </si>
  <si>
    <t>余俊进</t>
  </si>
  <si>
    <t>BZJ-0133</t>
  </si>
  <si>
    <t>郭都</t>
  </si>
  <si>
    <t>峨山宏峰建材有限责任公司</t>
  </si>
  <si>
    <t>BZJ-0134</t>
  </si>
  <si>
    <t>安徽华塑股份有限公司</t>
  </si>
  <si>
    <t>2022-1月联系，2月份帮忙退。</t>
  </si>
  <si>
    <t>BZJ-0135</t>
  </si>
  <si>
    <t>安装部</t>
  </si>
  <si>
    <t>李敬东</t>
  </si>
  <si>
    <t>BZJ-0136</t>
  </si>
  <si>
    <t>杨兴家</t>
  </si>
  <si>
    <t>四川泰昌建材集团有限公司</t>
  </si>
  <si>
    <t>需要上门办理牛国庆处理</t>
  </si>
  <si>
    <t>武汉2021.02-126</t>
  </si>
  <si>
    <t>胡平15196563818</t>
  </si>
  <si>
    <t>BZJ-0137</t>
  </si>
  <si>
    <t>BZJ-0138</t>
  </si>
  <si>
    <t>台泥（安顺）水泥有限公司</t>
  </si>
  <si>
    <t>正在办理中，预计6月退</t>
  </si>
  <si>
    <t>BZJ-0139</t>
  </si>
  <si>
    <t>葛洲坝荆门水泥有限公司</t>
  </si>
  <si>
    <t>BZJ-0140</t>
  </si>
  <si>
    <t>贵州黔西西南水泥有限公司</t>
  </si>
  <si>
    <t>武汉2021.02-130</t>
  </si>
  <si>
    <t>BZJ-0141</t>
  </si>
  <si>
    <t>BZJ-0142</t>
  </si>
  <si>
    <t>陕西实丰水泥股份有限公司</t>
  </si>
  <si>
    <t>BZJ-0143</t>
  </si>
  <si>
    <t>芜湖新兴铸管有限责任公司</t>
  </si>
  <si>
    <t>改履约</t>
  </si>
  <si>
    <t>BZJ-0144</t>
  </si>
  <si>
    <t>BZJ-0145</t>
  </si>
  <si>
    <t>周英柱</t>
  </si>
  <si>
    <t>四川利万步森水泥有限公司</t>
  </si>
  <si>
    <t>BZJ-0146</t>
  </si>
  <si>
    <t>BZJ-0147</t>
  </si>
  <si>
    <t>山西双良鼎新水泥有限公司</t>
  </si>
  <si>
    <t>BZJ-0148</t>
  </si>
  <si>
    <t>受影响影响，待上门办理，预计5月</t>
  </si>
  <si>
    <t>武汉2021.03-18</t>
  </si>
  <si>
    <t>BZJ-0149</t>
  </si>
  <si>
    <t>唐县冀东水泥有限责任公司</t>
  </si>
  <si>
    <t>BZJ-0150</t>
  </si>
  <si>
    <t>武汉2021.03-19</t>
  </si>
  <si>
    <t>BZJ-0151</t>
  </si>
  <si>
    <t>BZJ-0152</t>
  </si>
  <si>
    <t>新疆圣雄水泥有限公司</t>
  </si>
  <si>
    <t>BZJ-0153</t>
  </si>
  <si>
    <t>周奇</t>
  </si>
  <si>
    <t>BZJ-0154</t>
  </si>
  <si>
    <t>胡加顺</t>
  </si>
  <si>
    <t>BZJ-0155</t>
  </si>
  <si>
    <t>金昌水泥集团</t>
  </si>
  <si>
    <t>BZJ-0156</t>
  </si>
  <si>
    <t>饶亚龙</t>
  </si>
  <si>
    <t>葛洲坝石门特种水泥公司</t>
  </si>
  <si>
    <t>湖北对公</t>
  </si>
  <si>
    <t>BZJ-0157</t>
  </si>
  <si>
    <t>杨秋风</t>
  </si>
  <si>
    <t>对公汉口</t>
  </si>
  <si>
    <t>需去现场办理</t>
  </si>
  <si>
    <t>BZJ-0158</t>
  </si>
  <si>
    <t>BZJ-0159</t>
  </si>
  <si>
    <t>BZJ-0160</t>
  </si>
  <si>
    <t>对公浦发</t>
  </si>
  <si>
    <t>BZJ-0161</t>
  </si>
  <si>
    <t>湖北农商行对公</t>
  </si>
  <si>
    <t>BZJ-0162</t>
  </si>
  <si>
    <t>新疆和静天山水泥有限责任公司</t>
  </si>
  <si>
    <t>BZJ-0163</t>
  </si>
  <si>
    <t>青州中联水泥有限公司</t>
  </si>
  <si>
    <t>BZJ-0164</t>
  </si>
  <si>
    <t>对公工行交通</t>
  </si>
  <si>
    <t>BZJ-0165</t>
  </si>
  <si>
    <t>内蒙古宜化化工有限公司</t>
  </si>
  <si>
    <t>BZJ-0166</t>
  </si>
  <si>
    <t>BZJ-0167</t>
  </si>
  <si>
    <t>饶平恒</t>
  </si>
  <si>
    <t>中标单位按中标金额的5%缴纳合同履约金，
在保证金的基础上多退少补，100元标书费只开收据，待合同履行完</t>
  </si>
  <si>
    <t>转履约</t>
  </si>
  <si>
    <t>BZJ-0168</t>
  </si>
  <si>
    <t>河北新金钢铁有限公司</t>
  </si>
  <si>
    <t>2023.5月杨春龙：裂纹修的有问题，返修后才能退</t>
  </si>
  <si>
    <t>湖北2021.07-236</t>
  </si>
  <si>
    <t>BZJ-0169</t>
  </si>
  <si>
    <t>陈运雄</t>
  </si>
  <si>
    <t>对公中行</t>
  </si>
  <si>
    <t>BZJ-0170</t>
  </si>
  <si>
    <t>洛阳黄河同力水泥有限责任公司</t>
  </si>
  <si>
    <t>付款给：河南兴豫电子商务有限公司</t>
  </si>
  <si>
    <t>BZJ-0171</t>
  </si>
  <si>
    <t>(投标保证金)已中标，转履约，付款给：河南兴豫电子商务有限公司</t>
  </si>
  <si>
    <t>BZJ-0172</t>
  </si>
  <si>
    <t>唐山冀东水泥三友有限公司</t>
  </si>
  <si>
    <t>对公武汉中行</t>
  </si>
  <si>
    <t>2023.03月杨春龙处理中，与投标保证金一起退</t>
  </si>
  <si>
    <t>武汉2021.08-76</t>
  </si>
  <si>
    <t>BZJ-0173</t>
  </si>
  <si>
    <t>付款给：河南兴豫电子商务有限公司，长期投标不退</t>
  </si>
  <si>
    <t>BZJ-0174</t>
  </si>
  <si>
    <t>BZJ-0175</t>
  </si>
  <si>
    <t>对公湖北农信</t>
  </si>
  <si>
    <t>BZJ-0176</t>
  </si>
  <si>
    <t>吉林亚泰明城水泥有限公司</t>
  </si>
  <si>
    <t>李洪刚</t>
  </si>
  <si>
    <t>BZJ-0177</t>
  </si>
  <si>
    <t>BZJ-0178</t>
  </si>
  <si>
    <t>河南洛阳黄河同力</t>
  </si>
  <si>
    <t>投标保证金：款付给河南兴豫电子商务有限公司</t>
  </si>
  <si>
    <t>BZJ-0179</t>
  </si>
  <si>
    <t>BZJ-0180</t>
  </si>
  <si>
    <t>许衷齐</t>
  </si>
  <si>
    <t>鞍钢钢铁</t>
  </si>
  <si>
    <t>标书费</t>
  </si>
  <si>
    <t>BZJ-0181</t>
  </si>
  <si>
    <t>亚泰集团哈尔滨水泥（阿城）有限公司</t>
  </si>
  <si>
    <t>BZJ-0182</t>
  </si>
  <si>
    <t>谈文才</t>
  </si>
  <si>
    <t>台泥（辽宁）水泥有限公司</t>
  </si>
  <si>
    <t>对公湖北工行交通支行</t>
  </si>
  <si>
    <t>正在追</t>
  </si>
  <si>
    <t>5月再次与李洪刚核实，这笔款包含在2022.2.22号回款66200元中。当月全部算到回款里了，其中实际有5000元是投标保证金，附2022.5.24号情况说明</t>
  </si>
  <si>
    <t>BZJ-0183</t>
  </si>
  <si>
    <t>刘涛</t>
  </si>
  <si>
    <t>BZJ-0184</t>
  </si>
  <si>
    <t>BZJ-0185</t>
  </si>
  <si>
    <t>BZJ-0186</t>
  </si>
  <si>
    <t>标书费：款付给张家港玖隆电子商务有限公司</t>
  </si>
  <si>
    <t>BZJ-0187</t>
  </si>
  <si>
    <t>2022-2月杨春龙在现场亲自跟进中，预计2月不打3月打。</t>
  </si>
  <si>
    <t>BZJ-0188</t>
  </si>
  <si>
    <t>BZJ-0189</t>
  </si>
  <si>
    <t>陈晓飞</t>
  </si>
  <si>
    <t>BZJ-0190</t>
  </si>
  <si>
    <t>BZJ-0191</t>
  </si>
  <si>
    <t>林柱生</t>
  </si>
  <si>
    <t>彤烨工行</t>
  </si>
  <si>
    <t>BZJ-0192</t>
  </si>
  <si>
    <t>川渝西南投标保证金</t>
  </si>
  <si>
    <t>投标保证金，款付四川西南水泥有限公司</t>
  </si>
  <si>
    <t>BZJ-0193</t>
  </si>
  <si>
    <t>川渝西南标书费</t>
  </si>
  <si>
    <t>标书费，款付四川西南水泥有限公司</t>
  </si>
  <si>
    <t>BZJ-0194</t>
  </si>
  <si>
    <t>华沃枣庄水泥</t>
  </si>
  <si>
    <t>标书费，山东轩泽招投标代理有限公司</t>
  </si>
  <si>
    <t>BZJ-0195</t>
  </si>
  <si>
    <t>BZJ-0196</t>
  </si>
  <si>
    <t>BZJ-0197</t>
  </si>
  <si>
    <t>BZJ-0198</t>
  </si>
  <si>
    <t>BZJ-0199</t>
  </si>
  <si>
    <t>2022/12/31前退回，
2022年标，暂未开标</t>
  </si>
  <si>
    <t>BZJ-0200</t>
  </si>
  <si>
    <t>华沃（枣庄）水泥有限公司</t>
  </si>
  <si>
    <t>投标保证金，山东轩泽招投标代理有限公司</t>
  </si>
  <si>
    <t>BZJ-0201</t>
  </si>
  <si>
    <t>BZJ-0202</t>
  </si>
  <si>
    <t>BZJ-0203</t>
  </si>
  <si>
    <t>BZJ-0204</t>
  </si>
  <si>
    <t>2022-2月李洪刚正在查，活还没有做，暂时不能退。</t>
  </si>
  <si>
    <t>BZJ-0205</t>
  </si>
  <si>
    <t>BZJ-0206</t>
  </si>
  <si>
    <t>冀东水泥滦州有限公司</t>
  </si>
  <si>
    <t>湖北对公工行</t>
  </si>
  <si>
    <t>BZJ-0207</t>
  </si>
  <si>
    <t>黑龙江</t>
  </si>
  <si>
    <t>BZJ-0208</t>
  </si>
  <si>
    <t>方渊</t>
  </si>
  <si>
    <t>中材甘肃水泥有限公司</t>
  </si>
  <si>
    <t>BZJ-0209</t>
  </si>
  <si>
    <t>BZJ-0210</t>
  </si>
  <si>
    <t>BZJ-0211</t>
  </si>
  <si>
    <t>石门海螺水泥有限责任公司</t>
  </si>
  <si>
    <t>武汉对公汉口</t>
  </si>
  <si>
    <t>BZJ-0212</t>
  </si>
  <si>
    <t>叶城天山水泥有限公司</t>
  </si>
  <si>
    <t>叶城天山水泥有限责任公司</t>
  </si>
  <si>
    <t>BZJ-0213</t>
  </si>
  <si>
    <t>拉黑退不了，三年解封后可以去要</t>
  </si>
  <si>
    <t>新疆</t>
  </si>
  <si>
    <t>BZJ-0214</t>
  </si>
  <si>
    <t>湖北天银</t>
  </si>
  <si>
    <t>标书费，款付给中招国际招标有限公司</t>
  </si>
  <si>
    <t>BZJ-0215</t>
  </si>
  <si>
    <t>BZJ-0216</t>
  </si>
  <si>
    <t>BZJ-0217</t>
  </si>
  <si>
    <t>武汉汉口</t>
  </si>
  <si>
    <t>受疫情影响，原3月退，未退，4月追仍未退，预计5月退，李松林跟货款一起跟进中。</t>
  </si>
  <si>
    <t>BZJ-0218</t>
  </si>
  <si>
    <t>余慧晶</t>
  </si>
  <si>
    <t>安徽华塑股份有限公司水泥分公司</t>
  </si>
  <si>
    <t>BZJ-0219</t>
  </si>
  <si>
    <t>罗江利森水泥有限公司</t>
  </si>
  <si>
    <t>BZJ-0220</t>
  </si>
  <si>
    <t>阿克苏天山（阿克苏天山公司回转窑外协项目）</t>
  </si>
  <si>
    <t>中标转履约</t>
  </si>
  <si>
    <t>BZJ-0221</t>
  </si>
  <si>
    <t>BZJ-0222</t>
  </si>
  <si>
    <t>重庆铜梁西南水泥有限公司</t>
  </si>
  <si>
    <t>武汉2021.11-92</t>
  </si>
  <si>
    <t>BZJ-0223</t>
  </si>
  <si>
    <t>蚌埠中联水泥有限公司</t>
  </si>
  <si>
    <t>BZJ-0224</t>
  </si>
  <si>
    <t>山东鲁泰环保建材有限公司</t>
  </si>
  <si>
    <t>武汉2021.11-98</t>
  </si>
  <si>
    <t>BZJ-0225</t>
  </si>
  <si>
    <t>罗锐</t>
  </si>
  <si>
    <t>武汉2021.11-97</t>
  </si>
  <si>
    <t>BZJ-0226</t>
  </si>
  <si>
    <t>吴结</t>
  </si>
  <si>
    <t>新洋丰农业科技股份有限公司</t>
  </si>
  <si>
    <t>BZJ-0227</t>
  </si>
  <si>
    <t>杨江</t>
  </si>
  <si>
    <t>唐山曹妃甸盾石新型建材有限公司</t>
  </si>
  <si>
    <t>BZJ-0228</t>
  </si>
  <si>
    <t>BZJ-0229</t>
  </si>
  <si>
    <t>BZJ-0230</t>
  </si>
  <si>
    <t>BZJ-0231</t>
  </si>
  <si>
    <t>BZJ-0232</t>
  </si>
  <si>
    <t>冯建</t>
  </si>
  <si>
    <t>400元为罚款，待生产提交处理结果</t>
  </si>
  <si>
    <t>湖北2021.11-128</t>
  </si>
  <si>
    <t>BZJ-0233</t>
  </si>
  <si>
    <t>转这是一个堆焊年标，不退。履约</t>
  </si>
  <si>
    <t>BZJ-0234</t>
  </si>
  <si>
    <t>彤烨对公</t>
  </si>
  <si>
    <t>BZJ-0235</t>
  </si>
  <si>
    <t>湖北工行对公</t>
  </si>
  <si>
    <t>BZJ-0236</t>
  </si>
  <si>
    <t>BZJ-0237</t>
  </si>
  <si>
    <t>商务部</t>
  </si>
  <si>
    <t>BZJ-0238</t>
  </si>
  <si>
    <t>阿克苏天山</t>
  </si>
  <si>
    <t>BZJ-0239</t>
  </si>
  <si>
    <t>BZJ-0240</t>
  </si>
  <si>
    <t>蒙阴广汇建材有限公司</t>
  </si>
  <si>
    <t>BZJ-0241</t>
  </si>
  <si>
    <t>河南兴豫电子商务有限公司</t>
  </si>
  <si>
    <t>BZJ-0242</t>
  </si>
  <si>
    <t>山东嘉信建设管理咨询有限公司</t>
  </si>
  <si>
    <t>BZJ-0243</t>
  </si>
  <si>
    <t>山东合标项目管理有限公司</t>
  </si>
  <si>
    <t>BZJ-0244</t>
  </si>
  <si>
    <t>BZJ-0245</t>
  </si>
  <si>
    <t>BZJ-0246</t>
  </si>
  <si>
    <t>BZJ-0247</t>
  </si>
  <si>
    <t>洛阳万基炭素有限公司</t>
  </si>
  <si>
    <t>BZJ-0248</t>
  </si>
  <si>
    <t>塔什店天山</t>
  </si>
  <si>
    <t>新疆天山水泥股份有限公司塔什店分公司</t>
  </si>
  <si>
    <t>塔什店公司4213磨筒体焊接外协维修项目，转履约</t>
  </si>
  <si>
    <t/>
  </si>
  <si>
    <t>BZJ-0249</t>
  </si>
  <si>
    <t>BZJ-0250</t>
  </si>
  <si>
    <t>BZJ-0251</t>
  </si>
  <si>
    <t>冀东海德堡（扶风）水泥有限公司</t>
  </si>
  <si>
    <t>BZJ-0252</t>
  </si>
  <si>
    <t>BZJ-0253</t>
  </si>
  <si>
    <t>长沙瑞财信息科技有限公司</t>
  </si>
  <si>
    <t>CA锁</t>
  </si>
  <si>
    <t>BZJ-0254</t>
  </si>
  <si>
    <t>新疆伊犁钢铁有限责任公司</t>
  </si>
  <si>
    <t>BZJ-0255</t>
  </si>
  <si>
    <t>曲阳金隅水泥有限公司</t>
  </si>
  <si>
    <t>BZJ-0256</t>
  </si>
  <si>
    <t>冀东水泥（烟台）有限责任公司</t>
  </si>
  <si>
    <t>BZJ-0257</t>
  </si>
  <si>
    <t>湘潭电机股份有限公司</t>
  </si>
  <si>
    <t>2022-2-17追正在
办手续。</t>
  </si>
  <si>
    <t>BZJ-0258</t>
  </si>
  <si>
    <t>喀什店天山</t>
  </si>
  <si>
    <t>BZJ-0259</t>
  </si>
  <si>
    <t>克州天山</t>
  </si>
  <si>
    <t>BZJ-0260</t>
  </si>
  <si>
    <t>BZJ-0261</t>
  </si>
  <si>
    <t>新兴铸管股份有限公司</t>
  </si>
  <si>
    <t>BZJ-0262</t>
  </si>
  <si>
    <t>汪清北方水泥有限公司</t>
  </si>
  <si>
    <t>BZJ-0263</t>
  </si>
  <si>
    <t>BZJ-0264</t>
  </si>
  <si>
    <t>BZJ-0265</t>
  </si>
  <si>
    <t>重庆正阳新材料有限公司</t>
  </si>
  <si>
    <t>BZJ-0266</t>
  </si>
  <si>
    <t>BZJ-0267</t>
  </si>
  <si>
    <t>平泉冀东水泥有限责任公司</t>
  </si>
  <si>
    <t>BZJ-0268</t>
  </si>
  <si>
    <t>BZJ-0269</t>
  </si>
  <si>
    <t>武汉阳训科技有限公司</t>
  </si>
  <si>
    <t>BZJ-0270</t>
  </si>
  <si>
    <t>平原冀东水泥有限责任公司</t>
  </si>
  <si>
    <t>BZJ-0271</t>
  </si>
  <si>
    <t>BZJ-0272</t>
  </si>
  <si>
    <t>BZJ-0273</t>
  </si>
  <si>
    <t>BZJ-0274</t>
  </si>
  <si>
    <t>涞水金隅冀东环保科技有限公司</t>
  </si>
  <si>
    <t>BZJ-0275</t>
  </si>
  <si>
    <t>BZJ-0276</t>
  </si>
  <si>
    <t>12.31转安全保证金施工完退</t>
  </si>
  <si>
    <t>转安全保证金</t>
  </si>
  <si>
    <t>北京市</t>
  </si>
  <si>
    <t>BZJ-0277</t>
  </si>
  <si>
    <t>未验收，需办理验收后一年与质保金一起退。杨总说质量问题办不了验收，他再与对方联系看如何处理</t>
  </si>
  <si>
    <t>湖北2021.12-168</t>
  </si>
  <si>
    <t>BZJ-0278</t>
  </si>
  <si>
    <t>冀东水泥磐石有限责任公司</t>
  </si>
  <si>
    <t>BZJ-0279</t>
  </si>
  <si>
    <t>四川省星船城水泥有限公司</t>
  </si>
  <si>
    <t>2022-2-16查预计
20号退。</t>
  </si>
  <si>
    <t>BZJ-0280</t>
  </si>
  <si>
    <t>标书费做到了投标保证金里了202112月188#凭证</t>
  </si>
  <si>
    <t>BZJ-0281</t>
  </si>
  <si>
    <t>BZJ-0282</t>
  </si>
  <si>
    <t>BZJ-0283</t>
  </si>
  <si>
    <t>BZJ-0284</t>
  </si>
  <si>
    <t>BZJ-0285</t>
  </si>
  <si>
    <t>BZJ-0286</t>
  </si>
  <si>
    <t>叶城天山陪标被发现,退不了</t>
  </si>
  <si>
    <t>2022-2-16号问正在办退款手续，预计2月或3月退。</t>
  </si>
  <si>
    <t>湖北省</t>
  </si>
  <si>
    <t>BZJ-0287</t>
  </si>
  <si>
    <t>中材常德水泥有限责任公司</t>
  </si>
  <si>
    <t>2022-2-16号问正
在办退款手续，预计2月或3月退。</t>
  </si>
  <si>
    <t>BZJ-0288</t>
  </si>
  <si>
    <t>BZJ-0289</t>
  </si>
  <si>
    <t>安钢集团附属企业有限公司</t>
  </si>
  <si>
    <t>安钢集团附属企业有限责任公司</t>
  </si>
  <si>
    <t>找不到人</t>
  </si>
  <si>
    <t>2022-2-16等业务
经理去现场办理。</t>
  </si>
  <si>
    <t>BZJ-0290</t>
  </si>
  <si>
    <t>2022-2-16甲方的
手续没有时间办，正在跟进中。</t>
  </si>
  <si>
    <t>BZJ-0291</t>
  </si>
  <si>
    <t>BZJ-0292</t>
  </si>
  <si>
    <t>BZJ-0293</t>
  </si>
  <si>
    <t>BZJ-0294</t>
  </si>
  <si>
    <t>BZJ-0295</t>
  </si>
  <si>
    <t>2022/1/21退9500</t>
  </si>
  <si>
    <t>BZJ-0296</t>
  </si>
  <si>
    <t>葛洲坝当阳水泥有限公司</t>
  </si>
  <si>
    <t>4-30查活未做完，暂时不能退。预计7月</t>
  </si>
  <si>
    <t>BZJ-0297</t>
  </si>
  <si>
    <t>阿克苏天山多浪水泥有限责任公司</t>
  </si>
  <si>
    <t>武汉汉口对公</t>
  </si>
  <si>
    <t>2023.03月安全保证金未退，殷总说有质量问题需返修，他跟进处理</t>
  </si>
  <si>
    <t>BZJ-0298</t>
  </si>
  <si>
    <t>BZJ-0299</t>
  </si>
  <si>
    <t>BZJ-0300</t>
  </si>
  <si>
    <t>BZJ-0301</t>
  </si>
  <si>
    <t>2022-2-16正在追，甲方太忙，没
时间办理退款手续。</t>
  </si>
  <si>
    <t>BZJ-0302</t>
  </si>
  <si>
    <t>马上要施工，暂不退</t>
  </si>
  <si>
    <t>BZJ-0303</t>
  </si>
  <si>
    <t>其他</t>
  </si>
  <si>
    <r>
      <rPr>
        <sz val="10"/>
        <color rgb="FFFF0000"/>
        <rFont val="宋体"/>
        <charset val="134"/>
      </rPr>
      <t>（2022-3-2甲方回复活还未做，合同未签，暂时办不了，此家还有预付款，一起催）</t>
    </r>
    <r>
      <rPr>
        <sz val="10"/>
        <rFont val="宋体"/>
        <charset val="134"/>
      </rPr>
      <t>标书费</t>
    </r>
  </si>
  <si>
    <t>BZJ-0304</t>
  </si>
  <si>
    <t>武喜斌</t>
  </si>
  <si>
    <t>武汉退回,湖北未退,资料已提交</t>
  </si>
  <si>
    <t>BZJ-0305</t>
  </si>
  <si>
    <t>新疆千益工程项目咨询管理有限公司</t>
  </si>
  <si>
    <t>。已中标，合同刚下来，正在跟进中合
同双方盖章后退。</t>
  </si>
  <si>
    <t>BZJ-0306</t>
  </si>
  <si>
    <t>张霖泽</t>
  </si>
  <si>
    <t>BZJ-0307</t>
  </si>
  <si>
    <t>2022-2-16正在追
款。</t>
  </si>
  <si>
    <t>BZJ-0308</t>
  </si>
  <si>
    <t>2022-2-16正在追款。</t>
  </si>
  <si>
    <t>BZJ-0309</t>
  </si>
  <si>
    <t>喀什天山水泥有限责任公司</t>
  </si>
  <si>
    <t>BZJ-0310</t>
  </si>
  <si>
    <t>湖南有色郴州氟化学有限公司</t>
  </si>
  <si>
    <t>BZJ-0311</t>
  </si>
  <si>
    <t>BZJ-0312</t>
  </si>
  <si>
    <t>BZJ-0313</t>
  </si>
  <si>
    <t>冀东水泥阿巴嘎旗有限责任公司</t>
  </si>
  <si>
    <t>之前流标，2-15再
出来，继续投标。</t>
  </si>
  <si>
    <t>BZJ-0314</t>
  </si>
  <si>
    <t>河源市金杰环保建材有限公司</t>
  </si>
  <si>
    <t>（2022-3-2业务经理在跟进）履约保证金款付李秀云</t>
  </si>
  <si>
    <t>BZJ-0315</t>
  </si>
  <si>
    <t>鄂钢嘉华减速机更换线上支付</t>
  </si>
  <si>
    <t>留在欧冶平台继续投标</t>
  </si>
  <si>
    <t>2022-2-17号请示
领导后决定退</t>
  </si>
  <si>
    <t>BZJ-0316</t>
  </si>
  <si>
    <t>线上支付鄂钢主辊更换线上支付</t>
  </si>
  <si>
    <t>BZJ-0317</t>
  </si>
  <si>
    <t>张红玉</t>
  </si>
  <si>
    <t>云南远东亚鑫水泥有限责任公司</t>
  </si>
  <si>
    <t>7314元为宣威退，账未下；1500元安全罚款</t>
  </si>
  <si>
    <t>BZJ-0318</t>
  </si>
  <si>
    <t>广东塔牌集团股份有限公司</t>
  </si>
  <si>
    <t>（一直作为投标保证金和履约保证鑫，一年后再退）履约保证金</t>
  </si>
  <si>
    <t>广东省</t>
  </si>
  <si>
    <t>BZJ-0319</t>
  </si>
  <si>
    <t>2022-3-2在合同里面转为了质保金</t>
  </si>
  <si>
    <t>转质保金不退，开票后一年才能跟质保金一起退回。</t>
  </si>
  <si>
    <t>BZJ-0320</t>
  </si>
  <si>
    <t>山东泰山钢铁集团有限公司</t>
  </si>
  <si>
    <t>BZJ-0321</t>
  </si>
  <si>
    <t>BZJ-0322</t>
  </si>
  <si>
    <t>潘磊明</t>
  </si>
  <si>
    <t>湖南骏泰新材料有限责任公司</t>
  </si>
  <si>
    <t>BZJ-0323</t>
  </si>
  <si>
    <t>BZJ-0324</t>
  </si>
  <si>
    <t>BZJ-0325</t>
  </si>
  <si>
    <t>BZJ-0326</t>
  </si>
  <si>
    <t>王小兵</t>
  </si>
  <si>
    <t>曲阜中联水泥有限公司</t>
  </si>
  <si>
    <t>BZJ-0327</t>
  </si>
  <si>
    <t>BZJ-0328</t>
  </si>
  <si>
    <r>
      <rPr>
        <sz val="10"/>
        <color rgb="FFFF0000"/>
        <rFont val="宋体"/>
        <charset val="134"/>
      </rPr>
      <t>（2022-3-2 10个工作日可以开电子发票</t>
    </r>
    <r>
      <rPr>
        <sz val="10"/>
        <rFont val="宋体"/>
        <charset val="134"/>
      </rPr>
      <t>）标书费</t>
    </r>
  </si>
  <si>
    <t>BZJ-0329</t>
  </si>
  <si>
    <t>广东清新水泥有限公司</t>
  </si>
  <si>
    <t>BZJ-0330</t>
  </si>
  <si>
    <t>BZJ-0331</t>
  </si>
  <si>
    <t>山西省中条山新型建材有限公司</t>
  </si>
  <si>
    <t>BZJ-0332</t>
  </si>
  <si>
    <t>云南远东水泥有限公司</t>
  </si>
  <si>
    <t>安全保证金，9/20退彤烨16000，其中6000为彤烨老业务</t>
  </si>
  <si>
    <t>BZJ-0333</t>
  </si>
  <si>
    <t>2022.7.13号退回498000元,还有2000元是安全罚款,待生单拿单子消账</t>
  </si>
  <si>
    <t>BZJ-0334</t>
  </si>
  <si>
    <t>河南省兴豫电子商务有限公司</t>
  </si>
  <si>
    <t>BZJ-0335</t>
  </si>
  <si>
    <t>河南省豫鹤同力水泥有限公司</t>
  </si>
  <si>
    <r>
      <rPr>
        <sz val="10"/>
        <color rgb="FFFF0000"/>
        <rFont val="宋体"/>
        <charset val="134"/>
      </rPr>
      <t>（2022-3-2查，已填开票信息，本月能开发票）</t>
    </r>
    <r>
      <rPr>
        <sz val="10"/>
        <rFont val="宋体"/>
        <charset val="134"/>
      </rPr>
      <t>标书费</t>
    </r>
  </si>
  <si>
    <t>BZJ-0336</t>
  </si>
  <si>
    <t>BZJ-0337</t>
  </si>
  <si>
    <t>肖辉军</t>
  </si>
  <si>
    <t>河南晋开化工投资控股集团有限责任公司</t>
  </si>
  <si>
    <t>BZJ-0338</t>
  </si>
  <si>
    <t>BZJ-0339</t>
  </si>
  <si>
    <t>江苏磊达股份有限公司</t>
  </si>
  <si>
    <t>BZJ-0340</t>
  </si>
  <si>
    <t>仁寿县汪洋建宝水泥有限公司广石分公司</t>
  </si>
  <si>
    <t>BZJ-0341</t>
  </si>
  <si>
    <t>中标服务费</t>
  </si>
  <si>
    <t>BZJ-0342</t>
  </si>
  <si>
    <t>BZJ-0343</t>
  </si>
  <si>
    <t>鹤岗鑫塔水泥有限责任公司</t>
  </si>
  <si>
    <t>BZJ-0344</t>
  </si>
  <si>
    <t>BZJ-0345</t>
  </si>
  <si>
    <t>张家港玖隆电子商务有限公司</t>
  </si>
  <si>
    <t>BZJ-0346</t>
  </si>
  <si>
    <t>范升建</t>
  </si>
  <si>
    <t>BZJ-0347</t>
  </si>
  <si>
    <t>阿坝铝厂</t>
  </si>
  <si>
    <t>BZJ-0348</t>
  </si>
  <si>
    <t>BZJ-0349</t>
  </si>
  <si>
    <t>罗强</t>
  </si>
  <si>
    <t>BZJ-0350</t>
  </si>
  <si>
    <t>日照钢铁有限公司</t>
  </si>
  <si>
    <t>BZJ-0351</t>
  </si>
  <si>
    <t>BZJ-0352</t>
  </si>
  <si>
    <t>3.24号实际支付200元，5.16号魏姐反映金额记录有误，已核实改为200元。25号统一寄发票来。</t>
  </si>
  <si>
    <t>BZJ-0353</t>
  </si>
  <si>
    <t>BZJ-0354</t>
  </si>
  <si>
    <t>BZJ-0355</t>
  </si>
  <si>
    <t>贵州梵净山金顶水泥有限公司</t>
  </si>
  <si>
    <t>BZJ-0356</t>
  </si>
  <si>
    <t>日照京华新型建材有限公司</t>
  </si>
  <si>
    <t>4-30查还未完工，等开完票再追退。</t>
  </si>
  <si>
    <t>BZJ-0357</t>
  </si>
  <si>
    <t>青海发投碱业有限公司</t>
  </si>
  <si>
    <t>4-30查是三个离线修复托轮的履约保证金，货还没有从甲方处拖回，交完货才能退。</t>
  </si>
  <si>
    <t>BZJ-0358</t>
  </si>
  <si>
    <t>BZJ-0359</t>
  </si>
  <si>
    <t>邢台金隅冀东水泥有限公司</t>
  </si>
  <si>
    <t>BZJ-0360</t>
  </si>
  <si>
    <t>BZJ-0361</t>
  </si>
  <si>
    <t>5.24号收到收据</t>
  </si>
  <si>
    <t>BZJ-0362</t>
  </si>
  <si>
    <t>陕西华龙工程造价咨询有限公司</t>
  </si>
  <si>
    <t>武汉浦发对公</t>
  </si>
  <si>
    <t>BZJ-0363</t>
  </si>
  <si>
    <t>BZJ-0364</t>
  </si>
  <si>
    <t>贵州红星发展大龙锰业有限责任公司</t>
  </si>
  <si>
    <t>未定标，标公布后退。</t>
  </si>
  <si>
    <t>BZJ-0365</t>
  </si>
  <si>
    <t>BZJ-0366</t>
  </si>
  <si>
    <t>BZJ-0367</t>
  </si>
  <si>
    <t>BZJ-0368</t>
  </si>
  <si>
    <t>BZJ-0369</t>
  </si>
  <si>
    <t>BZJ-0370</t>
  </si>
  <si>
    <t>BZJ-0371</t>
  </si>
  <si>
    <t>BZJ-0372</t>
  </si>
  <si>
    <t>BZJ-0373</t>
  </si>
  <si>
    <t>5.26号收到普通发票</t>
  </si>
  <si>
    <t>BZJ-0374</t>
  </si>
  <si>
    <t>BZJ-0375</t>
  </si>
  <si>
    <t>新疆天山</t>
  </si>
  <si>
    <t>浦发总行13号退回</t>
  </si>
  <si>
    <t>BZJ-0376</t>
  </si>
  <si>
    <t>BZJ-0377</t>
  </si>
  <si>
    <t>新疆堆焊项目</t>
  </si>
  <si>
    <t>5.24号贴平台收据</t>
  </si>
  <si>
    <t>BZJ-0378</t>
  </si>
  <si>
    <t>董文涵</t>
  </si>
  <si>
    <t>董文涵24号个人退回</t>
  </si>
  <si>
    <t>BZJ-0379</t>
  </si>
  <si>
    <t>5.24号贴发票</t>
  </si>
  <si>
    <t>BZJ-0380</t>
  </si>
  <si>
    <t>山东金日招标有限公司</t>
  </si>
  <si>
    <t>BZJ-0381</t>
  </si>
  <si>
    <t>BZJ-0382</t>
  </si>
  <si>
    <t>BZJ-0383</t>
  </si>
  <si>
    <t>2022.5.17号总合同交30900元（23300+7600）；2022.6.17号退回23300元：2023.3.31退回7600</t>
  </si>
  <si>
    <t>BZJ-0384</t>
  </si>
  <si>
    <t>商务部周奇用款阜康天山标书费--对公</t>
  </si>
  <si>
    <t>5.26号周奇拿平台收据附凭证后</t>
  </si>
  <si>
    <t>BZJ-0385</t>
  </si>
  <si>
    <t>商务部周奇用款米东天山标书费--对公</t>
  </si>
  <si>
    <t>新疆米东天山水泥有限责任公司</t>
  </si>
  <si>
    <t>BZJ-0386</t>
  </si>
  <si>
    <t>米东天山</t>
  </si>
  <si>
    <t>BZJ-0387</t>
  </si>
  <si>
    <t>商务部周奇用款阜康天山投标保证金--对公</t>
  </si>
  <si>
    <t>BZJ-0388</t>
  </si>
  <si>
    <t>7.12号魏雪芹普通发票报销冲账</t>
  </si>
  <si>
    <t>BZJ-0389</t>
  </si>
  <si>
    <t>BZJ-0390</t>
  </si>
  <si>
    <t>周长玉</t>
  </si>
  <si>
    <t>广西北港新材料有限公司</t>
  </si>
  <si>
    <t>广西省</t>
  </si>
  <si>
    <t>叶明勇 18579976541 设备工程部工程师</t>
  </si>
  <si>
    <t>BZJ-0391</t>
  </si>
  <si>
    <t>奎山水泥有限公司</t>
  </si>
  <si>
    <t>BZJ-0392</t>
  </si>
  <si>
    <t>6台磨煤机大修</t>
  </si>
  <si>
    <t>BZJ-0393</t>
  </si>
  <si>
    <t>亚泰集团哈尔滨水泥有限公司</t>
  </si>
  <si>
    <t>BZJ-0394</t>
  </si>
  <si>
    <t>煅烧车间重灰5#水合机整体更换</t>
  </si>
  <si>
    <t>BZJ-0395</t>
  </si>
  <si>
    <t>煅烧车间重灰2#煅烧炉维修</t>
  </si>
  <si>
    <t>BZJ-0396</t>
  </si>
  <si>
    <t>煅烧车间轻灰7#煅烧炉维修</t>
  </si>
  <si>
    <t>BZJ-0397</t>
  </si>
  <si>
    <t>兰州铝业有限公司</t>
  </si>
  <si>
    <t>BZJ-0398</t>
  </si>
  <si>
    <t>赵丽超</t>
  </si>
  <si>
    <t>农民工工资保证金</t>
  </si>
  <si>
    <t>煅烧车间重灰2#煅烧炉维修农民工工资保证金</t>
  </si>
  <si>
    <t>BZJ-0399</t>
  </si>
  <si>
    <t>BZJ-0400</t>
  </si>
  <si>
    <t>煅烧车间轻灰7#煅烧炉维修农民工工资保证金</t>
  </si>
  <si>
    <t>BZJ-0401</t>
  </si>
  <si>
    <t>喻志明</t>
  </si>
  <si>
    <t>富民金锐水泥建材有限责任公司</t>
  </si>
  <si>
    <t>BZJ-0402</t>
  </si>
  <si>
    <t>华电和祥工程咨询有限公司（忻州电力标书费）</t>
  </si>
  <si>
    <t>发票冲销</t>
  </si>
  <si>
    <t>BZJ-0403</t>
  </si>
  <si>
    <t>BZJ-0404</t>
  </si>
  <si>
    <t>南京中联水泥有限公司</t>
  </si>
  <si>
    <t>退回安全保证金联系方式：陈光明13952022128
林总通知过二.三个月看有没有任务单再退。</t>
  </si>
  <si>
    <t>BZJ-0405</t>
  </si>
  <si>
    <t>姓名:郭健
手机:187 4222 9677
预计7月10日退回公司</t>
  </si>
  <si>
    <t>BZJ-0406</t>
  </si>
  <si>
    <t>2022.6.21号周奇拿发票到财务冲账</t>
  </si>
  <si>
    <t>BZJ-0407</t>
  </si>
  <si>
    <t>BZJ-0408</t>
  </si>
  <si>
    <t>余永昕</t>
  </si>
  <si>
    <t>广安昌兴水泥有限公司</t>
  </si>
  <si>
    <t>退回安全保证金联系方式：桂甲文15683172927
施工完工退回公司</t>
  </si>
  <si>
    <t>BZJ-0409</t>
  </si>
  <si>
    <t>BZJ-0410</t>
  </si>
  <si>
    <t>电能易购（北京）科技有限公司</t>
  </si>
  <si>
    <t>平台服务费</t>
  </si>
  <si>
    <t>电能易购（北京）科技有限公司B类会员续费</t>
  </si>
  <si>
    <t>BZJ-0411</t>
  </si>
  <si>
    <t>煅烧车间重灰2#煅烧炉/煅烧车间轻灰7#煅烧炉/煅烧车间重灰5#水合机整体更换安全保证金</t>
  </si>
  <si>
    <t>青海省</t>
  </si>
  <si>
    <t>退回安全保证金联系方式：王克芳
138 9737 0857
施工完工退回公司</t>
  </si>
  <si>
    <t>BZJ-0412</t>
  </si>
  <si>
    <t>新疆天山招标平台</t>
  </si>
  <si>
    <t>BZJ-0413</t>
  </si>
  <si>
    <t>标书费收款单</t>
  </si>
  <si>
    <t>BZJ-0414</t>
  </si>
  <si>
    <t>BZJ-0415</t>
  </si>
  <si>
    <t>BZJ-0416</t>
  </si>
  <si>
    <t>牛得元</t>
  </si>
  <si>
    <t>彤烨中信转彤烨工行收</t>
  </si>
  <si>
    <t>安全保证金设备部：熊安荣
联系方式：13759029110
完工退保证金款项</t>
  </si>
  <si>
    <t>设备部：熊安荣
联系方式：13759029110
完工退保证金款项</t>
  </si>
  <si>
    <t>BZJ-0417</t>
  </si>
  <si>
    <t>董虎</t>
  </si>
  <si>
    <t>施工中,已联系方渊请客人退回</t>
  </si>
  <si>
    <t>BZJ-0418</t>
  </si>
  <si>
    <t>退回安全保证金联系方式：宋部长
138 3985 8770
施工完工退回公司</t>
  </si>
  <si>
    <t>BZJ-0419</t>
  </si>
  <si>
    <t>退保证金人何金来15614566855</t>
  </si>
  <si>
    <t>BZJ-0420</t>
  </si>
  <si>
    <t>熊伟</t>
  </si>
  <si>
    <t>BZJ-0421</t>
  </si>
  <si>
    <t>BZJ-0422</t>
  </si>
  <si>
    <t>吉林金隅冀东环保科技有限公司</t>
  </si>
  <si>
    <t>2023.03月投标转履约</t>
  </si>
  <si>
    <t>KMX220722-290-XF,投标转履约</t>
  </si>
  <si>
    <t>BZJ-0423</t>
  </si>
  <si>
    <t>徐海波13455582266</t>
  </si>
  <si>
    <t>BZJ-0424</t>
  </si>
  <si>
    <t>邯郸钢铁集团有限责任公司</t>
  </si>
  <si>
    <t>BZJ-0425</t>
  </si>
  <si>
    <t>BZJ-0426</t>
  </si>
  <si>
    <t>山西金隅冀东环保科技有限公司</t>
  </si>
  <si>
    <t>2022.10.26朱利勇回复客人正在申请中</t>
  </si>
  <si>
    <t>BZJ-0427</t>
  </si>
  <si>
    <t>鞍钢招标有限公司</t>
  </si>
  <si>
    <t>电子发票2022/10/20</t>
  </si>
  <si>
    <t>BZJ-0428</t>
  </si>
  <si>
    <t>BZJ-0429</t>
  </si>
  <si>
    <t>河南龙宇煤化工有限公司</t>
  </si>
  <si>
    <t>BZJ-0430</t>
  </si>
  <si>
    <t>BZJ-0431</t>
  </si>
  <si>
    <t>河北寰宇工程咨询有限责任公司（邯郸钢铁）</t>
  </si>
  <si>
    <t>10/21提供发票给何志琴，已冲账</t>
  </si>
  <si>
    <t>BZJ-0432</t>
  </si>
  <si>
    <t>鞍钢股份有限公司鲅鱼圈钢铁分公司-炼钢部白灰回转窑托轮修复项目</t>
  </si>
  <si>
    <t>BZJ-0433</t>
  </si>
  <si>
    <t>江苏沙钢恒昌制粉堆焊项目</t>
  </si>
  <si>
    <t>BZJ-0434</t>
  </si>
  <si>
    <t>倪柱</t>
  </si>
  <si>
    <t>大方永贵建材有限责任公司</t>
  </si>
  <si>
    <t>18285710066杨厂</t>
  </si>
  <si>
    <t>BZJ-0435</t>
  </si>
  <si>
    <t>18723285522王建业</t>
  </si>
  <si>
    <t>BZJ-0436</t>
  </si>
  <si>
    <t>泰州杨湾海螺水泥有限责任公司</t>
  </si>
  <si>
    <t>BZJ-0437</t>
  </si>
  <si>
    <t>BZJ-0438</t>
  </si>
  <si>
    <t>兴业葵阳海螺水泥有限责任公司</t>
  </si>
  <si>
    <t>BZJ-0439</t>
  </si>
  <si>
    <t>BZJ-0440</t>
  </si>
  <si>
    <t>新疆天伟水泥有限公司</t>
  </si>
  <si>
    <t>BZJ-0441</t>
  </si>
  <si>
    <t>BZJ-0442</t>
  </si>
  <si>
    <t>宁海强蛟海螺水泥有限责任公司</t>
  </si>
  <si>
    <t>BZJ-0443</t>
  </si>
  <si>
    <t>BZJ-0444</t>
  </si>
  <si>
    <t>邢台金隅咏宁水泥有限公司</t>
  </si>
  <si>
    <t>BZJ-0445</t>
  </si>
  <si>
    <t>李红英</t>
  </si>
  <si>
    <t>湖北省黄麦岭磷化工有限责任公司</t>
  </si>
  <si>
    <t>BZJ-0446</t>
  </si>
  <si>
    <t>BZJ-0447</t>
  </si>
  <si>
    <t>唐山冀东水泥股份有限公司唐山分公司</t>
  </si>
  <si>
    <t>BZJ-0448</t>
  </si>
  <si>
    <t>黑龙江建龙钢铁有限公司（建龙钒业）</t>
  </si>
  <si>
    <t>建龙钒业1.2号回转窑检修项目</t>
  </si>
  <si>
    <t>BZJ-0449</t>
  </si>
  <si>
    <t>新疆千益工程项目咨询管理有限公司（天伟水泥有限公司）</t>
  </si>
  <si>
    <t>天伟水泥有限公司2022年回转窑筒体冷却风机改造项目</t>
  </si>
  <si>
    <t>BZJ-0450</t>
  </si>
  <si>
    <t>金琳</t>
  </si>
  <si>
    <t>罗业飞 13871938696</t>
  </si>
  <si>
    <t>BZJ-0451</t>
  </si>
  <si>
    <t>BZJ-0452</t>
  </si>
  <si>
    <t>水气车间渣声钙液管线更换未中标5个工作日退回</t>
  </si>
  <si>
    <t>BZJ-0453</t>
  </si>
  <si>
    <t>周成新2023.3.29扫码退农商行</t>
  </si>
  <si>
    <t>BZJ-0454</t>
  </si>
  <si>
    <t>回转窑三热水轮带侧斜面及液压挡轮圆锥接触面车削外协维修项目</t>
  </si>
  <si>
    <t>BZJ-0455</t>
  </si>
  <si>
    <t>BZJ-0456</t>
  </si>
  <si>
    <t>BZJ-0457</t>
  </si>
  <si>
    <t>BZJ-0458</t>
  </si>
  <si>
    <t>罚款</t>
  </si>
  <si>
    <t>11/12收到熊伟收据原件冲账</t>
  </si>
  <si>
    <t>BZJ-0459</t>
  </si>
  <si>
    <t>安徽海螺水泥股份有限公司</t>
  </si>
  <si>
    <t>BZJ-0460</t>
  </si>
  <si>
    <t>农民工工资保证金-石灰车间1#出灰头提机大修</t>
  </si>
  <si>
    <t>李红英经理写单</t>
  </si>
  <si>
    <t>BZJ-0461</t>
  </si>
  <si>
    <t>石灰车间1#出灰头提机大修</t>
  </si>
  <si>
    <t>BZJ-0462</t>
  </si>
  <si>
    <t>2023.10.31电汇101150，含保证金99680+货款1470</t>
  </si>
  <si>
    <t>农民工工资保证金-锻烧炉拖轮维修项目</t>
  </si>
  <si>
    <t>BZJ-0463</t>
  </si>
  <si>
    <t>农民工工资保证金-石灰车间1#2#化灰机托轮</t>
  </si>
  <si>
    <t>BZJ-0464</t>
  </si>
  <si>
    <t>石灰车间1#2#化灰机托轮</t>
  </si>
  <si>
    <t>BZJ-0465</t>
  </si>
  <si>
    <t>辛集市澳森钢铁有限公司</t>
  </si>
  <si>
    <t>分两笔退</t>
  </si>
  <si>
    <t>BZJ-0466</t>
  </si>
  <si>
    <t>BZJ-0467</t>
  </si>
  <si>
    <t>张月</t>
  </si>
  <si>
    <t>湖南区域2022年水泥设备维修标书费</t>
  </si>
  <si>
    <t>BZJ-0468</t>
  </si>
  <si>
    <t>水泥线生产窑机械设备维修（年标）</t>
  </si>
  <si>
    <t>BZJ-0469</t>
  </si>
  <si>
    <t>水泥线生产窑磨设备裂纹及挖补修复项目（年标）</t>
  </si>
  <si>
    <t>BZJ-0470</t>
  </si>
  <si>
    <t>BZJ-0471</t>
  </si>
  <si>
    <t>黔西电厂齿轮修复项目 (两次)平台服务费</t>
  </si>
  <si>
    <t>320元年后开票冲，2023.03月开票320</t>
  </si>
  <si>
    <t>BZJ-0472</t>
  </si>
  <si>
    <t>4.8*72回转窑一档托轮更换施工保证金</t>
  </si>
  <si>
    <t>BZJ-0473</t>
  </si>
  <si>
    <t>包头冀东水泥有限公司</t>
  </si>
  <si>
    <t>回转窑轮带维修</t>
  </si>
  <si>
    <t>BZJ-0474</t>
  </si>
  <si>
    <t>洛阳万基发电有限公司</t>
  </si>
  <si>
    <t>磨煤机大小齿轮维修</t>
  </si>
  <si>
    <t>BZJ-0475</t>
  </si>
  <si>
    <t>3#回转窑大修项目招标</t>
  </si>
  <si>
    <t>BZJ-0476</t>
  </si>
  <si>
    <t>BZJ-0477</t>
  </si>
  <si>
    <t>熟料水泥全能生产线窑磨专业外委维修工程</t>
  </si>
  <si>
    <t>BZJ-0478</t>
  </si>
  <si>
    <t>ZPLF齿辊维修</t>
  </si>
  <si>
    <t>BZJ-0479</t>
  </si>
  <si>
    <t>2022年颚破维修项目陪标</t>
  </si>
  <si>
    <t>BZJ-0480</t>
  </si>
  <si>
    <t>2022.12中标，中标60天内退回（2023.1.31前）</t>
  </si>
  <si>
    <t>BZJ-0481</t>
  </si>
  <si>
    <t>2022年重碱车间6#蒸氨塔大修</t>
  </si>
  <si>
    <t>BZJ-0482</t>
  </si>
  <si>
    <t>BZJ-0483</t>
  </si>
  <si>
    <t>山东韶华项目管理有限公司</t>
  </si>
  <si>
    <t>BZJ-0484</t>
  </si>
  <si>
    <t>安徽省优质采科技发展有限责任公司</t>
  </si>
  <si>
    <t>BZJ-0485</t>
  </si>
  <si>
    <t>山东韶华项目管理有限公司
（山东泉兴水泥有限公司）</t>
  </si>
  <si>
    <t>四标段三线高温风机叶轮堆焊,两侧进风口软连接更换,修复轴两侧密封</t>
  </si>
  <si>
    <t>BZJ-0486</t>
  </si>
  <si>
    <t>三标段三线入窑入库提升机更换钢丝胶带</t>
  </si>
  <si>
    <t>BZJ-0487</t>
  </si>
  <si>
    <t>二标段三线回粉料饼提升机更换链条/料斗/头尾轴承.尾部轴承座/尾轮轴及尾部密封</t>
  </si>
  <si>
    <t>BZJ-0488</t>
  </si>
  <si>
    <t>12月发票冲1680</t>
  </si>
  <si>
    <t>一标段窑动态检测</t>
  </si>
  <si>
    <t>BZJ-0489</t>
  </si>
  <si>
    <t>山东韶华项目管理有限公司
（山东申丰水泥集团有限公司）</t>
  </si>
  <si>
    <t>12月发票冲6450</t>
  </si>
  <si>
    <t>烧成系统维修</t>
  </si>
  <si>
    <t>BZJ-0490</t>
  </si>
  <si>
    <t>二线生料系统维修</t>
  </si>
  <si>
    <t>BZJ-0491</t>
  </si>
  <si>
    <t>中技兴安工程项目管理有限公司（枣庄沃丰水泥有限公司）</t>
  </si>
  <si>
    <t>沃丰水泥外委窑口筒体更换、维修余热锅炉烟气管道及阀门项目</t>
  </si>
  <si>
    <t>BZJ-0492</t>
  </si>
  <si>
    <t>2#吸氨塔塔圈及水箱更换安装项目招标书</t>
  </si>
  <si>
    <t>BZJ-0493</t>
  </si>
  <si>
    <t>2#吸氨塔塔圈及水箱更换安装项目投标保证金</t>
  </si>
  <si>
    <t>BZJ-0494</t>
  </si>
  <si>
    <t>NXJC2022-238托轮球面瓦刮研及辊压机整机拆卸并回装项目</t>
  </si>
  <si>
    <t>BZJ-0495</t>
  </si>
  <si>
    <t>湖南骏泰新材料科技有限责任公司</t>
  </si>
  <si>
    <t>KMX221012-373-XF-Z01退保证金联系人安环部孙胆13807454834 0745-2836905</t>
  </si>
  <si>
    <t>湖南省</t>
  </si>
  <si>
    <t>BZJ-0496</t>
  </si>
  <si>
    <t>山东合标项目管理有限公司
华沃（枣庄）水泥有限公司</t>
  </si>
  <si>
    <t>原料磨、煤磨磨辊及磨盘衬板堆焊耐磨层</t>
  </si>
  <si>
    <t>BZJ-0497</t>
  </si>
  <si>
    <t>江阴兴澄特种钢铁有限公司</t>
  </si>
  <si>
    <t>转履约、活没干完，杨春龙跟进</t>
  </si>
  <si>
    <t>1#石灰窑修理施工</t>
  </si>
  <si>
    <t>BZJ-0498</t>
  </si>
  <si>
    <t>BZJ-0499</t>
  </si>
  <si>
    <t>BZJ-0500</t>
  </si>
  <si>
    <t>回转窑外协维修项目</t>
  </si>
  <si>
    <t>BZJ-0501</t>
  </si>
  <si>
    <t>BZJ-0502</t>
  </si>
  <si>
    <t>四川兴恒晟商贸有限公司
（四川省星船城水泥有限公司）</t>
  </si>
  <si>
    <t>资中公司二线立磨摇臂委外修复</t>
  </si>
  <si>
    <t>BZJ-0503</t>
  </si>
  <si>
    <t>东方希望重庆水泥有限公司</t>
  </si>
  <si>
    <t>丰都水泥5号磨尾选粉机整机更换项目 -春节大修标保证金</t>
  </si>
  <si>
    <t>BZJ-0504</t>
  </si>
  <si>
    <t>中联水泥（山东）研发中心有限公司（沂南中联水泥有限公司）</t>
  </si>
  <si>
    <t>沂南中联2022年底检修项目</t>
  </si>
  <si>
    <t>BZJ-0505</t>
  </si>
  <si>
    <t>4.2*13M球磨机进料端滑履焊接维修项目</t>
  </si>
  <si>
    <t>BZJ-0506</t>
  </si>
  <si>
    <t>BZJ-0507</t>
  </si>
  <si>
    <t>洛浦天山水泥有限公司</t>
  </si>
  <si>
    <t>回转窑大小齿轮更换、制作密封及调整托轮外协维修项目</t>
  </si>
  <si>
    <t>BZJ-0508</t>
  </si>
  <si>
    <t>BZJ-0509</t>
  </si>
  <si>
    <t>4.0*13 1#水泥磨磨尾更换磨机端板一件检修项目</t>
  </si>
  <si>
    <t>BZJ-0510</t>
  </si>
  <si>
    <t>BZJ-0511</t>
  </si>
  <si>
    <t>12/30号电话提醒他们查下账确认是否付了安全保证金！
记得电话确认，并回复牛经理</t>
  </si>
  <si>
    <t>退保证金联系人：
毛伟 19942271803</t>
  </si>
  <si>
    <t>BZJ-0512</t>
  </si>
  <si>
    <t>克州天山水泥有限责任公司</t>
  </si>
  <si>
    <t>2023.11月开收据,殷总处理</t>
  </si>
  <si>
    <t>破碎机转机耐磨堆焊外协维修</t>
  </si>
  <si>
    <t>BZJ-0513</t>
  </si>
  <si>
    <t>BZJ-0514</t>
  </si>
  <si>
    <t>矿山设备维修项目</t>
  </si>
  <si>
    <t>BZJ-0515</t>
  </si>
  <si>
    <t>履约、林维跟进 已经跟对方财务对过账了</t>
  </si>
  <si>
    <t>回转窑维修项目</t>
  </si>
  <si>
    <t>BZJ-0516</t>
  </si>
  <si>
    <t>烧成大修重点设备维修</t>
  </si>
  <si>
    <t>BZJ-0517</t>
  </si>
  <si>
    <t>北京千里马网信科技有限公司</t>
  </si>
  <si>
    <t>BZJ-0518</t>
  </si>
  <si>
    <t>卢北友</t>
  </si>
  <si>
    <t>山东申丰水泥有限公司</t>
  </si>
  <si>
    <t>2023.03月已完工，未签验收单，暂缓</t>
  </si>
  <si>
    <t>BZJ-0519</t>
  </si>
  <si>
    <t>个体工商户</t>
  </si>
  <si>
    <t>殷坤鹏借支信息费4万，实付3万，冲围标费</t>
  </si>
  <si>
    <t>秦皇岛科荣特种焊接有限公司围标费</t>
  </si>
  <si>
    <t>BZJ-0520</t>
  </si>
  <si>
    <t>回转窑直线度检测及调整技术报务</t>
  </si>
  <si>
    <t>BZJ-0521</t>
  </si>
  <si>
    <t>水泥磨大齿圈小齿轮倒面等改进项目</t>
  </si>
  <si>
    <t>BZJ-0522</t>
  </si>
  <si>
    <t>宫建格 15130646454 KMX221111-404-XF-Z01</t>
  </si>
  <si>
    <t>BZJ-0523</t>
  </si>
  <si>
    <t>2022年重碱车间6#蒸氨塔大修KMX221108-399-Z01-XF</t>
  </si>
  <si>
    <t>待生产提供</t>
  </si>
  <si>
    <t>BZJ-0524</t>
  </si>
  <si>
    <t>板喂机维修项目</t>
  </si>
  <si>
    <t>BZJ-0525</t>
  </si>
  <si>
    <t>江西上高南方水泥有限公司</t>
  </si>
  <si>
    <t>回转窑筒体及大齿圈弹簧板投标项目</t>
  </si>
  <si>
    <t>BZJ-0526</t>
  </si>
  <si>
    <t>2023-2024年度堆焊焊丝项目</t>
  </si>
  <si>
    <t>BZJ-0527</t>
  </si>
  <si>
    <t>林家祥</t>
  </si>
  <si>
    <t>沂南中联水泥有限公司</t>
  </si>
  <si>
    <t>退款联系人：张希鹏部长15020325298</t>
  </si>
  <si>
    <t>BZJ-0528</t>
  </si>
  <si>
    <t>山东滕国项目管理有限公司（山东申丰水泥集团有限公司）</t>
  </si>
  <si>
    <t>A包回转窑液压挡轮维修项目</t>
  </si>
  <si>
    <t>BZJ-0529</t>
  </si>
  <si>
    <t>BZJ-0530</t>
  </si>
  <si>
    <t>B包2号辊压机辊子堆焊，采用仅堆焊花纹层工艺项目</t>
  </si>
  <si>
    <t>BZJ-0531</t>
  </si>
  <si>
    <t>BZJ-0532</t>
  </si>
  <si>
    <t>C包3#.6#水泥磨刮瓦维修项目</t>
  </si>
  <si>
    <t>BZJ-0533</t>
  </si>
  <si>
    <t>BZJ-0534</t>
  </si>
  <si>
    <t>能建平台CA年费（葛州坝集团）</t>
  </si>
  <si>
    <t>武汉对私</t>
  </si>
  <si>
    <t>CA费用</t>
  </si>
  <si>
    <t>BZJ-0535</t>
  </si>
  <si>
    <t>中联水泥（山东）研发中心有限公司（泰安中联水泥有限公司）</t>
  </si>
  <si>
    <t>窑垫板、齿顶隙调整招标项目</t>
  </si>
  <si>
    <t>BZJ-0536</t>
  </si>
  <si>
    <t>BZJ-0537</t>
  </si>
  <si>
    <t>4.2*13M球磨机进料端滑履焊接外协维修二次招标项目</t>
  </si>
  <si>
    <t>BZJ-0538</t>
  </si>
  <si>
    <t>收据冲销</t>
  </si>
  <si>
    <t>BZJ-0539</t>
  </si>
  <si>
    <t>湖南华菱湘潭钢铁有限公司</t>
  </si>
  <si>
    <t>炼铁厂三烧混合机修复项目</t>
  </si>
  <si>
    <t>BZJ-0540</t>
  </si>
  <si>
    <t>4213水泥磨出料锥外协维修</t>
  </si>
  <si>
    <t>BZJ-0541</t>
  </si>
  <si>
    <t>4213水泥磨出料锥外协维修围标费1000</t>
  </si>
  <si>
    <t>BZJ-0542</t>
  </si>
  <si>
    <t>天瑞集团汝州水泥有限公司</t>
  </si>
  <si>
    <t>田学军转武汉农商行</t>
  </si>
  <si>
    <t>2022.12-2023.03外委项目维修投标，打田学军付客人</t>
  </si>
  <si>
    <t>BZJ-0543</t>
  </si>
  <si>
    <t>宁波钢铁CA费用</t>
  </si>
  <si>
    <t>CA</t>
  </si>
  <si>
    <t>BZJ-0544</t>
  </si>
  <si>
    <t>西昌航天水泥有限责任公司</t>
  </si>
  <si>
    <t>回转窑筒体更换项目</t>
  </si>
  <si>
    <t>BZJ-0545</t>
  </si>
  <si>
    <t>退安全保证金销售部林维处理17771835607，龚经理与林维确认无客户联系方式</t>
  </si>
  <si>
    <t>BZJ-0546</t>
  </si>
  <si>
    <t>熊伟说转履约</t>
  </si>
  <si>
    <t>BZJ-0547</t>
  </si>
  <si>
    <t>BZJ-0548</t>
  </si>
  <si>
    <t>中联水泥（山东）研发中心有限公司（莒县中联水泥有限公司）</t>
  </si>
  <si>
    <t>ZB-2212-4432机械检修项目</t>
  </si>
  <si>
    <t>BZJ-0549</t>
  </si>
  <si>
    <t>BZJ-0550</t>
  </si>
  <si>
    <t>熟料、水泥生产线窑磨专业维修GZXN-SC20221011</t>
  </si>
  <si>
    <t>BZJ-0551</t>
  </si>
  <si>
    <t>炼铁厂三烧混合机修复项目中标服务费</t>
  </si>
  <si>
    <t>BZJ-0552</t>
  </si>
  <si>
    <t>窑前窑口筒体、护板更换及窑找正外协维修</t>
  </si>
  <si>
    <t>BZJ-0553</t>
  </si>
  <si>
    <t>BZJ-0554</t>
  </si>
  <si>
    <t>生料辊压机辊面在线焊接外协维修项目</t>
  </si>
  <si>
    <t>BZJ-0555</t>
  </si>
  <si>
    <t>BZJ-0556</t>
  </si>
  <si>
    <t>黔西电厂1-4磨煤机大修预计90根齿</t>
  </si>
  <si>
    <t>BZJ-0557</t>
  </si>
  <si>
    <t>元江县永发水泥有限公司</t>
  </si>
  <si>
    <t>2022年度辊压机/窑轮带/拖轮/大小齿轮/端盖/筒体等在线离线堆焊耐磨材料及挖补项目投标保证金</t>
  </si>
  <si>
    <t>BZJ-0558</t>
  </si>
  <si>
    <t>BZJ-0559</t>
  </si>
  <si>
    <t>二线回转窑运行监测及调整项目</t>
  </si>
  <si>
    <t>BZJ-0560</t>
  </si>
  <si>
    <t>陈湘明13973260048</t>
  </si>
  <si>
    <t>BZJ-0561</t>
  </si>
  <si>
    <t>陈宾18932998349</t>
  </si>
  <si>
    <t>BZJ-0562</t>
  </si>
  <si>
    <t>托轮瓦刮研及分解炉煤粉管道更换维修</t>
  </si>
  <si>
    <t>BZJ-0563</t>
  </si>
  <si>
    <t>中国电能成套设备有限公司（黔西电厂）</t>
  </si>
  <si>
    <t>周奇办理手续中,抵中标服务费20925后退差额</t>
  </si>
  <si>
    <t>2023-2024年度1-4号炉磨煤机大齿轮修复</t>
  </si>
  <si>
    <t>BZJ-0564</t>
  </si>
  <si>
    <t>辽源渭津金刚水泥有限公司（北方水泥龙东片区）</t>
  </si>
  <si>
    <t>龙东片区伊春北方、南分公司设备外委维修集中采购项目4.2米筒体更换</t>
  </si>
  <si>
    <t>BZJ-0565</t>
  </si>
  <si>
    <t>BZJ-0566</t>
  </si>
  <si>
    <t>石灰车间1#小返石斗提机更新</t>
  </si>
  <si>
    <t>BZJ-0567</t>
  </si>
  <si>
    <t>胡超雄</t>
  </si>
  <si>
    <t>枣庄中联水泥有限公司</t>
  </si>
  <si>
    <t>BZJ-0568</t>
  </si>
  <si>
    <t>安徽省优质采科技发展有限责任公司（六国化工）</t>
  </si>
  <si>
    <t>六国化工磷肥厂磷安二车间干燥机托轮修复</t>
  </si>
  <si>
    <t>BZJ-0569</t>
  </si>
  <si>
    <t>福建安砂建福水泥有限公司</t>
  </si>
  <si>
    <t>1#水泥磨磨头端盖裂纹修复项目投标保证金</t>
  </si>
  <si>
    <t>福建省</t>
  </si>
  <si>
    <t>BZJ-0570</t>
  </si>
  <si>
    <t>GN-ZX-WX-2022-0019</t>
  </si>
  <si>
    <t>BZJ-0571</t>
  </si>
  <si>
    <t>2023年轻、重灰锻烧炉托轮修复项目</t>
  </si>
  <si>
    <t>BZJ-0572</t>
  </si>
  <si>
    <t>电石分公司炭干回转窑维修</t>
  </si>
  <si>
    <t>BZJ-0573</t>
  </si>
  <si>
    <t>泰安中联水泥有限公司</t>
  </si>
  <si>
    <t>秦勇18553801100</t>
  </si>
  <si>
    <t>BZJ-0574</t>
  </si>
  <si>
    <t>BZJ-0575</t>
  </si>
  <si>
    <t>BZJ-0576</t>
  </si>
  <si>
    <t>周阿龙</t>
  </si>
  <si>
    <t>款打周阿龙,金蝶挂个人借支</t>
  </si>
  <si>
    <t>BZJ-0577</t>
  </si>
  <si>
    <t>内蒙古霍宁碳素有限责任公司</t>
  </si>
  <si>
    <t>煅烧车间1#煅烧炉大修技改项目</t>
  </si>
  <si>
    <t>BZJ-0578</t>
  </si>
  <si>
    <t>BZJ-0579</t>
  </si>
  <si>
    <t>电能易购（北京）科技有限公司A类会员</t>
  </si>
  <si>
    <t>BZJ-0580</t>
  </si>
  <si>
    <t>尹玉山</t>
  </si>
  <si>
    <t>内蒙古冀东水泥有限责任公司</t>
  </si>
  <si>
    <t>李能飞 13848615705</t>
  </si>
  <si>
    <t>BZJ-0581</t>
  </si>
  <si>
    <t>1#水泥磨磨头滑环变形修复及滑履瓦更换项目投标保证金</t>
  </si>
  <si>
    <t>BZJ-0582</t>
  </si>
  <si>
    <t>煤立磨检修项目</t>
  </si>
  <si>
    <t>BZJ-0583</t>
  </si>
  <si>
    <t>BZJ-0584</t>
  </si>
  <si>
    <t>祁连山平台单位印章-云印章办理续费</t>
  </si>
  <si>
    <t>电子发票 49291004</t>
  </si>
  <si>
    <t>云印章办理续费</t>
  </si>
  <si>
    <t>BZJ-0585</t>
  </si>
  <si>
    <t>四川永祥新材料有限公司</t>
  </si>
  <si>
    <t>2023年年度设备维修项目</t>
  </si>
  <si>
    <t>BZJ-0586</t>
  </si>
  <si>
    <t>回转窑动态测量、一档二档轮带车削、三档轮带侧斜面及液压挡轮圆锥接触面车削、窑中心找正调整外协维修项目</t>
  </si>
  <si>
    <t>BZJ-0587</t>
  </si>
  <si>
    <t>BZJ-0588</t>
  </si>
  <si>
    <t>BZJ-0589</t>
  </si>
  <si>
    <t>忂州元立金属制品有限公司</t>
  </si>
  <si>
    <t>衢州元立金属制品有限公司</t>
  </si>
  <si>
    <t>烧结滚圈修复项目</t>
  </si>
  <si>
    <t>浙江省</t>
  </si>
  <si>
    <t>BZJ-0590</t>
  </si>
  <si>
    <t>BZJ-0591</t>
  </si>
  <si>
    <t>甘肃上峰水泥股份有限公司</t>
  </si>
  <si>
    <t>2023年平台服务费</t>
  </si>
  <si>
    <t>BZJ-0592</t>
  </si>
  <si>
    <t>BZJ-0593</t>
  </si>
  <si>
    <t>吴皓</t>
  </si>
  <si>
    <t>1#-12#压缩机出口平台阀更换、重碱至压缩中段气三通处弯头及管线更换</t>
  </si>
  <si>
    <t>BZJ-0594</t>
  </si>
  <si>
    <t>重碱车间热母液桶出口总管更换、冷母液支管及冷母液泵出品管线更换、四组中和水管线加装甩头及1#碳化塔中和水管线项目</t>
  </si>
  <si>
    <t>BZJ-0595</t>
  </si>
  <si>
    <t>验收后二十个工作日退还</t>
  </si>
  <si>
    <t>石灰车间出灰机维修项目</t>
  </si>
  <si>
    <t>BZJ-0596</t>
  </si>
  <si>
    <t>锻烧车间轻灰3#、5#洗涤冷凝塔内壁修复项目</t>
  </si>
  <si>
    <t>BZJ-0597</t>
  </si>
  <si>
    <t>葛洲坝石门特种水泥有限公司</t>
  </si>
  <si>
    <t>1#号生产线托轮、轮带修复</t>
  </si>
  <si>
    <t>BZJ-0598</t>
  </si>
  <si>
    <t>国家能源E购</t>
  </si>
  <si>
    <t>单个物料组服务费</t>
  </si>
  <si>
    <t>BZJ-0599</t>
  </si>
  <si>
    <t>中国华电集团</t>
  </si>
  <si>
    <t>平台服务费1年</t>
  </si>
  <si>
    <t>BZJ-0600</t>
  </si>
  <si>
    <t>河南能源中原云商电子商务平台</t>
  </si>
  <si>
    <t>BZJ-0601</t>
  </si>
  <si>
    <t>平台CA费用</t>
  </si>
  <si>
    <t>BZJ-0602</t>
  </si>
  <si>
    <t>煅烧车间1#煅烧炉大修技改项目结构件拆除、制作、安装工程</t>
  </si>
  <si>
    <t>中国电能成套设备有限公司 崔天依13521415979</t>
  </si>
  <si>
    <t>BZJ-0603</t>
  </si>
  <si>
    <t>周奇办理手续中,抵中标服务费后退差额</t>
  </si>
  <si>
    <t>中国电能成套设备有限公司,转中标服务费</t>
  </si>
  <si>
    <t>BZJ-0604</t>
  </si>
  <si>
    <t>在线招标采购平台办理续费</t>
  </si>
  <si>
    <t>BZJ-0605</t>
  </si>
  <si>
    <t>黔西电厂磨煤机大齿轮修复</t>
  </si>
  <si>
    <t>BZJ-0606</t>
  </si>
  <si>
    <t>汪钻</t>
  </si>
  <si>
    <t>BZJ-0607</t>
  </si>
  <si>
    <t>汪道兵</t>
  </si>
  <si>
    <t>宁夏滨河海利建材有限公司</t>
  </si>
  <si>
    <t>对公付个人</t>
  </si>
  <si>
    <t>吕海洲不会操作转王蕾，王蕾代退回公司户</t>
  </si>
  <si>
    <t>付汪道兵个人</t>
  </si>
  <si>
    <t>BZJ-0608</t>
  </si>
  <si>
    <t>中机国际招标有限公司（青海发投碱业有限公司）</t>
  </si>
  <si>
    <t>重碱车间吸氨塔、蒸氨塔 、真空吸收塔塔器水箱清洗项目</t>
  </si>
  <si>
    <t>BZJ-0609</t>
  </si>
  <si>
    <t>重碱车间碳化塔水箱及中和水、冷氨盐水、热气水管线清洗项目</t>
  </si>
  <si>
    <t>BZJ-0610</t>
  </si>
  <si>
    <t>内蒙古亿利冀东水泥有限公司</t>
  </si>
  <si>
    <t>内蒙古亿利冀东水泥有限责任公司</t>
  </si>
  <si>
    <t>设备维修项目</t>
  </si>
  <si>
    <t>BZJ-0611</t>
  </si>
  <si>
    <t>伊犁天山水泥有限公司</t>
  </si>
  <si>
    <t>回转窑检测、调整及车削项止外协维修项目</t>
  </si>
  <si>
    <t>BZJ-0612</t>
  </si>
  <si>
    <t>BZJ-0613</t>
  </si>
  <si>
    <t>阜康天山</t>
  </si>
  <si>
    <t>一期窑轮带修复外协维修</t>
  </si>
  <si>
    <t>BZJ-0614</t>
  </si>
  <si>
    <t>BZJ-0615</t>
  </si>
  <si>
    <t>湖北双环科技股份有限公司</t>
  </si>
  <si>
    <t>投标转履约共32800</t>
  </si>
  <si>
    <t>1#凉碱炉、8#锻烧炉大修</t>
  </si>
  <si>
    <t>BZJ-0616</t>
  </si>
  <si>
    <t>煅烧车间轻灰2#4#5#煅烧炉加热管更换项目</t>
  </si>
  <si>
    <t>BZJ-0617</t>
  </si>
  <si>
    <t>隆道平台服务费</t>
  </si>
  <si>
    <t>平台服务费-5年</t>
  </si>
  <si>
    <t>BZJ-0618</t>
  </si>
  <si>
    <t xml:space="preserve">窑轮带裂纹维修项目 </t>
  </si>
  <si>
    <t>BZJ-0619</t>
  </si>
  <si>
    <t>BZJ-0620</t>
  </si>
  <si>
    <t>BZJ-0621</t>
  </si>
  <si>
    <t>BZJ-0622</t>
  </si>
  <si>
    <t>鄂尔多斯市君正能源化工有限公司</t>
  </si>
  <si>
    <t>回转窑更换筒体项目</t>
  </si>
  <si>
    <t>BZJ-0623</t>
  </si>
  <si>
    <t>KMX220722-290-XF</t>
  </si>
  <si>
    <t>BZJ-0624</t>
  </si>
  <si>
    <t>BZJ-0625</t>
  </si>
  <si>
    <t>布尔津天山</t>
  </si>
  <si>
    <t>回转窑托轮轴瓦及三档托轮更换外协维修</t>
  </si>
  <si>
    <t>BZJ-0626</t>
  </si>
  <si>
    <t>BZJ-0627</t>
  </si>
  <si>
    <t xml:space="preserve">上半年年修项目 </t>
  </si>
  <si>
    <t>BZJ-0628</t>
  </si>
  <si>
    <t>水气车间3#4#循环水凉水塔塔内布水管维修</t>
  </si>
  <si>
    <t>BZJ-0629</t>
  </si>
  <si>
    <t>2023年轻重灰煅烧托轮修项目</t>
  </si>
  <si>
    <t>BZJ-0630</t>
  </si>
  <si>
    <t>重庆大朗冶金新材料有限公司</t>
  </si>
  <si>
    <t>原料锰矿烘干窑大修项目</t>
  </si>
  <si>
    <t>BZJ-0631</t>
  </si>
  <si>
    <t>窑轮带裂纹维修项目 （前项目客户废标，重新投）</t>
  </si>
  <si>
    <t>BZJ-0632</t>
  </si>
  <si>
    <t>曾江利</t>
  </si>
  <si>
    <t>BZJ-0633</t>
  </si>
  <si>
    <t>石灰车间2#石灰窑大修项目</t>
  </si>
  <si>
    <t>BZJ-0634</t>
  </si>
  <si>
    <t>煅烧车间2#4#5#煅烧炉加热管更换</t>
  </si>
  <si>
    <t>BZJ-0635</t>
  </si>
  <si>
    <t>煅烧车间轻灰6#煅烧炉大修项目</t>
  </si>
  <si>
    <t>BZJ-0636</t>
  </si>
  <si>
    <t>冀东海德堡（泾阳）水泥有限公司</t>
  </si>
  <si>
    <t>一二线回转窑探伤检测</t>
  </si>
  <si>
    <t>BZJ-0637</t>
  </si>
  <si>
    <t>宁夏建材成员企业回转窑检测及在线监测招标项目</t>
  </si>
  <si>
    <t>BZJ-0638</t>
  </si>
  <si>
    <t>贵州西能电力磨煤机大齿轮修复、12根齿项目</t>
  </si>
  <si>
    <t>BZJ-0639</t>
  </si>
  <si>
    <t>贵州黔西中水发机2.3号炉磨机大齿项目</t>
  </si>
  <si>
    <t>BZJ-0640</t>
  </si>
  <si>
    <t>红河州紫燕水泥有限责任公司</t>
  </si>
  <si>
    <t>回转窑检测及维修项目</t>
  </si>
  <si>
    <t>BZJ-0641</t>
  </si>
  <si>
    <t>2023年干燥机、换热器检修项目</t>
  </si>
  <si>
    <t>BZJ-0642</t>
  </si>
  <si>
    <t>湖北宜化松滋肥业有限公司</t>
  </si>
  <si>
    <t>球磨机大修施工队伍比选项目</t>
  </si>
  <si>
    <t>BZJ-0643</t>
  </si>
  <si>
    <t>秦皇岛博荐工程项目管理有限公司</t>
  </si>
  <si>
    <t>代南通荣尊围标中国阿拉伯裹料机采购，已收到南通荣尊12000元</t>
  </si>
  <si>
    <t>BZJ-0644</t>
  </si>
  <si>
    <t>能源事业部2023年5月苛化石灰窑大修</t>
  </si>
  <si>
    <t>BZJ-0645</t>
  </si>
  <si>
    <t>渣场二、三、四级泵站出口母管更换项目</t>
  </si>
  <si>
    <t>BZJ-0646</t>
  </si>
  <si>
    <t>重碱车间蒸氨塔进汽阀门及按气管线蝶阀、二闪出汽总管及阀门更换项目</t>
  </si>
  <si>
    <t>BZJ-0647</t>
  </si>
  <si>
    <t>干燥机大修队伍比选采购项目</t>
  </si>
  <si>
    <t>BZJ-0648</t>
  </si>
  <si>
    <t>新疆水泥各成员企业-新疆天山总部</t>
  </si>
  <si>
    <t xml:space="preserve">2023年度新疆水泥各成员企业设备探伤检测外协维修项目 </t>
  </si>
  <si>
    <t>BZJ-0649</t>
  </si>
  <si>
    <t>BZJ-0650</t>
  </si>
  <si>
    <t>湖北宜化化工股份有限公司</t>
  </si>
  <si>
    <t>江家墩矿业公司宜昌猇亭分公司选矿2#球磨机维修比选项目</t>
  </si>
  <si>
    <t>BZJ-0651</t>
  </si>
  <si>
    <t>鞍钢集团炼钢部</t>
  </si>
  <si>
    <t>炼钢部托轮等非标件修复项目标书费</t>
  </si>
  <si>
    <t>BZJ-0652</t>
  </si>
  <si>
    <t>中原招采网</t>
  </si>
  <si>
    <t>平台年费</t>
  </si>
  <si>
    <t>BZJ-0653</t>
  </si>
  <si>
    <t>BZJ-0654</t>
  </si>
  <si>
    <t>周凯迪</t>
  </si>
  <si>
    <t>BZJ-0655</t>
  </si>
  <si>
    <t>重碱车间碳化工段阀门更换项目</t>
  </si>
  <si>
    <t>BZJ-0656</t>
  </si>
  <si>
    <t>湖北联投电子采购平台</t>
  </si>
  <si>
    <t>电子发票 64633561</t>
  </si>
  <si>
    <t>付周奇</t>
  </si>
  <si>
    <t>新疆八一钢铁股份有限公司</t>
  </si>
  <si>
    <t>4%，烧结分厂A制料机筒体修复</t>
  </si>
  <si>
    <t>BZJ-0658</t>
  </si>
  <si>
    <t>KMX230510-137-XF，宋军13451182360</t>
  </si>
  <si>
    <t>BZJ-0659</t>
  </si>
  <si>
    <t>黑龙江建龙钢铁有限公司</t>
  </si>
  <si>
    <t>制粒机检修项目</t>
  </si>
  <si>
    <t>BZJ-0660</t>
  </si>
  <si>
    <t>联峰钢铁(张家港)有限公司石灰车间托轮轴承组总成、石灰车间液压挡轮装置总成项目</t>
  </si>
  <si>
    <t>BZJ-0661</t>
  </si>
  <si>
    <t>2023年度大修</t>
  </si>
  <si>
    <t>刘雅13934468348</t>
  </si>
  <si>
    <t>BZJ-0662</t>
  </si>
  <si>
    <t>2023年设备检修施工定额年度合同</t>
  </si>
  <si>
    <t>BZJ-0663</t>
  </si>
  <si>
    <t>山东新南铝材科技开发有限公司</t>
  </si>
  <si>
    <t>3685球磨机系统大修。中标干完活退，不中标一周内退</t>
  </si>
  <si>
    <t>BZJ-0664</t>
  </si>
  <si>
    <t>2个月内</t>
  </si>
  <si>
    <t>南通尊荣机械有限公司</t>
  </si>
  <si>
    <t>南通尊荣机械有限公司裹料机项目.</t>
  </si>
  <si>
    <t>BZJ-0665</t>
  </si>
  <si>
    <t>退3000，共两笔1000+2000</t>
  </si>
  <si>
    <t>江家墩矿业公司宜昌猇亭分公司选矿3#球磨机维修采购项目</t>
  </si>
  <si>
    <t>BZJ-0666</t>
  </si>
  <si>
    <t>新疆阜康天山水泥有限责任公司</t>
  </si>
  <si>
    <t>阜康天山2#窑轮带垫铁更换托轮轴瓦抽瓦外协维修</t>
  </si>
  <si>
    <t>BZJ-0667</t>
  </si>
  <si>
    <t>BZJ-0668</t>
  </si>
  <si>
    <t>金隅台泥（代县）环保科技有限公司</t>
  </si>
  <si>
    <t>水泥车间稳流仓锥体及耐磨溜子外委维修</t>
  </si>
  <si>
    <t>BZJ-0669</t>
  </si>
  <si>
    <t>回转窑一档西侧托轮工作面发生掉块问题维修</t>
  </si>
  <si>
    <t>BZJ-0670</t>
  </si>
  <si>
    <t>成都云图生活电子商务有限公司（嘉施利（荆州）化肥有限公司）</t>
  </si>
  <si>
    <t>荆州基地嘉施利公司造粒机轮带维修项目</t>
  </si>
  <si>
    <t>BZJ-0671</t>
  </si>
  <si>
    <t>BZJ-0672</t>
  </si>
  <si>
    <t>米东天山二号窑大齿翻面、小齿更换、窑系统动态测量调整外协维修项目</t>
  </si>
  <si>
    <t>BZJ-0673</t>
  </si>
  <si>
    <t>BZJ-0674</t>
  </si>
  <si>
    <t>张满满</t>
  </si>
  <si>
    <t>叶城天山回转窑检修项目</t>
  </si>
  <si>
    <t>BZJ-0675</t>
  </si>
  <si>
    <t>宜化肥业磷酸减速机修复框架采购项目</t>
  </si>
  <si>
    <t>BZJ-0676</t>
  </si>
  <si>
    <t>中国电能成套设备有限公司（国家电投集团山西铝业有限公司）</t>
  </si>
  <si>
    <t>国家电投集团山西铝业有限公司</t>
  </si>
  <si>
    <t>山西铝业烧结3#回转窑垫铁大修项目</t>
  </si>
  <si>
    <t>BZJ-0677</t>
  </si>
  <si>
    <t>BZJ-0678</t>
  </si>
  <si>
    <t>云南普洱西南水泥有限公司回转窑窑尾三档轮带更换项目</t>
  </si>
  <si>
    <t>BZJ-0679</t>
  </si>
  <si>
    <t>2#回转窑更换轮带及拖轮瓦刮研、拖轮轮带现场车削、挖补大修外委施工工程</t>
  </si>
  <si>
    <t>BZJ-0680</t>
  </si>
  <si>
    <t>保定区域回转窑轮带现场修磨招标</t>
  </si>
  <si>
    <t>BZJ-0681</t>
  </si>
  <si>
    <t>回转窑轮带、托轮接触面凹陷，剥落等缺陷问题的维修服务招标</t>
  </si>
  <si>
    <t>BZJ-0682</t>
  </si>
  <si>
    <t>方渊现金退回3000，2000转安全保证金，施工完退款</t>
  </si>
  <si>
    <r>
      <rPr>
        <sz val="10"/>
        <color rgb="FFFF0000"/>
        <rFont val="Segoe UI"/>
        <charset val="134"/>
      </rPr>
      <t>2023</t>
    </r>
    <r>
      <rPr>
        <sz val="10"/>
        <color rgb="FFFF0000"/>
        <rFont val="宋体"/>
        <charset val="134"/>
      </rPr>
      <t>年</t>
    </r>
    <r>
      <rPr>
        <sz val="10"/>
        <color rgb="FFFF0000"/>
        <rFont val="Segoe UI"/>
        <charset val="134"/>
      </rPr>
      <t>7</t>
    </r>
    <r>
      <rPr>
        <sz val="10"/>
        <color rgb="FFFF0000"/>
        <rFont val="宋体"/>
        <charset val="134"/>
      </rPr>
      <t>月份设备维修外委项目</t>
    </r>
  </si>
  <si>
    <t>BZJ-0683</t>
  </si>
  <si>
    <t>打款给王小勇</t>
  </si>
  <si>
    <t>BZJ-0684</t>
  </si>
  <si>
    <t>福建永安建福水泥有限公司</t>
  </si>
  <si>
    <t>永安建福回转窑托轮调整项目</t>
  </si>
  <si>
    <t>BZJ-0685</t>
  </si>
  <si>
    <t>曹磊13468172972</t>
  </si>
  <si>
    <t>BZJ-0686</t>
  </si>
  <si>
    <t>江浩</t>
  </si>
  <si>
    <t>电汇4.7万（应收4.5万+安全保证金2000）</t>
  </si>
  <si>
    <t>BZJ-0687</t>
  </si>
  <si>
    <t>KMX230414-117-XF</t>
  </si>
  <si>
    <t>BZJ-0688</t>
  </si>
  <si>
    <t>何志琴</t>
  </si>
  <si>
    <t>KMX230729-191-XF青海发投碱业水气车间真空机、压缩机管线、阀门更换项目
李建岗13897570930</t>
  </si>
  <si>
    <t>BZJ-0689</t>
  </si>
  <si>
    <t>KMX230725-185-XF青海发投碱业石灰车间系统停车1#—7#洗涤塔弯头、管线更换项目
李建岗13897570930</t>
  </si>
  <si>
    <t>BZJ-0690</t>
  </si>
  <si>
    <t>1 重碱车间热母液桶出口总管更换、冷母液支管及冷母液泵出品管线更换、四组中和水管线加装甩头及1#碳化塔中和水管线项目6400
2渣场二、三、四级泵站出口母管更换项目14900
3.重碱车间碳化工段阀门更换项目7800
4.重碱车间蒸氨塔进汽阀门及按气管线蝶阀、二闪出汽总管及阀门更换项目11500
5. 1#-12#压缩机出口平台阀更换、重碱至压缩中段气三通处弯头及管线更换5400</t>
  </si>
  <si>
    <t>BZJ-0691</t>
  </si>
  <si>
    <t>已经跟对方财务对过账了</t>
  </si>
  <si>
    <t>回转窑托轮等安装项目</t>
  </si>
  <si>
    <t>BZJ-0692</t>
  </si>
  <si>
    <t>1.青海发投碱业水气车间真空机、压缩机管线、阀门更换项目15490
2.青海发投碱业石灰车间系统停车1#—7#洗涤塔弯头、管线更换项目6000
3.锻烧车间轻灰3#、5#洗涤冷凝塔内壁修复项目4500</t>
  </si>
  <si>
    <t>BZJ-0693</t>
  </si>
  <si>
    <t>青海发投碱业煅烧车间轻灰6#煅烧炉大修项目
王可芳13897370857</t>
  </si>
  <si>
    <t>BZJ-0694</t>
  </si>
  <si>
    <t>福建三钢闽光股份有限公司</t>
  </si>
  <si>
    <t>烧结厂200m2烧结机余热循环风机叶轮修复及动平衡检测池燕敏15280718965</t>
  </si>
  <si>
    <t>BZJ-0695</t>
  </si>
  <si>
    <t>热电车间5台空压机返厂维修</t>
  </si>
  <si>
    <t>BZJ-0696</t>
  </si>
  <si>
    <t>安钢集团信阳有限公司</t>
  </si>
  <si>
    <t>烧结熔剂回转窑托轮项目（离线）</t>
  </si>
  <si>
    <t>BZJ-0697</t>
  </si>
  <si>
    <t>青海发投重碱车间4#吸氨塔水箱消漏项目</t>
  </si>
  <si>
    <t>BZJ-0698</t>
  </si>
  <si>
    <t>水气车间厂区至二级泵站钙液管线部分严重腐蚀处更换项目</t>
  </si>
  <si>
    <t>BZJ-0699</t>
  </si>
  <si>
    <r>
      <rPr>
        <sz val="10"/>
        <color rgb="FF222222"/>
        <rFont val="宋体"/>
        <charset val="134"/>
      </rPr>
      <t>热电车间</t>
    </r>
    <r>
      <rPr>
        <sz val="10"/>
        <color rgb="FF222222"/>
        <rFont val="Segoe UI"/>
        <charset val="134"/>
      </rPr>
      <t>5</t>
    </r>
    <r>
      <rPr>
        <sz val="10"/>
        <color rgb="FF222222"/>
        <rFont val="宋体"/>
        <charset val="134"/>
      </rPr>
      <t>台空压机返厂维修</t>
    </r>
  </si>
  <si>
    <t>BZJ-0700</t>
  </si>
  <si>
    <t>循环经济部2023-2024年度微粉工场磨机堆焊项目</t>
  </si>
  <si>
    <t>BZJ-0701</t>
  </si>
  <si>
    <t>KMX220301-121-XF，牛国庆办理验收后退还</t>
  </si>
  <si>
    <t>BZJ-0702</t>
  </si>
  <si>
    <t>青海发投碱业盐水车间1#、2#、3#卸盐机及轨道拆除项目</t>
  </si>
  <si>
    <t>BZJ-0703</t>
  </si>
  <si>
    <t>BZJ-0704</t>
  </si>
  <si>
    <t>内蒙古晟雄科技有限责任公司</t>
  </si>
  <si>
    <t>周奇跟催内蒙古晟雄科技有限责任公司陪标，保证金我们出</t>
  </si>
  <si>
    <t>包头冀东水泥有限公司回转窑托轮等安装项目</t>
  </si>
  <si>
    <t>蔡总13184911391最后联系5.15</t>
  </si>
  <si>
    <t>BZJ-0705</t>
  </si>
  <si>
    <t>唐山市诚峻设备修理有限公司</t>
  </si>
  <si>
    <t>陪标客户</t>
  </si>
  <si>
    <t>BZJ-0706</t>
  </si>
  <si>
    <t>江西玉山万年青水泥有限公司</t>
  </si>
  <si>
    <t>江西玉山万年青二档轮带裂纹包年</t>
  </si>
  <si>
    <t>BZJ-0707</t>
  </si>
  <si>
    <t>云南水泥2024年度窑磨设备挖补修复项目招标</t>
  </si>
  <si>
    <t>BZJ-0708</t>
  </si>
  <si>
    <t>六国化工二铵车间干燥机维修改造</t>
  </si>
  <si>
    <t>BZJ-0709</t>
  </si>
  <si>
    <t>青海发投碱业厂区至二级泵站钙液管线部分严重腐蚀处更换项目</t>
  </si>
  <si>
    <t>BZJ-0710</t>
  </si>
  <si>
    <t>保山昆钢嘉华一线托轮、轮带掉块修复</t>
  </si>
  <si>
    <t>BZJ-0711</t>
  </si>
  <si>
    <t>喂料装置竞价</t>
  </si>
  <si>
    <t>BZJ-0712</t>
  </si>
  <si>
    <t>张家港联泰科技球团车间烘干机区域检修工程</t>
  </si>
  <si>
    <t>BZJ-0713</t>
  </si>
  <si>
    <t>徐州中联万吨线二档轮带贯穿性裂纹修复</t>
  </si>
  <si>
    <t>吕工13626162529</t>
  </si>
  <si>
    <t>BZJ-0714</t>
  </si>
  <si>
    <t>中联水泥（山东）研发中心有限公司（徐州中联水泥有限公司）</t>
  </si>
  <si>
    <t>BZJ-0715</t>
  </si>
  <si>
    <t>转履约、杨春龙维修打官司</t>
  </si>
  <si>
    <t>1#回转窑二档轮带开裂补焊修复</t>
  </si>
  <si>
    <t>BZJ-0716</t>
  </si>
  <si>
    <t>仁寿县汪洋建宝水泥有限公司</t>
  </si>
  <si>
    <t>回转窑动静态检测和调整</t>
  </si>
  <si>
    <t>BZJ-0717</t>
  </si>
  <si>
    <t>北方水泥有限公司（总部）</t>
  </si>
  <si>
    <t>北方水泥工艺、设备、电气维修单位备选库公开招标项目</t>
  </si>
  <si>
    <t>平台支付</t>
  </si>
  <si>
    <t>BZJ-0718</t>
  </si>
  <si>
    <t>博爱金隅水泥有限公司</t>
  </si>
  <si>
    <t>回转窑液压挡轮、轮带斜面在线车削，托轮挖补维修</t>
  </si>
  <si>
    <t>BZJ-0719</t>
  </si>
  <si>
    <t>杨琦</t>
  </si>
  <si>
    <t>山西强伟纸业有限公司</t>
  </si>
  <si>
    <t>转鼓轮带补焊</t>
  </si>
  <si>
    <t>BZJ-0720</t>
  </si>
  <si>
    <t>成都云图控股股份有限公司（应城市新都化工有限责任公司）</t>
  </si>
  <si>
    <t>联碱厂煅烧炉大修工程施工</t>
  </si>
  <si>
    <t>BZJ-0721</t>
  </si>
  <si>
    <t>上海宝华国际招标有限公司(伊犁钢铁)</t>
  </si>
  <si>
    <t>伊犁钢铁炼铁厂烧结漏风治理年修维修工程项目</t>
  </si>
  <si>
    <t>BZJ-0722</t>
  </si>
  <si>
    <t>二线回转窑大齿圈维修</t>
  </si>
  <si>
    <t>BZJ-0723</t>
  </si>
  <si>
    <t>新疆天山水泥股份有限公司库尔勒分公司</t>
  </si>
  <si>
    <t>BZJ-0724</t>
  </si>
  <si>
    <t>周奇支付宝扫码付，公司付周奇个人</t>
  </si>
  <si>
    <t>水泥分公司2024年度设备检修</t>
  </si>
  <si>
    <t>BZJ-0725</t>
  </si>
  <si>
    <t>中铸新兴企业管理有限公司</t>
  </si>
  <si>
    <t>线上中金支付</t>
  </si>
  <si>
    <t>BZJ-0726</t>
  </si>
  <si>
    <t>四川省星船城水泥股份有限公司</t>
  </si>
  <si>
    <t>水泥磨前、后滑履瓦刮研维修项目</t>
  </si>
  <si>
    <t>BZJ-0727</t>
  </si>
  <si>
    <t>重碱车间氨盐水A桶桶底更换项目</t>
  </si>
  <si>
    <t>BZJ-0728</t>
  </si>
  <si>
    <t>BZJ-0729</t>
  </si>
  <si>
    <t>中建西部建设新疆有限公司</t>
  </si>
  <si>
    <t>回转窑托轮、轮带补焊项目</t>
  </si>
  <si>
    <t>BZJ-0730</t>
  </si>
  <si>
    <t>高温风机叶片修复</t>
  </si>
  <si>
    <t>BZJ-0731</t>
  </si>
  <si>
    <t>山东钢铁集团日照有限公司</t>
  </si>
  <si>
    <t>炼铁厂球团回转窑托轮备件修复</t>
  </si>
  <si>
    <t>BZJ-0732</t>
  </si>
  <si>
    <t>岚丹</t>
  </si>
  <si>
    <t>2023年新增离心机节能增效技术改造项目（设备、电气、仪表、管道安装）比价</t>
  </si>
  <si>
    <t>BZJ-0733</t>
  </si>
  <si>
    <t>周奇支付报销</t>
  </si>
  <si>
    <t>BZJ-0734</t>
  </si>
  <si>
    <t>宝华智慧平台CA</t>
  </si>
  <si>
    <t>周奇支付报销，伊犁钢件炼铁石烧漏风治理年修</t>
  </si>
  <si>
    <t>BZJ-0735</t>
  </si>
  <si>
    <t>BZJ-0736</t>
  </si>
  <si>
    <t>广联达科技股份有限公司青海分公司</t>
  </si>
  <si>
    <t>BZJ-0737</t>
  </si>
  <si>
    <t>BZJ-0738</t>
  </si>
  <si>
    <t>水气车间液氨站安装尾气回收装置土建有设备安装项目</t>
  </si>
  <si>
    <t>BZJ-0739</t>
  </si>
  <si>
    <t>BZJ-0740</t>
  </si>
  <si>
    <t>高炉年修维修工程</t>
  </si>
  <si>
    <t>刘强15160880982</t>
  </si>
  <si>
    <t>BZJ-0741</t>
  </si>
  <si>
    <t>炼钢厂转炉炉体年修</t>
  </si>
  <si>
    <t>BZJ-0742</t>
  </si>
  <si>
    <t xml:space="preserve">炼钢厂年修维修工程 </t>
  </si>
  <si>
    <t>BZJ-0743</t>
  </si>
  <si>
    <t>BZJ-0744</t>
  </si>
  <si>
    <t>富蕴天山水泥有限责任公司</t>
  </si>
  <si>
    <t>回转窑检测、维修及调整施工外协项目</t>
  </si>
  <si>
    <t>BZJ-0745</t>
  </si>
  <si>
    <t>转履约保证金，工期未达标甲方扣款不退</t>
  </si>
  <si>
    <t>BZJ-0746</t>
  </si>
  <si>
    <t>徐州小俏网络科技服务有限公司</t>
  </si>
  <si>
    <t>2023 年伊犁钢铁炼铁厂烧结年修维修工程项目- 投标</t>
  </si>
  <si>
    <t>BZJ-0747</t>
  </si>
  <si>
    <r>
      <rPr>
        <sz val="10"/>
        <color indexed="63"/>
        <rFont val="宋体"/>
        <charset val="134"/>
      </rPr>
      <t>青海发投</t>
    </r>
    <r>
      <rPr>
        <sz val="10"/>
        <color indexed="63"/>
        <rFont val="Segoe UI"/>
        <charset val="134"/>
      </rPr>
      <t>2023</t>
    </r>
    <r>
      <rPr>
        <sz val="10"/>
        <color indexed="63"/>
        <rFont val="宋体"/>
        <charset val="134"/>
      </rPr>
      <t>年新增离心机节能增效技术改造项目（设备、电气、仪表、管道安装）比价</t>
    </r>
  </si>
  <si>
    <t>BZJ-0748</t>
  </si>
  <si>
    <t>安徽省招标集团股份有限公司（安徽华塑）</t>
  </si>
  <si>
    <t>BZJ-0749</t>
  </si>
  <si>
    <t>伊犁钢铁设备环保部转炉煤气电除尘检修项目- 投标</t>
  </si>
  <si>
    <t>BZJ-0750</t>
  </si>
  <si>
    <r>
      <rPr>
        <sz val="10"/>
        <color rgb="FF222222"/>
        <rFont val="宋体"/>
        <charset val="134"/>
      </rPr>
      <t>许声涛</t>
    </r>
    <r>
      <rPr>
        <sz val="10"/>
        <color rgb="FF222222"/>
        <rFont val="Segoe UI"/>
        <charset val="134"/>
      </rPr>
      <t>16699179906</t>
    </r>
  </si>
  <si>
    <t>BZJ-0751</t>
  </si>
  <si>
    <t>BZJ-0752</t>
  </si>
  <si>
    <t>应城市新都化工有限责任公司</t>
  </si>
  <si>
    <t>应城市新都化工联碱厂4#、5#、6#煅烧炉大修工程</t>
  </si>
  <si>
    <t>何彪：15172170136</t>
  </si>
  <si>
    <t>BZJ-0753</t>
  </si>
  <si>
    <t>应城市新都化工联碱厂煅烧炉大修工程</t>
  </si>
  <si>
    <t>BZJ-0754</t>
  </si>
  <si>
    <t>陈汝佳15720603967</t>
  </si>
  <si>
    <t>BZJ-0755</t>
  </si>
  <si>
    <t>萍乡萍钢安源钢铁有限公司</t>
  </si>
  <si>
    <t>108m2烧结制粒机进出口轮带堆焊修复项目</t>
  </si>
  <si>
    <t>BZJ-0756</t>
  </si>
  <si>
    <t>汤工，18870993555</t>
  </si>
  <si>
    <t>BZJ-0757</t>
  </si>
  <si>
    <t>布尔津天山水泥有限责任公司</t>
  </si>
  <si>
    <t>选粉机外协维修</t>
  </si>
  <si>
    <t>BZJ-0758</t>
  </si>
  <si>
    <t>煤立磨外协</t>
  </si>
  <si>
    <t>BZJ-0759</t>
  </si>
  <si>
    <t>外放熟料扬尘治理改造项目</t>
  </si>
  <si>
    <t>BZJ-0760</t>
  </si>
  <si>
    <t>BZJ-0761</t>
  </si>
  <si>
    <t>BZJ-0762</t>
  </si>
  <si>
    <t>BZJSQ-20231208-0777</t>
  </si>
  <si>
    <t>盐水车间1#-4#化盐桶北侧地埋进水管线更换项目</t>
  </si>
  <si>
    <t>李久业: 13709708731</t>
  </si>
  <si>
    <t>BZJ-0764</t>
  </si>
  <si>
    <t>青海发投盐水车间1#-4#化盐桶北侧地埋进水管线更换项目</t>
  </si>
  <si>
    <t>王可芳13897370857</t>
  </si>
  <si>
    <t>BZJ-0765</t>
  </si>
  <si>
    <t>BZJ-0766</t>
  </si>
  <si>
    <t>BZJSQ-20231221-0785</t>
  </si>
  <si>
    <t>汪余欢</t>
  </si>
  <si>
    <t>新疆伊犁钢铁2023年伊犁钢铁炼铁厂烧结年修维修工程项目</t>
  </si>
  <si>
    <t>BZJSQ-20231222-0786</t>
  </si>
  <si>
    <t>行政楼A、B区卫生间装修项目</t>
  </si>
  <si>
    <t>李久业，13709708731</t>
  </si>
  <si>
    <t>BZJSQ-20231222-0787</t>
  </si>
  <si>
    <t>与商务部确认,按付款日期先后下账</t>
  </si>
  <si>
    <t>轻灰煅烧炉托轮维修</t>
  </si>
  <si>
    <t>BZJSQ-20231222-0788</t>
  </si>
  <si>
    <t>青海发投碱业有限公司废液管线更换项目</t>
  </si>
  <si>
    <t>20231222-0017</t>
  </si>
  <si>
    <t>20231222-0033</t>
  </si>
  <si>
    <r>
      <rPr>
        <sz val="10"/>
        <rFont val="宋体"/>
        <charset val="134"/>
      </rPr>
      <t>青海发投碱业有限公司</t>
    </r>
    <r>
      <rPr>
        <sz val="10"/>
        <rFont val="Segoe UI"/>
        <charset val="134"/>
      </rPr>
      <t>5#</t>
    </r>
    <r>
      <rPr>
        <sz val="10"/>
        <rFont val="宋体"/>
        <charset val="134"/>
      </rPr>
      <t>石灰窑大修项目</t>
    </r>
  </si>
  <si>
    <t>BZJSQ-20231225-0789</t>
  </si>
  <si>
    <t>青海发投碱业有限公司5#石灰窑大修项目 - 投标</t>
  </si>
  <si>
    <t>BZJSQ-20240102-0001</t>
  </si>
  <si>
    <t>青海发投碱业有限公司石灰车间3#、5#、6#洗涤塔更换项目</t>
  </si>
  <si>
    <t>BZJSQ-20240103-0002</t>
  </si>
  <si>
    <t>BZJSQ-20240105-0003</t>
  </si>
  <si>
    <t>BZJSQ-20240108-0004</t>
  </si>
  <si>
    <t>BZJSQ-20240109-0005</t>
  </si>
  <si>
    <t>未支付</t>
  </si>
  <si>
    <t>2号立磨磨辊在线堆焊项目</t>
  </si>
  <si>
    <t>BZJSQ-20240109-0006</t>
  </si>
  <si>
    <t>日钢营口中板有限公司</t>
  </si>
  <si>
    <t>烧结厂2024年600㎡烧结二次混合机辊圈车削外委施工</t>
  </si>
  <si>
    <t>BZJSQ-20240109-0007</t>
  </si>
  <si>
    <t>3.5重新打入农民工工资保证金专户</t>
  </si>
  <si>
    <t>青海发投2023年新增离心机节能增效技术改造项目（设备、电气、仪表、管道安装）比价</t>
  </si>
  <si>
    <t>BZJSQ-20240109-0008</t>
  </si>
  <si>
    <t>BZJSQ-20240112-0009</t>
  </si>
  <si>
    <t>窑筒体短节更换</t>
  </si>
  <si>
    <t>BZJSQ-20240115-0010</t>
  </si>
  <si>
    <t>青海发投石灰车间出灰机维修项目</t>
  </si>
  <si>
    <t>BZJSQ-20240115-0011</t>
  </si>
  <si>
    <t>青海发投碱业有限公司炉气冷凝洗涤塔至炉气横管短接及三通更换项目- 投标</t>
  </si>
  <si>
    <t>BZJSQ-20240116-0012</t>
  </si>
  <si>
    <t>新疆宜化化工有限公司</t>
  </si>
  <si>
    <t>烧成装置系统检修项目</t>
  </si>
  <si>
    <t>BZJSQ-20240116-0013</t>
  </si>
  <si>
    <t>胡燕</t>
  </si>
  <si>
    <t>煅烧车间炉气冷凝洗涤塔至炉气横管短接及三通更换项目</t>
  </si>
  <si>
    <t>BZJSQ-20240116-0014</t>
  </si>
  <si>
    <t>BZJSQ-20240116-0015</t>
  </si>
  <si>
    <t>热电车间引风机烟道更换项目</t>
  </si>
  <si>
    <t>BZJSQ-20240117-0016</t>
  </si>
  <si>
    <t>BZJSQ-20240118-0017</t>
  </si>
  <si>
    <t>青海发投碱业有限公司蒸吸工段管线及阀门更换项目- 投标</t>
  </si>
  <si>
    <t>BZJSQ-20240118-0018</t>
  </si>
  <si>
    <t>石灰车间1#、3#、5#、7#窑气旋风分离器更换项目</t>
  </si>
  <si>
    <t>BZJSQ-20240123-0019</t>
  </si>
  <si>
    <t>BZJSQ-20240129-0020</t>
  </si>
  <si>
    <t>轻灰煅烧炉托轮维修项目（离线回厂）Φ1350mm外返碱煅烧炉托轮1件；Φ1300mm外返碱煅烧炉托轮4件</t>
  </si>
  <si>
    <t>BZJSQ-20240129-0021</t>
  </si>
  <si>
    <t>煅烧车间轻灰3#煅烧炉加热管更换项目</t>
  </si>
  <si>
    <t>BZJSQ-20240129-0022</t>
  </si>
  <si>
    <t>热电车间引风机出口烟道更换项目 5台</t>
  </si>
  <si>
    <t>BZJSQ-20240129-0023</t>
  </si>
  <si>
    <t>BZJSQ-20240130-0024</t>
  </si>
  <si>
    <t>石灰车间5#石灰窑大修项目</t>
  </si>
  <si>
    <t>BZJSQ-20240130-0025</t>
  </si>
  <si>
    <t>重碱车间蒸吸工段管线及阀门更换项目</t>
  </si>
  <si>
    <t>20240105-0035</t>
  </si>
  <si>
    <t>20240117-0036</t>
  </si>
  <si>
    <t>20240118-0037</t>
  </si>
  <si>
    <t>煅烧轻灰炉气系统节能节水减排改造项目（设备管道安装）</t>
  </si>
  <si>
    <t>20240129-0038</t>
  </si>
  <si>
    <t>热电车间脱硫塔入口烟道更换项目</t>
  </si>
  <si>
    <t>20240202-0039</t>
  </si>
  <si>
    <t>BZJSQ-20240201-0026</t>
  </si>
  <si>
    <t>BZJSQ-20240130-0027</t>
  </si>
  <si>
    <t>青海发投碱业有限公司（周琦转河南祥光）</t>
  </si>
  <si>
    <t>河南祥光陪标（周琦经手）</t>
  </si>
  <si>
    <t>邵总河南祥光集团围标2024.8.20联系说退周奇微信</t>
  </si>
  <si>
    <t>BZJSQ-20240217-0029</t>
  </si>
  <si>
    <t>蕉岭县龙腾旋窑水泥有限公司</t>
  </si>
  <si>
    <t>李权智代退款</t>
  </si>
  <si>
    <t>2#窑1#墩东侧托轮剥落掉块修复（尺寸约高300mm宽130mm)</t>
  </si>
  <si>
    <t>BZJSQ-20240218-0030</t>
  </si>
  <si>
    <t>BZJSQ-20240218-0031</t>
  </si>
  <si>
    <t>BZJSQ-20240218-0032</t>
  </si>
  <si>
    <t>钛材管线及阀门更换项目</t>
  </si>
  <si>
    <t>BZJSQ-20240220-0033</t>
  </si>
  <si>
    <t>BZJSQ-20240220-0034</t>
  </si>
  <si>
    <t>煅烧车间轻灰运碱系统刮板更换项目</t>
  </si>
  <si>
    <t>BZJSQ-20240220-0035</t>
  </si>
  <si>
    <t>BZJSQ-20240220-0036</t>
  </si>
  <si>
    <t>青海发投碱业有限公司
武汉开明高新科技有限公司</t>
  </si>
  <si>
    <t>转入54442</t>
  </si>
  <si>
    <t>BZJSQ-20240223-0037</t>
  </si>
  <si>
    <t>伊犁钢铁炼铁厂产能提升项目</t>
  </si>
  <si>
    <t>BZJSQ-20240227-0038</t>
  </si>
  <si>
    <t>回转窑检测及托轮调整项目</t>
  </si>
  <si>
    <t>BZJSQ-20240228-0039</t>
  </si>
  <si>
    <t>重碱车间钛材管线及阀门更换项目</t>
  </si>
  <si>
    <t>BZJSQ-20240228-0040</t>
  </si>
  <si>
    <t>重碱车间碳化工段管线及阀门更换</t>
  </si>
  <si>
    <t>BZJSQ-20240229-0041</t>
  </si>
  <si>
    <t>财务部</t>
  </si>
  <si>
    <t>王金平</t>
  </si>
  <si>
    <t>BZJSQ-20240229-0042</t>
  </si>
  <si>
    <t>BZJSQ-20240302-0043</t>
  </si>
  <si>
    <t>3挡轮带裂纹修复（400*200），1档托轮剥落缺陷修复（200*100）</t>
  </si>
  <si>
    <t>BZJSQ-20240305-0044</t>
  </si>
  <si>
    <t>球磨机型号Ф3.8×13m1#水泥磨前、后滑履滑面（两条）磨削</t>
  </si>
  <si>
    <t>BZJSQ-20240305-0045</t>
  </si>
  <si>
    <t>盐水车间精盐水罐面及杂水罐花架平台更换项目</t>
  </si>
  <si>
    <t>BZJSQ-20240305-0046</t>
  </si>
  <si>
    <t>冀东水泥重庆江津有限责任公司</t>
  </si>
  <si>
    <t>一线二线窑检测调整</t>
  </si>
  <si>
    <t>BZJSQ-20240307-0047</t>
  </si>
  <si>
    <t>中盐青海昆仑碱业有限公司</t>
  </si>
  <si>
    <t>煅烧车间重灰2#煅烧炉大修项目</t>
  </si>
  <si>
    <t>BZJSQ-20240307-0048</t>
  </si>
  <si>
    <t>BZJSQ-20240307-0049</t>
  </si>
  <si>
    <t>BZJSQ-20240313-0050</t>
  </si>
  <si>
    <t>厂区至排放口2#钙液管线更换项目</t>
  </si>
  <si>
    <t>BZJSQ-20240313-0051</t>
  </si>
  <si>
    <t>BZJSQ-20240313-0053</t>
  </si>
  <si>
    <t>伍芳芳</t>
  </si>
  <si>
    <t>转入59279已销户</t>
  </si>
  <si>
    <t>红圈无编号</t>
  </si>
  <si>
    <t>BZJSQ-20240321-0054</t>
  </si>
  <si>
    <t>中盐吉兰泰氯碱化工有限公司</t>
  </si>
  <si>
    <t>碳化塔安装工程比价</t>
  </si>
  <si>
    <t>林维</t>
  </si>
  <si>
    <t>湖北岚丹建设工程有限公司用于青海发投碱业有限公司</t>
  </si>
  <si>
    <t>岚丹农民工专户</t>
  </si>
  <si>
    <t>BZJSQ-20240325-0055</t>
  </si>
  <si>
    <t>BZJSQ-20240328-0056</t>
  </si>
  <si>
    <t>回转窑轮带托轮挖补修复外协维修</t>
  </si>
  <si>
    <t>20240304-0040</t>
  </si>
  <si>
    <t>20240305-0041</t>
  </si>
  <si>
    <t>20240319-0042</t>
  </si>
  <si>
    <t>20240326-0043</t>
  </si>
  <si>
    <t>BZJSQ-20240406-0057</t>
  </si>
  <si>
    <t>烧结制造部14#烧结机星轮轴在线修复项目（加急）</t>
  </si>
  <si>
    <t>20240407-0044</t>
  </si>
  <si>
    <t>蒸吸厂房加固、修缮项目</t>
  </si>
  <si>
    <t>BZJSQ-20240408-0058</t>
  </si>
  <si>
    <t>青海发投碱业有限公司煅烧车间轻灰运碱系统刮板更换项目- 投标</t>
  </si>
  <si>
    <t>BZJSQ-20240408-0059</t>
  </si>
  <si>
    <t>BZJSQ-20240408-0060</t>
  </si>
  <si>
    <t>李国莲</t>
  </si>
  <si>
    <t>碳化工段中和水泵出口短接阀门及总管部分更换项目</t>
  </si>
  <si>
    <t>BZJSQ-20240409-0061</t>
  </si>
  <si>
    <t>青海发投碱业有限公司轻灰煅烧炉托轮维修</t>
  </si>
  <si>
    <t>BZJSQ-20240409-0062</t>
  </si>
  <si>
    <t>转入966638已销户</t>
  </si>
  <si>
    <t>BZJSQ-20240409-0063</t>
  </si>
  <si>
    <t>BZJSQ-20240412-0064</t>
  </si>
  <si>
    <t>山东泰山钢铁回转窑、烘干筒轮带维修</t>
  </si>
  <si>
    <t>工程部</t>
  </si>
  <si>
    <t>BZJSQ-20240416-0065</t>
  </si>
  <si>
    <t>青海发投碱业厂区至排放口2#钙液管线更换项目</t>
  </si>
  <si>
    <t>BZJSQ-20240416-0066</t>
  </si>
  <si>
    <t>柳汉琴</t>
  </si>
  <si>
    <t>扣董魁工资2000</t>
  </si>
  <si>
    <t>天瑞新登郑州水泥 三档轮带裂纹修复</t>
  </si>
  <si>
    <t>20240417-0046</t>
  </si>
  <si>
    <t>石灰车间更换除尘器项目</t>
  </si>
  <si>
    <t>20240417-0047</t>
  </si>
  <si>
    <t>青海盐湖镁业有限公司</t>
  </si>
  <si>
    <t>纯碱厂3# 、4#吸氨塔水箱更换维修项目
收款单位</t>
  </si>
  <si>
    <t>20240417-0048</t>
  </si>
  <si>
    <t>吉西片区辽源北方2#窑托轮及轮带修复项目</t>
  </si>
  <si>
    <t>黑龙江省</t>
  </si>
  <si>
    <t>BZJSQ-20240417-0067</t>
  </si>
  <si>
    <t>BZJSQ-20240422-0068</t>
  </si>
  <si>
    <t>BZJSQ-20240423-0069</t>
  </si>
  <si>
    <t>青海发投煅烧车间炉气冷凝洗涤塔至炉气横管短接及三通更换项目</t>
  </si>
  <si>
    <t>BZJSQ-20240423-0070</t>
  </si>
  <si>
    <r>
      <rPr>
        <sz val="10"/>
        <color rgb="FFFF0000"/>
        <rFont val="宋体"/>
        <charset val="134"/>
      </rPr>
      <t>山总说9月份已付过</t>
    </r>
    <r>
      <rPr>
        <sz val="10"/>
        <rFont val="宋体"/>
        <charset val="134"/>
      </rPr>
      <t>青海发投碱业重碱车间钛材管线及阀门更换项目</t>
    </r>
  </si>
  <si>
    <t>BZJSQ-20240423-0071</t>
  </si>
  <si>
    <t>青海发投碱业重碱车间碳化工段阀门更换项目</t>
  </si>
  <si>
    <t>BZJSQ-20240423-0072</t>
  </si>
  <si>
    <t>青海发投碱业重碱车间蒸吸工段管线及阀门更换项目</t>
  </si>
  <si>
    <t>BZJSQ-20240425-0073</t>
  </si>
  <si>
    <t>青海发投碱业有限公司轻灰6#煅烧炉大修项目- 投标</t>
  </si>
  <si>
    <t>全部支付</t>
  </si>
  <si>
    <t>待退还</t>
  </si>
  <si>
    <t>BZJSQ-20240430-0074</t>
  </si>
  <si>
    <t>循环经济部石灰工场回转窑在线维修项目</t>
  </si>
  <si>
    <t>BZJSQ-20240506-0075</t>
  </si>
  <si>
    <t>制碱车间重碱工序1#吸收塔更新项目拆除安装项目</t>
  </si>
  <si>
    <t>BZJSQ-20240508-0076</t>
  </si>
  <si>
    <t>陈纤</t>
  </si>
  <si>
    <t>水气车间阀门、管线、伸缩节更换项目</t>
  </si>
  <si>
    <t>BZJSQ-20240508-0077</t>
  </si>
  <si>
    <t>BZJSQ-20240508-0078</t>
  </si>
  <si>
    <t>BZJSQ-20240513-0079</t>
  </si>
  <si>
    <t>循环经济部除尘灰处理工场提锌窑维修项目</t>
  </si>
  <si>
    <t>BZJSQ-20240514-0080</t>
  </si>
  <si>
    <t>内蒙古亿利冀东水泥有责任限公司</t>
  </si>
  <si>
    <t>回转窑三挡轮带更换、液压挡轮更换、三挡轮带垫板更换</t>
  </si>
  <si>
    <t>BZJSQ-20240514-0081</t>
  </si>
  <si>
    <t>制碱车间重碱工序4#、5#碳化塔更新安装工程比价</t>
  </si>
  <si>
    <t>BZJSQ-20240515-0082</t>
  </si>
  <si>
    <t>球磨机及破碎系统检修项目</t>
  </si>
  <si>
    <t>BZJSQ-20240521-0083</t>
  </si>
  <si>
    <t>陈云</t>
  </si>
  <si>
    <t>BZJSQ-20240524-0084</t>
  </si>
  <si>
    <t>2024—2025年度托轮轮带筒体专业维修项目</t>
  </si>
  <si>
    <t>BZJSQ-20240524-0085</t>
  </si>
  <si>
    <t>周奇说待退还7月已中标两个月之后退还</t>
  </si>
  <si>
    <r>
      <rPr>
        <sz val="10"/>
        <color rgb="FFFF0000"/>
        <rFont val="宋体"/>
        <charset val="134"/>
      </rPr>
      <t>出纳未支付</t>
    </r>
    <r>
      <rPr>
        <sz val="10"/>
        <rFont val="宋体"/>
        <charset val="134"/>
      </rPr>
      <t>2024—2025年度回转窑检测及专业维修项目</t>
    </r>
  </si>
  <si>
    <t>中</t>
  </si>
  <si>
    <t>BZJSQ-20240604-0086</t>
  </si>
  <si>
    <t>BZJSQ-20240625-0087</t>
  </si>
  <si>
    <t>轻灰2#煅烧炉滚圈及托轮在线车削与调整项目</t>
  </si>
  <si>
    <t>BZJSQ-20240626-0088</t>
  </si>
  <si>
    <t>安徽恒泰新材料有限公司</t>
  </si>
  <si>
    <t>周奇说待退还8.21打电话催款</t>
  </si>
  <si>
    <t>球磨机大小齿轮翻面</t>
  </si>
  <si>
    <t>BZJSQ-20240627-0089</t>
  </si>
  <si>
    <t>内勤组</t>
  </si>
  <si>
    <t>BZJSQ-20240627-0090</t>
  </si>
  <si>
    <t>BZJSQ-20240701-0091</t>
  </si>
  <si>
    <t>建材回转窑运维项目</t>
  </si>
  <si>
    <t>BZJSQ-20240719-0092</t>
  </si>
  <si>
    <t>15700支付了投标服务费</t>
  </si>
  <si>
    <t>烧结车间回转窑机械大修</t>
  </si>
  <si>
    <t>BZJSQ-20240724-0093</t>
  </si>
  <si>
    <t>未中标8.24内退款</t>
  </si>
  <si>
    <t>青海发投轻、重灰汽轴修复项目- 投标</t>
  </si>
  <si>
    <t>BZJSQ-20240726-0094</t>
  </si>
  <si>
    <t>终止支付</t>
  </si>
  <si>
    <t>回转窑轮带、托轮接触面凹陷，剥落等缺陷问题维修</t>
  </si>
  <si>
    <t>BZJSQ-20240812-0095</t>
  </si>
  <si>
    <t>重碱车间新增碳化塔（设备、电气、仪表、工艺管道）安装项目</t>
  </si>
  <si>
    <t>BZJSQ-20240816-0096</t>
  </si>
  <si>
    <t>王寅力</t>
  </si>
  <si>
    <t>上海宝华国际招标有限公司</t>
  </si>
  <si>
    <t>BZJSQ-20240905-0097</t>
  </si>
  <si>
    <t>石灰车间除尘器更换项目（材料采购、安装施工）</t>
  </si>
  <si>
    <t>BZJSQ-20240910-0099</t>
  </si>
  <si>
    <r>
      <rPr>
        <sz val="10.5"/>
        <color theme="1"/>
        <rFont val="Segoe UI"/>
        <charset val="134"/>
      </rPr>
      <t>24091318</t>
    </r>
    <r>
      <rPr>
        <sz val="10.5"/>
        <color theme="1"/>
        <rFont val="宋体"/>
        <charset val="134"/>
      </rPr>
      <t>青海盐湖镁业有限公司纯碱厂</t>
    </r>
    <r>
      <rPr>
        <sz val="10.5"/>
        <color theme="1"/>
        <rFont val="Segoe UI"/>
        <charset val="134"/>
      </rPr>
      <t>1#</t>
    </r>
    <r>
      <rPr>
        <sz val="10.5"/>
        <color theme="1"/>
        <rFont val="宋体"/>
        <charset val="134"/>
      </rPr>
      <t>吸氨塔水箱、</t>
    </r>
    <r>
      <rPr>
        <sz val="10.5"/>
        <color theme="1"/>
        <rFont val="Segoe UI"/>
        <charset val="134"/>
      </rPr>
      <t>27</t>
    </r>
    <r>
      <rPr>
        <sz val="10.5"/>
        <color theme="1"/>
        <rFont val="宋体"/>
        <charset val="134"/>
      </rPr>
      <t>圈塔圈更换维修项目</t>
    </r>
  </si>
  <si>
    <t>BZJSQ-20240910-0100</t>
  </si>
  <si>
    <r>
      <rPr>
        <sz val="12"/>
        <color rgb="FF222222"/>
        <rFont val="Segoe UI"/>
        <charset val="134"/>
      </rPr>
      <t>24091318</t>
    </r>
    <r>
      <rPr>
        <sz val="12"/>
        <color rgb="FF222222"/>
        <rFont val="宋体"/>
        <charset val="134"/>
      </rPr>
      <t>青海盐湖镁业有限公司纯碱厂</t>
    </r>
    <r>
      <rPr>
        <sz val="12"/>
        <color rgb="FF222222"/>
        <rFont val="Segoe UI"/>
        <charset val="134"/>
      </rPr>
      <t>1#</t>
    </r>
    <r>
      <rPr>
        <sz val="12"/>
        <color rgb="FF222222"/>
        <rFont val="宋体"/>
        <charset val="134"/>
      </rPr>
      <t>吸氨塔水箱、</t>
    </r>
    <r>
      <rPr>
        <sz val="12"/>
        <color rgb="FF222222"/>
        <rFont val="Segoe UI"/>
        <charset val="134"/>
      </rPr>
      <t>27</t>
    </r>
    <r>
      <rPr>
        <sz val="12"/>
        <color rgb="FF222222"/>
        <rFont val="宋体"/>
        <charset val="134"/>
      </rPr>
      <t>圈塔圈更换维修项目</t>
    </r>
  </si>
  <si>
    <t>BZJSQ-20240910-0098</t>
  </si>
  <si>
    <t>24091110石灰回转窑拖轮挡轮修理- 投标</t>
  </si>
  <si>
    <t>BZJSQ-20240912-0101</t>
  </si>
  <si>
    <t>云图新能源材料（荆州）有限公司</t>
  </si>
  <si>
    <t>24091314投标+云图新能源材料（荆州）有限公司选矿厂球磨机维修工程</t>
  </si>
  <si>
    <t>BZJSQ-20240913-0102</t>
  </si>
  <si>
    <t>中标转履约保证金</t>
  </si>
  <si>
    <t>24091810投标+伊犁钢铁2024年炼铁厂设备功能精度恢复项目- 投标</t>
  </si>
  <si>
    <t>BZJSQ-20240920-0103</t>
  </si>
  <si>
    <t>24092610投标+伊犁钢铁瑞祥焦化2024年设备功能精度恢复项目</t>
  </si>
  <si>
    <t>BZJSQ-20240921-0104</t>
  </si>
  <si>
    <t>24092514投标+日照钢铁烧结制造部制粒机轮带修复项目- 投标</t>
  </si>
  <si>
    <t>BZJSQ-20240927-0107</t>
  </si>
  <si>
    <t>熊艳</t>
  </si>
  <si>
    <t>24092009投标+（二次）湖北岚丹+青海发投碱业有限公司石灰车间除尘器更换项目（材料采购、安装施工）</t>
  </si>
  <si>
    <t>BZJSQ-20240927-0108</t>
  </si>
  <si>
    <t>BZJSQ-20240927-0109</t>
  </si>
  <si>
    <t>BZJSQ-20240929-0110</t>
  </si>
  <si>
    <t>24100814投标+湖北六国造粒机及破碎机维修工程询比价文件</t>
  </si>
  <si>
    <t>BZJSQ-20240930-0111</t>
  </si>
  <si>
    <t>中国电能成套设备有限公司（山西铝业）</t>
  </si>
  <si>
    <t>240101509投标+山西铝业烧结一台回转窑收尘器大修项目</t>
  </si>
  <si>
    <t>BZJSQ-20241023-0113</t>
  </si>
  <si>
    <t>24102510投标--青海发投碱业有限公司电仪设备安装维修项目限公司</t>
  </si>
  <si>
    <t>BZJSQ-20241025-0114</t>
  </si>
  <si>
    <t>唐山中厚板材有限公司</t>
  </si>
  <si>
    <t>唐山中厚板材有限公司-厂容管理安全押金</t>
  </si>
  <si>
    <t>BZJSQ-20241026-0115</t>
  </si>
  <si>
    <t>伊犁钢铁炼铁厂高炉、烧 结 2024 年设备功能精度恢复项目</t>
  </si>
  <si>
    <t>BZJSQ-20241026-0116</t>
  </si>
  <si>
    <t>伊犁钢铁炼铁厂捞渣机、高炉主垄沟 2024 年设备功能精度恢复项目</t>
  </si>
  <si>
    <t>BZJSQ-20241026-0117</t>
  </si>
  <si>
    <t>伊犁钢铁炼铁厂竖 炉2024 年设备功能精度恢复项目</t>
  </si>
  <si>
    <t>BZJSQ-20241028-0121</t>
  </si>
  <si>
    <t>唐山中厚板材有限公司2024年轧钢部二线大修补焊（主电机）</t>
  </si>
  <si>
    <t>BZJSQ-20241030-0122</t>
  </si>
  <si>
    <t>W-2024-0360伊犁钢铁炼铁厂捞渣机、高炉主垄沟 2024年设备功能精度恢复项目</t>
  </si>
  <si>
    <t>BZJSQ-20241030-0123</t>
  </si>
  <si>
    <t>W-2024-0361伊犁钢铁炼铁厂竖炉2024年设备功能精度恢复项目</t>
  </si>
  <si>
    <t>BZJSQ-20241030-0124</t>
  </si>
  <si>
    <t>W-2024-0362伊犁钢铁炼铁厂高炉、烧结2024 年设备功能精度恢复项目</t>
  </si>
  <si>
    <t>BZJSQ-20241102-0125</t>
  </si>
  <si>
    <t>巴彦淖尔中联水泥有限公司回转窑大齿圈两面堆焊项目</t>
  </si>
  <si>
    <t>BZJSQ-20241104-0126</t>
  </si>
  <si>
    <t>李权智</t>
  </si>
  <si>
    <t>回款41100元，扣安全罚款6000</t>
  </si>
  <si>
    <t>国家电投集团山西铝业烧结车间一台回转窑机械大修项目</t>
  </si>
  <si>
    <t>BZJSQ-20241106-0127</t>
  </si>
  <si>
    <t>24110109投标--（二次）青海发投碱业有限公司热电、煅烧、水气车间压力管道缺陷消除项目</t>
  </si>
  <si>
    <t>BZJSQ-20241112-0128</t>
  </si>
  <si>
    <t>24111910投标+（二次）山西铝业烧结一台回转窑收尘器大修项目</t>
  </si>
  <si>
    <t>BZJSQ-20241115-0129</t>
  </si>
  <si>
    <t>24111811投标+怀宁上峰年底外委检修项目</t>
  </si>
  <si>
    <t>BZJSQ-20241115-0130</t>
  </si>
  <si>
    <r>
      <rPr>
        <sz val="10.5"/>
        <rFont val="Segoe UI"/>
        <charset val="134"/>
      </rPr>
      <t>24111815</t>
    </r>
    <r>
      <rPr>
        <sz val="10.5"/>
        <rFont val="宋体"/>
        <charset val="134"/>
      </rPr>
      <t>投标</t>
    </r>
    <r>
      <rPr>
        <sz val="10.5"/>
        <rFont val="Segoe UI"/>
        <charset val="134"/>
      </rPr>
      <t>+</t>
    </r>
    <r>
      <rPr>
        <sz val="10.5"/>
        <rFont val="宋体"/>
        <charset val="134"/>
      </rPr>
      <t>宁夏上峰回转窑托轮检修项目</t>
    </r>
  </si>
  <si>
    <t>BZJSQ-20241126-0131</t>
  </si>
  <si>
    <t>中盐内蒙古化工股份有限公司</t>
  </si>
  <si>
    <t>24120210投标+盐碱分公司制碱车间2#、3#碳化塔更新项目拆除、安装</t>
  </si>
  <si>
    <t>BZJSQ-20241128-0133</t>
  </si>
  <si>
    <t>邵玉海（闫玲）</t>
  </si>
  <si>
    <t>熊伟说标书费不退没票</t>
  </si>
  <si>
    <t>BZJSQ-20241130-0134</t>
  </si>
  <si>
    <t>24120210投标+江苏永钢石灰车间二窑回转窑调整项目</t>
  </si>
  <si>
    <t>BZJSQ-20241210-0135</t>
  </si>
  <si>
    <t>上海宝华国际招标有限公司（新疆伊犁钢铁）</t>
  </si>
  <si>
    <t>24121610投标+伊犁钢铁炼铁厂竖炉1#、2#电除尘周期大修项目施工</t>
  </si>
  <si>
    <t>BZJSQ-20241211-0136</t>
  </si>
  <si>
    <t>中盐内蒙古化工股份有限公司盐碱分公司</t>
  </si>
  <si>
    <t>24111515投标+中盐内蒙古化工股份有限公司盐碱分公司制碱车间2#、3#碳化塔更新-拆解工程</t>
  </si>
  <si>
    <t>BZJSQ-20241211-0137</t>
  </si>
  <si>
    <t>BZJSQ-20241212-0138</t>
  </si>
  <si>
    <t>湘潭瑞通球团有限公司</t>
  </si>
  <si>
    <t>回转窑驱动检修</t>
  </si>
  <si>
    <t>BZJSQ-20241214-0140</t>
  </si>
  <si>
    <t>24121616投标+石家庄区域金隅鼎鑫公司一分公司磨机端板裂纹修复</t>
  </si>
  <si>
    <t>BZJSQ-20241216-0141</t>
  </si>
  <si>
    <t>淄博飞源化工有限公司（厦工(三明)重型机器有限公司）</t>
  </si>
  <si>
    <t>厦工(三明)重型机器有限公司前滚圈加工费用</t>
  </si>
  <si>
    <t>BZJSQ-20241230-0142</t>
  </si>
  <si>
    <t>25010210投标+江苏永钢石灰二窑托轮轴承组总成（修理）</t>
  </si>
  <si>
    <t>BZJSQ-20241230-0143</t>
  </si>
  <si>
    <t>24122010投标+青海发投碱业有限公司上清液节水减排改造（安装施工）项目</t>
  </si>
  <si>
    <t>BZJSQ-20241230-0146</t>
  </si>
  <si>
    <t>青海发投碱业有限公司上清液节水减排改造(安装施工)项目</t>
  </si>
  <si>
    <t>BZJSQ-20241230-0148</t>
  </si>
  <si>
    <t>湖北岚丹建设工程有限公司用于青海发投碱业有限公司农民工工资保证金</t>
  </si>
  <si>
    <t>BZJSQ-20250103-0002</t>
  </si>
  <si>
    <t>25011314投标+福建安砂建福水泥有限公司一线回转窑头部筒体更换项目</t>
  </si>
  <si>
    <t>BZJSQ-20250106-0003</t>
  </si>
  <si>
    <t>安全罚款2000，实际到账3000</t>
  </si>
  <si>
    <t>湘潭瑞通回转窑上轮带车削、磨削</t>
  </si>
  <si>
    <t>BZJSQ-20250113-0004</t>
  </si>
  <si>
    <t>河南晋开化工投资控股集团有限责任公司二分公司硝铵车间干燥转筒滚圈断裂维修项目</t>
  </si>
  <si>
    <t>BZJSQ-20250114-0005</t>
  </si>
  <si>
    <t>青海发投碱业有限公司2025 年零星设备维修、安装、更换项目</t>
  </si>
  <si>
    <t>BZJSQ-20250114-0006</t>
  </si>
  <si>
    <t>BZJSQ-20250114-0007</t>
  </si>
  <si>
    <t>BZJSQ-20250122-0011</t>
  </si>
  <si>
    <t>山东招标股份有限公司</t>
  </si>
  <si>
    <t>25021409投标+山东黄金矿业（莱州）有限公司三山岛金矿新立选矿MQY5.58.5球磨机衬板更换</t>
  </si>
  <si>
    <t>BZJSQ-20250123-0012</t>
  </si>
  <si>
    <t>8600转履约（2025.9.24）</t>
  </si>
  <si>
    <t>25020709投标+萍乡萍钢安源钢铁108m2烧结混合机、制粒机进出口轮带堆焊修复项目</t>
  </si>
  <si>
    <t>BZJSQ-20250124-0013</t>
  </si>
  <si>
    <t>安徽金岩高岭土新材料股份有限公司</t>
  </si>
  <si>
    <t>25020614投标+安徽金岩高岭土新材料股份有限公司焦宝石厂3#回转窑技术服务</t>
  </si>
  <si>
    <t>BZJSQ-20250205-0014</t>
  </si>
  <si>
    <t>25011515投标+（二次）青海发投碱业有限公司煅烧车间重灰4#煅烧炉大、小齿更换项目</t>
  </si>
  <si>
    <t>BZJSQ-20250205-0015</t>
  </si>
  <si>
    <t>BZJSQ-20250205-0016</t>
  </si>
  <si>
    <t>BZJSQ-20250217-0019</t>
  </si>
  <si>
    <t>池州恒鑫材料科技有限公司</t>
  </si>
  <si>
    <t>铜化集团池州恒鑫材料科技有限公司回转窑托轮维修招标公告</t>
  </si>
  <si>
    <t>BZJSQ-20250218-0020</t>
  </si>
  <si>
    <t>亚太森博（山东）浆纸有限公司</t>
  </si>
  <si>
    <t>周奇说待退还</t>
  </si>
  <si>
    <t>25012715报名+亚太森博（山东）浆纸有限公司PL12苛化石灰窑轮带、大齿圈更换及轮带加垫板服务</t>
  </si>
  <si>
    <t>BZJSQ-20250220-0021</t>
  </si>
  <si>
    <t>青海发投碱业有限公司重灰2#、3#、5#重灰炉炉头总成技改项目竞价比选公告</t>
  </si>
  <si>
    <t>BZJSQ-20250223-0022</t>
  </si>
  <si>
    <t>烧结分厂（300烧结）混料机圈带修理委外工程</t>
  </si>
  <si>
    <t>BZJSQ-20250224-0023</t>
  </si>
  <si>
    <t>洛阳中联水泥有限公司</t>
  </si>
  <si>
    <t>洛阳中联水泥有限公司回转窑检测调整、托轮刮瓦竞争性谈判</t>
  </si>
  <si>
    <t>BZJSQ-20250224-0024</t>
  </si>
  <si>
    <t>青海发投碱业有限公司4#石灰窑改造项目（机械部分）竞价比选公告</t>
  </si>
  <si>
    <t>BZJSQ-20250227-0025</t>
  </si>
  <si>
    <t>中盐青海昆仑碱业有限公司重碱车间1#、3#吸氨塔更新（热氨盐水管线更新钛管采购、安装）竞价比选公告</t>
  </si>
  <si>
    <t>BZJSQ-20250228-0027</t>
  </si>
  <si>
    <t>宝武集团鄂城钢铁有限公司</t>
  </si>
  <si>
    <t>宝武集团鄂城钢铁有限公司2025年焦化东区化产2台冷却塔检修项目公开招标[招标公告]</t>
  </si>
  <si>
    <t>BZJSQ-20250228-0028</t>
  </si>
  <si>
    <r>
      <rPr>
        <sz val="10"/>
        <color rgb="FFFF0000"/>
        <rFont val="宋体"/>
        <charset val="134"/>
      </rPr>
      <t>出纳未支付</t>
    </r>
    <r>
      <rPr>
        <sz val="10"/>
        <rFont val="宋体"/>
        <charset val="134"/>
      </rPr>
      <t>青海发投碱业有限公司重碱车间加氯化镁系统自动化升级改造项目（土建施工）竞价比选公告</t>
    </r>
  </si>
  <si>
    <t>BZJSQ-20250307-0029</t>
  </si>
  <si>
    <t>胡敏</t>
  </si>
  <si>
    <t>青海发投碱业有限公司重碱车间一座碳化塔更新项目竟价比选公告</t>
  </si>
  <si>
    <t>BZJSQ-20250307-0030</t>
  </si>
  <si>
    <t>BZJSQ-20250307-0031</t>
  </si>
  <si>
    <t>青海发投碱业有限公司（胡敏转河南祥光）</t>
  </si>
  <si>
    <t>河南祥光陪标（胡敏经手）</t>
  </si>
  <si>
    <t>青海发投碱业有限公司4#石灰窑改造项目（机械部分）竞价比选公告（二次）</t>
  </si>
  <si>
    <t>BZJSQ-20250311-0032</t>
  </si>
  <si>
    <t>青海发投碱业有限公司重灰2#、3#、5#重灰炉炉头总成技改项目（二次）竞价比选公告</t>
  </si>
  <si>
    <t>BZJSQ-20250311-0033</t>
  </si>
  <si>
    <t>BZJSQ-20250311-0034</t>
  </si>
  <si>
    <t>青海发投碱业有限公司重灰2#、3#、5#重灰炉炉头总成技改项目农民工工资保证金</t>
  </si>
  <si>
    <t>BZJSQ-20250314-0035</t>
  </si>
  <si>
    <t>保定太行和益环保科技有限公司</t>
  </si>
  <si>
    <t>保定区域和益公司破碎机转子在线维修招标</t>
  </si>
  <si>
    <t>BZJSQ-20250315-0036</t>
  </si>
  <si>
    <t>任艳娇</t>
  </si>
  <si>
    <t>河南豫光锌业有限公司</t>
  </si>
  <si>
    <t>锌业四厂回一大修回转炉筒体更换(第一次公告)</t>
  </si>
  <si>
    <t>BZJSQ-20250318-0037</t>
  </si>
  <si>
    <t>BZJSQ-20250318-0038</t>
  </si>
  <si>
    <t>范英</t>
  </si>
  <si>
    <t>BZJSQ-20250318-0039</t>
  </si>
  <si>
    <t>BZJSQ-20250318-0040</t>
  </si>
  <si>
    <t>青海发投碱业有限公司一期渣场二、三、四级泵站出口平台母管更换项目（二次）竞价比选公告</t>
  </si>
  <si>
    <t>BZJSQ-20250318-0041</t>
  </si>
  <si>
    <t>BZJSQ-20250318-0042</t>
  </si>
  <si>
    <t>转到岚丹账户</t>
  </si>
  <si>
    <t>BZJSQ-20250318-0043</t>
  </si>
  <si>
    <t>全部终止支付</t>
  </si>
  <si>
    <t>BZJSQ-20250318-0044</t>
  </si>
  <si>
    <t>奎山水泥有限公司回转窑检测服务</t>
  </si>
  <si>
    <t>BZJSQ-20250319-0045</t>
  </si>
  <si>
    <t>BZJSQ-20250321-0046</t>
  </si>
  <si>
    <t>BZJSQ-20250322-0047</t>
  </si>
  <si>
    <t>烧结分厂(300烧结)混料机圈带修理委外工程</t>
  </si>
  <si>
    <t>BZJSQ-20250324-0048</t>
  </si>
  <si>
    <t>江苏唐电电力安装有限公司</t>
  </si>
  <si>
    <r>
      <rPr>
        <sz val="10"/>
        <color rgb="FFFF0000"/>
        <rFont val="宋体"/>
        <charset val="134"/>
      </rPr>
      <t>支付了部分金额</t>
    </r>
    <r>
      <rPr>
        <sz val="10"/>
        <rFont val="宋体"/>
        <charset val="134"/>
      </rPr>
      <t>中盐东兴云梦制盐有限公司2025年设备大修招标公告</t>
    </r>
  </si>
  <si>
    <t>部分支付</t>
  </si>
  <si>
    <t>BZJSQ-20250326-0049</t>
  </si>
  <si>
    <t>BZJSQ-20250327-0050</t>
  </si>
  <si>
    <t>青海发投碱业有限公司供压缩3.82MPA蒸汽管线优化改造及新增重灰减温减压装置（安装）</t>
  </si>
  <si>
    <t>BZJSQ-20250407-0051</t>
  </si>
  <si>
    <t>青海发投碱业有限公司煅烧车间轻、重灰闪发器更新项目及轻灰一闪总管、重灰煅烧炉进气总管技改项目（安装施工）（二次）竞价比选公告</t>
  </si>
  <si>
    <t>BZJSQ-20250409-0052</t>
  </si>
  <si>
    <t>供压缩3.82MPA蒸汽管线优化改造及新增重灰减温减压装置（安装）（二次）竞价</t>
  </si>
  <si>
    <t>BZJSQ-20250409-0053</t>
  </si>
  <si>
    <t>BZJSQ-20250409-0054</t>
  </si>
  <si>
    <t>BZJSQ-20250409-0055</t>
  </si>
  <si>
    <t>炼铁厂新1#2#高炉同停外网煤气管道检修 项目</t>
  </si>
  <si>
    <t>BZJSQ-20250409-0056</t>
  </si>
  <si>
    <t>BZJSQ-20250415-0057</t>
  </si>
  <si>
    <t>任艳娇(离职)</t>
  </si>
  <si>
    <t>回转窑托轮在线堆焊修复</t>
  </si>
  <si>
    <t>BZJSQ-20250416-0058</t>
  </si>
  <si>
    <t>钱婉妮(离职)</t>
  </si>
  <si>
    <t>中机国际招标有限公司</t>
  </si>
  <si>
    <t>中盐内蒙古化工股份有限公司盐碱分公司1#3#煅烧炉维修项目</t>
  </si>
  <si>
    <t>BZJSQ-20250416-0059</t>
  </si>
  <si>
    <t>彭秀秀</t>
  </si>
  <si>
    <t>BZJSQ-20250416-0060</t>
  </si>
  <si>
    <t>BZJSQ-20250416-0061</t>
  </si>
  <si>
    <t>BZJSQ-20250421-0062</t>
  </si>
  <si>
    <t>2025-04-21</t>
  </si>
  <si>
    <t>江西省精彩纵横采购咨询有限公司</t>
  </si>
  <si>
    <t>重灰煅烧炉BC滚圈驮轮在线修理项目</t>
  </si>
  <si>
    <t>BZJSQ-20250421-0063</t>
  </si>
  <si>
    <t>李晶</t>
  </si>
  <si>
    <t>内蒙古宜化化工有限公司新1号炉中修施工</t>
  </si>
  <si>
    <t>BZJSQ-20250421-0064</t>
  </si>
  <si>
    <t>BZJSQ-20250421-0065</t>
  </si>
  <si>
    <t>BZJSQ-20250422-0067</t>
  </si>
  <si>
    <t>2025-04-22</t>
  </si>
  <si>
    <t>临沂中联水泥回转窑托轮在线修复</t>
  </si>
  <si>
    <t>BZJSQ-20250429-0068</t>
  </si>
  <si>
    <t>2025-04-29</t>
  </si>
  <si>
    <t>范雅君</t>
  </si>
  <si>
    <t>青海发投碱业有限公司供压缩 3.82MPA蒸汽管线优化改造及新增重灰减温减压装置(安装)</t>
  </si>
  <si>
    <t>BZJSQ-20250429-0069</t>
  </si>
  <si>
    <t>青海发投碱业有限公司供压缩 3.83MPA蒸汽管线优化改造及新增重灰减温减压装置(安装)</t>
  </si>
  <si>
    <t>BZJSQ-20250429-0070</t>
  </si>
  <si>
    <t>青海发投碱业有限公司供压缩 3.84MPA蒸汽管线优化改造及新增重灰减温减压装置(安装)</t>
  </si>
  <si>
    <t>BZJSQ-20250429-0071</t>
  </si>
  <si>
    <t>冯肖</t>
  </si>
  <si>
    <t>205050917投标+江西晶昊盐化有限公司石灰车间新增除尘技改项目</t>
  </si>
  <si>
    <t>BZJSQ-20250505-0072</t>
  </si>
  <si>
    <t>上海宝华国际招标有限公司华北分公司</t>
  </si>
  <si>
    <t>BZJSQ-20250506-0073</t>
  </si>
  <si>
    <t>25050909投标+青海发投碱业有限公司各车间厂房</t>
  </si>
  <si>
    <t>BZJSQ-20250509-0074</t>
  </si>
  <si>
    <t>2025-05-09</t>
  </si>
  <si>
    <t>中铝招标有限公司</t>
  </si>
  <si>
    <t>中铝山东新材料有限公司熟料窑检修、轻烧炉检修</t>
  </si>
  <si>
    <t>BZJSQ-20250509-0075</t>
  </si>
  <si>
    <t>25051514投标+九江萍钢钢铁辊子堆焊修复</t>
  </si>
  <si>
    <t>BZJSQ-20250509-0076</t>
  </si>
  <si>
    <t>河北兴晶商贸有限公司</t>
  </si>
  <si>
    <t>敬业集团江苏敬业钢铁330㎡烧结技改工程产前备件招标</t>
  </si>
  <si>
    <t>BZJSQ-20250512-0077</t>
  </si>
  <si>
    <t>2025-05-12</t>
  </si>
  <si>
    <t>山东能源招标有限公司</t>
  </si>
  <si>
    <t>新材料公司东华科技烧成设备检修服务项目</t>
  </si>
  <si>
    <t>BZJSQ-20250514-0078</t>
  </si>
  <si>
    <t>2025-05-14</t>
  </si>
  <si>
    <t>成都云图控股股份有限公司</t>
  </si>
  <si>
    <t>25051515投标+荆州基地复合肥公司造粒机维修项目</t>
  </si>
  <si>
    <t>BZJSQ-20250516-0079</t>
  </si>
  <si>
    <t>2025-05-16</t>
  </si>
  <si>
    <t>内蒙古君正能源化工集团股份有限公司</t>
  </si>
  <si>
    <t>25051910投标+内蒙古君正能源化工集团股份有限公司新建外供蒸汽管道安装项目+武汉开明</t>
  </si>
  <si>
    <t>BZJSQ-20250516-0080</t>
  </si>
  <si>
    <t>25051911投标+内蒙古君正能源化工集团股份有限公司新建外供蒸汽管道保温项目+武汉开明</t>
  </si>
  <si>
    <t>BZJSQ-20250516-0081</t>
  </si>
  <si>
    <t>25051909投标+内蒙古君正能源化工集团股份有限公司新建外供蒸汽管道土建项目+湖北岚丹</t>
  </si>
  <si>
    <t>BZJSQ-20250519-0082</t>
  </si>
  <si>
    <t>2025-05-19</t>
  </si>
  <si>
    <t>25052109投标+青海发投碱业有限公司5台锅炉喷水减温器更换项目(二次)</t>
  </si>
  <si>
    <t>BZJSQ-20250520-0083</t>
  </si>
  <si>
    <t>2025-05-20</t>
  </si>
  <si>
    <t>25052210投标+日照钢铁建材厂石灰工场回转窑及附属设施维修项目</t>
  </si>
  <si>
    <t>BZJSQ-20250523-0084</t>
  </si>
  <si>
    <t>湖北开明</t>
  </si>
  <si>
    <t>曲阳金隅水泥回转窑热态在线检测项目</t>
  </si>
  <si>
    <t>BZJSQ-20250527-0085</t>
  </si>
  <si>
    <t>2025-05-27</t>
  </si>
  <si>
    <t>BZJSQ-20250528-0086</t>
  </si>
  <si>
    <t>2025-05-28</t>
  </si>
  <si>
    <t>25060317投标+江西晶昊盐化纯碱分公司重灰水合机A更换滚圈、托轮项目</t>
  </si>
  <si>
    <t>BZJSQ-20250603-0087</t>
  </si>
  <si>
    <t>2025-06-03</t>
  </si>
  <si>
    <t>安全保证金5% 热电车间</t>
  </si>
  <si>
    <t>BZJSQ-20250603-0088</t>
  </si>
  <si>
    <t>此合同用江苏唐电电力安装有限公司投标，招投标编号：ZYHG-QJ-ZB-2025-61，保证金由武汉开明支付给江苏唐电，由唐电公司直付甲方（青海发投碱业有限公司），投标金额5%</t>
  </si>
  <si>
    <t>BZJSQ-20250603-0089</t>
  </si>
  <si>
    <t>农民工工资保证金 合同额5% 热电车间</t>
  </si>
  <si>
    <t>BZJSQ-20250604-0090</t>
  </si>
  <si>
    <t>2025-06-04</t>
  </si>
  <si>
    <t>BZJSQ-20250609-0091</t>
  </si>
  <si>
    <t>2025-06-09</t>
  </si>
  <si>
    <t>青海发投碱业有限公司重碱车间管线及阀门更换项目(比价编号:2YHG-QJ-ZB-2025-74)按澄清函金额支付5%履约保证金</t>
  </si>
  <si>
    <t>BZJSQ-20250609-0092</t>
  </si>
  <si>
    <t>青海发投碱业有限公司重碱车间管线及阀门更换项目(比价编号:2YHG-QJ-ZB-2025-74)按澄清函金额支付5%安全保证金</t>
  </si>
  <si>
    <t>BZJSQ-20250609-0093</t>
  </si>
  <si>
    <t>青海发投碱业有限公司重碱车间管线及阀门更换项目(比价编号:2YHG-QJ-ZB-2025-74)按澄清函金额支付5%农民工工资保证金</t>
  </si>
  <si>
    <t>BZJSQ-20250609-0094</t>
  </si>
  <si>
    <t>青海发投碱业有限公司重碱车间蒸吸工段阀门及管线更换项目(比价编号:ZYHG-QJ-ZB-2025-75)按澄清函金额5%支付履约保证金</t>
  </si>
  <si>
    <t>BZJSQ-20250609-0095</t>
  </si>
  <si>
    <t>青海发投碱业有限公司重碱车间蒸吸工段阀门及管线更换项目(比价编号:ZYHG-QJ-ZB-2025-75)按澄清函金额支付5%安全保证金</t>
  </si>
  <si>
    <t>BZJSQ-20250609-0096</t>
  </si>
  <si>
    <t>青海发投碱业有限公司重碱车间蒸吸工段阀门及管线更换项目(比价编号:ZYHG-QJ-ZB-2025-75)按澄清函金额5%支付农民工工资保证金</t>
  </si>
  <si>
    <t>BZJSQ-20250609-0097</t>
  </si>
  <si>
    <t>青海发投碱业有限公司重碱车间压缩工段阀门管线更换、新增系统甩头项目(比价编号:ZYHG-QJ-ZB-2025-76)按澄清函金额5%支付履约保证金</t>
  </si>
  <si>
    <t>BZJSQ-20250609-0098</t>
  </si>
  <si>
    <t>青海发投碱业有限公司重碱车间压缩工段阀门管线更换、新增系统甩头项目(比价编号:ZYHG-QJ-ZB-2025-76)按澄清函金额5%支付安全保证金</t>
  </si>
  <si>
    <t>BZJSQ-20250609-0099</t>
  </si>
  <si>
    <t>青海发投碱业有限公司重碱车间压缩工段阀门管线更换、新增系统甩头项目(比价编号:ZYHG-QJ-ZB-2025-76)按澄清函金额5%支付农民工工资保证金</t>
  </si>
  <si>
    <t>BZJSQ-20250609-0100</t>
  </si>
  <si>
    <t>青海发投碱业有限公司重碱车间压缩系统节能降碳技术改造项目窑气管线移位及管线甩头项目(比价编号:ZYHG-QJ-ZB-2025-80)按澄清函金额支付5%履约保证金</t>
  </si>
  <si>
    <t>BZJSQ-20250609-0101</t>
  </si>
  <si>
    <t>青海发投碱业有限公司重碱车间压缩系统节能降碳技术改造项目窑气管线移位及管线甩头项目(比价编号:ZYHG-QJ-ZB-2025-80)按澄清函金额支付5%安全保证金</t>
  </si>
  <si>
    <t>BZJSQ-20250609-0102</t>
  </si>
  <si>
    <t>青海发投碱业有限公司重碱车间压缩系统节能降碳技术改造项目窑气管线移位及管线甩头项目(比价编号:ZYHG-QJ-ZB-2025-80)按澄清函金额支付5%农民工工资保证金</t>
  </si>
  <si>
    <t>BZJSQ-20250610-0103</t>
  </si>
  <si>
    <t>2025-06-10</t>
  </si>
  <si>
    <t>BZJSQ-20250612-0104</t>
  </si>
  <si>
    <t>2025-06-12</t>
  </si>
  <si>
    <t>BZJSQ-20250613-0105</t>
  </si>
  <si>
    <t>2025-06-13</t>
  </si>
  <si>
    <t>内蒙古华晟工程项目管理有限公司呼和浩特一分公司</t>
  </si>
  <si>
    <t>BZJSQ-20250620-0106</t>
  </si>
  <si>
    <t>2025-06-20</t>
  </si>
  <si>
    <t>BZJSQ-20250623-0107</t>
  </si>
  <si>
    <t>2025-06-23</t>
  </si>
  <si>
    <t>青海发投碱业有限公司热电车间锅炉喷水减温器更换项目安全保证金5%补凑整款</t>
  </si>
  <si>
    <t>BZJSQ-20250623-0108</t>
  </si>
  <si>
    <t>青海发投碱业有限公司重碱车间蒸吸工段阀门及管线更换项目(比价编号:ZYHG-QJ-ZB-2025-75)按澄清函金额支付5%安全保证金凑整款</t>
  </si>
  <si>
    <t>BZJSQ-20250623-0109</t>
  </si>
  <si>
    <t>青海发投碱业有限公司重碱车间压缩工段阀门管线更换、新增系统甩头项目(比价编号:ZYHG-QJ-ZB-2025-76)按澄清函金额5%支付安全保证金凑整款</t>
  </si>
  <si>
    <t>BZJSQ-20250623-0110</t>
  </si>
  <si>
    <t>青海发投碱业有限公司重碱车间压缩系统节能降碳技术改造项目窑气管线移位及管线甩头项目(比价编号:ZYHG-QJ-ZB-2025-80)按澄清函金额支付5%安全保证金凑整款</t>
  </si>
  <si>
    <t>BZJSQ-20250625-0111</t>
  </si>
  <si>
    <t>安徽古井集团有限责任公司</t>
  </si>
  <si>
    <t>明光酒业8#9#酿造车间蒸汽管道施工项目投标保证金</t>
  </si>
  <si>
    <t>BZJSQ-20250630-0112</t>
  </si>
  <si>
    <t>2025-06-30</t>
  </si>
  <si>
    <t>中盐内蒙古化工股份有限公司安徽天辰设备管道零星安装维修工程竞价比选</t>
  </si>
  <si>
    <t>BZJSQ-20250702-0113</t>
  </si>
  <si>
    <t>2025-07-02</t>
  </si>
  <si>
    <t>内蒙古宜化公司设备制作安装工程年度框架项目</t>
  </si>
  <si>
    <t>BZJSQ-20250708-0114</t>
  </si>
  <si>
    <t>2025-07-08</t>
  </si>
  <si>
    <t>25071510投标+中盐建材公司专用设备维修项目</t>
  </si>
  <si>
    <t>BZJSQ-20250708-0115</t>
  </si>
  <si>
    <t>25071409投标+内蒙古君正能源化工集团股份有限公司煤气管道隔热保温项目</t>
  </si>
  <si>
    <t>BZJSQ-20250708-0116</t>
  </si>
  <si>
    <t>内蒙古君正化工有限责任公司新材料分公司</t>
  </si>
  <si>
    <t>25071509投标+内蒙古君正化工有限责任公司新材料分公司蒸汽伴热管道施工项目</t>
  </si>
  <si>
    <t>BZJSQ-20250710-0117</t>
  </si>
  <si>
    <t>2025-07-10</t>
  </si>
  <si>
    <t>25071414投标+铜化集团池州恒鑫材料科技有限公司回转窑托轮、挡轮更换和维修招标公告</t>
  </si>
  <si>
    <t>BZJSQ-20250713-0118</t>
  </si>
  <si>
    <t>2025-07-13</t>
  </si>
  <si>
    <t>成渝钒钛科技有限公司</t>
  </si>
  <si>
    <t>BZJSQ-20250721-0119</t>
  </si>
  <si>
    <t>2025-07-21</t>
  </si>
  <si>
    <t>江西玉山万年青回转窑维修项目</t>
  </si>
  <si>
    <t>BZJSQ-20250721-0120</t>
  </si>
  <si>
    <t>郭秀利</t>
  </si>
  <si>
    <t>内蒙古宜化转化器总管更换安装项目</t>
  </si>
  <si>
    <t>BZJSQ-20250723-0121</t>
  </si>
  <si>
    <t>2025-07-23</t>
  </si>
  <si>
    <t>中盐内蒙古建材有限公司</t>
  </si>
  <si>
    <t>中盐内蒙古建材回转窑检测维修项目</t>
  </si>
  <si>
    <t>BZJSQ-20250724-0122</t>
  </si>
  <si>
    <t>2025-07-24</t>
  </si>
  <si>
    <t>25080410武汉开明投标+热电厂二车间至内蒙古泰兴泰丰化工有限公司蒸汽管道改造项目</t>
  </si>
  <si>
    <t>BZJSQ-20250728-0123</t>
  </si>
  <si>
    <t>2025-07-28</t>
  </si>
  <si>
    <t>25080109投标+湖北双环科技股份有限公司零星维修年度服务釆购项目</t>
  </si>
  <si>
    <t>BZJSQ-20250806-0124</t>
  </si>
  <si>
    <t>2025-08-06</t>
  </si>
  <si>
    <t>湖北双环零星维修项目施工合同（2025）</t>
  </si>
  <si>
    <t>BZJSQ-20250807-0128</t>
  </si>
  <si>
    <t>2025-08-07</t>
  </si>
  <si>
    <t>25081510湖北岚丹投标-中盐内蒙古化工股份有限公司安徽天辰设备管道零星安装维修工程</t>
  </si>
  <si>
    <t>BZJSQ-20250813-0129</t>
  </si>
  <si>
    <t>江苏唐电电力安装有限公司（福建三钢(集团)三明化工有限责任公司三化1#2#余热锅炉三级四级省煤器更换检修）</t>
  </si>
  <si>
    <t>25082008江苏唐电投标-福建三钢(集团)三明化工有限责任公司三化1#2#余热锅炉三级四级省煤器更换检修</t>
  </si>
  <si>
    <t>BZJSQ-20250813-0130</t>
  </si>
  <si>
    <t>刘江波</t>
  </si>
  <si>
    <t>新疆伊犁钢铁炼钢厂烘烤器改造项目</t>
  </si>
  <si>
    <t>BZJSQ-20250814-0131</t>
  </si>
  <si>
    <t>江苏唐电电力安装有限公司（中盐内蒙古化工股份有限公司热电厂一车间锅炉检修项目）</t>
  </si>
  <si>
    <t>25081810投标-（三次）中盐内蒙古化工股份有限公司热电厂一车间锅炉检修项目</t>
  </si>
  <si>
    <t>BZJSQ-20250815-0132</t>
  </si>
  <si>
    <t>25081908武汉开明投标-中信泰富特钢集团400m2烧结一混托圈及托辊车削项目</t>
  </si>
  <si>
    <t>BZJSQ-20250815-0133</t>
  </si>
  <si>
    <t>25081914武汉开明投标-日照钢铁建材厂除尘灰处理工场托轮总成外委维修项目</t>
  </si>
  <si>
    <t>BZJSQ-20250819-0134</t>
  </si>
  <si>
    <t>25082516武汉开明投标-新疆宜化5#电石炉大修项目</t>
  </si>
  <si>
    <t>BZJSQ-20250822-0135</t>
  </si>
  <si>
    <t>青海金世纪工程项目管理有限公司</t>
  </si>
  <si>
    <t>25082714湖北岚丹投标-青海盐湖工业股份有限公司钾肥分公司生产一车间新粗精调浆罐拆除更换工程</t>
  </si>
  <si>
    <t>BZJSQ-20250826-0137</t>
  </si>
  <si>
    <t>2025-08-26</t>
  </si>
  <si>
    <t>工程师组</t>
  </si>
  <si>
    <t>江西晶昊盐化有限公司</t>
  </si>
  <si>
    <t>BZJSQ-20250826-0140</t>
  </si>
  <si>
    <t>25082914武汉开明投标-日照钢铁建材厂煤气管道泄漏治理项目（长约）</t>
  </si>
  <si>
    <t>BZJSQ-20250827-0141</t>
  </si>
  <si>
    <t>2025-08-28</t>
  </si>
  <si>
    <t>内蒙古君正化工有限责任公司铁合金冶炼分公司消防系统改造项目保证金</t>
  </si>
  <si>
    <t>BZJSQ-20250901-0142</t>
  </si>
  <si>
    <t>25091509武汉开明投标-中盐内蒙古化工股份有限公司各生产单位设备管道零星安装维修项目</t>
  </si>
  <si>
    <t>BZJSQ-20250917-0143</t>
  </si>
  <si>
    <t>2025-09-19</t>
  </si>
  <si>
    <t>25091909武汉开明投标-宁夏建材-宁夏赛马2号、4号回转窑在线检测及调整项目</t>
  </si>
  <si>
    <t>BZJSQ-20250919-0144</t>
  </si>
  <si>
    <t>2025-09-22</t>
  </si>
  <si>
    <t>电汇</t>
  </si>
  <si>
    <t>25092214武汉开明投标-日照钢铁烧结厂压力容器更换项目</t>
  </si>
  <si>
    <t>BZJSQ-20250922-0145</t>
  </si>
  <si>
    <t>2025-09-25</t>
  </si>
  <si>
    <t>BZJSQ-20250926-0146</t>
  </si>
  <si>
    <t>2025-09-26</t>
  </si>
  <si>
    <t>2025-09-28</t>
  </si>
  <si>
    <t>25092910武汉开明投标-日照钢铁建材厂除尘灰处理工场回转窑筒体及支撑设施维修长约项目</t>
  </si>
  <si>
    <t>BZJSQ-20250929-0147</t>
  </si>
  <si>
    <t>2025-09-29</t>
  </si>
  <si>
    <t>转账</t>
  </si>
  <si>
    <t>25101009武汉开明投标-2025年9月北方水泥所属熟料线回转窑动态检测项目</t>
  </si>
  <si>
    <t>BZJSQ-20251017-0148</t>
  </si>
  <si>
    <t>2025-10-17</t>
  </si>
  <si>
    <t>25102014武汉开明投标-湖北双环科技股份有限公司停车检修外施服务釆购项目</t>
  </si>
  <si>
    <t>BZJSQ-20251017-0149</t>
  </si>
  <si>
    <t>25102014武汉开明投标-湖北双环科技股份有限公司压容压管检修外施服务采购项目</t>
  </si>
  <si>
    <t>BZJSQ-20251027-0150</t>
  </si>
  <si>
    <t>2025-10-27</t>
  </si>
  <si>
    <t>BZJSQ-20251028-0151</t>
  </si>
  <si>
    <t>2025-10-28</t>
  </si>
  <si>
    <t>2025-10-29</t>
  </si>
  <si>
    <t>王先梅</t>
  </si>
  <si>
    <t>25110304江苏唐电投标-湖北双环科技股份有限公司6#锅炉检修釆购项目</t>
  </si>
  <si>
    <t>BZJSQ-20251103-0152</t>
  </si>
  <si>
    <t>2025-11-03</t>
  </si>
  <si>
    <t>2025-11-06</t>
  </si>
  <si>
    <t>25111211武汉开明投标-新疆宜化4#5#电石炉技改项目安装工程比选文件（综合评估法）</t>
  </si>
  <si>
    <t>BZJSQ-20251104-0153</t>
  </si>
  <si>
    <t>2025-11-04</t>
  </si>
  <si>
    <t>2025-11-10</t>
  </si>
  <si>
    <t>BZJSQ-20251107-0154</t>
  </si>
  <si>
    <t>2025-11-07</t>
  </si>
  <si>
    <t>25111210武汉开明投标-贵州织金西南-2#水泥磨辊压机动辊轴在线修复项目</t>
  </si>
  <si>
    <t>BZJSQ-20251110-0155</t>
  </si>
  <si>
    <t>25111015武汉开明投标-蒙阴广汇建材有限公司回转窑窑体及附属设施维修</t>
  </si>
  <si>
    <t>BZJSQ-20251110-0156</t>
  </si>
  <si>
    <t>25111110武汉开明投标-蒙阴广汇建材有限公司生料磨、煤磨产线磨机堆焊项目</t>
  </si>
  <si>
    <t>BZJSQ-20251117-0157</t>
  </si>
  <si>
    <t>2025-11-17</t>
  </si>
  <si>
    <t>江苏唐电电力安装有限公司（湖北双环）</t>
  </si>
  <si>
    <t>25111914江苏唐电-湖北双环科技股份有限公司9.8Mpa余热余压综合利用管道安装项目</t>
  </si>
  <si>
    <t>BZJSQ-20251118-0158</t>
  </si>
  <si>
    <t>2025-11-18</t>
  </si>
  <si>
    <t>25112810武汉开明投标-铜化集团池州恒鑫材料科技有限公司回转窑托轮维修更换和轮带修复</t>
  </si>
  <si>
    <t>BZJSQ-20251118-0159</t>
  </si>
  <si>
    <t>原投标保证金转履约保证金，补流程，保证金已退回</t>
  </si>
  <si>
    <t>BZJSQ-20251225-0163</t>
  </si>
  <si>
    <t>2025-12-25</t>
  </si>
  <si>
    <t>25122815武汉开明投标--新疆宜化热电分厂2026年1#机组检修项目</t>
  </si>
  <si>
    <t>BZJSQ-20251230-0164</t>
  </si>
  <si>
    <t>2025-12-30</t>
  </si>
  <si>
    <t>26010609武汉开明投标--山东钢铁日照炼铁厂托轮挡轮备件修复</t>
  </si>
  <si>
    <t>BZJSQ-20260129-0001</t>
  </si>
  <si>
    <t>2026-01-29</t>
  </si>
  <si>
    <t>26020210武汉开明投标--新疆宜化建材分厂回转窑在线修复项目</t>
  </si>
  <si>
    <t>BZJSQ-20260209-0006</t>
  </si>
  <si>
    <t>2026-02-09</t>
  </si>
  <si>
    <t>26021209江苏唐电投标--新疆宜化聚合工段28项大修施工项目</t>
  </si>
  <si>
    <t>BZJSQ-20260209-0004</t>
  </si>
  <si>
    <t>26021110武汉开明投标--新疆宜化4#电石炉大修项目比选文件（综合评估法） 二次</t>
  </si>
  <si>
    <t>BZJSQ-20260209-0003</t>
  </si>
  <si>
    <t>26021010武汉开明投标--新疆宜化建材分厂2026年大修装置检修项目</t>
  </si>
  <si>
    <t>BZJSQ-20260224-0007</t>
  </si>
  <si>
    <t>2026-02-24</t>
  </si>
  <si>
    <t>26030610江苏唐电投标--湖北双环科技股份有限公司7#锅炉省煤器更换安装及粗细粉分离器拆除安装项目</t>
  </si>
  <si>
    <t>BZJSQ-20260227-0008</t>
  </si>
  <si>
    <t>2026-02-27</t>
  </si>
  <si>
    <t>26030316武汉开明投标--铜化集团回转窑挡轮维修组装（池州恒鑫材料科技有限公司）</t>
  </si>
  <si>
    <t>BZJSQ-20260228-0011</t>
  </si>
  <si>
    <t>2026-02-28</t>
  </si>
  <si>
    <t>26030416江苏唐电投标--新疆宜化电解、片碱工段56项大修施工项目（经评审最低价法）二次</t>
  </si>
  <si>
    <t>BZJSQ-20260228-0010</t>
  </si>
  <si>
    <t>26030410湖北岚丹投标--新疆宜化乙炔工段30项大修施工项目（经评审最低价法）二次</t>
  </si>
  <si>
    <t>BZJSQ-20260228-0009</t>
  </si>
  <si>
    <t>黄婷</t>
  </si>
  <si>
    <t>BZJSQ-20260302-0013</t>
  </si>
  <si>
    <t>2026-03-02</t>
  </si>
  <si>
    <t>26030321武汉开明投标--江西瑞金万年青水泥有限责任公司轮带托轮在线修复</t>
  </si>
  <si>
    <t>BZJSQ-20260305-0015</t>
  </si>
  <si>
    <t>2026-03-05</t>
  </si>
  <si>
    <t>青海宜化化工有限责任公司</t>
  </si>
  <si>
    <t>26030914武汉开明投标--青海宜化8#电石炉大修设备安装项目</t>
  </si>
  <si>
    <t>BZJSQ-20260309-0016</t>
  </si>
  <si>
    <t>2026-03-09</t>
  </si>
  <si>
    <t>攀枝花东方钛业有限公司</t>
  </si>
  <si>
    <t>26031014武汉开明投标--2026年攀枝花东方钛业有限公司钛二作业区冷却转筒相关备件更换维修项目</t>
  </si>
  <si>
    <t>BZJSQ-20260311-0017</t>
  </si>
  <si>
    <t>2026-03-11</t>
  </si>
  <si>
    <t>26031210湖北岚丹投标--云图新能源材料（荆州）有限公司氢气回收项目安装工程</t>
  </si>
  <si>
    <t>BZJSQ-20260228-0012</t>
  </si>
  <si>
    <t>BZJSQ-20260303-0014</t>
  </si>
  <si>
    <t>2026-03-03</t>
  </si>
  <si>
    <t>佛山住商肥料有限公司</t>
  </si>
  <si>
    <t>投标方需缴纳投标保证金：3000元(账户名称：佛山住商肥料有限公司，开户行：中国建设银行佛山三水建锋支行，账号：4400  1667 1100  5300  3247），备注写明：干燥机托轮及冷却轮带组更换安装项目投标保证金。</t>
  </si>
  <si>
    <t>BZJSQ-20260313-0018</t>
  </si>
  <si>
    <t>2026-03-13</t>
  </si>
  <si>
    <t>1.4比选保证金20000元。交款账号及开户行信息：
交款账号及开户行信息：
户名:青海宜化化工有限责任公司
开户行:中国建设银行股份有限公司青海铝厂支行
账号:63001893637050200658
行号:105851001152
注：付款时备注“投标保证金”字样，且保证金回执要求内容清晰可见。</t>
  </si>
  <si>
    <t>BZJSQ-20260317-0019</t>
  </si>
  <si>
    <t>2026-03-17</t>
  </si>
  <si>
    <t>湖北长江运营咨询有限公司</t>
  </si>
  <si>
    <t>BZJSQ-20260317-0020</t>
  </si>
  <si>
    <t>保证金账户名称	湖北长江运营咨询有限公司
保证金账号	1279200495100000000003149
开户行	招商银行股份有限公司武汉长江绿色支行</t>
  </si>
  <si>
    <t>BZJSQ-20260317-0021</t>
  </si>
  <si>
    <t>湖北长江运营咨询有限公司
保证金账号	1279200495100000000003148
开户行	招商银行股份有限公司武汉长江绿色支行</t>
  </si>
  <si>
    <t>BZJSQ-20260317-0022</t>
  </si>
  <si>
    <t>保证金账户名称	湖北长江运营咨询有限公司
保证金账号	1279200495100000000003147
开户行	招商银行股份有限公司武汉长江绿色支行</t>
  </si>
  <si>
    <t>BZJSQ-20260317-0023</t>
  </si>
  <si>
    <t>保证金账户名称	湖北长江运营咨询有限公司
保证金账号	1279200495100000000003146
开户行	招商银行股份有限公司武汉长江绿色支行</t>
  </si>
  <si>
    <t>BZJSQ-20260330-0024</t>
  </si>
  <si>
    <t>2026-03-30</t>
  </si>
  <si>
    <t>26030917江苏唐电投标--湖北双环科技股份有限公司7#锅炉省煤器更换安装及粗细粉分离器拆除安装项目(二次）</t>
  </si>
  <si>
    <t>3个月内</t>
  </si>
  <si>
    <t>杨婷</t>
  </si>
  <si>
    <t>保证金户武汉开明高新科技有限公司</t>
  </si>
  <si>
    <t>投标保函</t>
  </si>
  <si>
    <t>武汉开明投标--云图新能源材料（荆州）有限公司氢气回收项目安装工程</t>
  </si>
  <si>
    <t>BZJSQ-20260401-0025</t>
  </si>
  <si>
    <t>2026-04-01</t>
  </si>
  <si>
    <t>青海黎明化工有限责任公司</t>
  </si>
  <si>
    <t>26040314武汉开明投标--青海黎明2026年安装零星维修及小型技改项目优惠率框架</t>
  </si>
  <si>
    <t>BZJSQ-20260403-0026</t>
  </si>
  <si>
    <t>2026-04-03</t>
  </si>
  <si>
    <t>26040709武汉开明投标--江西晶昊盐化有限公司制盐高硝母液综合循环利用技改项目（一期）蒸汽管道安装工程询比采购</t>
  </si>
  <si>
    <t>BZJSQ-20260403-0027</t>
  </si>
  <si>
    <t>26040709武汉开明投标--江西晶昊盐化有限公司盐钙车间自然通风冷却塔配水管道及部分填料更换工程询比采购</t>
  </si>
  <si>
    <t>BZJSQ-20260410-0028</t>
  </si>
  <si>
    <t>2026-04-10</t>
  </si>
  <si>
    <t>26041609湖北岚丹--双环公司筒仓新增包装线和装车线项目施工总承包询比采购项目</t>
  </si>
  <si>
    <t>BZJSQ-20260413-0029</t>
  </si>
  <si>
    <t>2026-04-13</t>
  </si>
  <si>
    <t>江苏省镔鑫钢铁集团有限公司</t>
  </si>
  <si>
    <t>26041414湖北岚丹--江苏省镔鑫钢铁集团有限公司炼钢厂2#转炉附属设备检修项目</t>
  </si>
  <si>
    <t>BZJSQ-20260424-0030</t>
  </si>
  <si>
    <t>2026-04-24</t>
  </si>
  <si>
    <t>26043015武汉开明投标--福建永安建福水泥有限公司回转窑托轮在线切削及托轮调整项目</t>
  </si>
  <si>
    <t>BZJSQ-20260427-0031</t>
  </si>
  <si>
    <t>2026-04-27</t>
  </si>
  <si>
    <t>26050608武汉开明投标--铜化集团回转窑传动齿轮装置调整（池州恒鑫材料科技有限公司）采购公告</t>
  </si>
  <si>
    <t>BZJSQ-20260506-0032</t>
  </si>
  <si>
    <t>2026-05-06</t>
  </si>
  <si>
    <t>新疆天山水泥有限责任公司</t>
  </si>
  <si>
    <t>26051211武汉开明投标--2026年阜康天山双窑轮带托轮在线修复外协施工项目</t>
  </si>
  <si>
    <t>BZJSQ-20260507-0033</t>
  </si>
  <si>
    <t>2026-05-07</t>
  </si>
  <si>
    <t>26050810湖北岚丹投标--应城市新都化工有限责任公司 联碱厂雨污分流项目采购公告</t>
  </si>
  <si>
    <t>BZJSQ-20260511-0034</t>
  </si>
  <si>
    <t>26051508武汉开明投标--江阴兴澄特种钢铁有限公司钙业分厂 2#回转窑轮带修理施工</t>
  </si>
  <si>
    <t>武汉开明投标--嘉施利(宜城)化肥有限公司选矿项目防腐保温工程采购项目</t>
  </si>
  <si>
    <t>保证金户湖北岚丹建设工程有限公司</t>
  </si>
  <si>
    <t>湖北岚丹投标--嘉施利(宜城)化肥有限公司选矿项目钢构工程项目</t>
  </si>
  <si>
    <t>BZJSQ-20260518-0035</t>
  </si>
  <si>
    <t>阳新弘盛 铜业有限公司</t>
  </si>
  <si>
    <t>26052109武汉开明投标--中色大冶弘盛铜业冷修项目-刮板输送机、干燥机检修服务项目</t>
  </si>
  <si>
    <t>BZJSQ-20260525-0036</t>
  </si>
  <si>
    <t>26052810湖北岚丹--孝感广盐华源制盐有限公司新建循环水池项目工程</t>
  </si>
  <si>
    <t>BZJSQ-20260526-0037</t>
  </si>
  <si>
    <t>BZJSQ-20260526-0038</t>
  </si>
  <si>
    <t>2026-05-26</t>
  </si>
  <si>
    <t>招标人名称：萍乡萍钢安源钢铁有限公司
开户银行：中国建设银行股份有限公司萍乡湘东支行
账号：36001752010052504776</t>
  </si>
  <si>
    <t>BZJSQ-20260527-0039</t>
  </si>
  <si>
    <t>2026-05-27</t>
  </si>
  <si>
    <t>成都云图控股股份有限公司	收款银行：	中信银行成都武成支行	收款账号：	8111001013501037340</t>
  </si>
  <si>
    <t>BZJSQ-20260608-0040</t>
  </si>
  <si>
    <t>孝感广盐华源制盐有限公司</t>
  </si>
  <si>
    <t>BZJSQ-20260609-0041</t>
  </si>
  <si>
    <t>2026-06-09</t>
  </si>
  <si>
    <t>26061310湖北岚丹投标--应城市新都化工有限责任公司合成公司日产1500吨大颗粒尿素项目土建工程</t>
  </si>
  <si>
    <t>BZJSQ-20260622-0042</t>
  </si>
  <si>
    <t>2026-06-22</t>
  </si>
  <si>
    <t>26062215江苏唐电投标-
-湖北双环科技股份有限公司5#锅炉汽水系统修复服务项目（二次）</t>
  </si>
  <si>
    <t>保证金回款明细表</t>
  </si>
  <si>
    <t>序列</t>
  </si>
  <si>
    <t>日期</t>
  </si>
  <si>
    <t>合同号</t>
  </si>
  <si>
    <t>回款类型</t>
  </si>
  <si>
    <t>回款金额（元）</t>
  </si>
  <si>
    <t>回款方式</t>
  </si>
  <si>
    <t>保证金编号</t>
  </si>
  <si>
    <t>退款退还编号</t>
  </si>
  <si>
    <t>林维转款（武汉浦发）</t>
  </si>
  <si>
    <t>武汉浦发</t>
  </si>
  <si>
    <t>BZJTH-20260126-0001</t>
  </si>
  <si>
    <t>BZJTH-20260128-0002</t>
  </si>
  <si>
    <t>BZJTH-20260128-0003</t>
  </si>
  <si>
    <t>BZJTH-20260128-0004</t>
  </si>
  <si>
    <t>BZJTH-20260128-0005</t>
  </si>
  <si>
    <t>BZJTH-20260128-0006</t>
  </si>
  <si>
    <t>BZJTH-20260128-0007</t>
  </si>
  <si>
    <t>BZJTH-20260128-0008</t>
  </si>
  <si>
    <t>BZJTH-20260128-0009</t>
  </si>
  <si>
    <t>BZJTH-20260128-0010</t>
  </si>
  <si>
    <t>BZJTH-20260128-0011</t>
  </si>
  <si>
    <t>BZJTH-20260128-0012</t>
  </si>
  <si>
    <t>湖北岚丹中信</t>
  </si>
  <si>
    <t>BZJTH-20260128-0013</t>
  </si>
  <si>
    <t>BZJTH-20260128-0014</t>
  </si>
  <si>
    <t>BZJTH-20260209-0015</t>
  </si>
  <si>
    <t>BZJTH-20260209-0016</t>
  </si>
  <si>
    <t>BZJTH-20260209-0017</t>
  </si>
  <si>
    <t>BZJTH-20260209-0018</t>
  </si>
  <si>
    <t>BZJTH-20260209-0019</t>
  </si>
  <si>
    <t>BZJTH-20260209-0020</t>
  </si>
  <si>
    <t>BZJTH-20260227-0021</t>
  </si>
  <si>
    <t>BZJTH-20260227-0022</t>
  </si>
  <si>
    <t>BZJTH-20260227-0023</t>
  </si>
  <si>
    <t>BZJTH-20260228-0024</t>
  </si>
  <si>
    <t>BZJTH-20260228-0025</t>
  </si>
  <si>
    <t>BZJTH-20260228-0026</t>
  </si>
  <si>
    <t>BZJTH-20260228-0027</t>
  </si>
  <si>
    <t>保证金</t>
  </si>
  <si>
    <t>BZJTH-20260310-0028</t>
  </si>
  <si>
    <t>BZJTH-20260314-0029</t>
  </si>
  <si>
    <t>BZJTH-20260314-0030</t>
  </si>
  <si>
    <t>ZJTH-20260316-0031</t>
  </si>
  <si>
    <t>BZJTH-20260318-0032</t>
  </si>
  <si>
    <t>BZJTH-20260325-0033</t>
  </si>
  <si>
    <t>BZJTH-20260407-0034</t>
  </si>
  <si>
    <t>BZJTH-20260407-0035</t>
  </si>
  <si>
    <t>BZJTH-20260409-0036</t>
  </si>
  <si>
    <t>BZJTH-20260414-0037</t>
  </si>
  <si>
    <t>BZJTH-20260414-0038</t>
  </si>
  <si>
    <t>BZJTH-20260414-0039</t>
  </si>
  <si>
    <t>BZJTH-20260414-0040</t>
  </si>
  <si>
    <t>BZJTH-20260414-0041</t>
  </si>
  <si>
    <t>BZJTH-20260414-0042</t>
  </si>
  <si>
    <t>BZJTH-20260420-0043</t>
  </si>
  <si>
    <t>BZJTH-20260428-0044</t>
  </si>
  <si>
    <t>BZJTH-20260429-0045</t>
  </si>
  <si>
    <t>BZJTH-20260429-0046</t>
  </si>
  <si>
    <t>BZJTH-20260507-0047</t>
  </si>
  <si>
    <t>BZJTH-20260514-0048</t>
  </si>
  <si>
    <t>BZJTH-20260514-0049</t>
  </si>
  <si>
    <t>BZJTH-20260522-0050</t>
  </si>
  <si>
    <t>BZJTH-20260528-0051</t>
  </si>
  <si>
    <t>BZJTH-20260611-0052</t>
  </si>
  <si>
    <t>BZJTH-20260617-0053</t>
  </si>
  <si>
    <t>BZJTH-20260617-0054</t>
  </si>
  <si>
    <t>BZJTH-20260618-0055</t>
  </si>
  <si>
    <t>BZJTH-20260623-0056</t>
  </si>
  <si>
    <t>BZJTH-20260623-0057</t>
  </si>
  <si>
    <t>BZJTH-20260629-0058</t>
  </si>
  <si>
    <t>BZJTH-20260629-0059</t>
  </si>
  <si>
    <t>合计：</t>
  </si>
  <si>
    <t>2021/3/24实际退款2900元</t>
  </si>
  <si>
    <t>BZJ-0128</t>
  </si>
  <si>
    <t>等殷总2022-2月过去，再落实一下</t>
  </si>
  <si>
    <t>2024.7.26</t>
  </si>
  <si>
    <t>BZJ-0657</t>
  </si>
  <si>
    <r>
      <rPr>
        <sz val="10"/>
        <color rgb="FF222222"/>
        <rFont val="Segoe UI"/>
        <charset val="134"/>
      </rPr>
      <t>2023</t>
    </r>
    <r>
      <rPr>
        <sz val="10"/>
        <color rgb="FF222222"/>
        <rFont val="宋体"/>
        <charset val="134"/>
      </rPr>
      <t>年</t>
    </r>
    <r>
      <rPr>
        <sz val="10"/>
        <color rgb="FF222222"/>
        <rFont val="Segoe UI"/>
        <charset val="134"/>
      </rPr>
      <t>7</t>
    </r>
    <r>
      <rPr>
        <sz val="10"/>
        <color rgb="FF222222"/>
        <rFont val="宋体"/>
        <charset val="134"/>
      </rPr>
      <t>月份设备维修外委项目</t>
    </r>
  </si>
  <si>
    <t>BZJ-0763</t>
  </si>
  <si>
    <t>BZJSQ-20240130-0026</t>
  </si>
  <si>
    <t>河南祥光电力集团有限公司 帮陪标，甲方已缴纳报名费用，费用打款给周奇，由周奇微信转给该单位。</t>
  </si>
  <si>
    <t>BZJSQ-20240412-0065</t>
  </si>
  <si>
    <t>BZJSQ-20240412-0066</t>
  </si>
  <si>
    <t>BZJSQ-20240417-0068</t>
  </si>
  <si>
    <t>2024.7.11</t>
  </si>
  <si>
    <t>青海发投碱业重碱车间钛材管线及阀门更换项目</t>
  </si>
  <si>
    <t>2024—2025年度回转窑检测及专业维修项目</t>
  </si>
  <si>
    <t>2024-06-25</t>
  </si>
  <si>
    <t>2024-06-26</t>
  </si>
  <si>
    <t>2024-06-27</t>
  </si>
  <si>
    <t>农民工保证金</t>
  </si>
  <si>
    <t>2024-07-01</t>
  </si>
  <si>
    <t>2024.8.19</t>
  </si>
  <si>
    <t>2024-07-19</t>
  </si>
  <si>
    <t>2024-07-24</t>
  </si>
  <si>
    <t>2024-07-26</t>
  </si>
  <si>
    <t>BZJSQ-          20240812-0095</t>
  </si>
  <si>
    <t>求和项:未退余额</t>
  </si>
  <si>
    <t>(空白)</t>
  </si>
  <si>
    <t>押金</t>
  </si>
  <si>
    <t>武汉开明高新科技有限公司</t>
  </si>
  <si>
    <t>台泥（英德）水泥有限公司</t>
  </si>
  <si>
    <t>光大环保危废处置（淄博）有限公司</t>
  </si>
  <si>
    <t>总计</t>
  </si>
  <si>
    <t>求和项:求和项:未退余额</t>
  </si>
  <si>
    <t>拿票来抵扣</t>
  </si>
  <si>
    <t>质保金</t>
  </si>
  <si>
    <t>10%-5%</t>
  </si>
  <si>
    <t>工程款里面</t>
  </si>
  <si>
    <t>表格</t>
  </si>
  <si>
    <t>红圈</t>
  </si>
  <si>
    <t>BZJSQ-20230614-0699</t>
  </si>
  <si>
    <t>BZJSQ-20230620-0706</t>
  </si>
  <si>
    <t>BZJSQ-20230707-0716</t>
  </si>
  <si>
    <t>BZJSQ-20230705-0714</t>
  </si>
  <si>
    <t>BZJSQ-20230804-0725</t>
  </si>
  <si>
    <t>BZJSQ-20230815-0729</t>
  </si>
  <si>
    <t>BZJSQ-20230912-0738</t>
  </si>
  <si>
    <t>BZJSQ-20230809-0726</t>
  </si>
  <si>
    <t>BZJSQ-20230925-0742</t>
  </si>
  <si>
    <t>BZJSQ-20231012-0746</t>
  </si>
  <si>
    <t>BZJSQ-20231016-0747</t>
  </si>
  <si>
    <t>BZJSQ-20231107-0753</t>
  </si>
  <si>
    <t>BZJSQ-20231126-0761</t>
  </si>
  <si>
    <t>BZJSQ-20231120-0758</t>
  </si>
  <si>
    <t>BZJSQ-20231128-0765</t>
  </si>
  <si>
    <t>BZJSQ-20231127-0762</t>
  </si>
  <si>
    <t>BZJSQ-20231128-0766</t>
  </si>
  <si>
    <t>BZJSQ-20231213-0781</t>
  </si>
  <si>
    <t>BZJSQ-20231213-0782</t>
  </si>
  <si>
    <t>BZJSQ-20231128-0764</t>
  </si>
  <si>
    <t>BZJSQ-20231129-0768</t>
  </si>
  <si>
    <t>BZJSQ-20231213-0783</t>
  </si>
  <si>
    <t>BZJSQ-20231201-0771</t>
  </si>
  <si>
    <t>BZJSQ-20231206-0775</t>
  </si>
  <si>
    <t>BZJSQ-20231206-0776</t>
  </si>
  <si>
    <t>BZJSQ-20231210-0779</t>
  </si>
  <si>
    <t>BZJSQ-20231212-0780</t>
  </si>
  <si>
    <t>BZJSQ-20231214-0784</t>
  </si>
  <si>
    <t>BZJSQ-20240204-0027</t>
  </si>
  <si>
    <t>212</t>
  </si>
  <si>
    <t>BZJSQ-20250217-0018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</si>
</sst>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17">
    <numFmt numFmtId="7" formatCode="&quot;￥&quot;#,##0.00;&quot;￥&quot;\-#,##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
    <numFmt numFmtId="177" formatCode="0.00_);[Red]\(0.00\)"/>
    <numFmt numFmtId="178" formatCode="#,##0.00_ ;[Red]\-#,##0.00\ "/>
    <numFmt numFmtId="179" formatCode="#,##0.00_);[Red]\(#,##0.00\)"/>
    <numFmt numFmtId="180" formatCode="#,##0.00_ "/>
    <numFmt numFmtId="181" formatCode="yyyy/m/d;@"/>
    <numFmt numFmtId="182" formatCode="0.00_ "/>
    <numFmt numFmtId="183" formatCode="&quot;￥&quot;#,##0.00_);[Red]\(&quot;￥&quot;#,##0.00\)"/>
    <numFmt numFmtId="184" formatCode="yyyy/mm/dd"/>
    <numFmt numFmtId="185" formatCode="yyyy\-mm\-dd;@"/>
    <numFmt numFmtId="186" formatCode="yyyy\-m\-d;@"/>
    <numFmt numFmtId="187" formatCode="[$-409]yyyy\-mm\-dd;@"/>
  </numFmts>
  <fonts count="55">
    <font>
      <sz val="11"/>
      <color theme="1"/>
      <name val="宋体"/>
      <charset val="134"/>
      <scheme val="minor"/>
    </font>
    <font>
      <sz val="11"/>
      <color indexed="8"/>
      <name val="宋体"/>
      <charset val="134"/>
      <scheme val="minor"/>
    </font>
    <font>
      <b/>
      <sz val="11"/>
      <color theme="1"/>
      <name val="宋体"/>
      <charset val="134"/>
      <scheme val="minor"/>
    </font>
    <font>
      <sz val="10"/>
      <name val="宋体"/>
      <charset val="134"/>
    </font>
    <font>
      <b/>
      <sz val="10"/>
      <name val="宋体"/>
      <charset val="134"/>
    </font>
    <font>
      <sz val="10"/>
      <color rgb="FFFF0000"/>
      <name val="宋体"/>
      <charset val="134"/>
    </font>
    <font>
      <sz val="10"/>
      <color theme="1"/>
      <name val="宋体"/>
      <charset val="134"/>
    </font>
    <font>
      <sz val="10"/>
      <color indexed="8"/>
      <name val="宋体"/>
      <charset val="134"/>
      <scheme val="minor"/>
    </font>
    <font>
      <sz val="10"/>
      <color rgb="FF7030A0"/>
      <name val="宋体"/>
      <charset val="134"/>
    </font>
    <font>
      <sz val="10"/>
      <color theme="1"/>
      <name val="宋体"/>
      <charset val="134"/>
      <scheme val="minor"/>
    </font>
    <font>
      <sz val="10"/>
      <color rgb="FF0000FF"/>
      <name val="宋体"/>
      <charset val="134"/>
    </font>
    <font>
      <sz val="10"/>
      <name val="宋体"/>
      <charset val="134"/>
      <scheme val="minor"/>
    </font>
    <font>
      <sz val="10"/>
      <color rgb="FF222222"/>
      <name val="宋体"/>
      <charset val="134"/>
    </font>
    <font>
      <sz val="10"/>
      <color rgb="FF222222"/>
      <name val="Segoe UI"/>
      <charset val="134"/>
    </font>
    <font>
      <sz val="10"/>
      <color rgb="FFFF0000"/>
      <name val="宋体"/>
      <charset val="134"/>
      <scheme val="minor"/>
    </font>
    <font>
      <sz val="10"/>
      <color indexed="63"/>
      <name val="宋体"/>
      <charset val="134"/>
    </font>
    <font>
      <sz val="10"/>
      <color rgb="FF1890FF"/>
      <name val="宋体"/>
      <charset val="134"/>
    </font>
    <font>
      <sz val="10"/>
      <name val="Segoe UI"/>
      <charset val="134"/>
    </font>
    <font>
      <sz val="10.5"/>
      <color theme="1"/>
      <name val="Segoe UI"/>
      <charset val="134"/>
    </font>
    <font>
      <b/>
      <sz val="16"/>
      <color theme="1"/>
      <name val="宋体"/>
      <charset val="134"/>
      <scheme val="minor"/>
    </font>
    <font>
      <sz val="11"/>
      <name val="宋体"/>
      <charset val="134"/>
      <scheme val="minor"/>
    </font>
    <font>
      <sz val="11"/>
      <color rgb="FF000000"/>
      <name val="宋体"/>
      <charset val="134"/>
    </font>
    <font>
      <sz val="10"/>
      <color rgb="FF000000"/>
      <name val="宋体"/>
      <charset val="134"/>
    </font>
    <font>
      <sz val="10.5"/>
      <color rgb="FF1890FF"/>
      <name val="Segoe UI"/>
      <charset val="134"/>
    </font>
    <font>
      <sz val="8"/>
      <name val="宋体"/>
      <charset val="134"/>
    </font>
    <font>
      <sz val="11"/>
      <name val="宋体"/>
      <charset val="134"/>
    </font>
    <font>
      <sz val="10.5"/>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222222"/>
      <name val="Segoe UI"/>
      <charset val="134"/>
    </font>
    <font>
      <sz val="12"/>
      <color rgb="FF222222"/>
      <name val="宋体"/>
      <charset val="134"/>
    </font>
    <font>
      <sz val="10"/>
      <color indexed="63"/>
      <name val="Segoe UI"/>
      <charset val="134"/>
    </font>
    <font>
      <sz val="10.5"/>
      <name val="Segoe UI"/>
      <charset val="134"/>
    </font>
    <font>
      <sz val="10.5"/>
      <name val="宋体"/>
      <charset val="134"/>
    </font>
    <font>
      <sz val="10"/>
      <color rgb="FFFF0000"/>
      <name val="Segoe UI"/>
      <charset val="134"/>
    </font>
    <font>
      <sz val="10.5"/>
      <color theme="1"/>
      <name val="宋体"/>
      <charset val="134"/>
    </font>
    <font>
      <sz val="9"/>
      <name val="宋体"/>
      <charset val="134"/>
    </font>
    <font>
      <b/>
      <sz val="9"/>
      <name val="宋体"/>
      <charset val="134"/>
    </font>
  </fonts>
  <fills count="41">
    <fill>
      <patternFill patternType="none"/>
    </fill>
    <fill>
      <patternFill patternType="gray125"/>
    </fill>
    <fill>
      <patternFill patternType="solid">
        <fgColor rgb="FFFFFF00"/>
        <bgColor indexed="64"/>
      </patternFill>
    </fill>
    <fill>
      <patternFill patternType="solid">
        <fgColor theme="4" tint="0.799981688894314"/>
        <bgColor theme="4" tint="0.799981688894314"/>
      </patternFill>
    </fill>
    <fill>
      <patternFill patternType="solid">
        <fgColor theme="0"/>
        <bgColor indexed="64"/>
      </patternFill>
    </fill>
    <fill>
      <patternFill patternType="solid">
        <fgColor theme="9"/>
        <bgColor indexed="64"/>
      </patternFill>
    </fill>
    <fill>
      <patternFill patternType="solid">
        <fgColor rgb="FFFF0000"/>
        <bgColor indexed="64"/>
      </patternFill>
    </fill>
    <fill>
      <patternFill patternType="solid">
        <fgColor indexed="9"/>
        <bgColor indexed="9"/>
      </patternFill>
    </fill>
    <fill>
      <patternFill patternType="solid">
        <fgColor theme="7" tint="0.799981688894314"/>
        <bgColor indexed="64"/>
      </patternFill>
    </fill>
    <fill>
      <patternFill patternType="solid">
        <fgColor theme="4" tint="0.799981688894314"/>
        <bgColor indexed="64"/>
      </patternFill>
    </fill>
    <fill>
      <patternFill patternType="solid">
        <fgColor theme="5"/>
        <bgColor indexed="64"/>
      </patternFill>
    </fill>
    <fill>
      <patternFill patternType="solid">
        <fgColor theme="4" tint="0.599993896298105"/>
        <bgColor indexed="64"/>
      </patternFill>
    </fill>
    <fill>
      <patternFill patternType="solid">
        <fgColor theme="6"/>
        <bgColor indexed="64"/>
      </patternFill>
    </fill>
    <fill>
      <patternFill patternType="solid">
        <fgColor theme="8" tint="0.6"/>
        <bgColor indexed="64"/>
      </patternFill>
    </fill>
    <fill>
      <patternFill patternType="solid">
        <fgColor rgb="FFFFFFFF"/>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right/>
      <top/>
      <bottom style="thin">
        <color theme="4" tint="0.399975585192419"/>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rgb="FF000000"/>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Border="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0" fillId="16" borderId="8"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9" applyNumberFormat="0" applyFill="0" applyAlignment="0" applyProtection="0">
      <alignment vertical="center"/>
    </xf>
    <xf numFmtId="0" fontId="33" fillId="0" borderId="9" applyNumberFormat="0" applyFill="0" applyAlignment="0" applyProtection="0">
      <alignment vertical="center"/>
    </xf>
    <xf numFmtId="0" fontId="34" fillId="0" borderId="10" applyNumberFormat="0" applyFill="0" applyAlignment="0" applyProtection="0">
      <alignment vertical="center"/>
    </xf>
    <xf numFmtId="0" fontId="34" fillId="0" borderId="0" applyNumberFormat="0" applyFill="0" applyBorder="0" applyAlignment="0" applyProtection="0">
      <alignment vertical="center"/>
    </xf>
    <xf numFmtId="0" fontId="35" fillId="17" borderId="11" applyNumberFormat="0" applyAlignment="0" applyProtection="0">
      <alignment vertical="center"/>
    </xf>
    <xf numFmtId="0" fontId="36" fillId="18" borderId="12" applyNumberFormat="0" applyAlignment="0" applyProtection="0">
      <alignment vertical="center"/>
    </xf>
    <xf numFmtId="0" fontId="37" fillId="18" borderId="11" applyNumberFormat="0" applyAlignment="0" applyProtection="0">
      <alignment vertical="center"/>
    </xf>
    <xf numFmtId="0" fontId="38" fillId="19" borderId="13" applyNumberFormat="0" applyAlignment="0" applyProtection="0">
      <alignment vertical="center"/>
    </xf>
    <xf numFmtId="0" fontId="39" fillId="0" borderId="14" applyNumberFormat="0" applyFill="0" applyAlignment="0" applyProtection="0">
      <alignment vertical="center"/>
    </xf>
    <xf numFmtId="0" fontId="40" fillId="0" borderId="15" applyNumberFormat="0" applyFill="0" applyAlignment="0" applyProtection="0">
      <alignment vertical="center"/>
    </xf>
    <xf numFmtId="0" fontId="41" fillId="20" borderId="0" applyNumberFormat="0" applyBorder="0" applyAlignment="0" applyProtection="0">
      <alignment vertical="center"/>
    </xf>
    <xf numFmtId="0" fontId="42" fillId="21" borderId="0" applyNumberFormat="0" applyBorder="0" applyAlignment="0" applyProtection="0">
      <alignment vertical="center"/>
    </xf>
    <xf numFmtId="0" fontId="43" fillId="22" borderId="0" applyNumberFormat="0" applyBorder="0" applyAlignment="0" applyProtection="0">
      <alignment vertical="center"/>
    </xf>
    <xf numFmtId="0" fontId="44" fillId="23" borderId="0" applyNumberFormat="0" applyBorder="0" applyAlignment="0" applyProtection="0">
      <alignment vertical="center"/>
    </xf>
    <xf numFmtId="0" fontId="45" fillId="9" borderId="0" applyNumberFormat="0" applyBorder="0" applyAlignment="0" applyProtection="0">
      <alignment vertical="center"/>
    </xf>
    <xf numFmtId="0" fontId="45" fillId="11" borderId="0" applyNumberFormat="0" applyBorder="0" applyAlignment="0" applyProtection="0">
      <alignment vertical="center"/>
    </xf>
    <xf numFmtId="0" fontId="44" fillId="24" borderId="0" applyNumberFormat="0" applyBorder="0" applyAlignment="0" applyProtection="0">
      <alignment vertical="center"/>
    </xf>
    <xf numFmtId="0" fontId="44" fillId="10" borderId="0" applyNumberFormat="0" applyBorder="0" applyAlignment="0" applyProtection="0">
      <alignment vertical="center"/>
    </xf>
    <xf numFmtId="0" fontId="45" fillId="25" borderId="0" applyNumberFormat="0" applyBorder="0" applyAlignment="0" applyProtection="0">
      <alignment vertical="center"/>
    </xf>
    <xf numFmtId="0" fontId="45" fillId="26" borderId="0" applyNumberFormat="0" applyBorder="0" applyAlignment="0" applyProtection="0">
      <alignment vertical="center"/>
    </xf>
    <xf numFmtId="0" fontId="44" fillId="27" borderId="0" applyNumberFormat="0" applyBorder="0" applyAlignment="0" applyProtection="0">
      <alignment vertical="center"/>
    </xf>
    <xf numFmtId="0" fontId="44" fillId="12"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5" fillId="8" borderId="0" applyNumberFormat="0" applyBorder="0" applyAlignment="0" applyProtection="0">
      <alignment vertical="center"/>
    </xf>
    <xf numFmtId="0" fontId="45" fillId="32" borderId="0" applyNumberFormat="0" applyBorder="0" applyAlignment="0" applyProtection="0">
      <alignment vertical="center"/>
    </xf>
    <xf numFmtId="0" fontId="44" fillId="33" borderId="0" applyNumberFormat="0" applyBorder="0" applyAlignment="0" applyProtection="0">
      <alignment vertical="center"/>
    </xf>
    <xf numFmtId="0" fontId="44" fillId="34" borderId="0" applyNumberFormat="0" applyBorder="0" applyAlignment="0" applyProtection="0">
      <alignment vertical="center"/>
    </xf>
    <xf numFmtId="0" fontId="45" fillId="35" borderId="0" applyNumberFormat="0" applyBorder="0" applyAlignment="0" applyProtection="0">
      <alignment vertical="center"/>
    </xf>
    <xf numFmtId="0" fontId="45" fillId="36" borderId="0" applyNumberFormat="0" applyBorder="0" applyAlignment="0" applyProtection="0">
      <alignment vertical="center"/>
    </xf>
    <xf numFmtId="0" fontId="44" fillId="37" borderId="0" applyNumberFormat="0" applyBorder="0" applyAlignment="0" applyProtection="0">
      <alignment vertical="center"/>
    </xf>
    <xf numFmtId="0" fontId="44" fillId="5" borderId="0" applyNumberFormat="0" applyBorder="0" applyAlignment="0" applyProtection="0">
      <alignment vertical="center"/>
    </xf>
    <xf numFmtId="0" fontId="45" fillId="38" borderId="0" applyNumberFormat="0" applyBorder="0" applyAlignment="0" applyProtection="0">
      <alignment vertical="center"/>
    </xf>
    <xf numFmtId="0" fontId="45" fillId="39" borderId="0" applyNumberFormat="0" applyBorder="0" applyAlignment="0" applyProtection="0">
      <alignment vertical="center"/>
    </xf>
    <xf numFmtId="0" fontId="44" fillId="40" borderId="0" applyNumberFormat="0" applyBorder="0" applyAlignment="0" applyProtection="0">
      <alignment vertical="center"/>
    </xf>
  </cellStyleXfs>
  <cellXfs count="369">
    <xf numFmtId="0" fontId="0" fillId="0" borderId="0" xfId="0">
      <alignment vertical="center"/>
    </xf>
    <xf numFmtId="0" fontId="0" fillId="0" borderId="0" xfId="0" applyNumberFormat="1">
      <alignment vertical="center"/>
    </xf>
    <xf numFmtId="0" fontId="1" fillId="0" borderId="1" xfId="0" applyFont="1" applyFill="1" applyBorder="1" applyAlignment="1">
      <alignment horizontal="left" vertical="center" wrapText="1"/>
    </xf>
    <xf numFmtId="0" fontId="0" fillId="2" borderId="0" xfId="0" applyFill="1">
      <alignment vertical="center"/>
    </xf>
    <xf numFmtId="0" fontId="0" fillId="0" borderId="0" xfId="0" applyAlignment="1">
      <alignment horizontal="center" vertical="center"/>
    </xf>
    <xf numFmtId="0" fontId="2" fillId="3" borderId="2" xfId="0" applyFont="1" applyFill="1" applyBorder="1" applyAlignment="1">
      <alignment horizontal="center" vertical="center"/>
    </xf>
    <xf numFmtId="0" fontId="2" fillId="3" borderId="2" xfId="0" applyFont="1" applyFill="1" applyBorder="1">
      <alignment vertical="center"/>
    </xf>
    <xf numFmtId="14" fontId="0" fillId="0" borderId="0" xfId="0" applyNumberFormat="1" applyAlignment="1">
      <alignment horizontal="center" vertical="center"/>
    </xf>
    <xf numFmtId="14" fontId="0" fillId="0" borderId="2" xfId="0" applyNumberFormat="1" applyFont="1" applyBorder="1" applyAlignment="1">
      <alignment horizontal="center" vertical="center"/>
    </xf>
    <xf numFmtId="0" fontId="0" fillId="0" borderId="0" xfId="0" applyFont="1">
      <alignment vertical="center"/>
    </xf>
    <xf numFmtId="0" fontId="0" fillId="0" borderId="2" xfId="0" applyFont="1" applyBorder="1">
      <alignment vertical="center"/>
    </xf>
    <xf numFmtId="14" fontId="0" fillId="0" borderId="0" xfId="0" applyNumberFormat="1" applyFont="1" applyAlignment="1">
      <alignment horizontal="center" vertical="center"/>
    </xf>
    <xf numFmtId="0" fontId="0" fillId="0" borderId="0" xfId="0" applyFont="1" applyAlignment="1">
      <alignment horizontal="center" vertical="center"/>
    </xf>
    <xf numFmtId="0" fontId="0" fillId="0" borderId="2" xfId="0" applyFont="1" applyBorder="1" applyAlignment="1">
      <alignment horizontal="center" vertical="center"/>
    </xf>
    <xf numFmtId="0" fontId="0" fillId="0" borderId="2" xfId="0" applyBorder="1">
      <alignment vertical="center"/>
    </xf>
    <xf numFmtId="14" fontId="0" fillId="0" borderId="0" xfId="0" applyNumberFormat="1">
      <alignment vertical="center"/>
    </xf>
    <xf numFmtId="43" fontId="0" fillId="0" borderId="0" xfId="0" applyNumberFormat="1">
      <alignment vertical="center"/>
    </xf>
    <xf numFmtId="0" fontId="3" fillId="0" borderId="0" xfId="0" applyFont="1" applyFill="1" applyAlignment="1">
      <alignment vertical="center"/>
    </xf>
    <xf numFmtId="0" fontId="4" fillId="0" borderId="0" xfId="0" applyFont="1" applyFill="1" applyAlignment="1">
      <alignment horizontal="center" vertical="center" wrapText="1"/>
    </xf>
    <xf numFmtId="0" fontId="5" fillId="0" borderId="0" xfId="0" applyFont="1" applyFill="1" applyAlignment="1">
      <alignment vertical="center"/>
    </xf>
    <xf numFmtId="0" fontId="3" fillId="0" borderId="0" xfId="0" applyFont="1" applyFill="1" applyAlignment="1">
      <alignment horizontal="center" vertical="center" wrapText="1"/>
    </xf>
    <xf numFmtId="0" fontId="6" fillId="0" borderId="0" xfId="0" applyFont="1" applyFill="1" applyAlignment="1">
      <alignment horizontal="center" vertical="center" wrapText="1"/>
    </xf>
    <xf numFmtId="0" fontId="5" fillId="0" borderId="0" xfId="0" applyFont="1" applyFill="1" applyAlignment="1">
      <alignment horizontal="center" vertical="center" wrapText="1"/>
    </xf>
    <xf numFmtId="0" fontId="3" fillId="4" borderId="0" xfId="0" applyFont="1" applyFill="1" applyAlignment="1">
      <alignment horizontal="center" vertical="center" wrapText="1"/>
    </xf>
    <xf numFmtId="0" fontId="3" fillId="4" borderId="0" xfId="0" applyFont="1" applyFill="1" applyAlignment="1">
      <alignment vertical="center"/>
    </xf>
    <xf numFmtId="0" fontId="3" fillId="2" borderId="0" xfId="0" applyFont="1" applyFill="1" applyAlignment="1">
      <alignment vertical="center"/>
    </xf>
    <xf numFmtId="0" fontId="3" fillId="5" borderId="0" xfId="0" applyFont="1" applyFill="1" applyAlignment="1">
      <alignment vertical="center"/>
    </xf>
    <xf numFmtId="0" fontId="7" fillId="0" borderId="0" xfId="0" applyFont="1" applyFill="1" applyAlignment="1">
      <alignment vertical="center"/>
    </xf>
    <xf numFmtId="0" fontId="7" fillId="2" borderId="0" xfId="0" applyFont="1" applyFill="1" applyAlignment="1">
      <alignment vertical="center"/>
    </xf>
    <xf numFmtId="0" fontId="7" fillId="4" borderId="0" xfId="0" applyFont="1" applyFill="1" applyAlignment="1">
      <alignment vertical="center"/>
    </xf>
    <xf numFmtId="0" fontId="3" fillId="0" borderId="0" xfId="0" applyFont="1" applyFill="1" applyAlignment="1">
      <alignment horizontal="center" vertical="center"/>
    </xf>
    <xf numFmtId="0" fontId="3" fillId="0" borderId="0" xfId="0" applyFont="1" applyFill="1" applyAlignment="1">
      <alignment horizontal="left" vertical="center"/>
    </xf>
    <xf numFmtId="176" fontId="3" fillId="0" borderId="0" xfId="0" applyNumberFormat="1" applyFont="1" applyFill="1" applyAlignment="1">
      <alignment horizontal="center" vertical="center"/>
    </xf>
    <xf numFmtId="177" fontId="3" fillId="0" borderId="0" xfId="0" applyNumberFormat="1" applyFont="1" applyFill="1" applyAlignment="1">
      <alignment horizontal="center" vertical="center"/>
    </xf>
    <xf numFmtId="178" fontId="3" fillId="0" borderId="0" xfId="0" applyNumberFormat="1" applyFont="1" applyFill="1" applyAlignment="1">
      <alignment horizontal="right" vertical="center"/>
    </xf>
    <xf numFmtId="179" fontId="3" fillId="0" borderId="0" xfId="0" applyNumberFormat="1" applyFont="1" applyFill="1" applyAlignment="1">
      <alignment horizontal="center" vertical="center"/>
    </xf>
    <xf numFmtId="180" fontId="3" fillId="4" borderId="0" xfId="0" applyNumberFormat="1" applyFont="1" applyFill="1" applyAlignment="1">
      <alignment horizontal="center" vertical="center"/>
    </xf>
    <xf numFmtId="181" fontId="3" fillId="0" borderId="0" xfId="0" applyNumberFormat="1" applyFont="1" applyFill="1" applyAlignment="1">
      <alignment horizontal="center" vertical="center"/>
    </xf>
    <xf numFmtId="0" fontId="3" fillId="0" borderId="0" xfId="0" applyFont="1" applyFill="1" applyAlignment="1">
      <alignment horizontal="left" vertical="center" wrapText="1"/>
    </xf>
    <xf numFmtId="176" fontId="4" fillId="0" borderId="0" xfId="0" applyNumberFormat="1" applyFont="1" applyFill="1" applyAlignment="1">
      <alignment vertical="center"/>
    </xf>
    <xf numFmtId="177" fontId="4" fillId="0" borderId="0" xfId="0" applyNumberFormat="1" applyFont="1" applyFill="1" applyAlignment="1">
      <alignment horizontal="left" vertical="center"/>
    </xf>
    <xf numFmtId="176" fontId="4" fillId="0" borderId="0" xfId="0" applyNumberFormat="1" applyFont="1" applyFill="1" applyAlignment="1">
      <alignment horizontal="center" vertical="center"/>
    </xf>
    <xf numFmtId="0" fontId="4" fillId="0" borderId="0" xfId="0" applyFont="1" applyFill="1" applyAlignment="1">
      <alignment horizontal="center" vertical="center"/>
    </xf>
    <xf numFmtId="182" fontId="4" fillId="0" borderId="0" xfId="0" applyNumberFormat="1" applyFont="1" applyFill="1" applyAlignment="1">
      <alignment horizontal="left" vertical="center"/>
    </xf>
    <xf numFmtId="0" fontId="4" fillId="0" borderId="0" xfId="0" applyFont="1" applyFill="1" applyAlignment="1">
      <alignment horizontal="left" vertical="center"/>
    </xf>
    <xf numFmtId="0" fontId="4" fillId="0" borderId="0" xfId="0" applyFont="1" applyFill="1" applyAlignment="1">
      <alignment horizontal="right" vertical="center"/>
    </xf>
    <xf numFmtId="179" fontId="4" fillId="0" borderId="0" xfId="0" applyNumberFormat="1" applyFont="1" applyFill="1" applyAlignment="1">
      <alignment horizontal="center" vertical="center"/>
    </xf>
    <xf numFmtId="180" fontId="4" fillId="4" borderId="0" xfId="0" applyNumberFormat="1" applyFont="1" applyFill="1" applyAlignment="1">
      <alignment horizontal="center" vertical="center"/>
    </xf>
    <xf numFmtId="181" fontId="4" fillId="0" borderId="0" xfId="0" applyNumberFormat="1" applyFont="1" applyFill="1" applyAlignment="1">
      <alignment horizontal="center" vertical="center"/>
    </xf>
    <xf numFmtId="0" fontId="4" fillId="0" borderId="0" xfId="0" applyFont="1" applyFill="1" applyAlignment="1">
      <alignment horizontal="left"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176" fontId="4" fillId="0" borderId="1" xfId="0" applyNumberFormat="1" applyFont="1" applyFill="1" applyBorder="1" applyAlignment="1">
      <alignment horizontal="center" vertical="center" wrapText="1"/>
    </xf>
    <xf numFmtId="177" fontId="4" fillId="0" borderId="1" xfId="0" applyNumberFormat="1" applyFont="1" applyFill="1" applyBorder="1" applyAlignment="1">
      <alignment horizontal="center" vertical="center" wrapText="1"/>
    </xf>
    <xf numFmtId="178" fontId="4" fillId="0" borderId="1" xfId="0" applyNumberFormat="1" applyFont="1" applyFill="1" applyBorder="1" applyAlignment="1">
      <alignment horizontal="center" vertical="center" wrapText="1"/>
    </xf>
    <xf numFmtId="179" fontId="4" fillId="0" borderId="1" xfId="0" applyNumberFormat="1" applyFont="1" applyFill="1" applyBorder="1" applyAlignment="1">
      <alignment horizontal="center" vertical="center" wrapText="1"/>
    </xf>
    <xf numFmtId="180" fontId="4" fillId="4" borderId="1" xfId="0" applyNumberFormat="1" applyFont="1" applyFill="1" applyBorder="1" applyAlignment="1">
      <alignment horizontal="center" vertical="center" wrapText="1"/>
    </xf>
    <xf numFmtId="181" fontId="4" fillId="0" borderId="1" xfId="0" applyNumberFormat="1" applyFont="1" applyFill="1" applyBorder="1" applyAlignment="1">
      <alignment horizontal="center" vertical="center" wrapText="1"/>
    </xf>
    <xf numFmtId="0" fontId="4" fillId="0" borderId="1" xfId="0" applyFont="1" applyFill="1" applyBorder="1" applyAlignment="1">
      <alignment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176" fontId="3" fillId="0" borderId="1" xfId="0" applyNumberFormat="1" applyFont="1" applyFill="1" applyBorder="1" applyAlignment="1">
      <alignment horizontal="center" vertical="center" wrapText="1"/>
    </xf>
    <xf numFmtId="177" fontId="3" fillId="0" borderId="1" xfId="0" applyNumberFormat="1" applyFont="1" applyFill="1" applyBorder="1" applyAlignment="1">
      <alignment horizontal="center" vertical="center" wrapText="1"/>
    </xf>
    <xf numFmtId="180" fontId="3" fillId="0" borderId="1" xfId="0" applyNumberFormat="1" applyFont="1" applyFill="1" applyBorder="1" applyAlignment="1">
      <alignment horizontal="left" vertical="center" wrapText="1"/>
    </xf>
    <xf numFmtId="178" fontId="3" fillId="0" borderId="1" xfId="0" applyNumberFormat="1" applyFont="1" applyFill="1" applyBorder="1" applyAlignment="1">
      <alignment horizontal="right" vertical="center" wrapText="1"/>
    </xf>
    <xf numFmtId="179" fontId="3" fillId="0" borderId="1" xfId="0" applyNumberFormat="1" applyFont="1" applyFill="1" applyBorder="1" applyAlignment="1">
      <alignment horizontal="center" vertical="center" wrapText="1"/>
    </xf>
    <xf numFmtId="14" fontId="3" fillId="0"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0" borderId="1" xfId="0" applyFont="1" applyFill="1" applyBorder="1" applyAlignment="1">
      <alignment vertical="center"/>
    </xf>
    <xf numFmtId="179" fontId="6" fillId="6" borderId="1" xfId="0" applyNumberFormat="1" applyFont="1" applyFill="1" applyBorder="1" applyAlignment="1">
      <alignment horizontal="center" vertical="center" wrapText="1"/>
    </xf>
    <xf numFmtId="179" fontId="3" fillId="6" borderId="1" xfId="0" applyNumberFormat="1" applyFont="1" applyFill="1" applyBorder="1" applyAlignment="1">
      <alignment horizontal="center" vertical="center" wrapText="1"/>
    </xf>
    <xf numFmtId="178" fontId="3" fillId="0" borderId="1" xfId="1" applyNumberFormat="1" applyFont="1" applyFill="1" applyBorder="1" applyAlignment="1">
      <alignment horizontal="right" vertical="center" wrapText="1"/>
    </xf>
    <xf numFmtId="0" fontId="3" fillId="0" borderId="1" xfId="0" applyFont="1" applyFill="1" applyBorder="1" applyAlignment="1">
      <alignment vertical="center" wrapText="1"/>
    </xf>
    <xf numFmtId="0" fontId="5" fillId="0" borderId="1" xfId="0" applyFont="1" applyFill="1" applyBorder="1" applyAlignment="1">
      <alignment vertical="center"/>
    </xf>
    <xf numFmtId="0" fontId="3" fillId="0" borderId="1" xfId="0" applyNumberFormat="1" applyFont="1" applyFill="1" applyBorder="1" applyAlignment="1">
      <alignment horizontal="left" vertical="center" wrapText="1"/>
    </xf>
    <xf numFmtId="0" fontId="8" fillId="0" borderId="1" xfId="0" applyFont="1" applyFill="1" applyBorder="1" applyAlignment="1">
      <alignment horizontal="center" vertical="center" wrapText="1"/>
    </xf>
    <xf numFmtId="178" fontId="9" fillId="0" borderId="1" xfId="0" applyNumberFormat="1" applyFont="1" applyFill="1" applyBorder="1" applyAlignment="1">
      <alignment horizontal="right" vertical="center" wrapText="1"/>
    </xf>
    <xf numFmtId="0" fontId="10" fillId="0" borderId="1" xfId="0" applyFont="1" applyFill="1" applyBorder="1" applyAlignment="1">
      <alignment horizontal="center" vertical="center" wrapText="1"/>
    </xf>
    <xf numFmtId="0" fontId="11" fillId="0" borderId="1" xfId="0" applyFont="1" applyFill="1" applyBorder="1" applyAlignment="1">
      <alignment horizontal="left" vertical="center" wrapText="1" shrinkToFit="1"/>
    </xf>
    <xf numFmtId="0" fontId="6"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176" fontId="6" fillId="0" borderId="1" xfId="0" applyNumberFormat="1" applyFont="1" applyFill="1" applyBorder="1" applyAlignment="1">
      <alignment horizontal="center" vertical="center" wrapText="1"/>
    </xf>
    <xf numFmtId="177" fontId="6" fillId="0" borderId="1" xfId="0" applyNumberFormat="1" applyFont="1" applyFill="1" applyBorder="1" applyAlignment="1">
      <alignment horizontal="center" vertical="center" wrapText="1"/>
    </xf>
    <xf numFmtId="14" fontId="6" fillId="0" borderId="1" xfId="0" applyNumberFormat="1" applyFont="1" applyFill="1" applyBorder="1" applyAlignment="1">
      <alignment horizontal="center" vertical="center" wrapText="1"/>
    </xf>
    <xf numFmtId="0" fontId="6" fillId="0" borderId="1" xfId="0" applyFont="1" applyFill="1" applyBorder="1" applyAlignment="1">
      <alignment horizontal="left" vertical="center" wrapText="1"/>
    </xf>
    <xf numFmtId="178" fontId="6" fillId="0" borderId="1" xfId="1" applyNumberFormat="1" applyFont="1" applyFill="1" applyBorder="1" applyAlignment="1">
      <alignment horizontal="right" vertical="center" wrapText="1"/>
    </xf>
    <xf numFmtId="179" fontId="6" fillId="0" borderId="1" xfId="0" applyNumberFormat="1" applyFont="1" applyFill="1" applyBorder="1" applyAlignment="1">
      <alignment horizontal="center" vertical="center" wrapText="1"/>
    </xf>
    <xf numFmtId="0" fontId="3" fillId="7" borderId="1" xfId="0" applyFont="1" applyFill="1" applyBorder="1" applyAlignment="1">
      <alignment horizontal="left" vertical="center" wrapText="1"/>
    </xf>
    <xf numFmtId="179" fontId="3" fillId="5" borderId="1" xfId="0" applyNumberFormat="1" applyFont="1" applyFill="1" applyBorder="1" applyAlignment="1">
      <alignment horizontal="center" vertical="center" wrapText="1"/>
    </xf>
    <xf numFmtId="0" fontId="9" fillId="0" borderId="1" xfId="0" applyFont="1" applyFill="1" applyBorder="1" applyAlignment="1">
      <alignment horizontal="center" vertical="center" wrapText="1"/>
    </xf>
    <xf numFmtId="0" fontId="9" fillId="0" borderId="1" xfId="0" applyFont="1" applyFill="1" applyBorder="1" applyAlignment="1">
      <alignment horizontal="center" vertical="center" wrapText="1" shrinkToFit="1"/>
    </xf>
    <xf numFmtId="0" fontId="11" fillId="0"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14" fontId="9" fillId="0" borderId="1" xfId="0" applyNumberFormat="1" applyFont="1" applyFill="1" applyBorder="1" applyAlignment="1">
      <alignment horizontal="center" vertical="center" wrapText="1"/>
    </xf>
    <xf numFmtId="177" fontId="3" fillId="0" borderId="1" xfId="0" applyNumberFormat="1" applyFont="1" applyFill="1" applyBorder="1" applyAlignment="1">
      <alignment horizontal="center" vertical="center"/>
    </xf>
    <xf numFmtId="181" fontId="3" fillId="0" borderId="1" xfId="0" applyNumberFormat="1" applyFont="1" applyFill="1" applyBorder="1" applyAlignment="1">
      <alignment horizontal="center" vertical="center" wrapText="1"/>
    </xf>
    <xf numFmtId="178" fontId="11" fillId="0" borderId="1" xfId="0" applyNumberFormat="1" applyFont="1" applyFill="1" applyBorder="1" applyAlignment="1">
      <alignment horizontal="right" vertical="center" wrapText="1"/>
    </xf>
    <xf numFmtId="7" fontId="11" fillId="0" borderId="1" xfId="0" applyNumberFormat="1" applyFont="1" applyFill="1" applyBorder="1" applyAlignment="1">
      <alignment horizontal="center" vertical="center" wrapText="1"/>
    </xf>
    <xf numFmtId="7" fontId="9" fillId="0" borderId="1" xfId="0" applyNumberFormat="1" applyFont="1" applyFill="1" applyBorder="1" applyAlignment="1">
      <alignment horizontal="center" vertical="center" wrapText="1"/>
    </xf>
    <xf numFmtId="177" fontId="5" fillId="0" borderId="1" xfId="0" applyNumberFormat="1" applyFont="1" applyFill="1" applyBorder="1" applyAlignment="1">
      <alignment horizontal="center" vertical="center" wrapText="1"/>
    </xf>
    <xf numFmtId="0" fontId="3" fillId="0" borderId="1" xfId="0" applyFont="1" applyFill="1" applyBorder="1" applyAlignment="1" applyProtection="1">
      <alignment horizontal="left" vertical="center" wrapText="1"/>
    </xf>
    <xf numFmtId="0" fontId="6" fillId="0" borderId="1" xfId="0" applyFont="1" applyFill="1" applyBorder="1" applyAlignment="1">
      <alignment horizontal="center" vertical="center"/>
    </xf>
    <xf numFmtId="0" fontId="3" fillId="0" borderId="1" xfId="0" applyNumberFormat="1" applyFont="1" applyFill="1" applyBorder="1" applyAlignment="1"/>
    <xf numFmtId="0" fontId="3" fillId="8" borderId="1" xfId="0" applyFont="1" applyFill="1" applyBorder="1" applyAlignment="1">
      <alignment horizontal="center" vertical="center" wrapText="1"/>
    </xf>
    <xf numFmtId="179" fontId="9" fillId="9" borderId="1" xfId="0" applyNumberFormat="1" applyFont="1" applyFill="1" applyBorder="1" applyAlignment="1">
      <alignment horizontal="center" vertical="center"/>
    </xf>
    <xf numFmtId="0" fontId="3" fillId="0" borderId="1" xfId="0" applyFont="1" applyFill="1" applyBorder="1" applyAlignment="1">
      <alignment horizontal="center" vertical="center"/>
    </xf>
    <xf numFmtId="0" fontId="3" fillId="0" borderId="1" xfId="0" applyNumberFormat="1" applyFont="1" applyFill="1" applyBorder="1" applyAlignment="1">
      <alignment horizontal="center" vertical="center" wrapText="1"/>
    </xf>
    <xf numFmtId="179" fontId="5" fillId="0" borderId="1" xfId="0" applyNumberFormat="1" applyFont="1" applyFill="1" applyBorder="1" applyAlignment="1">
      <alignment horizontal="center" vertical="center" wrapText="1"/>
    </xf>
    <xf numFmtId="0" fontId="9" fillId="0" borderId="1" xfId="0" applyFont="1" applyFill="1" applyBorder="1" applyAlignment="1">
      <alignment vertical="center" wrapText="1"/>
    </xf>
    <xf numFmtId="0" fontId="11" fillId="0" borderId="1" xfId="0" applyFont="1" applyFill="1" applyBorder="1" applyAlignment="1">
      <alignment horizontal="center" vertical="center" wrapText="1"/>
    </xf>
    <xf numFmtId="14" fontId="3" fillId="0" borderId="1" xfId="0" applyNumberFormat="1" applyFont="1" applyFill="1" applyBorder="1" applyAlignment="1">
      <alignment horizontal="left" vertical="center" wrapText="1"/>
    </xf>
    <xf numFmtId="179" fontId="9" fillId="0" borderId="1" xfId="0" applyNumberFormat="1" applyFont="1" applyFill="1" applyBorder="1" applyAlignment="1">
      <alignment horizontal="center" vertical="center" wrapText="1"/>
    </xf>
    <xf numFmtId="179" fontId="9" fillId="5" borderId="1" xfId="0" applyNumberFormat="1" applyFont="1" applyFill="1" applyBorder="1" applyAlignment="1">
      <alignment horizontal="center" vertical="center" wrapText="1"/>
    </xf>
    <xf numFmtId="0" fontId="3" fillId="6" borderId="1" xfId="0" applyFont="1" applyFill="1" applyBorder="1" applyAlignment="1">
      <alignment horizontal="center" vertical="center" wrapText="1"/>
    </xf>
    <xf numFmtId="176" fontId="3" fillId="0" borderId="1" xfId="0" applyNumberFormat="1" applyFont="1" applyFill="1" applyBorder="1" applyAlignment="1">
      <alignment horizontal="center" vertical="center"/>
    </xf>
    <xf numFmtId="14" fontId="3" fillId="0" borderId="1" xfId="0" applyNumberFormat="1" applyFont="1" applyFill="1" applyBorder="1" applyAlignment="1">
      <alignment horizontal="center" vertical="center"/>
    </xf>
    <xf numFmtId="178" fontId="9" fillId="0" borderId="1" xfId="0" applyNumberFormat="1" applyFont="1" applyFill="1" applyBorder="1" applyAlignment="1">
      <alignment horizontal="right" vertical="center"/>
    </xf>
    <xf numFmtId="179" fontId="9" fillId="0" borderId="1" xfId="0" applyNumberFormat="1" applyFont="1" applyFill="1" applyBorder="1" applyAlignment="1">
      <alignment horizontal="center" vertical="center"/>
    </xf>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176" fontId="3" fillId="4" borderId="1" xfId="0" applyNumberFormat="1" applyFont="1" applyFill="1" applyBorder="1" applyAlignment="1">
      <alignment horizontal="center" vertical="center"/>
    </xf>
    <xf numFmtId="177" fontId="3" fillId="4" borderId="1" xfId="0" applyNumberFormat="1" applyFont="1" applyFill="1" applyBorder="1" applyAlignment="1">
      <alignment horizontal="center" vertical="center" wrapText="1"/>
    </xf>
    <xf numFmtId="14" fontId="3" fillId="4" borderId="1" xfId="0" applyNumberFormat="1" applyFont="1" applyFill="1" applyBorder="1" applyAlignment="1">
      <alignment horizontal="center" vertical="center"/>
    </xf>
    <xf numFmtId="14" fontId="3" fillId="4" borderId="1" xfId="0" applyNumberFormat="1" applyFont="1" applyFill="1" applyBorder="1" applyAlignment="1">
      <alignment horizontal="center" vertical="center" wrapText="1"/>
    </xf>
    <xf numFmtId="0" fontId="9" fillId="4" borderId="1" xfId="0" applyFont="1" applyFill="1" applyBorder="1" applyAlignment="1">
      <alignment horizontal="center" vertical="center" wrapText="1"/>
    </xf>
    <xf numFmtId="0" fontId="3" fillId="2" borderId="1" xfId="0" applyFont="1" applyFill="1" applyBorder="1" applyAlignment="1" applyProtection="1">
      <alignment horizontal="left" vertical="center" wrapText="1"/>
    </xf>
    <xf numFmtId="180" fontId="3" fillId="4" borderId="1" xfId="0" applyNumberFormat="1" applyFont="1" applyFill="1" applyBorder="1" applyAlignment="1">
      <alignment horizontal="left" vertical="center" wrapText="1"/>
    </xf>
    <xf numFmtId="178" fontId="9" fillId="4" borderId="1" xfId="0" applyNumberFormat="1" applyFont="1" applyFill="1" applyBorder="1" applyAlignment="1">
      <alignment horizontal="right" vertical="center"/>
    </xf>
    <xf numFmtId="179" fontId="9" fillId="4" borderId="1" xfId="0" applyNumberFormat="1" applyFont="1" applyFill="1" applyBorder="1" applyAlignment="1">
      <alignment horizontal="center" vertical="center"/>
    </xf>
    <xf numFmtId="176" fontId="3" fillId="4" borderId="1" xfId="0" applyNumberFormat="1" applyFont="1" applyFill="1" applyBorder="1" applyAlignment="1">
      <alignment horizontal="center" vertical="center" wrapText="1"/>
    </xf>
    <xf numFmtId="0" fontId="3" fillId="4" borderId="1" xfId="0" applyFont="1" applyFill="1" applyBorder="1" applyAlignment="1">
      <alignment vertical="center"/>
    </xf>
    <xf numFmtId="0" fontId="3" fillId="4" borderId="1" xfId="0" applyFont="1" applyFill="1" applyBorder="1" applyAlignment="1">
      <alignment horizontal="center" vertical="center"/>
    </xf>
    <xf numFmtId="0" fontId="9" fillId="0" borderId="1" xfId="0" applyFont="1" applyFill="1" applyBorder="1" applyAlignment="1">
      <alignment horizontal="center" vertical="center"/>
    </xf>
    <xf numFmtId="179" fontId="9" fillId="0" borderId="1" xfId="0" applyNumberFormat="1" applyFont="1" applyFill="1" applyBorder="1" applyAlignment="1">
      <alignment horizontal="right" vertical="center"/>
    </xf>
    <xf numFmtId="179" fontId="9" fillId="5" borderId="1" xfId="0" applyNumberFormat="1" applyFont="1" applyFill="1" applyBorder="1" applyAlignment="1">
      <alignment horizontal="center" vertical="center"/>
    </xf>
    <xf numFmtId="0" fontId="9" fillId="4" borderId="1" xfId="0" applyFont="1" applyFill="1" applyBorder="1" applyAlignment="1">
      <alignment horizontal="center" vertical="center"/>
    </xf>
    <xf numFmtId="0" fontId="3" fillId="8" borderId="1" xfId="0" applyFont="1" applyFill="1" applyBorder="1" applyAlignment="1">
      <alignment horizontal="center" vertical="center"/>
    </xf>
    <xf numFmtId="180" fontId="9" fillId="0" borderId="1" xfId="0" applyNumberFormat="1" applyFont="1" applyFill="1" applyBorder="1" applyAlignment="1">
      <alignment horizontal="center" vertical="center"/>
    </xf>
    <xf numFmtId="180" fontId="9" fillId="5" borderId="1" xfId="0" applyNumberFormat="1" applyFont="1" applyFill="1" applyBorder="1" applyAlignment="1">
      <alignment horizontal="center" vertical="center"/>
    </xf>
    <xf numFmtId="180" fontId="9" fillId="0" borderId="1" xfId="0" applyNumberFormat="1" applyFont="1" applyFill="1" applyBorder="1" applyAlignment="1">
      <alignment horizontal="right" vertical="center"/>
    </xf>
    <xf numFmtId="180" fontId="9" fillId="4" borderId="1" xfId="0" applyNumberFormat="1" applyFont="1" applyFill="1" applyBorder="1" applyAlignment="1">
      <alignment horizontal="center" vertical="center"/>
    </xf>
    <xf numFmtId="178" fontId="9" fillId="10" borderId="1" xfId="0" applyNumberFormat="1" applyFont="1" applyFill="1" applyBorder="1" applyAlignment="1">
      <alignment horizontal="right" vertical="center"/>
    </xf>
    <xf numFmtId="176" fontId="3" fillId="0" borderId="1" xfId="0" applyNumberFormat="1" applyFont="1" applyFill="1" applyBorder="1" applyAlignment="1">
      <alignment horizontal="left" vertical="center" wrapText="1"/>
    </xf>
    <xf numFmtId="0" fontId="3" fillId="6" borderId="1" xfId="0" applyFont="1" applyFill="1" applyBorder="1" applyAlignment="1">
      <alignment horizontal="center" vertical="center"/>
    </xf>
    <xf numFmtId="181" fontId="3" fillId="0" borderId="1" xfId="0" applyNumberFormat="1" applyFont="1" applyFill="1" applyBorder="1" applyAlignment="1">
      <alignment horizontal="center" vertical="center"/>
    </xf>
    <xf numFmtId="0" fontId="3" fillId="4" borderId="1" xfId="0" applyFont="1" applyFill="1" applyBorder="1" applyAlignment="1">
      <alignment vertical="center" wrapText="1"/>
    </xf>
    <xf numFmtId="0" fontId="12" fillId="0" borderId="1" xfId="0" applyFont="1" applyFill="1" applyBorder="1" applyAlignment="1">
      <alignment horizontal="left" vertical="center"/>
    </xf>
    <xf numFmtId="0" fontId="13" fillId="0" borderId="1" xfId="0" applyFont="1" applyFill="1" applyBorder="1" applyAlignment="1">
      <alignment vertical="center"/>
    </xf>
    <xf numFmtId="0" fontId="12" fillId="0" borderId="1" xfId="0" applyFont="1" applyFill="1" applyBorder="1" applyAlignment="1">
      <alignment vertical="center"/>
    </xf>
    <xf numFmtId="180" fontId="9" fillId="6" borderId="1" xfId="0" applyNumberFormat="1" applyFont="1" applyFill="1" applyBorder="1" applyAlignment="1">
      <alignment horizontal="center" vertical="center"/>
    </xf>
    <xf numFmtId="0" fontId="3" fillId="6" borderId="1" xfId="0" applyFont="1" applyFill="1" applyBorder="1" applyAlignment="1">
      <alignment vertical="center"/>
    </xf>
    <xf numFmtId="0" fontId="14" fillId="0" borderId="1" xfId="0" applyFont="1" applyFill="1" applyBorder="1" applyAlignment="1">
      <alignment horizontal="center" vertical="center" wrapText="1"/>
    </xf>
    <xf numFmtId="0" fontId="15" fillId="0" borderId="1" xfId="0" applyFont="1" applyFill="1" applyBorder="1" applyAlignment="1">
      <alignment vertical="center" wrapText="1"/>
    </xf>
    <xf numFmtId="176" fontId="3" fillId="0" borderId="1" xfId="0" applyNumberFormat="1" applyFont="1" applyFill="1" applyBorder="1" applyAlignment="1">
      <alignment vertical="center"/>
    </xf>
    <xf numFmtId="179" fontId="9" fillId="2" borderId="1" xfId="0" applyNumberFormat="1" applyFont="1" applyFill="1" applyBorder="1" applyAlignment="1">
      <alignment horizontal="center" vertical="center"/>
    </xf>
    <xf numFmtId="179" fontId="9" fillId="11" borderId="1" xfId="0" applyNumberFormat="1" applyFont="1" applyFill="1" applyBorder="1" applyAlignment="1">
      <alignment horizontal="center" vertical="center"/>
    </xf>
    <xf numFmtId="14" fontId="3" fillId="0" borderId="1" xfId="0" applyNumberFormat="1" applyFont="1" applyFill="1" applyBorder="1" applyAlignment="1">
      <alignment vertical="center"/>
    </xf>
    <xf numFmtId="178" fontId="9" fillId="11" borderId="1" xfId="0" applyNumberFormat="1" applyFont="1" applyFill="1" applyBorder="1" applyAlignment="1">
      <alignment horizontal="right" vertical="center"/>
    </xf>
    <xf numFmtId="0" fontId="11" fillId="0" borderId="1" xfId="0" applyFont="1" applyFill="1" applyBorder="1" applyAlignment="1">
      <alignment horizontal="center" vertical="center"/>
    </xf>
    <xf numFmtId="180" fontId="3" fillId="2" borderId="1" xfId="0" applyNumberFormat="1" applyFont="1" applyFill="1" applyBorder="1" applyAlignment="1">
      <alignment horizontal="left" vertical="center" wrapText="1"/>
    </xf>
    <xf numFmtId="178" fontId="11" fillId="0" borderId="1" xfId="0" applyNumberFormat="1" applyFont="1" applyFill="1" applyBorder="1" applyAlignment="1">
      <alignment horizontal="right" vertical="center"/>
    </xf>
    <xf numFmtId="179" fontId="11" fillId="0" borderId="1" xfId="0" applyNumberFormat="1" applyFont="1" applyFill="1" applyBorder="1" applyAlignment="1">
      <alignment horizontal="center" vertical="center"/>
    </xf>
    <xf numFmtId="180" fontId="11" fillId="0" borderId="1" xfId="0" applyNumberFormat="1" applyFont="1" applyFill="1" applyBorder="1" applyAlignment="1">
      <alignment horizontal="center" vertical="center"/>
    </xf>
    <xf numFmtId="178" fontId="9" fillId="9" borderId="1" xfId="0" applyNumberFormat="1" applyFont="1" applyFill="1" applyBorder="1" applyAlignment="1">
      <alignment horizontal="right" vertical="center"/>
    </xf>
    <xf numFmtId="180" fontId="9" fillId="11" borderId="1" xfId="0" applyNumberFormat="1" applyFont="1" applyFill="1" applyBorder="1" applyAlignment="1">
      <alignment horizontal="right" vertical="center"/>
    </xf>
    <xf numFmtId="0" fontId="7" fillId="0" borderId="1" xfId="0" applyFont="1" applyFill="1" applyBorder="1" applyAlignment="1">
      <alignment horizontal="left" vertical="center" wrapText="1"/>
    </xf>
    <xf numFmtId="180" fontId="11" fillId="4" borderId="1" xfId="0" applyNumberFormat="1" applyFont="1" applyFill="1" applyBorder="1" applyAlignment="1">
      <alignment horizontal="center" vertical="center"/>
    </xf>
    <xf numFmtId="178" fontId="9" fillId="2" borderId="1" xfId="0" applyNumberFormat="1" applyFont="1" applyFill="1" applyBorder="1" applyAlignment="1">
      <alignment horizontal="right" vertical="center"/>
    </xf>
    <xf numFmtId="0" fontId="16" fillId="0" borderId="1" xfId="0" applyFont="1" applyFill="1" applyBorder="1" applyAlignment="1">
      <alignment vertical="center"/>
    </xf>
    <xf numFmtId="0" fontId="3" fillId="2" borderId="1" xfId="0" applyFont="1" applyFill="1" applyBorder="1" applyAlignment="1">
      <alignment horizontal="left" vertical="center" wrapText="1"/>
    </xf>
    <xf numFmtId="176" fontId="3" fillId="2" borderId="1" xfId="0" applyNumberFormat="1" applyFont="1" applyFill="1" applyBorder="1" applyAlignment="1">
      <alignment vertical="center"/>
    </xf>
    <xf numFmtId="177" fontId="3" fillId="2" borderId="1" xfId="0" applyNumberFormat="1" applyFont="1" applyFill="1" applyBorder="1" applyAlignment="1">
      <alignment horizontal="center" vertical="center" wrapText="1"/>
    </xf>
    <xf numFmtId="14" fontId="3" fillId="2" borderId="1" xfId="0" applyNumberFormat="1" applyFont="1" applyFill="1" applyBorder="1" applyAlignment="1">
      <alignment horizontal="center" vertical="center"/>
    </xf>
    <xf numFmtId="0" fontId="9"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9" fillId="2" borderId="1" xfId="0" applyFont="1" applyFill="1" applyBorder="1" applyAlignment="1">
      <alignment horizontal="center" vertical="center" wrapText="1"/>
    </xf>
    <xf numFmtId="0" fontId="3" fillId="2" borderId="1" xfId="0" applyFont="1" applyFill="1" applyBorder="1" applyAlignment="1">
      <alignment vertical="center" wrapText="1"/>
    </xf>
    <xf numFmtId="0" fontId="3" fillId="2" borderId="1" xfId="0" applyFont="1" applyFill="1" applyBorder="1" applyAlignment="1">
      <alignment vertical="center"/>
    </xf>
    <xf numFmtId="178" fontId="9" fillId="12" borderId="1" xfId="0" applyNumberFormat="1" applyFont="1" applyFill="1" applyBorder="1" applyAlignment="1">
      <alignment horizontal="right" vertical="center"/>
    </xf>
    <xf numFmtId="0" fontId="3" fillId="5" borderId="1" xfId="0" applyFont="1" applyFill="1" applyBorder="1" applyAlignment="1">
      <alignment horizontal="center" vertical="center" wrapText="1"/>
    </xf>
    <xf numFmtId="0" fontId="7" fillId="5" borderId="1" xfId="0" applyFont="1" applyFill="1" applyBorder="1" applyAlignment="1">
      <alignment horizontal="left" vertical="center" wrapText="1"/>
    </xf>
    <xf numFmtId="176" fontId="3" fillId="5" borderId="1" xfId="0" applyNumberFormat="1" applyFont="1" applyFill="1" applyBorder="1" applyAlignment="1">
      <alignment vertical="center"/>
    </xf>
    <xf numFmtId="14" fontId="3" fillId="5" borderId="1" xfId="0" applyNumberFormat="1" applyFont="1" applyFill="1" applyBorder="1" applyAlignment="1">
      <alignment horizontal="center" vertical="center"/>
    </xf>
    <xf numFmtId="0" fontId="9" fillId="5" borderId="1" xfId="0" applyFont="1" applyFill="1" applyBorder="1" applyAlignment="1">
      <alignment horizontal="center" vertical="center"/>
    </xf>
    <xf numFmtId="0" fontId="3" fillId="5" borderId="1" xfId="0" applyFont="1" applyFill="1" applyBorder="1" applyAlignment="1" applyProtection="1">
      <alignment horizontal="left" vertical="center" wrapText="1"/>
    </xf>
    <xf numFmtId="178" fontId="11" fillId="5" borderId="1" xfId="0" applyNumberFormat="1" applyFont="1" applyFill="1" applyBorder="1" applyAlignment="1">
      <alignment horizontal="right" vertical="center"/>
    </xf>
    <xf numFmtId="0" fontId="3" fillId="5" borderId="1" xfId="0" applyFont="1" applyFill="1" applyBorder="1" applyAlignment="1">
      <alignment horizontal="center" vertical="center"/>
    </xf>
    <xf numFmtId="0" fontId="9" fillId="5" borderId="1" xfId="0" applyFont="1" applyFill="1" applyBorder="1" applyAlignment="1">
      <alignment horizontal="center" vertical="center" wrapText="1"/>
    </xf>
    <xf numFmtId="181" fontId="3" fillId="5" borderId="1" xfId="0" applyNumberFormat="1" applyFont="1" applyFill="1" applyBorder="1" applyAlignment="1">
      <alignment horizontal="center" vertical="center"/>
    </xf>
    <xf numFmtId="176" fontId="3" fillId="5" borderId="1" xfId="0" applyNumberFormat="1" applyFont="1" applyFill="1" applyBorder="1" applyAlignment="1">
      <alignment horizontal="center" vertical="center" wrapText="1"/>
    </xf>
    <xf numFmtId="0" fontId="3" fillId="5" borderId="1" xfId="0" applyFont="1" applyFill="1" applyBorder="1" applyAlignment="1">
      <alignment vertical="center"/>
    </xf>
    <xf numFmtId="0" fontId="3" fillId="5" borderId="1" xfId="0" applyFont="1" applyFill="1" applyBorder="1" applyAlignment="1">
      <alignment vertical="center" wrapText="1"/>
    </xf>
    <xf numFmtId="178" fontId="9" fillId="11" borderId="1" xfId="0" applyNumberFormat="1" applyFont="1" applyFill="1" applyBorder="1" applyAlignment="1">
      <alignment horizontal="center" vertical="center"/>
    </xf>
    <xf numFmtId="178" fontId="11" fillId="11" borderId="1" xfId="0" applyNumberFormat="1" applyFont="1" applyFill="1" applyBorder="1" applyAlignment="1">
      <alignment horizontal="right" vertical="center"/>
    </xf>
    <xf numFmtId="0" fontId="11" fillId="2" borderId="1" xfId="0" applyFont="1" applyFill="1" applyBorder="1" applyAlignment="1">
      <alignment horizontal="left" vertical="center" wrapText="1"/>
    </xf>
    <xf numFmtId="0" fontId="11" fillId="2" borderId="1" xfId="0" applyFont="1" applyFill="1" applyBorder="1" applyAlignment="1">
      <alignment horizontal="center" vertical="center"/>
    </xf>
    <xf numFmtId="178" fontId="11" fillId="2" borderId="1" xfId="0" applyNumberFormat="1" applyFont="1" applyFill="1" applyBorder="1" applyAlignment="1">
      <alignment horizontal="right" vertical="center"/>
    </xf>
    <xf numFmtId="0" fontId="11" fillId="2" borderId="1" xfId="0" applyFont="1" applyFill="1" applyBorder="1" applyAlignment="1">
      <alignment horizontal="center" vertical="center" wrapText="1"/>
    </xf>
    <xf numFmtId="179" fontId="11" fillId="2" borderId="1" xfId="0" applyNumberFormat="1" applyFont="1" applyFill="1" applyBorder="1" applyAlignment="1">
      <alignment horizontal="center" vertical="center"/>
    </xf>
    <xf numFmtId="180" fontId="11" fillId="2" borderId="1" xfId="0" applyNumberFormat="1" applyFont="1" applyFill="1" applyBorder="1" applyAlignment="1">
      <alignment horizontal="center" vertical="center"/>
    </xf>
    <xf numFmtId="176" fontId="3" fillId="2" borderId="1" xfId="0" applyNumberFormat="1" applyFont="1" applyFill="1" applyBorder="1" applyAlignment="1">
      <alignment horizontal="center" vertical="center" wrapText="1"/>
    </xf>
    <xf numFmtId="0" fontId="7" fillId="0" borderId="1" xfId="0" applyFont="1" applyFill="1" applyBorder="1" applyAlignment="1">
      <alignment vertical="center"/>
    </xf>
    <xf numFmtId="14" fontId="7" fillId="0" borderId="1" xfId="0" applyNumberFormat="1" applyFont="1" applyFill="1" applyBorder="1" applyAlignment="1">
      <alignment horizontal="left" vertical="center" wrapText="1"/>
    </xf>
    <xf numFmtId="0" fontId="7" fillId="2" borderId="1" xfId="0" applyFont="1" applyFill="1" applyBorder="1" applyAlignment="1">
      <alignment horizontal="right" vertical="center" wrapText="1"/>
    </xf>
    <xf numFmtId="0" fontId="7" fillId="0" borderId="1" xfId="0" applyFont="1" applyFill="1" applyBorder="1" applyAlignment="1">
      <alignment horizontal="center" vertical="center" wrapText="1"/>
    </xf>
    <xf numFmtId="181" fontId="7" fillId="0" borderId="1" xfId="0" applyNumberFormat="1" applyFont="1" applyFill="1" applyBorder="1" applyAlignment="1">
      <alignment horizontal="right" vertical="center" wrapText="1"/>
    </xf>
    <xf numFmtId="0" fontId="7" fillId="0" borderId="1" xfId="0" applyFont="1" applyFill="1" applyBorder="1" applyAlignment="1">
      <alignment horizontal="right" vertical="center" wrapText="1"/>
    </xf>
    <xf numFmtId="181" fontId="7" fillId="2" borderId="1" xfId="0" applyNumberFormat="1" applyFont="1" applyFill="1" applyBorder="1" applyAlignment="1">
      <alignment horizontal="right" vertical="center" wrapText="1"/>
    </xf>
    <xf numFmtId="57" fontId="7" fillId="2" borderId="1" xfId="0" applyNumberFormat="1" applyFont="1" applyFill="1" applyBorder="1" applyAlignment="1">
      <alignment horizontal="left" vertical="center" wrapText="1"/>
    </xf>
    <xf numFmtId="14" fontId="7" fillId="4" borderId="1" xfId="0" applyNumberFormat="1" applyFont="1" applyFill="1" applyBorder="1" applyAlignment="1">
      <alignment horizontal="left" vertical="center" wrapText="1"/>
    </xf>
    <xf numFmtId="0" fontId="7" fillId="4" borderId="1" xfId="0" applyFont="1" applyFill="1" applyBorder="1" applyAlignment="1">
      <alignment horizontal="left" vertical="center" wrapText="1"/>
    </xf>
    <xf numFmtId="0" fontId="7" fillId="2" borderId="1" xfId="0" applyFont="1" applyFill="1" applyBorder="1" applyAlignment="1">
      <alignment vertical="center"/>
    </xf>
    <xf numFmtId="0" fontId="7" fillId="2" borderId="1" xfId="0" applyFont="1" applyFill="1" applyBorder="1" applyAlignment="1">
      <alignment horizontal="left" vertical="center" wrapText="1"/>
    </xf>
    <xf numFmtId="0" fontId="7" fillId="2" borderId="1" xfId="0" applyFont="1" applyFill="1" applyBorder="1" applyAlignment="1">
      <alignment horizontal="center" vertical="center" wrapText="1"/>
    </xf>
    <xf numFmtId="180" fontId="9" fillId="2" borderId="1" xfId="0" applyNumberFormat="1" applyFont="1" applyFill="1" applyBorder="1" applyAlignment="1">
      <alignment horizontal="center" vertical="center"/>
    </xf>
    <xf numFmtId="58" fontId="7" fillId="4" borderId="1" xfId="0" applyNumberFormat="1" applyFont="1" applyFill="1" applyBorder="1" applyAlignment="1">
      <alignment horizontal="left" vertical="center" wrapText="1"/>
    </xf>
    <xf numFmtId="0" fontId="7" fillId="4" borderId="1" xfId="0" applyFont="1" applyFill="1" applyBorder="1" applyAlignment="1">
      <alignment vertical="center"/>
    </xf>
    <xf numFmtId="176" fontId="3" fillId="4" borderId="1" xfId="0" applyNumberFormat="1" applyFont="1" applyFill="1" applyBorder="1" applyAlignment="1">
      <alignment vertical="center"/>
    </xf>
    <xf numFmtId="0" fontId="7" fillId="4" borderId="1" xfId="0" applyFont="1" applyFill="1" applyBorder="1" applyAlignment="1">
      <alignment horizontal="right" vertical="center" wrapText="1"/>
    </xf>
    <xf numFmtId="0" fontId="7" fillId="4" borderId="1" xfId="0" applyFont="1" applyFill="1" applyBorder="1" applyAlignment="1">
      <alignment horizontal="center" vertical="center" wrapText="1"/>
    </xf>
    <xf numFmtId="181" fontId="7" fillId="4" borderId="1" xfId="0" applyNumberFormat="1" applyFont="1" applyFill="1" applyBorder="1" applyAlignment="1">
      <alignment horizontal="right" vertical="center" wrapText="1"/>
    </xf>
    <xf numFmtId="0" fontId="7" fillId="13" borderId="1" xfId="0" applyFont="1" applyFill="1" applyBorder="1" applyAlignment="1">
      <alignment horizontal="left" vertical="center" wrapText="1"/>
    </xf>
    <xf numFmtId="0" fontId="17" fillId="14" borderId="1" xfId="0" applyFont="1" applyFill="1" applyBorder="1" applyAlignment="1">
      <alignment vertical="center" wrapText="1"/>
    </xf>
    <xf numFmtId="0" fontId="18" fillId="0" borderId="1" xfId="0" applyFont="1" applyBorder="1">
      <alignment vertical="center"/>
    </xf>
    <xf numFmtId="180" fontId="9" fillId="13" borderId="1" xfId="0" applyNumberFormat="1" applyFont="1" applyFill="1" applyBorder="1" applyAlignment="1">
      <alignment horizontal="center" vertical="center"/>
    </xf>
    <xf numFmtId="0" fontId="0" fillId="2" borderId="0" xfId="0" applyFill="1" applyAlignment="1">
      <alignment horizontal="center" vertical="center"/>
    </xf>
    <xf numFmtId="0" fontId="0" fillId="15" borderId="0" xfId="0" applyFill="1" applyAlignment="1">
      <alignment horizontal="center" vertical="center"/>
    </xf>
    <xf numFmtId="0" fontId="0" fillId="0" borderId="0" xfId="0" applyFill="1" applyAlignment="1">
      <alignment horizontal="center" vertical="center"/>
    </xf>
    <xf numFmtId="181" fontId="19" fillId="0" borderId="0" xfId="0" applyNumberFormat="1" applyFont="1" applyFill="1" applyAlignment="1">
      <alignment horizontal="center" vertical="center"/>
    </xf>
    <xf numFmtId="181" fontId="2" fillId="0" borderId="1" xfId="0" applyNumberFormat="1" applyFont="1" applyFill="1" applyBorder="1" applyAlignment="1">
      <alignment horizontal="center" vertical="center"/>
    </xf>
    <xf numFmtId="0" fontId="2" fillId="0" borderId="1" xfId="0" applyFont="1" applyFill="1" applyBorder="1" applyAlignment="1">
      <alignment horizontal="center" vertical="center"/>
    </xf>
    <xf numFmtId="177" fontId="2" fillId="0" borderId="1" xfId="1" applyNumberFormat="1" applyFont="1" applyFill="1" applyBorder="1" applyAlignment="1">
      <alignment horizontal="center" vertical="center"/>
    </xf>
    <xf numFmtId="177" fontId="2" fillId="0" borderId="1" xfId="0" applyNumberFormat="1" applyFont="1" applyFill="1" applyBorder="1" applyAlignment="1">
      <alignment horizontal="center" vertical="center"/>
    </xf>
    <xf numFmtId="0" fontId="0" fillId="0" borderId="1" xfId="0" applyFill="1" applyBorder="1" applyAlignment="1">
      <alignment horizontal="center" vertical="center"/>
    </xf>
    <xf numFmtId="181" fontId="20" fillId="0" borderId="1" xfId="0" applyNumberFormat="1" applyFont="1" applyFill="1" applyBorder="1" applyAlignment="1">
      <alignment horizontal="center" vertical="center"/>
    </xf>
    <xf numFmtId="0" fontId="21" fillId="0" borderId="1" xfId="0" applyFont="1" applyFill="1" applyBorder="1" applyAlignment="1">
      <alignment horizontal="center" vertical="center"/>
    </xf>
    <xf numFmtId="7" fontId="0" fillId="0" borderId="1" xfId="0" applyNumberFormat="1" applyFill="1" applyBorder="1" applyAlignment="1">
      <alignment horizontal="center" vertical="center"/>
    </xf>
    <xf numFmtId="0" fontId="22" fillId="0" borderId="1" xfId="0" applyFont="1" applyFill="1" applyBorder="1" applyAlignment="1">
      <alignment vertical="center" wrapText="1"/>
    </xf>
    <xf numFmtId="0" fontId="21" fillId="0" borderId="1" xfId="0" applyFont="1" applyFill="1" applyBorder="1" applyAlignment="1">
      <alignment horizontal="left" vertical="center"/>
    </xf>
    <xf numFmtId="183" fontId="0" fillId="0" borderId="1" xfId="0" applyNumberFormat="1" applyFill="1" applyBorder="1" applyAlignment="1">
      <alignment horizontal="center" vertical="center"/>
    </xf>
    <xf numFmtId="0" fontId="21" fillId="0" borderId="3" xfId="0" applyFont="1" applyBorder="1" applyAlignment="1">
      <alignment horizontal="center" vertical="center"/>
    </xf>
    <xf numFmtId="0" fontId="22" fillId="0" borderId="3" xfId="0" applyFont="1" applyBorder="1" applyAlignment="1">
      <alignment vertical="center" wrapText="1"/>
    </xf>
    <xf numFmtId="0" fontId="0" fillId="0" borderId="1" xfId="0" applyFill="1" applyBorder="1" applyAlignment="1">
      <alignment vertical="center"/>
    </xf>
    <xf numFmtId="0" fontId="22" fillId="0" borderId="4" xfId="0" applyFont="1" applyBorder="1" applyAlignment="1">
      <alignment vertical="center" wrapText="1"/>
    </xf>
    <xf numFmtId="0" fontId="20" fillId="0" borderId="1" xfId="0" applyFont="1" applyFill="1" applyBorder="1" applyAlignment="1">
      <alignment horizontal="center" vertical="center"/>
    </xf>
    <xf numFmtId="0" fontId="3" fillId="0" borderId="0" xfId="0" applyFont="1" applyFill="1" applyBorder="1" applyAlignment="1">
      <alignment horizontal="left" vertical="center" wrapText="1"/>
    </xf>
    <xf numFmtId="0" fontId="23" fillId="0" borderId="0" xfId="0" applyFont="1">
      <alignment vertical="center"/>
    </xf>
    <xf numFmtId="0" fontId="23" fillId="14" borderId="0" xfId="0" applyFont="1" applyFill="1" applyBorder="1">
      <alignment vertical="center"/>
    </xf>
    <xf numFmtId="0" fontId="23" fillId="14" borderId="0" xfId="0" applyFont="1" applyFill="1" applyBorder="1" applyAlignment="1">
      <alignment vertical="center"/>
    </xf>
    <xf numFmtId="0" fontId="0" fillId="2" borderId="1" xfId="0" applyFill="1" applyBorder="1" applyAlignment="1">
      <alignment horizontal="center" vertical="center"/>
    </xf>
    <xf numFmtId="181" fontId="20" fillId="2" borderId="5" xfId="0" applyNumberFormat="1" applyFont="1" applyFill="1" applyBorder="1" applyAlignment="1">
      <alignment horizontal="center" vertical="center"/>
    </xf>
    <xf numFmtId="0" fontId="20" fillId="2" borderId="1" xfId="0" applyFont="1" applyFill="1" applyBorder="1" applyAlignment="1">
      <alignment horizontal="center" vertical="center"/>
    </xf>
    <xf numFmtId="7" fontId="0" fillId="2" borderId="1" xfId="0" applyNumberFormat="1" applyFill="1" applyBorder="1" applyAlignment="1">
      <alignment horizontal="center" vertical="center"/>
    </xf>
    <xf numFmtId="183" fontId="20" fillId="2" borderId="1" xfId="0" applyNumberFormat="1" applyFont="1" applyFill="1" applyBorder="1" applyAlignment="1">
      <alignment horizontal="center" vertical="center"/>
    </xf>
    <xf numFmtId="0" fontId="21" fillId="2" borderId="1" xfId="0" applyFont="1" applyFill="1" applyBorder="1" applyAlignment="1">
      <alignment horizontal="center" vertical="center"/>
    </xf>
    <xf numFmtId="0" fontId="22" fillId="2" borderId="1" xfId="0" applyFont="1" applyFill="1" applyBorder="1" applyAlignment="1">
      <alignment vertical="center" wrapText="1"/>
    </xf>
    <xf numFmtId="0" fontId="0" fillId="2" borderId="0" xfId="0" applyFill="1" applyBorder="1" applyAlignment="1">
      <alignment horizontal="center" vertical="center"/>
    </xf>
    <xf numFmtId="0" fontId="23" fillId="2" borderId="0" xfId="0" applyFont="1" applyFill="1" applyBorder="1" applyAlignment="1">
      <alignment vertical="center"/>
    </xf>
    <xf numFmtId="181" fontId="0" fillId="2" borderId="1" xfId="0" applyNumberFormat="1" applyFill="1" applyBorder="1" applyAlignment="1">
      <alignment horizontal="center" vertical="center"/>
    </xf>
    <xf numFmtId="183" fontId="0" fillId="2" borderId="1" xfId="0" applyNumberFormat="1" applyFont="1" applyFill="1" applyBorder="1" applyAlignment="1">
      <alignment horizontal="center" vertical="center"/>
    </xf>
    <xf numFmtId="183" fontId="0" fillId="2" borderId="1" xfId="0" applyNumberFormat="1" applyFill="1" applyBorder="1" applyAlignment="1">
      <alignment horizontal="center" vertical="center"/>
    </xf>
    <xf numFmtId="0" fontId="23" fillId="2" borderId="0" xfId="0" applyFont="1" applyFill="1">
      <alignment vertical="center"/>
    </xf>
    <xf numFmtId="0" fontId="0" fillId="15" borderId="1" xfId="0" applyFill="1" applyBorder="1" applyAlignment="1">
      <alignment horizontal="center" vertical="center"/>
    </xf>
    <xf numFmtId="181" fontId="0" fillId="15" borderId="1" xfId="0" applyNumberFormat="1" applyFill="1" applyBorder="1" applyAlignment="1">
      <alignment horizontal="center" vertical="center"/>
    </xf>
    <xf numFmtId="183" fontId="0" fillId="15" borderId="1" xfId="0" applyNumberFormat="1" applyFill="1" applyBorder="1" applyAlignment="1">
      <alignment horizontal="center" vertical="center"/>
    </xf>
    <xf numFmtId="0" fontId="21" fillId="15" borderId="1" xfId="0" applyFont="1" applyFill="1" applyBorder="1" applyAlignment="1">
      <alignment horizontal="center" vertical="center"/>
    </xf>
    <xf numFmtId="0" fontId="23" fillId="15" borderId="0" xfId="0" applyFont="1" applyFill="1">
      <alignment vertical="center"/>
    </xf>
    <xf numFmtId="0" fontId="0" fillId="15" borderId="0" xfId="0" applyFill="1">
      <alignment vertical="center"/>
    </xf>
    <xf numFmtId="0" fontId="3" fillId="15" borderId="1" xfId="0" applyFont="1" applyFill="1" applyBorder="1" applyAlignment="1">
      <alignment horizontal="left" vertical="center"/>
    </xf>
    <xf numFmtId="0" fontId="20" fillId="15" borderId="1" xfId="0" applyFont="1" applyFill="1" applyBorder="1" applyAlignment="1">
      <alignment horizontal="center" vertical="center"/>
    </xf>
    <xf numFmtId="0" fontId="20" fillId="15" borderId="1" xfId="0" applyFont="1" applyFill="1" applyBorder="1" applyAlignment="1">
      <alignment vertical="center"/>
    </xf>
    <xf numFmtId="183" fontId="20" fillId="15" borderId="1" xfId="0" applyNumberFormat="1" applyFont="1" applyFill="1" applyBorder="1" applyAlignment="1">
      <alignment horizontal="center" vertical="center"/>
    </xf>
    <xf numFmtId="0" fontId="22" fillId="15" borderId="1" xfId="0" applyFont="1" applyFill="1" applyBorder="1" applyAlignment="1">
      <alignment horizontal="center" vertical="center" wrapText="1"/>
    </xf>
    <xf numFmtId="181" fontId="20" fillId="15" borderId="1" xfId="0" applyNumberFormat="1" applyFont="1" applyFill="1" applyBorder="1" applyAlignment="1">
      <alignment horizontal="center" vertical="center"/>
    </xf>
    <xf numFmtId="0" fontId="22" fillId="15" borderId="1" xfId="0" applyFont="1" applyFill="1" applyBorder="1" applyAlignment="1">
      <alignment vertical="center" wrapText="1"/>
    </xf>
    <xf numFmtId="181" fontId="20" fillId="15" borderId="6" xfId="0" applyNumberFormat="1" applyFont="1" applyFill="1" applyBorder="1" applyAlignment="1">
      <alignment horizontal="center" vertical="center"/>
    </xf>
    <xf numFmtId="0" fontId="0" fillId="15" borderId="6" xfId="0" applyFill="1" applyBorder="1" applyAlignment="1">
      <alignment horizontal="center" vertical="center"/>
    </xf>
    <xf numFmtId="183" fontId="0" fillId="15" borderId="6" xfId="0" applyNumberFormat="1" applyFill="1" applyBorder="1" applyAlignment="1">
      <alignment horizontal="center" vertical="center"/>
    </xf>
    <xf numFmtId="0" fontId="21" fillId="15" borderId="6" xfId="0" applyFont="1" applyFill="1" applyBorder="1" applyAlignment="1">
      <alignment horizontal="center" vertical="center"/>
    </xf>
    <xf numFmtId="0" fontId="22" fillId="15" borderId="6" xfId="0" applyFont="1" applyFill="1" applyBorder="1" applyAlignment="1">
      <alignment vertical="center" wrapText="1"/>
    </xf>
    <xf numFmtId="181" fontId="20" fillId="0" borderId="6" xfId="0" applyNumberFormat="1" applyFont="1" applyFill="1" applyBorder="1" applyAlignment="1">
      <alignment horizontal="center" vertical="center"/>
    </xf>
    <xf numFmtId="0" fontId="0" fillId="0" borderId="6" xfId="0" applyFill="1" applyBorder="1" applyAlignment="1">
      <alignment horizontal="center" vertical="center"/>
    </xf>
    <xf numFmtId="183" fontId="0" fillId="0" borderId="6" xfId="0" applyNumberFormat="1" applyFill="1" applyBorder="1" applyAlignment="1">
      <alignment horizontal="center" vertical="center"/>
    </xf>
    <xf numFmtId="0" fontId="21" fillId="0" borderId="6" xfId="0" applyFont="1" applyFill="1" applyBorder="1" applyAlignment="1">
      <alignment horizontal="center" vertical="center"/>
    </xf>
    <xf numFmtId="0" fontId="22" fillId="0" borderId="6" xfId="0" applyFont="1" applyFill="1" applyBorder="1" applyAlignment="1">
      <alignment vertical="center" wrapText="1"/>
    </xf>
    <xf numFmtId="0" fontId="23" fillId="0" borderId="0" xfId="0" applyFont="1" applyFill="1">
      <alignment vertical="center"/>
    </xf>
    <xf numFmtId="0" fontId="0" fillId="0" borderId="0" xfId="0" applyFill="1">
      <alignment vertical="center"/>
    </xf>
    <xf numFmtId="0" fontId="0" fillId="0" borderId="7" xfId="0" applyFill="1" applyBorder="1" applyAlignment="1">
      <alignment horizontal="center" vertical="center"/>
    </xf>
    <xf numFmtId="183" fontId="0" fillId="0" borderId="7" xfId="0" applyNumberFormat="1" applyFill="1" applyBorder="1" applyAlignment="1">
      <alignment horizontal="center" vertical="center"/>
    </xf>
    <xf numFmtId="0" fontId="23" fillId="14" borderId="0" xfId="0" applyFont="1" applyFill="1">
      <alignment vertical="center"/>
    </xf>
    <xf numFmtId="0" fontId="23" fillId="14" borderId="0" xfId="0" applyFont="1" applyFill="1" applyAlignment="1">
      <alignment vertical="center" wrapText="1"/>
    </xf>
    <xf numFmtId="183" fontId="20" fillId="0" borderId="1" xfId="0" applyNumberFormat="1" applyFont="1" applyFill="1" applyBorder="1" applyAlignment="1">
      <alignment horizontal="center" vertical="center"/>
    </xf>
    <xf numFmtId="181" fontId="0" fillId="0" borderId="1" xfId="0" applyNumberFormat="1" applyFill="1" applyBorder="1" applyAlignment="1">
      <alignment horizontal="center" vertical="center"/>
    </xf>
    <xf numFmtId="0" fontId="3" fillId="0" borderId="1" xfId="0" applyFont="1" applyFill="1" applyBorder="1" applyAlignment="1">
      <alignment horizontal="left" vertical="center"/>
    </xf>
    <xf numFmtId="0" fontId="0" fillId="0" borderId="0" xfId="0" applyFill="1" applyBorder="1" applyAlignment="1">
      <alignment horizontal="center" vertical="center"/>
    </xf>
    <xf numFmtId="181" fontId="20" fillId="2" borderId="1" xfId="0" applyNumberFormat="1" applyFont="1" applyFill="1" applyBorder="1" applyAlignment="1">
      <alignment horizontal="center" vertical="center"/>
    </xf>
    <xf numFmtId="0" fontId="9" fillId="2" borderId="1" xfId="0" applyFont="1" applyFill="1" applyBorder="1" applyAlignment="1">
      <alignment vertical="center" wrapText="1"/>
    </xf>
    <xf numFmtId="0" fontId="20" fillId="0" borderId="1" xfId="0" applyFont="1" applyFill="1" applyBorder="1" applyAlignment="1">
      <alignment vertical="center"/>
    </xf>
    <xf numFmtId="0" fontId="18" fillId="14" borderId="0" xfId="0" applyFont="1" applyFill="1">
      <alignment vertical="center"/>
    </xf>
    <xf numFmtId="0" fontId="2" fillId="0" borderId="1" xfId="0" applyFont="1" applyFill="1" applyBorder="1" applyAlignment="1">
      <alignment vertical="center"/>
    </xf>
    <xf numFmtId="179" fontId="2" fillId="0" borderId="1" xfId="0" applyNumberFormat="1" applyFont="1" applyFill="1" applyBorder="1" applyAlignment="1">
      <alignment horizontal="center" vertical="center"/>
    </xf>
    <xf numFmtId="184" fontId="3" fillId="0" borderId="0" xfId="0" applyNumberFormat="1" applyFont="1" applyFill="1" applyAlignment="1">
      <alignment horizontal="left" vertical="center"/>
    </xf>
    <xf numFmtId="43" fontId="3" fillId="0" borderId="0" xfId="0" applyNumberFormat="1" applyFont="1" applyFill="1" applyAlignment="1">
      <alignment horizontal="right" vertical="center"/>
    </xf>
    <xf numFmtId="43" fontId="3" fillId="0" borderId="0" xfId="0" applyNumberFormat="1" applyFont="1" applyFill="1" applyAlignment="1">
      <alignment vertical="center"/>
    </xf>
    <xf numFmtId="180" fontId="3" fillId="0" borderId="0" xfId="0" applyNumberFormat="1" applyFont="1" applyFill="1" applyAlignment="1">
      <alignment vertical="center"/>
    </xf>
    <xf numFmtId="184" fontId="4" fillId="0" borderId="0" xfId="0" applyNumberFormat="1" applyFont="1" applyFill="1" applyAlignment="1">
      <alignment horizontal="left" vertical="center"/>
    </xf>
    <xf numFmtId="43" fontId="4" fillId="0" borderId="0" xfId="0" applyNumberFormat="1" applyFont="1" applyFill="1" applyAlignment="1">
      <alignment horizontal="right" vertical="center"/>
    </xf>
    <xf numFmtId="43" fontId="4" fillId="0" borderId="0" xfId="0" applyNumberFormat="1" applyFont="1" applyFill="1" applyAlignment="1">
      <alignment vertical="center"/>
    </xf>
    <xf numFmtId="180" fontId="4" fillId="0" borderId="0" xfId="0" applyNumberFormat="1" applyFont="1" applyFill="1" applyAlignment="1">
      <alignment vertical="center"/>
    </xf>
    <xf numFmtId="184" fontId="4" fillId="0" borderId="1" xfId="0" applyNumberFormat="1" applyFont="1" applyFill="1" applyBorder="1" applyAlignment="1">
      <alignment horizontal="left" vertical="center" wrapText="1"/>
    </xf>
    <xf numFmtId="43" fontId="4" fillId="0" borderId="1" xfId="0" applyNumberFormat="1" applyFont="1" applyFill="1" applyBorder="1" applyAlignment="1">
      <alignment horizontal="center" vertical="center" wrapText="1"/>
    </xf>
    <xf numFmtId="43" fontId="4" fillId="0" borderId="1" xfId="0" applyNumberFormat="1" applyFont="1" applyFill="1" applyBorder="1" applyAlignment="1">
      <alignment vertical="center" wrapText="1"/>
    </xf>
    <xf numFmtId="180" fontId="4" fillId="0" borderId="1" xfId="0" applyNumberFormat="1" applyFont="1" applyFill="1" applyBorder="1" applyAlignment="1">
      <alignment vertical="center" wrapText="1"/>
    </xf>
    <xf numFmtId="184" fontId="3" fillId="0" borderId="1" xfId="0" applyNumberFormat="1" applyFont="1" applyFill="1" applyBorder="1" applyAlignment="1">
      <alignment horizontal="left" vertical="center" wrapText="1"/>
    </xf>
    <xf numFmtId="43" fontId="3" fillId="0" borderId="1" xfId="0" applyNumberFormat="1" applyFont="1" applyFill="1" applyBorder="1" applyAlignment="1">
      <alignment horizontal="right" vertical="center" wrapText="1"/>
    </xf>
    <xf numFmtId="43" fontId="3" fillId="0" borderId="1" xfId="0" applyNumberFormat="1" applyFont="1" applyFill="1" applyBorder="1" applyAlignment="1">
      <alignment horizontal="center" vertical="center" wrapText="1"/>
    </xf>
    <xf numFmtId="179" fontId="3" fillId="0" borderId="1" xfId="0" applyNumberFormat="1" applyFont="1" applyFill="1" applyBorder="1" applyAlignment="1">
      <alignment vertical="center" wrapText="1"/>
    </xf>
    <xf numFmtId="0" fontId="24" fillId="0" borderId="1" xfId="0" applyFont="1" applyFill="1" applyBorder="1" applyAlignment="1">
      <alignment horizontal="center" vertical="center" wrapText="1"/>
    </xf>
    <xf numFmtId="179" fontId="5" fillId="0" borderId="1" xfId="0" applyNumberFormat="1" applyFont="1" applyFill="1" applyBorder="1" applyAlignment="1">
      <alignment vertical="center" wrapText="1"/>
    </xf>
    <xf numFmtId="43" fontId="3" fillId="2" borderId="1" xfId="0" applyNumberFormat="1" applyFont="1" applyFill="1" applyBorder="1" applyAlignment="1">
      <alignment horizontal="center" vertical="center" wrapText="1"/>
    </xf>
    <xf numFmtId="179" fontId="3" fillId="2" borderId="1" xfId="0" applyNumberFormat="1" applyFont="1" applyFill="1" applyBorder="1" applyAlignment="1">
      <alignment horizontal="center" vertical="center" wrapText="1"/>
    </xf>
    <xf numFmtId="0" fontId="1" fillId="0" borderId="1" xfId="0" applyFont="1" applyFill="1" applyBorder="1" applyAlignment="1">
      <alignment horizontal="right" vertical="center" wrapText="1"/>
    </xf>
    <xf numFmtId="184" fontId="3" fillId="0" borderId="1" xfId="0" applyNumberFormat="1" applyFont="1" applyFill="1" applyBorder="1" applyAlignment="1">
      <alignment horizontal="left" vertical="center"/>
    </xf>
    <xf numFmtId="43" fontId="3" fillId="0" borderId="1" xfId="0" applyNumberFormat="1" applyFont="1" applyFill="1" applyBorder="1" applyAlignment="1">
      <alignment horizontal="right" vertical="center"/>
    </xf>
    <xf numFmtId="43" fontId="3" fillId="0" borderId="1" xfId="0" applyNumberFormat="1" applyFont="1" applyFill="1" applyBorder="1" applyAlignment="1">
      <alignment vertical="center"/>
    </xf>
    <xf numFmtId="179" fontId="3" fillId="0" borderId="1" xfId="0" applyNumberFormat="1" applyFont="1" applyFill="1" applyBorder="1" applyAlignment="1">
      <alignment vertical="center"/>
    </xf>
    <xf numFmtId="179" fontId="3" fillId="0" borderId="1" xfId="0" applyNumberFormat="1" applyFont="1" applyFill="1" applyBorder="1" applyAlignment="1">
      <alignment horizontal="center" vertical="center"/>
    </xf>
    <xf numFmtId="43" fontId="25" fillId="0" borderId="1" xfId="0" applyNumberFormat="1" applyFont="1" applyFill="1" applyBorder="1" applyAlignment="1">
      <alignment vertical="center"/>
    </xf>
    <xf numFmtId="0" fontId="3"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22" fillId="0" borderId="1" xfId="0" applyFont="1" applyFill="1" applyBorder="1" applyAlignment="1">
      <alignment horizontal="center" vertical="center"/>
    </xf>
    <xf numFmtId="0" fontId="22" fillId="0" borderId="1" xfId="0" applyFont="1" applyFill="1" applyBorder="1" applyAlignment="1">
      <alignment horizontal="center" vertical="center" wrapText="1"/>
    </xf>
    <xf numFmtId="185" fontId="3" fillId="0" borderId="1" xfId="0" applyNumberFormat="1" applyFont="1" applyFill="1" applyBorder="1" applyAlignment="1">
      <alignment horizontal="center" vertical="center"/>
    </xf>
    <xf numFmtId="177" fontId="22" fillId="0" borderId="1" xfId="0" applyNumberFormat="1" applyFont="1" applyFill="1" applyBorder="1" applyAlignment="1">
      <alignment horizontal="center" vertical="center" wrapText="1"/>
    </xf>
    <xf numFmtId="0" fontId="22" fillId="0" borderId="1" xfId="0" applyFont="1" applyFill="1" applyBorder="1" applyAlignment="1">
      <alignment horizontal="left" vertical="center"/>
    </xf>
    <xf numFmtId="0" fontId="22" fillId="0" borderId="1" xfId="0" applyFont="1" applyFill="1" applyBorder="1" applyAlignment="1">
      <alignment horizontal="left" vertical="center" wrapText="1"/>
    </xf>
    <xf numFmtId="176" fontId="3" fillId="0" borderId="1" xfId="0" applyNumberFormat="1" applyFont="1" applyBorder="1" applyAlignment="1">
      <alignment horizontal="center" vertical="center"/>
    </xf>
    <xf numFmtId="186" fontId="3" fillId="0" borderId="1" xfId="0" applyNumberFormat="1" applyFont="1" applyFill="1" applyBorder="1" applyAlignment="1">
      <alignment horizontal="center" vertical="center"/>
    </xf>
    <xf numFmtId="187" fontId="3" fillId="0" borderId="1" xfId="0" applyNumberFormat="1" applyFont="1" applyFill="1" applyBorder="1" applyAlignment="1">
      <alignment horizontal="center" vertical="center"/>
    </xf>
    <xf numFmtId="180" fontId="3" fillId="0" borderId="1" xfId="0" applyNumberFormat="1" applyFont="1" applyFill="1" applyBorder="1" applyAlignment="1">
      <alignment vertical="center"/>
    </xf>
    <xf numFmtId="0" fontId="3" fillId="0" borderId="6" xfId="0" applyFont="1" applyFill="1" applyBorder="1" applyAlignment="1">
      <alignment horizontal="left" vertical="center"/>
    </xf>
    <xf numFmtId="187" fontId="3" fillId="0" borderId="6" xfId="0" applyNumberFormat="1" applyFont="1" applyFill="1" applyBorder="1" applyAlignment="1">
      <alignment horizontal="center" vertical="center"/>
    </xf>
    <xf numFmtId="177" fontId="3" fillId="0" borderId="6" xfId="0" applyNumberFormat="1" applyFont="1" applyFill="1" applyBorder="1" applyAlignment="1">
      <alignment horizontal="center" vertical="center" wrapText="1"/>
    </xf>
    <xf numFmtId="184" fontId="3" fillId="0" borderId="6" xfId="0" applyNumberFormat="1" applyFont="1" applyFill="1" applyBorder="1" applyAlignment="1">
      <alignment horizontal="left" vertical="center"/>
    </xf>
    <xf numFmtId="0" fontId="3" fillId="0" borderId="6" xfId="0" applyFont="1" applyFill="1" applyBorder="1" applyAlignment="1">
      <alignment horizontal="center" vertical="center"/>
    </xf>
    <xf numFmtId="43" fontId="3" fillId="0" borderId="6" xfId="0" applyNumberFormat="1" applyFont="1" applyFill="1" applyBorder="1" applyAlignment="1">
      <alignment horizontal="right" vertical="center"/>
    </xf>
    <xf numFmtId="0" fontId="3" fillId="0" borderId="6" xfId="0" applyFont="1" applyFill="1" applyBorder="1" applyAlignment="1">
      <alignment horizontal="center" vertical="center" wrapText="1"/>
    </xf>
    <xf numFmtId="180" fontId="3" fillId="0" borderId="6" xfId="0" applyNumberFormat="1" applyFont="1" applyFill="1" applyBorder="1" applyAlignment="1">
      <alignment vertical="center"/>
    </xf>
    <xf numFmtId="179" fontId="3" fillId="0" borderId="6" xfId="0" applyNumberFormat="1" applyFont="1" applyFill="1" applyBorder="1" applyAlignment="1">
      <alignment vertical="center" wrapText="1"/>
    </xf>
    <xf numFmtId="176" fontId="3" fillId="0" borderId="6" xfId="0" applyNumberFormat="1" applyFont="1" applyFill="1" applyBorder="1" applyAlignment="1">
      <alignment horizontal="center" vertical="center"/>
    </xf>
    <xf numFmtId="0" fontId="3" fillId="0" borderId="6" xfId="0" applyFont="1" applyFill="1" applyBorder="1" applyAlignment="1">
      <alignment horizontal="left" vertical="center" wrapText="1"/>
    </xf>
    <xf numFmtId="0" fontId="3" fillId="0" borderId="3" xfId="0" applyFont="1" applyFill="1" applyBorder="1" applyAlignment="1">
      <alignment horizontal="left" vertical="center"/>
    </xf>
    <xf numFmtId="187" fontId="3" fillId="0" borderId="3" xfId="0" applyNumberFormat="1" applyFont="1" applyFill="1" applyBorder="1" applyAlignment="1">
      <alignment horizontal="center" vertical="center"/>
    </xf>
    <xf numFmtId="177" fontId="3" fillId="0" borderId="3" xfId="0" applyNumberFormat="1" applyFont="1" applyFill="1" applyBorder="1" applyAlignment="1">
      <alignment horizontal="center" vertical="center" wrapText="1"/>
    </xf>
    <xf numFmtId="184" fontId="3" fillId="0" borderId="3" xfId="0" applyNumberFormat="1" applyFont="1" applyFill="1" applyBorder="1" applyAlignment="1">
      <alignment horizontal="left" vertical="center"/>
    </xf>
    <xf numFmtId="0" fontId="3" fillId="0" borderId="3" xfId="0" applyFont="1" applyFill="1" applyBorder="1" applyAlignment="1">
      <alignment horizontal="center" vertical="center"/>
    </xf>
    <xf numFmtId="43" fontId="3" fillId="0" borderId="3" xfId="0" applyNumberFormat="1" applyFont="1" applyFill="1" applyBorder="1" applyAlignment="1">
      <alignment horizontal="right" vertical="center"/>
    </xf>
    <xf numFmtId="0" fontId="3" fillId="0" borderId="3" xfId="0" applyFont="1" applyFill="1" applyBorder="1" applyAlignment="1">
      <alignment horizontal="center" vertical="center" wrapText="1"/>
    </xf>
    <xf numFmtId="180" fontId="3" fillId="0" borderId="3" xfId="0" applyNumberFormat="1" applyFont="1" applyFill="1" applyBorder="1" applyAlignment="1">
      <alignment vertical="center"/>
    </xf>
    <xf numFmtId="179" fontId="3" fillId="0" borderId="3" xfId="0" applyNumberFormat="1" applyFont="1" applyFill="1" applyBorder="1" applyAlignment="1">
      <alignment vertical="center" wrapText="1"/>
    </xf>
    <xf numFmtId="0" fontId="3" fillId="0" borderId="3" xfId="0" applyFont="1" applyFill="1" applyBorder="1" applyAlignment="1">
      <alignment horizontal="left" vertical="center" wrapText="1"/>
    </xf>
    <xf numFmtId="177" fontId="22" fillId="0" borderId="3" xfId="0" applyNumberFormat="1" applyFont="1" applyFill="1" applyBorder="1" applyAlignment="1">
      <alignment horizontal="center" vertical="center" wrapText="1"/>
    </xf>
    <xf numFmtId="0" fontId="22" fillId="0" borderId="3" xfId="0" applyFont="1" applyFill="1" applyBorder="1" applyAlignment="1">
      <alignment horizontal="center" vertical="center"/>
    </xf>
    <xf numFmtId="0" fontId="26" fillId="0" borderId="0" xfId="0" applyFont="1">
      <alignment vertical="center"/>
    </xf>
    <xf numFmtId="0" fontId="22" fillId="0" borderId="3" xfId="0" applyFont="1" applyFill="1" applyBorder="1" applyAlignment="1">
      <alignment horizontal="center" vertical="center" wrapText="1"/>
    </xf>
    <xf numFmtId="43" fontId="3" fillId="0" borderId="3" xfId="0" applyNumberFormat="1" applyFont="1" applyFill="1" applyBorder="1" applyAlignment="1">
      <alignment vertical="center"/>
    </xf>
    <xf numFmtId="181" fontId="3" fillId="0" borderId="3" xfId="0" applyNumberFormat="1" applyFont="1" applyFill="1" applyBorder="1" applyAlignment="1">
      <alignment horizontal="center" vertical="center"/>
    </xf>
    <xf numFmtId="176" fontId="3" fillId="0" borderId="3" xfId="0" applyNumberFormat="1" applyFont="1" applyFill="1" applyBorder="1" applyAlignment="1">
      <alignment horizontal="center" vertical="center"/>
    </xf>
    <xf numFmtId="176" fontId="3" fillId="0" borderId="1" xfId="0" applyNumberFormat="1" applyFont="1" applyBorder="1" applyAlignment="1">
      <alignment horizontal="center" vertical="center" wrapText="1"/>
    </xf>
    <xf numFmtId="180" fontId="3" fillId="0" borderId="1" xfId="0" applyNumberFormat="1" applyFont="1" applyFill="1" applyBorder="1" applyAlignment="1" quotePrefix="1">
      <alignment horizontal="left" vertical="center" wrapText="1"/>
    </xf>
    <xf numFmtId="0" fontId="3" fillId="0" borderId="1" xfId="0" applyFont="1" applyFill="1" applyBorder="1" applyAlignment="1" quotePrefix="1">
      <alignment horizontal="center" vertical="center" wrapText="1"/>
    </xf>
    <xf numFmtId="0" fontId="3" fillId="0" borderId="1" xfId="0" applyNumberFormat="1" applyFont="1" applyFill="1" applyBorder="1" applyAlignment="1" quotePrefix="1">
      <alignment horizontal="left" vertical="center" wrapText="1"/>
    </xf>
    <xf numFmtId="0" fontId="3" fillId="0" borderId="1" xfId="0" applyNumberFormat="1" applyFont="1" applyFill="1" applyBorder="1" applyAlignment="1" quotePrefix="1"/>
    <xf numFmtId="0" fontId="3" fillId="0" borderId="1" xfId="0" applyFont="1" applyFill="1" applyBorder="1" applyAlignment="1" quotePrefix="1">
      <alignment horizontal="left" vertical="center" wrapText="1"/>
    </xf>
    <xf numFmtId="0" fontId="3" fillId="0" borderId="1" xfId="0" applyFont="1" applyFill="1" applyBorder="1" applyAlignment="1" applyProtection="1" quotePrefix="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3">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2"/>
      <tableStyleElement type="headerRow" dxfId="11"/>
      <tableStyleElement type="totalRow" dxfId="10"/>
      <tableStyleElement type="firstColumn" dxfId="9"/>
      <tableStyleElement type="lastColumn" dxfId="8"/>
      <tableStyleElement type="firstRowStripe" dxfId="7"/>
      <tableStyleElement type="firstColumnStripe" dxfId="6"/>
    </tableStyle>
    <tableStyle name="PivotStylePreset2_Accent1" table="0" count="10" xr9:uid="{267968C8-6FFD-4C36-ACC1-9EA1FD1885CA}">
      <tableStyleElement type="headerRow" dxfId="22"/>
      <tableStyleElement type="totalRow" dxfId="21"/>
      <tableStyleElement type="firstRowStripe" dxfId="20"/>
      <tableStyleElement type="firstColumnStripe" dxfId="19"/>
      <tableStyleElement type="firstSubtotalRow" dxfId="18"/>
      <tableStyleElement type="secondSubtotalRow" dxfId="17"/>
      <tableStyleElement type="firstRowSubheading" dxfId="16"/>
      <tableStyleElement type="secondRowSubheading" dxfId="15"/>
      <tableStyleElement type="pageFieldLabels" dxfId="14"/>
      <tableStyleElement type="pageFieldValues" dxfId="13"/>
    </tableStyle>
  </tableStyles>
  <colors>
    <mruColors>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externalLink" Target="externalLinks/externalLink2.xml"/><Relationship Id="rId15" Type="http://schemas.openxmlformats.org/officeDocument/2006/relationships/externalLink" Target="externalLinks/externalLink1.xml"/><Relationship Id="rId14" Type="http://schemas.openxmlformats.org/officeDocument/2006/relationships/pivotCacheDefinition" Target="pivotCache/pivotCacheDefinition2.xml"/><Relationship Id="rId13" Type="http://schemas.openxmlformats.org/officeDocument/2006/relationships/pivotCacheDefinition" Target="pivotCache/pivotCacheDefinition1.xml"/><Relationship Id="rId12" Type="http://schemas.openxmlformats.org/officeDocument/2006/relationships/customXml" Target="../customXml/item3.xml"/><Relationship Id="rId11" Type="http://schemas.openxmlformats.org/officeDocument/2006/relationships/customXml" Target="../customXml/item2.xml"/><Relationship Id="rId10" Type="http://schemas.openxmlformats.org/officeDocument/2006/relationships/customXml" Target="../customXml/item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rivate\var\mobile\Containers\Data\Application\F12C93AD-D54F-44B9-AEE1-62E15612AB0C\tmp\.com.wpsoffice.docsafeservice\&#20445;&#35777;&#37329;20257C7321B6-2CA5-46A3-9478-5C471CCCB1DB.xlsx\10&#24212;&#25910;&#36134;&#27454;\2023&#24180;&#22238;&#27454;&#349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13669\WPSDrive\1668283218\WPS&#20225;&#19994;&#20113;&#30424;\&#27494;&#27721;&#24320;&#26126;&#39640;&#26032;&#31185;&#25216;&#26377;&#38480;&#20844;&#21496;\&#22242;&#38431;&#25991;&#26723;\&#20869;&#21220;+&#36130;&#21153;\&#20445;&#35777;&#37329;&#30003;&#35831;_&#23548;&#20986;&#25991;&#20214;_30101102347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汇总"/>
      <sheetName val="明细"/>
      <sheetName val="区域划分"/>
      <sheetName val="行业汇总"/>
      <sheetName val="回款周期"/>
      <sheetName val="Sheet3"/>
      <sheetName val="Sheet4"/>
    </sheetNames>
    <sheetDataSet>
      <sheetData sheetId="0" refreshError="1"/>
      <sheetData sheetId="1" refreshError="1"/>
      <sheetData sheetId="2" refreshError="1">
        <row r="1">
          <cell r="A1" t="str">
            <v>省份</v>
          </cell>
          <cell r="B1" t="str">
            <v>大区</v>
          </cell>
          <cell r="C1" t="str">
            <v>业务经理</v>
          </cell>
        </row>
        <row r="2">
          <cell r="A2" t="str">
            <v>安徽省</v>
          </cell>
          <cell r="B2" t="str">
            <v>饶亚龙</v>
          </cell>
          <cell r="C2" t="str">
            <v>方渊</v>
          </cell>
        </row>
        <row r="3">
          <cell r="A3" t="str">
            <v>河南钢铁</v>
          </cell>
          <cell r="B3" t="str">
            <v>饶亚龙</v>
          </cell>
          <cell r="C3" t="str">
            <v>方渊</v>
          </cell>
        </row>
        <row r="4">
          <cell r="A4" t="str">
            <v>河南省</v>
          </cell>
          <cell r="B4" t="str">
            <v>饶亚龙</v>
          </cell>
          <cell r="C4" t="str">
            <v>方渊</v>
          </cell>
        </row>
        <row r="5">
          <cell r="A5" t="str">
            <v>浙江钢铁</v>
          </cell>
          <cell r="B5" t="str">
            <v>饶亚龙</v>
          </cell>
          <cell r="C5" t="str">
            <v>方渊</v>
          </cell>
        </row>
        <row r="6">
          <cell r="A6" t="str">
            <v>浙江省</v>
          </cell>
          <cell r="B6" t="str">
            <v>饶亚龙</v>
          </cell>
          <cell r="C6" t="str">
            <v>方渊</v>
          </cell>
        </row>
        <row r="7">
          <cell r="A7" t="str">
            <v>福建省</v>
          </cell>
          <cell r="B7" t="str">
            <v>饶亚龙</v>
          </cell>
          <cell r="C7" t="str">
            <v>宋旭东</v>
          </cell>
        </row>
        <row r="8">
          <cell r="A8" t="str">
            <v>广东省</v>
          </cell>
          <cell r="B8" t="str">
            <v>饶亚龙</v>
          </cell>
          <cell r="C8" t="str">
            <v>宋旭东</v>
          </cell>
        </row>
        <row r="9">
          <cell r="A9" t="str">
            <v>江西省</v>
          </cell>
          <cell r="B9" t="str">
            <v>饶亚龙</v>
          </cell>
          <cell r="C9" t="str">
            <v>伍平</v>
          </cell>
        </row>
        <row r="10">
          <cell r="A10" t="str">
            <v>湖南钢铁</v>
          </cell>
          <cell r="B10" t="str">
            <v>饶亚龙</v>
          </cell>
          <cell r="C10" t="str">
            <v>饶亚龙</v>
          </cell>
        </row>
        <row r="11">
          <cell r="A11" t="str">
            <v>湖南省</v>
          </cell>
          <cell r="B11" t="str">
            <v>饶亚龙</v>
          </cell>
          <cell r="C11" t="str">
            <v>饶亚龙</v>
          </cell>
        </row>
        <row r="12">
          <cell r="A12" t="str">
            <v>广西省</v>
          </cell>
          <cell r="B12" t="str">
            <v>饶亚龙</v>
          </cell>
          <cell r="C12" t="str">
            <v>饶亚龙</v>
          </cell>
        </row>
        <row r="13">
          <cell r="A13" t="str">
            <v>海南省</v>
          </cell>
          <cell r="B13" t="str">
            <v>饶亚龙</v>
          </cell>
          <cell r="C13" t="str">
            <v>饶亚龙</v>
          </cell>
        </row>
        <row r="14">
          <cell r="A14" t="str">
            <v>云南省</v>
          </cell>
          <cell r="B14" t="str">
            <v>杨春龙</v>
          </cell>
          <cell r="C14" t="str">
            <v>牛国庆</v>
          </cell>
        </row>
        <row r="15">
          <cell r="A15" t="str">
            <v>贵州省</v>
          </cell>
          <cell r="B15" t="str">
            <v>杨春龙</v>
          </cell>
          <cell r="C15" t="str">
            <v>牛国庆</v>
          </cell>
        </row>
        <row r="16">
          <cell r="A16" t="str">
            <v>四川省</v>
          </cell>
          <cell r="B16" t="str">
            <v>杨春龙</v>
          </cell>
          <cell r="C16" t="str">
            <v>牛国庆</v>
          </cell>
        </row>
        <row r="17">
          <cell r="A17" t="str">
            <v>重庆市</v>
          </cell>
          <cell r="B17" t="str">
            <v>杨春龙</v>
          </cell>
          <cell r="C17" t="str">
            <v>牛国庆</v>
          </cell>
        </row>
        <row r="18">
          <cell r="A18" t="str">
            <v>湖北省</v>
          </cell>
          <cell r="B18" t="str">
            <v>杨春龙</v>
          </cell>
          <cell r="C18" t="str">
            <v>杨春龙</v>
          </cell>
        </row>
        <row r="19">
          <cell r="A19" t="str">
            <v>江苏钢铁</v>
          </cell>
          <cell r="B19" t="str">
            <v>杨春龙</v>
          </cell>
          <cell r="C19" t="str">
            <v>龚运谱</v>
          </cell>
        </row>
        <row r="20">
          <cell r="A20" t="str">
            <v>江苏省</v>
          </cell>
          <cell r="B20" t="str">
            <v>杨春龙</v>
          </cell>
          <cell r="C20" t="str">
            <v>龚运谱</v>
          </cell>
        </row>
        <row r="21">
          <cell r="A21" t="str">
            <v>河北钢铁</v>
          </cell>
          <cell r="B21" t="str">
            <v>杨春龙</v>
          </cell>
          <cell r="C21" t="str">
            <v>汪瑞青</v>
          </cell>
        </row>
        <row r="22">
          <cell r="A22" t="str">
            <v>河北省</v>
          </cell>
          <cell r="B22" t="str">
            <v>杨春龙</v>
          </cell>
          <cell r="C22" t="str">
            <v>汪瑞青</v>
          </cell>
        </row>
        <row r="23">
          <cell r="A23" t="str">
            <v>北京市</v>
          </cell>
          <cell r="B23" t="str">
            <v>杨春龙</v>
          </cell>
          <cell r="C23" t="str">
            <v>汪瑞青</v>
          </cell>
        </row>
        <row r="24">
          <cell r="A24" t="str">
            <v>内蒙古</v>
          </cell>
          <cell r="B24" t="str">
            <v>殷坤鹏</v>
          </cell>
          <cell r="C24" t="str">
            <v>林维</v>
          </cell>
        </row>
        <row r="25">
          <cell r="A25" t="str">
            <v>山西省</v>
          </cell>
          <cell r="B25" t="str">
            <v>殷坤鹏</v>
          </cell>
          <cell r="C25" t="str">
            <v>林维</v>
          </cell>
        </row>
        <row r="26">
          <cell r="A26" t="str">
            <v>陕西省</v>
          </cell>
          <cell r="B26" t="str">
            <v>殷坤鹏</v>
          </cell>
          <cell r="C26" t="str">
            <v>林维</v>
          </cell>
        </row>
        <row r="27">
          <cell r="A27" t="str">
            <v>甘肃省</v>
          </cell>
          <cell r="B27" t="str">
            <v>殷坤鹏</v>
          </cell>
          <cell r="C27" t="str">
            <v>曾江利</v>
          </cell>
        </row>
        <row r="28">
          <cell r="A28" t="str">
            <v>宁夏省</v>
          </cell>
          <cell r="B28" t="str">
            <v>殷坤鹏</v>
          </cell>
          <cell r="C28" t="str">
            <v>曾江利</v>
          </cell>
        </row>
        <row r="29">
          <cell r="A29" t="str">
            <v>青海省</v>
          </cell>
          <cell r="B29" t="str">
            <v>殷坤鹏</v>
          </cell>
          <cell r="C29" t="str">
            <v>曾江利</v>
          </cell>
        </row>
        <row r="30">
          <cell r="A30" t="str">
            <v>山东省</v>
          </cell>
          <cell r="B30" t="str">
            <v>殷坤鹏</v>
          </cell>
          <cell r="C30" t="str">
            <v>朱利勇</v>
          </cell>
        </row>
        <row r="31">
          <cell r="A31" t="str">
            <v>吉林省</v>
          </cell>
          <cell r="B31" t="str">
            <v>殷坤鹏</v>
          </cell>
          <cell r="C31" t="str">
            <v>殷坤鹏</v>
          </cell>
        </row>
        <row r="32">
          <cell r="A32" t="str">
            <v>黑龙江省</v>
          </cell>
          <cell r="B32" t="str">
            <v>殷坤鹏</v>
          </cell>
          <cell r="C32" t="str">
            <v>殷坤鹏</v>
          </cell>
        </row>
        <row r="33">
          <cell r="A33" t="str">
            <v>辽宁省</v>
          </cell>
          <cell r="B33" t="str">
            <v>殷坤鹏</v>
          </cell>
          <cell r="C33" t="str">
            <v>殷坤鹏</v>
          </cell>
        </row>
        <row r="34">
          <cell r="A34" t="str">
            <v>新疆</v>
          </cell>
          <cell r="B34" t="str">
            <v>殷坤鹏</v>
          </cell>
          <cell r="C34" t="str">
            <v>新疆</v>
          </cell>
        </row>
        <row r="35">
          <cell r="A35" t="str">
            <v>西藏自治区</v>
          </cell>
          <cell r="B35" t="str">
            <v>殷坤鹏</v>
          </cell>
          <cell r="C35" t="str">
            <v>西藏自治区</v>
          </cell>
        </row>
        <row r="36">
          <cell r="A36" t="str">
            <v>湖北化工</v>
          </cell>
          <cell r="B36" t="str">
            <v>湖北化工</v>
          </cell>
          <cell r="C36" t="str">
            <v>湖北化工</v>
          </cell>
        </row>
        <row r="37">
          <cell r="A37" t="str">
            <v>青海发投</v>
          </cell>
          <cell r="B37" t="str">
            <v>青海发投</v>
          </cell>
          <cell r="C37" t="str">
            <v>青海发投</v>
          </cell>
        </row>
        <row r="38">
          <cell r="A38" t="str">
            <v>阳训</v>
          </cell>
          <cell r="B38" t="str">
            <v>阳训</v>
          </cell>
          <cell r="C38" t="str">
            <v>阳训</v>
          </cell>
        </row>
        <row r="39">
          <cell r="A39" t="str">
            <v>法院执行款</v>
          </cell>
          <cell r="B39" t="str">
            <v>法院执行款</v>
          </cell>
          <cell r="C39" t="str">
            <v>法院执行款</v>
          </cell>
        </row>
      </sheetData>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保证金申请"/>
      <sheetName val="保证金申请 (2)"/>
      <sheetName val="Sheet1"/>
    </sheetNames>
    <sheetDataSet>
      <sheetData sheetId="0" refreshError="1">
        <row r="1">
          <cell r="A1" t="str">
            <v>申请编号</v>
          </cell>
        </row>
        <row r="1">
          <cell r="C1" t="str">
            <v>申请日期</v>
          </cell>
        </row>
        <row r="1">
          <cell r="K1" t="str">
            <v>实际支付金额</v>
          </cell>
        </row>
        <row r="1">
          <cell r="Q1" t="str">
            <v>收款账户</v>
          </cell>
        </row>
        <row r="2">
          <cell r="A2" t="str">
            <v>BZJSQ-20250326-0049</v>
          </cell>
        </row>
        <row r="2">
          <cell r="C2" t="str">
            <v>2025-03-26</v>
          </cell>
        </row>
        <row r="2">
          <cell r="K2">
            <v>0</v>
          </cell>
        </row>
        <row r="2">
          <cell r="Q2" t="str">
            <v>江苏唐电电力安装有限公司</v>
          </cell>
        </row>
        <row r="3">
          <cell r="A3" t="str">
            <v>BZJSQ-20250324-0048</v>
          </cell>
        </row>
        <row r="3">
          <cell r="C3" t="str">
            <v>2025-03-24</v>
          </cell>
        </row>
        <row r="3">
          <cell r="K3">
            <v>15000</v>
          </cell>
        </row>
        <row r="3">
          <cell r="Q3" t="str">
            <v>中机国际招标有限公司</v>
          </cell>
        </row>
        <row r="4">
          <cell r="A4" t="str">
            <v>BZJSQ-20250322-0047</v>
          </cell>
        </row>
        <row r="4">
          <cell r="C4" t="str">
            <v>2025-03-22</v>
          </cell>
        </row>
        <row r="4">
          <cell r="K4">
            <v>10000</v>
          </cell>
        </row>
        <row r="4">
          <cell r="Q4" t="str">
            <v>江苏永钢集团有限公司</v>
          </cell>
        </row>
        <row r="5">
          <cell r="A5" t="str">
            <v>BZJSQ-20250321-0046</v>
          </cell>
        </row>
        <row r="5">
          <cell r="C5" t="str">
            <v>2025-03-21</v>
          </cell>
        </row>
        <row r="5">
          <cell r="K5">
            <v>37000</v>
          </cell>
        </row>
        <row r="5">
          <cell r="Q5" t="str">
            <v>湖北岚丹建设工程有限公司离心机节能增效农民工工资保证金专户</v>
          </cell>
        </row>
        <row r="6">
          <cell r="A6" t="str">
            <v>BZJSQ-20250319-0045</v>
          </cell>
        </row>
        <row r="6">
          <cell r="C6" t="str">
            <v>2025-03-19</v>
          </cell>
        </row>
        <row r="6">
          <cell r="K6">
            <v>17875</v>
          </cell>
        </row>
        <row r="6">
          <cell r="Q6" t="str">
            <v>青海发投碱业有限公司</v>
          </cell>
        </row>
        <row r="7">
          <cell r="A7" t="str">
            <v>BZJSQ-20250318-0044</v>
          </cell>
        </row>
        <row r="7">
          <cell r="C7" t="str">
            <v>2025-03-18</v>
          </cell>
        </row>
        <row r="7">
          <cell r="K7">
            <v>10000</v>
          </cell>
        </row>
        <row r="7">
          <cell r="Q7" t="str">
            <v>奎山水泥有限公司</v>
          </cell>
        </row>
        <row r="8">
          <cell r="A8" t="str">
            <v>BZJSQ-20250318-0043</v>
          </cell>
        </row>
        <row r="8">
          <cell r="C8" t="str">
            <v>2025-03-18</v>
          </cell>
        </row>
        <row r="8">
          <cell r="K8">
            <v>0</v>
          </cell>
        </row>
        <row r="8">
          <cell r="Q8" t="str">
            <v>青海发投碱业有限公司</v>
          </cell>
        </row>
        <row r="9">
          <cell r="A9" t="str">
            <v>BZJSQ-20250318-0042</v>
          </cell>
        </row>
        <row r="9">
          <cell r="C9" t="str">
            <v>2025-03-18</v>
          </cell>
        </row>
        <row r="9">
          <cell r="K9">
            <v>37000</v>
          </cell>
        </row>
        <row r="9">
          <cell r="Q9" t="str">
            <v>青海发投碱业有限公司</v>
          </cell>
        </row>
        <row r="10">
          <cell r="A10" t="str">
            <v>BZJSQ-20250318-0041</v>
          </cell>
        </row>
        <row r="10">
          <cell r="C10" t="str">
            <v>2025-03-18</v>
          </cell>
        </row>
        <row r="10">
          <cell r="K10">
            <v>17875</v>
          </cell>
        </row>
        <row r="10">
          <cell r="Q10" t="str">
            <v>青海发投碱业有限公司</v>
          </cell>
        </row>
        <row r="11">
          <cell r="A11" t="str">
            <v>BZJSQ-20250318-0040</v>
          </cell>
        </row>
        <row r="11">
          <cell r="C11" t="str">
            <v>2025-03-18</v>
          </cell>
        </row>
        <row r="11">
          <cell r="K11">
            <v>18000</v>
          </cell>
        </row>
        <row r="11">
          <cell r="Q11" t="str">
            <v>青海发投碱业有限公司</v>
          </cell>
        </row>
        <row r="12">
          <cell r="A12" t="str">
            <v>BZJSQ-20250318-0039</v>
          </cell>
        </row>
        <row r="12">
          <cell r="C12" t="str">
            <v>2025-03-18</v>
          </cell>
        </row>
        <row r="12">
          <cell r="K12">
            <v>37000</v>
          </cell>
        </row>
        <row r="12">
          <cell r="Q12" t="str">
            <v>青海发投碱业有限公司</v>
          </cell>
        </row>
        <row r="13">
          <cell r="A13" t="str">
            <v>BZJSQ-20250318-0038</v>
          </cell>
        </row>
        <row r="13">
          <cell r="C13" t="str">
            <v>2025-03-18</v>
          </cell>
        </row>
        <row r="13">
          <cell r="K13">
            <v>37000</v>
          </cell>
        </row>
        <row r="13">
          <cell r="Q13" t="str">
            <v>青海发投碱业有限公司</v>
          </cell>
        </row>
        <row r="14">
          <cell r="A14" t="str">
            <v>BZJSQ-20250318-0037</v>
          </cell>
        </row>
        <row r="14">
          <cell r="C14" t="str">
            <v>2025-03-18</v>
          </cell>
        </row>
        <row r="14">
          <cell r="K14">
            <v>3000</v>
          </cell>
        </row>
        <row r="14">
          <cell r="Q14" t="str">
            <v>保定太行和益环保科技有限公司</v>
          </cell>
        </row>
        <row r="15">
          <cell r="A15" t="str">
            <v>BZJSQ-20250315-0036</v>
          </cell>
        </row>
        <row r="15">
          <cell r="C15" t="str">
            <v>2025-03-15</v>
          </cell>
        </row>
        <row r="15">
          <cell r="K15">
            <v>10000</v>
          </cell>
        </row>
        <row r="15">
          <cell r="Q15" t="str">
            <v>河南豫光锌业有限公司</v>
          </cell>
        </row>
        <row r="16">
          <cell r="A16" t="str">
            <v>BZJSQ-20250314-0035</v>
          </cell>
        </row>
        <row r="16">
          <cell r="C16" t="str">
            <v>2025-03-14</v>
          </cell>
        </row>
        <row r="16">
          <cell r="K16">
            <v>3000</v>
          </cell>
        </row>
        <row r="16">
          <cell r="Q16" t="str">
            <v>保定太行和益环保科技有限公司</v>
          </cell>
        </row>
        <row r="17">
          <cell r="A17" t="str">
            <v>BZJSQ-20250311-0034</v>
          </cell>
        </row>
        <row r="17">
          <cell r="C17" t="str">
            <v>2025-03-11</v>
          </cell>
        </row>
        <row r="17">
          <cell r="K17">
            <v>28000</v>
          </cell>
        </row>
        <row r="17">
          <cell r="Q17" t="str">
            <v>武汉开明高新科技有限公司</v>
          </cell>
        </row>
        <row r="18">
          <cell r="A18" t="str">
            <v>BZJSQ-20250311-0033</v>
          </cell>
        </row>
        <row r="18">
          <cell r="C18" t="str">
            <v>2025-03-11</v>
          </cell>
        </row>
        <row r="18">
          <cell r="K18">
            <v>28000</v>
          </cell>
        </row>
        <row r="18">
          <cell r="Q18" t="str">
            <v>青海发投碱业有限公司</v>
          </cell>
        </row>
        <row r="19">
          <cell r="A19" t="str">
            <v>BZJSQ-20250311-0032</v>
          </cell>
        </row>
        <row r="19">
          <cell r="C19" t="str">
            <v>2025-03-11</v>
          </cell>
        </row>
        <row r="19">
          <cell r="K19">
            <v>28000</v>
          </cell>
        </row>
        <row r="19">
          <cell r="Q19" t="str">
            <v>青海发投碱业有限公司</v>
          </cell>
        </row>
        <row r="20">
          <cell r="A20" t="str">
            <v>BZJSQ-20250307-0031</v>
          </cell>
        </row>
        <row r="20">
          <cell r="C20" t="str">
            <v>2025-03-07</v>
          </cell>
        </row>
        <row r="20">
          <cell r="K20">
            <v>20000</v>
          </cell>
        </row>
        <row r="20">
          <cell r="Q20" t="str">
            <v/>
          </cell>
        </row>
        <row r="21">
          <cell r="A21" t="str">
            <v>BZJSQ-20250307-0030</v>
          </cell>
        </row>
        <row r="21">
          <cell r="C21" t="str">
            <v>2025-03-07</v>
          </cell>
        </row>
        <row r="21">
          <cell r="K21">
            <v>325</v>
          </cell>
        </row>
        <row r="21">
          <cell r="Q21" t="str">
            <v>青海发投碱业有限公司</v>
          </cell>
        </row>
        <row r="22">
          <cell r="A22" t="str">
            <v>BZJSQ-20250307-0029</v>
          </cell>
        </row>
        <row r="22">
          <cell r="C22" t="str">
            <v>2025-03-07</v>
          </cell>
        </row>
        <row r="22">
          <cell r="K22">
            <v>10000</v>
          </cell>
        </row>
        <row r="22">
          <cell r="Q22" t="str">
            <v>青海发投碱业有限公司</v>
          </cell>
        </row>
        <row r="23">
          <cell r="A23" t="str">
            <v>BZJSQ-20250228-0028</v>
          </cell>
        </row>
        <row r="23">
          <cell r="C23" t="str">
            <v>2025-02-28</v>
          </cell>
        </row>
        <row r="23">
          <cell r="K23">
            <v>0</v>
          </cell>
        </row>
        <row r="23">
          <cell r="Q23" t="str">
            <v>青海发投碱业有限公司</v>
          </cell>
        </row>
        <row r="24">
          <cell r="A24" t="str">
            <v>BZJSQ-20250228-0027</v>
          </cell>
        </row>
        <row r="24">
          <cell r="C24" t="str">
            <v>2025-02-28</v>
          </cell>
        </row>
        <row r="24">
          <cell r="K24">
            <v>3000</v>
          </cell>
        </row>
        <row r="24">
          <cell r="Q24" t="str">
            <v>上海宝华国际招标有限公司华中分公司</v>
          </cell>
        </row>
        <row r="25">
          <cell r="A25" t="str">
            <v>BZJSQ-20250227-0025</v>
          </cell>
        </row>
        <row r="25">
          <cell r="C25" t="str">
            <v>2025-02-27</v>
          </cell>
        </row>
        <row r="25">
          <cell r="K25">
            <v>0</v>
          </cell>
        </row>
        <row r="25">
          <cell r="Q25" t="str">
            <v>中盐青海昆仑碱业有限公司</v>
          </cell>
        </row>
        <row r="26">
          <cell r="A26" t="str">
            <v>BZJSQ-20250224-0024</v>
          </cell>
        </row>
        <row r="26">
          <cell r="C26" t="str">
            <v>2025-02-24</v>
          </cell>
        </row>
        <row r="26">
          <cell r="K26">
            <v>10000</v>
          </cell>
        </row>
        <row r="26">
          <cell r="Q26" t="str">
            <v>青海发投碱业有限公司</v>
          </cell>
        </row>
        <row r="27">
          <cell r="A27" t="str">
            <v>BZJSQ-20250224-0023</v>
          </cell>
        </row>
        <row r="27">
          <cell r="C27" t="str">
            <v>2025-02-24</v>
          </cell>
        </row>
        <row r="27">
          <cell r="K27">
            <v>20000</v>
          </cell>
        </row>
        <row r="27">
          <cell r="Q27" t="str">
            <v>洛阳中联水泥有限公司</v>
          </cell>
        </row>
        <row r="28">
          <cell r="A28" t="str">
            <v>BZJSQ-20250223-0022</v>
          </cell>
        </row>
        <row r="28">
          <cell r="C28" t="str">
            <v>2025-02-23</v>
          </cell>
        </row>
        <row r="28">
          <cell r="K28">
            <v>10000</v>
          </cell>
        </row>
        <row r="28">
          <cell r="Q28" t="str">
            <v>江苏永钢集团有限公司</v>
          </cell>
        </row>
        <row r="29">
          <cell r="A29" t="str">
            <v>BZJSQ-20250220-0021</v>
          </cell>
        </row>
        <row r="29">
          <cell r="C29" t="str">
            <v>2025-02-20</v>
          </cell>
        </row>
        <row r="29">
          <cell r="K29">
            <v>12000</v>
          </cell>
        </row>
        <row r="29">
          <cell r="Q29" t="str">
            <v>青海发投碱业有限公司</v>
          </cell>
        </row>
        <row r="30">
          <cell r="A30" t="str">
            <v>BZJSQ-20250218-0020</v>
          </cell>
        </row>
        <row r="30">
          <cell r="C30" t="str">
            <v>2025-02-18</v>
          </cell>
        </row>
        <row r="30">
          <cell r="K30">
            <v>50000</v>
          </cell>
        </row>
        <row r="30">
          <cell r="Q30" t="str">
            <v>亚太森博（山东）浆纸有限公司</v>
          </cell>
        </row>
        <row r="31">
          <cell r="A31" t="str">
            <v>BZJSQ-20250217-0019</v>
          </cell>
        </row>
        <row r="31">
          <cell r="C31" t="str">
            <v>2025-02-17</v>
          </cell>
        </row>
        <row r="31">
          <cell r="K31">
            <v>10000</v>
          </cell>
        </row>
        <row r="31">
          <cell r="Q31" t="str">
            <v>池州恒鑫材料科技有限公司</v>
          </cell>
        </row>
        <row r="32">
          <cell r="A32" t="str">
            <v>BZJSQ-20250217-0018</v>
          </cell>
        </row>
        <row r="32">
          <cell r="C32" t="str">
            <v>2025-02-17</v>
          </cell>
        </row>
        <row r="32">
          <cell r="K32">
            <v>0</v>
          </cell>
        </row>
        <row r="32">
          <cell r="Q32" t="str">
            <v>光采招标（深圳）有限公司</v>
          </cell>
        </row>
        <row r="33">
          <cell r="A33" t="str">
            <v>BZJSQ-20250205-0016</v>
          </cell>
        </row>
        <row r="33">
          <cell r="C33" t="str">
            <v>2025-02-05</v>
          </cell>
        </row>
        <row r="33">
          <cell r="K33">
            <v>3675</v>
          </cell>
        </row>
        <row r="33">
          <cell r="Q33" t="str">
            <v>武汉开明高新科技有限公司</v>
          </cell>
        </row>
        <row r="34">
          <cell r="A34" t="str">
            <v>BZJSQ-20250205-0015</v>
          </cell>
        </row>
        <row r="34">
          <cell r="C34" t="str">
            <v>2025-02-05</v>
          </cell>
        </row>
        <row r="34">
          <cell r="K34">
            <v>3675</v>
          </cell>
        </row>
        <row r="34">
          <cell r="Q34" t="str">
            <v>青海发投碱业有限公司</v>
          </cell>
        </row>
        <row r="35">
          <cell r="A35" t="str">
            <v>BZJSQ-20250205-0014</v>
          </cell>
        </row>
        <row r="35">
          <cell r="C35" t="str">
            <v>2025-02-05</v>
          </cell>
        </row>
        <row r="35">
          <cell r="K35">
            <v>3675</v>
          </cell>
        </row>
        <row r="35">
          <cell r="Q35" t="str">
            <v>青海发投碱业有限公司</v>
          </cell>
        </row>
        <row r="36">
          <cell r="A36" t="str">
            <v>BZJSQ-20250124-0013</v>
          </cell>
        </row>
        <row r="36">
          <cell r="C36" t="str">
            <v>2025-01-24</v>
          </cell>
        </row>
        <row r="36">
          <cell r="K36">
            <v>10000</v>
          </cell>
        </row>
        <row r="36">
          <cell r="Q36" t="str">
            <v>安徽金岩高岭土新材料股份有限公司</v>
          </cell>
        </row>
        <row r="37">
          <cell r="A37" t="str">
            <v>BZJSQ-20250123-0012</v>
          </cell>
        </row>
        <row r="37">
          <cell r="C37" t="str">
            <v>2025-01-23</v>
          </cell>
        </row>
        <row r="37">
          <cell r="K37">
            <v>15000</v>
          </cell>
        </row>
        <row r="37">
          <cell r="Q37" t="str">
            <v>36001752010052504776</v>
          </cell>
        </row>
        <row r="38">
          <cell r="A38" t="str">
            <v>BZJSQ-20250122-0011</v>
          </cell>
        </row>
        <row r="38">
          <cell r="C38" t="str">
            <v>2025-01-22</v>
          </cell>
        </row>
        <row r="38">
          <cell r="K38">
            <v>10000</v>
          </cell>
        </row>
        <row r="38">
          <cell r="Q38" t="str">
            <v>山东招标股份有限公司</v>
          </cell>
        </row>
        <row r="39">
          <cell r="A39" t="str">
            <v>BZJSQ-20250114-0007</v>
          </cell>
        </row>
        <row r="39">
          <cell r="C39" t="str">
            <v>2025-01-14</v>
          </cell>
        </row>
        <row r="39">
          <cell r="K39">
            <v>50000</v>
          </cell>
        </row>
        <row r="39">
          <cell r="Q39" t="str">
            <v>武汉开明高新科技有限公司</v>
          </cell>
        </row>
        <row r="40">
          <cell r="A40" t="str">
            <v>BZJSQ-20250114-0006</v>
          </cell>
        </row>
        <row r="40">
          <cell r="C40" t="str">
            <v>2025-01-14</v>
          </cell>
        </row>
        <row r="40">
          <cell r="K40">
            <v>50000</v>
          </cell>
        </row>
        <row r="40">
          <cell r="Q40" t="str">
            <v>青海发投碱业有限公司</v>
          </cell>
        </row>
        <row r="41">
          <cell r="A41" t="str">
            <v>BZJSQ-20250114-0005</v>
          </cell>
        </row>
        <row r="41">
          <cell r="C41" t="str">
            <v>2025-01-14</v>
          </cell>
        </row>
        <row r="41">
          <cell r="K41">
            <v>50000</v>
          </cell>
        </row>
        <row r="41">
          <cell r="Q41" t="str">
            <v>青海发投碱业有限公司</v>
          </cell>
        </row>
        <row r="42">
          <cell r="A42" t="str">
            <v>BZJSQ-20250113-0004</v>
          </cell>
        </row>
        <row r="42">
          <cell r="C42" t="str">
            <v>2025-01-13</v>
          </cell>
        </row>
        <row r="42">
          <cell r="K42">
            <v>3000</v>
          </cell>
        </row>
        <row r="42">
          <cell r="Q42" t="str">
            <v/>
          </cell>
        </row>
        <row r="43">
          <cell r="A43" t="str">
            <v>BZJSQ-20250106-0003</v>
          </cell>
        </row>
        <row r="43">
          <cell r="C43" t="str">
            <v>2025-01-06</v>
          </cell>
        </row>
        <row r="43">
          <cell r="K43">
            <v>5000</v>
          </cell>
        </row>
        <row r="43">
          <cell r="Q43" t="str">
            <v>湘潭瑞通球团有限公司</v>
          </cell>
        </row>
        <row r="44">
          <cell r="A44" t="str">
            <v>BZJSQ-20250103-0002</v>
          </cell>
        </row>
        <row r="44">
          <cell r="C44" t="str">
            <v>2025-01-03</v>
          </cell>
        </row>
        <row r="44">
          <cell r="K44">
            <v>5000</v>
          </cell>
        </row>
        <row r="44">
          <cell r="Q44" t="str">
            <v>福建安砂建福水泥有限公司</v>
          </cell>
        </row>
        <row r="45">
          <cell r="A45" t="str">
            <v>BZJSQ-20241230-0148</v>
          </cell>
        </row>
        <row r="45">
          <cell r="C45" t="str">
            <v>2024-12-30</v>
          </cell>
        </row>
        <row r="45">
          <cell r="K45">
            <v>6500</v>
          </cell>
        </row>
        <row r="45">
          <cell r="Q45" t="str">
            <v>湖北岚丹建设工程有限公司</v>
          </cell>
        </row>
        <row r="46">
          <cell r="A46" t="str">
            <v>BZJSQ-20241230-0146</v>
          </cell>
        </row>
        <row r="46">
          <cell r="C46" t="str">
            <v>2024-12-30</v>
          </cell>
        </row>
        <row r="46">
          <cell r="K46">
            <v>6500</v>
          </cell>
        </row>
        <row r="46">
          <cell r="Q46" t="str">
            <v>青海发投碱业有限公司</v>
          </cell>
        </row>
        <row r="47">
          <cell r="A47" t="str">
            <v>BZJSQ-20241230-0143</v>
          </cell>
        </row>
        <row r="47">
          <cell r="C47" t="str">
            <v>2024-12-30</v>
          </cell>
        </row>
        <row r="47">
          <cell r="K47">
            <v>6500</v>
          </cell>
        </row>
        <row r="47">
          <cell r="Q47" t="str">
            <v>青海发投碱业有限公司</v>
          </cell>
        </row>
        <row r="48">
          <cell r="A48" t="str">
            <v>BZJSQ-20241230-0142</v>
          </cell>
        </row>
        <row r="48">
          <cell r="C48" t="str">
            <v>2024-12-30</v>
          </cell>
        </row>
        <row r="48">
          <cell r="K48">
            <v>10000</v>
          </cell>
        </row>
        <row r="48">
          <cell r="Q48" t="str">
            <v>江苏永钢集团有限公司</v>
          </cell>
        </row>
        <row r="49">
          <cell r="A49" t="str">
            <v>BZJSQ-20241216-0141</v>
          </cell>
        </row>
        <row r="49">
          <cell r="C49" t="str">
            <v>2024-12-16</v>
          </cell>
        </row>
        <row r="49">
          <cell r="K49">
            <v>1000</v>
          </cell>
        </row>
        <row r="49">
          <cell r="Q49" t="str">
            <v>淄博飞源化工有限公司</v>
          </cell>
        </row>
        <row r="50">
          <cell r="A50" t="str">
            <v>BZJSQ-20241214-0140</v>
          </cell>
        </row>
        <row r="50">
          <cell r="C50" t="str">
            <v>2024-12-14</v>
          </cell>
        </row>
        <row r="50">
          <cell r="K50">
            <v>5000</v>
          </cell>
        </row>
        <row r="50">
          <cell r="Q50" t="str">
            <v>河北金隅鼎鑫水泥有限公司</v>
          </cell>
        </row>
        <row r="51">
          <cell r="A51" t="str">
            <v>BZJSQ-20241212-0138</v>
          </cell>
        </row>
        <row r="51">
          <cell r="C51" t="str">
            <v>2024-12-12</v>
          </cell>
        </row>
        <row r="51">
          <cell r="K51">
            <v>5000</v>
          </cell>
        </row>
        <row r="51">
          <cell r="Q51" t="str">
            <v>湘潭瑞通球团有限公司</v>
          </cell>
        </row>
        <row r="52">
          <cell r="A52" t="str">
            <v>BZJSQ-20241211-0137</v>
          </cell>
        </row>
        <row r="52">
          <cell r="C52" t="str">
            <v>2024-12-11</v>
          </cell>
        </row>
        <row r="52">
          <cell r="K52">
            <v>57000</v>
          </cell>
        </row>
        <row r="52">
          <cell r="Q52" t="str">
            <v>中盐内蒙古化工股份有限公司盐碱分公司</v>
          </cell>
        </row>
        <row r="53">
          <cell r="A53" t="str">
            <v>BZJSQ-20241211-0136</v>
          </cell>
        </row>
        <row r="53">
          <cell r="C53" t="str">
            <v>2024-12-11</v>
          </cell>
        </row>
        <row r="53">
          <cell r="K53">
            <v>0</v>
          </cell>
        </row>
        <row r="53">
          <cell r="Q53" t="str">
            <v>中盐内蒙古化工股份有限公司盐碱分公司</v>
          </cell>
        </row>
        <row r="54">
          <cell r="A54" t="str">
            <v>BZJSQ-20241210-0135</v>
          </cell>
        </row>
        <row r="54">
          <cell r="C54" t="str">
            <v>2024-12-10</v>
          </cell>
        </row>
        <row r="54">
          <cell r="K54">
            <v>15000</v>
          </cell>
        </row>
        <row r="54">
          <cell r="Q54" t="str">
            <v>上海宝华国际招标有限公司;</v>
          </cell>
        </row>
        <row r="55">
          <cell r="A55" t="str">
            <v>BZJSQ-20241130-0134</v>
          </cell>
        </row>
        <row r="55">
          <cell r="C55" t="str">
            <v>2024-11-30</v>
          </cell>
        </row>
        <row r="55">
          <cell r="K55">
            <v>10000</v>
          </cell>
        </row>
        <row r="55">
          <cell r="Q55" t="str">
            <v>江苏永钢集团有限公司</v>
          </cell>
        </row>
        <row r="56">
          <cell r="A56" t="str">
            <v>BZJSQ-20241128-0133</v>
          </cell>
        </row>
        <row r="56">
          <cell r="C56" t="str">
            <v>2024-11-28</v>
          </cell>
        </row>
        <row r="56">
          <cell r="K56">
            <v>8500</v>
          </cell>
        </row>
        <row r="56">
          <cell r="Q56" t="str">
            <v>闫玲</v>
          </cell>
        </row>
        <row r="57">
          <cell r="A57" t="str">
            <v>BZJSQ-20241126-0132</v>
          </cell>
        </row>
        <row r="57">
          <cell r="C57" t="str">
            <v>2024-11-26</v>
          </cell>
        </row>
        <row r="57">
          <cell r="K57">
            <v>0</v>
          </cell>
        </row>
        <row r="57">
          <cell r="Q57" t="str">
            <v>中国电能成套设备有限公司</v>
          </cell>
        </row>
        <row r="58">
          <cell r="A58" t="str">
            <v>BZJSQ-20241126-0131</v>
          </cell>
        </row>
        <row r="58">
          <cell r="C58" t="str">
            <v>2024-11-26</v>
          </cell>
        </row>
        <row r="58">
          <cell r="K58">
            <v>8000</v>
          </cell>
        </row>
        <row r="58">
          <cell r="Q58" t="str">
            <v>中盐内蒙古化工股份有限公司</v>
          </cell>
        </row>
        <row r="59">
          <cell r="A59" t="str">
            <v>BZJSQ-20241115-0130</v>
          </cell>
        </row>
        <row r="59">
          <cell r="C59" t="str">
            <v>2024-11-15</v>
          </cell>
        </row>
        <row r="59">
          <cell r="K59">
            <v>5000</v>
          </cell>
        </row>
        <row r="59">
          <cell r="Q59" t="str">
            <v>甘肃上峰水泥股份有限公司</v>
          </cell>
        </row>
        <row r="60">
          <cell r="A60" t="str">
            <v>BZJSQ-20241115-0129</v>
          </cell>
        </row>
        <row r="60">
          <cell r="C60" t="str">
            <v>2024-11-15</v>
          </cell>
        </row>
        <row r="60">
          <cell r="K60">
            <v>20000</v>
          </cell>
        </row>
        <row r="60">
          <cell r="Q60" t="str">
            <v>甘肃上峰水泥股份有限公司</v>
          </cell>
        </row>
        <row r="61">
          <cell r="A61" t="str">
            <v>BZJSQ-20241112-0128</v>
          </cell>
        </row>
        <row r="61">
          <cell r="C61" t="str">
            <v>2024-11-12</v>
          </cell>
        </row>
        <row r="61">
          <cell r="K61">
            <v>94500</v>
          </cell>
        </row>
        <row r="61">
          <cell r="Q61" t="str">
            <v>中国电能成套设备有限公司</v>
          </cell>
        </row>
        <row r="62">
          <cell r="A62" t="str">
            <v>BZJSQ-20241106-0127</v>
          </cell>
        </row>
        <row r="62">
          <cell r="C62" t="str">
            <v>2024-11-06</v>
          </cell>
        </row>
        <row r="62">
          <cell r="K62">
            <v>10000</v>
          </cell>
        </row>
        <row r="62">
          <cell r="Q62" t="str">
            <v>青海发投碱业有限公司</v>
          </cell>
        </row>
        <row r="63">
          <cell r="A63" t="str">
            <v>BZJSQ-20241104-0126</v>
          </cell>
        </row>
        <row r="63">
          <cell r="C63" t="str">
            <v>2024-11-04</v>
          </cell>
        </row>
        <row r="63">
          <cell r="K63">
            <v>47100</v>
          </cell>
        </row>
        <row r="63">
          <cell r="Q63" t="str">
            <v>国家电投集团山西铝业有限公司</v>
          </cell>
        </row>
        <row r="64">
          <cell r="A64" t="str">
            <v>BZJSQ-20241102-0125</v>
          </cell>
        </row>
        <row r="64">
          <cell r="C64" t="str">
            <v>2024-11-02</v>
          </cell>
        </row>
        <row r="64">
          <cell r="K64">
            <v>20000</v>
          </cell>
        </row>
        <row r="64">
          <cell r="Q64" t="str">
            <v>巴彦淖尔中联水泥有限公司</v>
          </cell>
        </row>
        <row r="65">
          <cell r="A65" t="str">
            <v>BZJSQ-20241030-0124</v>
          </cell>
        </row>
        <row r="65">
          <cell r="C65" t="str">
            <v>2024-10-30</v>
          </cell>
        </row>
        <row r="65">
          <cell r="K65">
            <v>85100</v>
          </cell>
        </row>
        <row r="65">
          <cell r="Q65" t="str">
            <v>新疆伊犁钢铁有限责任公司</v>
          </cell>
        </row>
        <row r="66">
          <cell r="A66" t="str">
            <v>BZJSQ-20241030-0123</v>
          </cell>
        </row>
        <row r="66">
          <cell r="C66" t="str">
            <v>2024-10-30</v>
          </cell>
        </row>
        <row r="66">
          <cell r="K66">
            <v>69500</v>
          </cell>
        </row>
        <row r="66">
          <cell r="Q66" t="str">
            <v>新疆伊犁钢铁有限责任公司</v>
          </cell>
        </row>
        <row r="67">
          <cell r="A67" t="str">
            <v>BZJSQ-20241030-0122</v>
          </cell>
        </row>
        <row r="67">
          <cell r="C67" t="str">
            <v>2024-10-30</v>
          </cell>
        </row>
        <row r="67">
          <cell r="K67">
            <v>15500</v>
          </cell>
        </row>
        <row r="67">
          <cell r="Q67" t="str">
            <v>新疆伊犁钢铁有限责任公司</v>
          </cell>
        </row>
        <row r="68">
          <cell r="A68" t="str">
            <v>BZJSQ-20241028-0121</v>
          </cell>
        </row>
        <row r="68">
          <cell r="C68" t="str">
            <v>2024-10-28</v>
          </cell>
        </row>
        <row r="68">
          <cell r="K68">
            <v>5200</v>
          </cell>
        </row>
        <row r="68">
          <cell r="Q68" t="str">
            <v>唐山中厚板材有限公司</v>
          </cell>
        </row>
        <row r="69">
          <cell r="A69" t="str">
            <v>BZJSQ-20241027-0120</v>
          </cell>
        </row>
        <row r="69">
          <cell r="C69" t="str">
            <v>2024-10-27</v>
          </cell>
        </row>
        <row r="69">
          <cell r="K69">
            <v>0</v>
          </cell>
        </row>
        <row r="69">
          <cell r="Q69" t="str">
            <v>新疆伊犁钢铁有限责任公司</v>
          </cell>
        </row>
        <row r="70">
          <cell r="A70" t="str">
            <v>BZJSQ-20241027-0119</v>
          </cell>
        </row>
        <row r="70">
          <cell r="C70" t="str">
            <v>2024-10-27</v>
          </cell>
        </row>
        <row r="70">
          <cell r="K70">
            <v>0</v>
          </cell>
        </row>
        <row r="70">
          <cell r="Q70" t="str">
            <v>新疆伊犁钢铁有限责任公司</v>
          </cell>
        </row>
        <row r="71">
          <cell r="A71" t="str">
            <v>BZJSQ-20241027-0118</v>
          </cell>
        </row>
        <row r="71">
          <cell r="C71" t="str">
            <v>2024-10-27</v>
          </cell>
        </row>
        <row r="71">
          <cell r="K71">
            <v>0</v>
          </cell>
        </row>
        <row r="71">
          <cell r="Q71" t="str">
            <v>新疆伊犁钢铁有限责任公司</v>
          </cell>
        </row>
        <row r="72">
          <cell r="A72" t="str">
            <v>BZJSQ-20241026-0117</v>
          </cell>
        </row>
        <row r="72">
          <cell r="C72" t="str">
            <v>2024-10-26</v>
          </cell>
        </row>
        <row r="72">
          <cell r="K72">
            <v>20838.39</v>
          </cell>
        </row>
        <row r="72">
          <cell r="Q72" t="str">
            <v>新疆伊犁钢铁有限责任公司</v>
          </cell>
        </row>
        <row r="73">
          <cell r="A73" t="str">
            <v>BZJSQ-20241026-0116</v>
          </cell>
        </row>
        <row r="73">
          <cell r="C73" t="str">
            <v>2024-10-26</v>
          </cell>
        </row>
        <row r="73">
          <cell r="K73">
            <v>4644.08</v>
          </cell>
        </row>
        <row r="73">
          <cell r="Q73" t="str">
            <v>新疆伊犁钢铁有限责任公司</v>
          </cell>
        </row>
        <row r="74">
          <cell r="A74" t="str">
            <v>BZJSQ-20241026-0115</v>
          </cell>
        </row>
        <row r="74">
          <cell r="C74" t="str">
            <v>2024-10-26</v>
          </cell>
        </row>
        <row r="74">
          <cell r="K74">
            <v>25536.9</v>
          </cell>
        </row>
        <row r="74">
          <cell r="Q74" t="str">
            <v>新疆伊犁钢铁有限责任公司</v>
          </cell>
        </row>
        <row r="75">
          <cell r="A75" t="str">
            <v>BZJSQ-20241025-0114</v>
          </cell>
        </row>
        <row r="75">
          <cell r="C75" t="str">
            <v>2024-10-25</v>
          </cell>
        </row>
        <row r="75">
          <cell r="K75">
            <v>5000</v>
          </cell>
        </row>
        <row r="75">
          <cell r="Q75" t="str">
            <v>唐山中厚板材有限公司</v>
          </cell>
        </row>
        <row r="76">
          <cell r="A76" t="str">
            <v>BZJSQ-20241023-0113</v>
          </cell>
        </row>
        <row r="76">
          <cell r="C76" t="str">
            <v>2024-10-23</v>
          </cell>
        </row>
        <row r="76">
          <cell r="K76">
            <v>10000</v>
          </cell>
        </row>
        <row r="76">
          <cell r="Q76" t="str">
            <v>青海发投碱业有限公司</v>
          </cell>
        </row>
        <row r="77">
          <cell r="A77" t="str">
            <v>BZJSQ-20241021-0112</v>
          </cell>
        </row>
        <row r="77">
          <cell r="C77" t="str">
            <v>2024-10-21</v>
          </cell>
        </row>
        <row r="77">
          <cell r="K77">
            <v>0</v>
          </cell>
        </row>
        <row r="77">
          <cell r="Q77" t="str">
            <v>邵玉海</v>
          </cell>
        </row>
        <row r="78">
          <cell r="A78" t="str">
            <v>BZJSQ-20240930-0111</v>
          </cell>
        </row>
        <row r="78">
          <cell r="C78" t="str">
            <v>2024-09-30</v>
          </cell>
        </row>
        <row r="78">
          <cell r="K78">
            <v>120875</v>
          </cell>
        </row>
        <row r="78">
          <cell r="Q78" t="str">
            <v>中国电能成套设备有限公司</v>
          </cell>
        </row>
        <row r="79">
          <cell r="A79" t="str">
            <v>BZJSQ-20240929-0110</v>
          </cell>
        </row>
        <row r="79">
          <cell r="C79" t="str">
            <v>2024-09-29</v>
          </cell>
        </row>
        <row r="79">
          <cell r="K79">
            <v>2000</v>
          </cell>
        </row>
        <row r="79">
          <cell r="Q79" t="str">
            <v>安徽省优质采科技发展有限责任公司</v>
          </cell>
        </row>
        <row r="80">
          <cell r="A80" t="str">
            <v>BZJSQ-20240927-0109</v>
          </cell>
        </row>
        <row r="80">
          <cell r="C80" t="str">
            <v>2024-09-27</v>
          </cell>
        </row>
        <row r="80">
          <cell r="K80">
            <v>35000</v>
          </cell>
        </row>
        <row r="80">
          <cell r="Q80" t="str">
            <v>湖北岚丹建设工程有限公司离心机节能增效农民工工资保证金专户</v>
          </cell>
        </row>
        <row r="81">
          <cell r="A81" t="str">
            <v>BZJSQ-20240927-0108</v>
          </cell>
        </row>
        <row r="81">
          <cell r="C81" t="str">
            <v>2024-09-27</v>
          </cell>
        </row>
        <row r="81">
          <cell r="K81">
            <v>35000</v>
          </cell>
        </row>
        <row r="81">
          <cell r="Q81" t="str">
            <v>青海发投碱业有限公司</v>
          </cell>
        </row>
        <row r="82">
          <cell r="A82" t="str">
            <v>BZJSQ-20240927-0107</v>
          </cell>
        </row>
        <row r="82">
          <cell r="C82" t="str">
            <v>2024-09-27</v>
          </cell>
        </row>
        <row r="82">
          <cell r="K82">
            <v>35000</v>
          </cell>
        </row>
        <row r="82">
          <cell r="Q82" t="str">
            <v>青海发投碱业有限公司</v>
          </cell>
        </row>
        <row r="83">
          <cell r="A83" t="str">
            <v>BZJSQ-20240925-0106</v>
          </cell>
        </row>
        <row r="83">
          <cell r="C83" t="str">
            <v>2024-09-25</v>
          </cell>
        </row>
        <row r="83">
          <cell r="K83">
            <v>0</v>
          </cell>
        </row>
        <row r="83">
          <cell r="Q83" t="str">
            <v>国家电投集团山西铝业有限公司</v>
          </cell>
        </row>
        <row r="84">
          <cell r="A84" t="str">
            <v>BZJSQ-20240925-0105</v>
          </cell>
        </row>
        <row r="84">
          <cell r="C84" t="str">
            <v>2024-09-25</v>
          </cell>
        </row>
        <row r="84">
          <cell r="K84">
            <v>0</v>
          </cell>
        </row>
        <row r="84">
          <cell r="Q84" t="str">
            <v>内蒙古伊东冀东水泥有限公司</v>
          </cell>
        </row>
        <row r="85">
          <cell r="A85" t="str">
            <v>BZJSQ-20240921-0104</v>
          </cell>
        </row>
        <row r="85">
          <cell r="C85" t="str">
            <v>2024-09-21</v>
          </cell>
        </row>
        <row r="85">
          <cell r="K85">
            <v>10000</v>
          </cell>
        </row>
        <row r="85">
          <cell r="Q85" t="str">
            <v>日照钢铁有限公司</v>
          </cell>
        </row>
        <row r="86">
          <cell r="A86" t="str">
            <v>BZJSQ-20240920-0103</v>
          </cell>
        </row>
        <row r="86">
          <cell r="C86" t="str">
            <v>2024-09-20</v>
          </cell>
        </row>
        <row r="86">
          <cell r="K86">
            <v>24000</v>
          </cell>
        </row>
        <row r="86">
          <cell r="Q86" t="str">
            <v>上海宝华国际招标有限公司</v>
          </cell>
        </row>
        <row r="87">
          <cell r="A87" t="str">
            <v>BZJSQ-20240913-0102</v>
          </cell>
        </row>
        <row r="87">
          <cell r="C87" t="str">
            <v>2024-09-14</v>
          </cell>
        </row>
        <row r="87">
          <cell r="K87">
            <v>40000</v>
          </cell>
        </row>
        <row r="87">
          <cell r="Q87" t="str">
            <v/>
          </cell>
        </row>
        <row r="88">
          <cell r="A88" t="str">
            <v>BZJSQ-20240912-0101</v>
          </cell>
        </row>
        <row r="88">
          <cell r="C88" t="str">
            <v>2024-09-12</v>
          </cell>
        </row>
        <row r="88">
          <cell r="K88">
            <v>20000</v>
          </cell>
        </row>
        <row r="88">
          <cell r="Q88" t="str">
            <v>云图新能源材料（荆州）有限公司</v>
          </cell>
        </row>
        <row r="89">
          <cell r="A89" t="str">
            <v>BZJSQ-20240910-0100</v>
          </cell>
        </row>
        <row r="89">
          <cell r="C89" t="str">
            <v>2024-09-10</v>
          </cell>
        </row>
        <row r="89">
          <cell r="K89">
            <v>20000</v>
          </cell>
        </row>
        <row r="89">
          <cell r="Q89" t="str">
            <v>青海盐湖镁业有限公司</v>
          </cell>
        </row>
        <row r="90">
          <cell r="A90" t="str">
            <v>BZJSQ-20240910-0099</v>
          </cell>
        </row>
        <row r="90">
          <cell r="C90" t="str">
            <v>2024-09-10</v>
          </cell>
        </row>
        <row r="90">
          <cell r="K90">
            <v>20000</v>
          </cell>
        </row>
        <row r="90">
          <cell r="Q90" t="str">
            <v>青海盐湖镁业有限公司</v>
          </cell>
        </row>
        <row r="91">
          <cell r="A91" t="str">
            <v>BZJSQ-20240910-0098</v>
          </cell>
        </row>
        <row r="91">
          <cell r="C91" t="str">
            <v>2024-09-10</v>
          </cell>
        </row>
        <row r="91">
          <cell r="K91">
            <v>10000</v>
          </cell>
        </row>
        <row r="91">
          <cell r="Q91" t="str">
            <v>江苏永钢集团有限公司</v>
          </cell>
        </row>
        <row r="92">
          <cell r="A92" t="str">
            <v>BZJSQ-20240905-0097</v>
          </cell>
        </row>
        <row r="92">
          <cell r="C92" t="str">
            <v>2024-09-05</v>
          </cell>
        </row>
        <row r="92">
          <cell r="K92">
            <v>10000</v>
          </cell>
        </row>
        <row r="92">
          <cell r="Q92" t="str">
            <v>青海发投碱业有限公司</v>
          </cell>
        </row>
        <row r="93">
          <cell r="A93" t="str">
            <v>BZJSQ-20240816-0096</v>
          </cell>
        </row>
        <row r="93">
          <cell r="C93" t="str">
            <v>2024-08-16</v>
          </cell>
        </row>
        <row r="93">
          <cell r="K93">
            <v>74200</v>
          </cell>
        </row>
        <row r="93">
          <cell r="Q93" t="str">
            <v>上海宝华国际招标有限公司</v>
          </cell>
        </row>
        <row r="94">
          <cell r="A94" t="str">
            <v>BZJSQ-20240812-0095</v>
          </cell>
        </row>
        <row r="94">
          <cell r="C94" t="str">
            <v>2024-08-12</v>
          </cell>
        </row>
        <row r="94">
          <cell r="K94">
            <v>30000</v>
          </cell>
        </row>
        <row r="94">
          <cell r="Q94" t="str">
            <v>青海发投碱业有限公司</v>
          </cell>
        </row>
        <row r="95">
          <cell r="A95" t="str">
            <v>BZJSQ-20240726-0094</v>
          </cell>
        </row>
        <row r="95">
          <cell r="C95" t="str">
            <v>2024-07-26</v>
          </cell>
        </row>
        <row r="95">
          <cell r="K95">
            <v>0</v>
          </cell>
        </row>
        <row r="95">
          <cell r="Q95" t="str">
            <v>鞍山冀东水泥有限责任公司</v>
          </cell>
        </row>
        <row r="96">
          <cell r="A96" t="str">
            <v>BZJSQ-20240724-0093</v>
          </cell>
        </row>
        <row r="96">
          <cell r="C96" t="str">
            <v>2024-07-24</v>
          </cell>
        </row>
        <row r="96">
          <cell r="K96">
            <v>4000</v>
          </cell>
        </row>
        <row r="96">
          <cell r="Q96" t="str">
            <v>青海发投碱业有限公司</v>
          </cell>
        </row>
        <row r="97">
          <cell r="A97" t="str">
            <v>BZJSQ-20240719-0092</v>
          </cell>
        </row>
        <row r="97">
          <cell r="C97" t="str">
            <v>2024-07-19</v>
          </cell>
        </row>
        <row r="97">
          <cell r="K97">
            <v>28875</v>
          </cell>
        </row>
        <row r="97">
          <cell r="Q97" t="str">
            <v>中国电能成套设备有限公司</v>
          </cell>
        </row>
        <row r="98">
          <cell r="A98" t="str">
            <v>BZJSQ-20240701-0091</v>
          </cell>
        </row>
        <row r="98">
          <cell r="C98" t="str">
            <v>2024-07-01</v>
          </cell>
        </row>
        <row r="98">
          <cell r="K98">
            <v>6000</v>
          </cell>
        </row>
        <row r="98">
          <cell r="Q98" t="str">
            <v>新疆宜化化工有限公司</v>
          </cell>
        </row>
        <row r="99">
          <cell r="A99" t="str">
            <v>BZJSQ-20240627-0090</v>
          </cell>
        </row>
        <row r="99">
          <cell r="C99" t="str">
            <v>2024-06-27</v>
          </cell>
        </row>
        <row r="99">
          <cell r="K99">
            <v>6950</v>
          </cell>
        </row>
        <row r="99">
          <cell r="Q99" t="str">
            <v>青海发投碱业有限公司</v>
          </cell>
        </row>
        <row r="100">
          <cell r="A100" t="str">
            <v>BZJSQ-20240627-0089</v>
          </cell>
        </row>
        <row r="100">
          <cell r="C100" t="str">
            <v>2024-06-27</v>
          </cell>
        </row>
        <row r="100">
          <cell r="K100">
            <v>7000</v>
          </cell>
        </row>
        <row r="100">
          <cell r="Q100" t="str">
            <v>青海发投碱业有限公司</v>
          </cell>
        </row>
        <row r="101">
          <cell r="A101" t="str">
            <v>BZJSQ-20240626-0088</v>
          </cell>
        </row>
        <row r="101">
          <cell r="C101" t="str">
            <v>2024-06-26</v>
          </cell>
        </row>
        <row r="101">
          <cell r="K101">
            <v>2000</v>
          </cell>
        </row>
        <row r="101">
          <cell r="Q101" t="str">
            <v>安徽省优质采科技发展有限责任公司</v>
          </cell>
        </row>
        <row r="102">
          <cell r="A102" t="str">
            <v>BZJSQ-20240625-0087</v>
          </cell>
        </row>
        <row r="102">
          <cell r="C102" t="str">
            <v>2024-06-25</v>
          </cell>
        </row>
        <row r="102">
          <cell r="K102">
            <v>6950</v>
          </cell>
        </row>
        <row r="102">
          <cell r="Q102" t="str">
            <v>青海发投碱业有限公司</v>
          </cell>
        </row>
        <row r="103">
          <cell r="A103" t="str">
            <v>BZJSQ-20240604-0086</v>
          </cell>
        </row>
        <row r="103">
          <cell r="C103" t="str">
            <v>2024-06-04</v>
          </cell>
        </row>
        <row r="103">
          <cell r="K103">
            <v>0</v>
          </cell>
        </row>
        <row r="103">
          <cell r="Q103" t="str">
            <v>山东泰山钢铁集团有限公司</v>
          </cell>
        </row>
        <row r="104">
          <cell r="A104" t="str">
            <v>BZJSQ-20240524-0085</v>
          </cell>
        </row>
        <row r="104">
          <cell r="C104" t="str">
            <v>2024-05-24</v>
          </cell>
        </row>
        <row r="104">
          <cell r="K104">
            <v>0</v>
          </cell>
        </row>
        <row r="104">
          <cell r="Q104" t="str">
            <v>西南水泥有限公司</v>
          </cell>
        </row>
        <row r="105">
          <cell r="A105" t="str">
            <v>BZJSQ-20240524-0084</v>
          </cell>
        </row>
        <row r="105">
          <cell r="C105" t="str">
            <v>2024-05-24</v>
          </cell>
        </row>
        <row r="105">
          <cell r="K105">
            <v>0</v>
          </cell>
        </row>
        <row r="105">
          <cell r="Q105" t="str">
            <v>西南水泥有限公司</v>
          </cell>
        </row>
        <row r="106">
          <cell r="A106" t="str">
            <v>BZJSQ-20240521-0083</v>
          </cell>
        </row>
        <row r="106">
          <cell r="C106" t="str">
            <v>2024-05-21</v>
          </cell>
        </row>
        <row r="106">
          <cell r="K106">
            <v>5000</v>
          </cell>
        </row>
        <row r="106">
          <cell r="Q106" t="str">
            <v>福建三钢闽光股份有限公司</v>
          </cell>
        </row>
        <row r="107">
          <cell r="A107" t="str">
            <v>BZJSQ-20240515-0082</v>
          </cell>
        </row>
        <row r="107">
          <cell r="C107" t="str">
            <v>2024-05-15</v>
          </cell>
        </row>
        <row r="107">
          <cell r="K107">
            <v>0</v>
          </cell>
        </row>
        <row r="107">
          <cell r="Q107" t="str">
            <v>湖北宜化松滋肥业有限公司</v>
          </cell>
        </row>
        <row r="108">
          <cell r="A108" t="str">
            <v>BZJSQ-20240514-0081</v>
          </cell>
        </row>
        <row r="108">
          <cell r="C108" t="str">
            <v>2024-05-14</v>
          </cell>
        </row>
        <row r="108">
          <cell r="K108">
            <v>20000</v>
          </cell>
        </row>
        <row r="108">
          <cell r="Q108" t="str">
            <v>中盐内蒙古化工股份有限公司</v>
          </cell>
        </row>
        <row r="109">
          <cell r="A109" t="str">
            <v>BZJSQ-20240514-0080</v>
          </cell>
        </row>
        <row r="109">
          <cell r="C109" t="str">
            <v>2024-05-14</v>
          </cell>
        </row>
        <row r="109">
          <cell r="K109">
            <v>8000</v>
          </cell>
        </row>
        <row r="109">
          <cell r="Q109" t="str">
            <v>内蒙古亿利冀东水泥有限责任公司</v>
          </cell>
        </row>
        <row r="110">
          <cell r="A110" t="str">
            <v>BZJSQ-20240513-0079</v>
          </cell>
        </row>
        <row r="110">
          <cell r="C110" t="str">
            <v>2024-05-13</v>
          </cell>
        </row>
        <row r="110">
          <cell r="K110">
            <v>10000</v>
          </cell>
        </row>
        <row r="110">
          <cell r="Q110" t="str">
            <v>日照钢铁有限公司</v>
          </cell>
        </row>
        <row r="111">
          <cell r="A111" t="str">
            <v>BZJSQ-20240508-0078</v>
          </cell>
        </row>
        <row r="111">
          <cell r="C111" t="str">
            <v>2024-05-08</v>
          </cell>
        </row>
        <row r="111">
          <cell r="K111">
            <v>15000</v>
          </cell>
        </row>
        <row r="111">
          <cell r="Q111" t="str">
            <v>青海发投碱业有限公司</v>
          </cell>
        </row>
        <row r="112">
          <cell r="A112" t="str">
            <v>BZJSQ-20240508-0077</v>
          </cell>
        </row>
        <row r="112">
          <cell r="C112" t="str">
            <v>2024-05-08</v>
          </cell>
        </row>
        <row r="112">
          <cell r="K112">
            <v>14300</v>
          </cell>
        </row>
        <row r="112">
          <cell r="Q112" t="str">
            <v>青海发投碱业有限公司</v>
          </cell>
        </row>
        <row r="113">
          <cell r="A113" t="str">
            <v>BZJSQ-20240508-0076</v>
          </cell>
        </row>
        <row r="113">
          <cell r="C113" t="str">
            <v>2024-05-08</v>
          </cell>
        </row>
        <row r="113">
          <cell r="K113">
            <v>14300</v>
          </cell>
        </row>
        <row r="113">
          <cell r="Q113" t="str">
            <v>青海发投碱业有限公司</v>
          </cell>
        </row>
        <row r="114">
          <cell r="A114" t="str">
            <v>BZJSQ-20240506-0075</v>
          </cell>
        </row>
        <row r="114">
          <cell r="C114" t="str">
            <v>2024-05-06</v>
          </cell>
        </row>
        <row r="114">
          <cell r="K114">
            <v>8000</v>
          </cell>
        </row>
        <row r="114">
          <cell r="Q114" t="str">
            <v>中盐吉兰泰氯碱化工有限公司</v>
          </cell>
        </row>
        <row r="115">
          <cell r="A115" t="str">
            <v>BZJSQ-20240430-0074</v>
          </cell>
        </row>
        <row r="115">
          <cell r="C115" t="str">
            <v>2024-04-30</v>
          </cell>
        </row>
        <row r="115">
          <cell r="K115">
            <v>10000</v>
          </cell>
        </row>
        <row r="115">
          <cell r="Q115" t="str">
            <v>日照钢铁有限公司</v>
          </cell>
        </row>
        <row r="116">
          <cell r="A116" t="str">
            <v>BZJSQ-20240425-0073</v>
          </cell>
        </row>
        <row r="116">
          <cell r="C116" t="str">
            <v>2024-04-25</v>
          </cell>
        </row>
        <row r="116">
          <cell r="K116">
            <v>14000</v>
          </cell>
        </row>
        <row r="116">
          <cell r="Q116" t="str">
            <v>青海发投碱业有限公司</v>
          </cell>
        </row>
        <row r="117">
          <cell r="A117" t="str">
            <v>BZJSQ-20240423-0072</v>
          </cell>
        </row>
        <row r="117">
          <cell r="C117" t="str">
            <v>2024-04-23</v>
          </cell>
        </row>
        <row r="117">
          <cell r="K117">
            <v>5000</v>
          </cell>
        </row>
        <row r="117">
          <cell r="Q117" t="str">
            <v>青海发投碱业有限公司</v>
          </cell>
        </row>
        <row r="118">
          <cell r="A118" t="str">
            <v>BZJSQ-20240423-0071</v>
          </cell>
        </row>
        <row r="118">
          <cell r="C118" t="str">
            <v>2024-04-23</v>
          </cell>
        </row>
        <row r="118">
          <cell r="K118">
            <v>8000</v>
          </cell>
        </row>
        <row r="118">
          <cell r="Q118" t="str">
            <v>青海发投碱业有限公司</v>
          </cell>
        </row>
        <row r="119">
          <cell r="A119" t="str">
            <v>BZJSQ-20240423-0070</v>
          </cell>
        </row>
        <row r="119">
          <cell r="C119" t="str">
            <v>2024-04-23</v>
          </cell>
        </row>
        <row r="119">
          <cell r="K119">
            <v>10000</v>
          </cell>
        </row>
        <row r="119">
          <cell r="Q119" t="str">
            <v>青海发投碱业有限公司</v>
          </cell>
        </row>
        <row r="120">
          <cell r="A120" t="str">
            <v>BZJSQ-20240423-0069</v>
          </cell>
        </row>
        <row r="120">
          <cell r="C120" t="str">
            <v>2024-04-23</v>
          </cell>
        </row>
        <row r="120">
          <cell r="K120">
            <v>3000</v>
          </cell>
        </row>
        <row r="120">
          <cell r="Q120" t="str">
            <v>青海发投碱业有限公司</v>
          </cell>
        </row>
        <row r="121">
          <cell r="A121" t="str">
            <v>BZJSQ-20240422-0068</v>
          </cell>
        </row>
        <row r="121">
          <cell r="C121" t="str">
            <v>2024-04-22</v>
          </cell>
        </row>
        <row r="121">
          <cell r="K121">
            <v>20000</v>
          </cell>
        </row>
        <row r="121">
          <cell r="Q121" t="str">
            <v>青海盐湖镁业有限公司</v>
          </cell>
        </row>
        <row r="122">
          <cell r="A122" t="str">
            <v>BZJSQ-20240417-0067</v>
          </cell>
        </row>
        <row r="122">
          <cell r="C122" t="str">
            <v>2024-04-17</v>
          </cell>
        </row>
        <row r="122">
          <cell r="K122">
            <v>4000</v>
          </cell>
        </row>
        <row r="122">
          <cell r="Q122" t="str">
            <v>北方水泥有限公司（总部）</v>
          </cell>
        </row>
        <row r="123">
          <cell r="A123" t="str">
            <v>BZJSQ-20240416-0066</v>
          </cell>
        </row>
        <row r="123">
          <cell r="C123" t="str">
            <v>2024-04-16</v>
          </cell>
        </row>
        <row r="123">
          <cell r="K123">
            <v>2000</v>
          </cell>
        </row>
        <row r="123">
          <cell r="Q123" t="str">
            <v>董魁</v>
          </cell>
        </row>
        <row r="124">
          <cell r="A124" t="str">
            <v>BZJSQ-20240416-0065</v>
          </cell>
        </row>
        <row r="124">
          <cell r="C124" t="str">
            <v>2024-04-16</v>
          </cell>
        </row>
        <row r="124">
          <cell r="K124">
            <v>180000</v>
          </cell>
        </row>
        <row r="124">
          <cell r="Q124" t="str">
            <v>青海发投碱业有限公司</v>
          </cell>
        </row>
        <row r="125">
          <cell r="A125" t="str">
            <v>BZJSQ-20240412-0064</v>
          </cell>
        </row>
        <row r="125">
          <cell r="C125" t="str">
            <v>2024-04-12</v>
          </cell>
        </row>
        <row r="125">
          <cell r="K125">
            <v>10000</v>
          </cell>
        </row>
        <row r="125">
          <cell r="Q125" t="str">
            <v>山东泰山钢铁集团有限公司</v>
          </cell>
        </row>
        <row r="126">
          <cell r="A126" t="str">
            <v>BZJSQ-20240409-0063</v>
          </cell>
        </row>
        <row r="126">
          <cell r="C126" t="str">
            <v>2024-04-09</v>
          </cell>
        </row>
        <row r="126">
          <cell r="K126">
            <v>180000</v>
          </cell>
        </row>
        <row r="126">
          <cell r="Q126" t="str">
            <v>青海发投碱业有限公司</v>
          </cell>
        </row>
        <row r="127">
          <cell r="A127" t="str">
            <v>BZJSQ-20240409-0062</v>
          </cell>
        </row>
        <row r="127">
          <cell r="C127" t="str">
            <v>2024-04-09</v>
          </cell>
        </row>
        <row r="127">
          <cell r="K127">
            <v>180044</v>
          </cell>
        </row>
        <row r="127">
          <cell r="Q127" t="str">
            <v>青海发投碱业有限公司</v>
          </cell>
        </row>
        <row r="128">
          <cell r="A128" t="str">
            <v>BZJSQ-20240409-0061</v>
          </cell>
        </row>
        <row r="128">
          <cell r="C128" t="str">
            <v>2024-04-09</v>
          </cell>
        </row>
        <row r="128">
          <cell r="K128">
            <v>21000</v>
          </cell>
        </row>
        <row r="128">
          <cell r="Q128" t="str">
            <v>青海发投碱业有限公司</v>
          </cell>
        </row>
        <row r="129">
          <cell r="A129" t="str">
            <v>BZJSQ-20240408-0060</v>
          </cell>
        </row>
        <row r="129">
          <cell r="C129" t="str">
            <v>2024-04-08</v>
          </cell>
        </row>
        <row r="129">
          <cell r="K129">
            <v>2600</v>
          </cell>
        </row>
        <row r="129">
          <cell r="Q129" t="str">
            <v>青海发投碱业有限公司</v>
          </cell>
        </row>
        <row r="130">
          <cell r="A130" t="str">
            <v>BZJSQ-20240408-0059</v>
          </cell>
        </row>
        <row r="130">
          <cell r="C130" t="str">
            <v>2024-04-08</v>
          </cell>
        </row>
        <row r="130">
          <cell r="K130">
            <v>3000</v>
          </cell>
        </row>
        <row r="130">
          <cell r="Q130" t="str">
            <v>青海发投碱业有限公司</v>
          </cell>
        </row>
        <row r="131">
          <cell r="A131" t="str">
            <v>BZJSQ-20240408-0058</v>
          </cell>
        </row>
        <row r="131">
          <cell r="C131" t="str">
            <v>2024-04-08</v>
          </cell>
        </row>
        <row r="131">
          <cell r="K131">
            <v>2600</v>
          </cell>
        </row>
        <row r="131">
          <cell r="Q131" t="str">
            <v>青海发投碱业有限公司</v>
          </cell>
        </row>
        <row r="132">
          <cell r="A132" t="str">
            <v>BZJSQ-20240406-0057</v>
          </cell>
        </row>
        <row r="132">
          <cell r="C132" t="str">
            <v>2024-04-06</v>
          </cell>
        </row>
        <row r="132">
          <cell r="K132">
            <v>10000</v>
          </cell>
        </row>
        <row r="132">
          <cell r="Q132" t="str">
            <v>日照钢铁有限公司</v>
          </cell>
        </row>
        <row r="133">
          <cell r="A133" t="str">
            <v>BZJSQ-20240328-0056</v>
          </cell>
        </row>
        <row r="133">
          <cell r="C133" t="str">
            <v>2024-03-28</v>
          </cell>
        </row>
        <row r="133">
          <cell r="K133">
            <v>2000</v>
          </cell>
        </row>
        <row r="133">
          <cell r="Q133" t="str">
            <v/>
          </cell>
        </row>
        <row r="134">
          <cell r="A134" t="str">
            <v>BZJSQ-20240325-0055</v>
          </cell>
        </row>
        <row r="134">
          <cell r="C134" t="str">
            <v>2024-03-25</v>
          </cell>
        </row>
        <row r="134">
          <cell r="K134">
            <v>48000</v>
          </cell>
        </row>
        <row r="134">
          <cell r="Q134" t="str">
            <v/>
          </cell>
        </row>
        <row r="135">
          <cell r="A135" t="str">
            <v>BZJSQ-20240321-0054</v>
          </cell>
        </row>
        <row r="135">
          <cell r="C135" t="str">
            <v>2024-03-21</v>
          </cell>
        </row>
        <row r="135">
          <cell r="K135">
            <v>5000</v>
          </cell>
        </row>
        <row r="135">
          <cell r="Q135" t="str">
            <v>中盐吉兰泰氯碱化工有限公司</v>
          </cell>
        </row>
        <row r="136">
          <cell r="A136" t="str">
            <v>BZJSQ-20240313-0053</v>
          </cell>
        </row>
        <row r="136">
          <cell r="C136" t="str">
            <v>2024-03-13</v>
          </cell>
        </row>
        <row r="136">
          <cell r="K136">
            <v>65500</v>
          </cell>
        </row>
        <row r="136">
          <cell r="Q136" t="str">
            <v>武汉开明高新科技有限公司</v>
          </cell>
        </row>
        <row r="137">
          <cell r="A137" t="str">
            <v>BZJSQ-20240313-0051</v>
          </cell>
        </row>
        <row r="137">
          <cell r="C137" t="str">
            <v>2024-03-13</v>
          </cell>
        </row>
        <row r="137">
          <cell r="K137">
            <v>65500</v>
          </cell>
        </row>
        <row r="137">
          <cell r="Q137" t="str">
            <v>青海发投碱业有限公司</v>
          </cell>
        </row>
        <row r="138">
          <cell r="A138" t="str">
            <v>BZJSQ-20240313-0050</v>
          </cell>
        </row>
        <row r="138">
          <cell r="C138" t="str">
            <v>2024-03-13</v>
          </cell>
        </row>
        <row r="138">
          <cell r="K138">
            <v>50000</v>
          </cell>
        </row>
        <row r="138">
          <cell r="Q138" t="str">
            <v>中机国际招标有限公司</v>
          </cell>
        </row>
        <row r="139">
          <cell r="A139" t="str">
            <v>BZJSQ-20240307-0049</v>
          </cell>
        </row>
        <row r="139">
          <cell r="C139" t="str">
            <v>2024-03-07</v>
          </cell>
        </row>
        <row r="139">
          <cell r="K139">
            <v>13000</v>
          </cell>
        </row>
        <row r="139">
          <cell r="Q139" t="str">
            <v>青海发投碱业有限公司</v>
          </cell>
        </row>
        <row r="140">
          <cell r="A140" t="str">
            <v>BZJSQ-20240307-0048</v>
          </cell>
        </row>
        <row r="140">
          <cell r="C140" t="str">
            <v>2024-03-07</v>
          </cell>
        </row>
        <row r="140">
          <cell r="K140">
            <v>13000</v>
          </cell>
        </row>
        <row r="140">
          <cell r="Q140" t="str">
            <v>青海发投碱业有限公司</v>
          </cell>
        </row>
        <row r="141">
          <cell r="A141" t="str">
            <v>BZJSQ-20240307-0047</v>
          </cell>
        </row>
        <row r="141">
          <cell r="C141" t="str">
            <v>2024-03-07</v>
          </cell>
        </row>
        <row r="141">
          <cell r="K141">
            <v>40000</v>
          </cell>
        </row>
        <row r="141">
          <cell r="Q141" t="str">
            <v>中盐青海昆仑碱业有限公司</v>
          </cell>
        </row>
        <row r="142">
          <cell r="A142" t="str">
            <v>BZJSQ-20240305-0046</v>
          </cell>
        </row>
        <row r="142">
          <cell r="C142" t="str">
            <v>2024-03-05</v>
          </cell>
        </row>
        <row r="142">
          <cell r="K142">
            <v>5000</v>
          </cell>
        </row>
        <row r="142">
          <cell r="Q142" t="str">
            <v>冀东水泥重庆江津有限责任公司</v>
          </cell>
        </row>
        <row r="143">
          <cell r="A143" t="str">
            <v>BZJSQ-20240305-0045</v>
          </cell>
        </row>
        <row r="143">
          <cell r="C143" t="str">
            <v>2024-03-05</v>
          </cell>
        </row>
        <row r="143">
          <cell r="K143">
            <v>13000</v>
          </cell>
        </row>
        <row r="143">
          <cell r="Q143" t="str">
            <v>青海发投碱业有限公司</v>
          </cell>
        </row>
        <row r="144">
          <cell r="A144" t="str">
            <v>BZJSQ-20240305-0044</v>
          </cell>
        </row>
        <row r="144">
          <cell r="C144" t="str">
            <v>2024-03-05</v>
          </cell>
        </row>
        <row r="144">
          <cell r="K144">
            <v>3500</v>
          </cell>
        </row>
        <row r="144">
          <cell r="Q144" t="str">
            <v>云南昆钢嘉华水泥建材有限公司</v>
          </cell>
        </row>
        <row r="145">
          <cell r="A145" t="str">
            <v>BZJSQ-20240302-0043</v>
          </cell>
        </row>
        <row r="145">
          <cell r="C145" t="str">
            <v>2024-03-02</v>
          </cell>
        </row>
        <row r="145">
          <cell r="K145">
            <v>2000</v>
          </cell>
        </row>
        <row r="145">
          <cell r="Q145" t="str">
            <v>程时勇</v>
          </cell>
        </row>
        <row r="146">
          <cell r="A146" t="str">
            <v>BZJSQ-20240229-0042</v>
          </cell>
        </row>
        <row r="146">
          <cell r="C146" t="str">
            <v>2024-02-29</v>
          </cell>
        </row>
        <row r="146">
          <cell r="K146">
            <v>29000</v>
          </cell>
        </row>
        <row r="146">
          <cell r="Q146" t="str">
            <v>青海发投碱业有限公司</v>
          </cell>
        </row>
        <row r="147">
          <cell r="A147" t="str">
            <v>BZJSQ-20240229-0041</v>
          </cell>
        </row>
        <row r="147">
          <cell r="C147" t="str">
            <v>2024-02-29</v>
          </cell>
        </row>
        <row r="147">
          <cell r="K147">
            <v>17000</v>
          </cell>
        </row>
        <row r="147">
          <cell r="Q147" t="str">
            <v>青海发投碱业有限公司</v>
          </cell>
        </row>
        <row r="148">
          <cell r="A148" t="str">
            <v>BZJSQ-20240228-0040</v>
          </cell>
        </row>
        <row r="148">
          <cell r="C148" t="str">
            <v>2024-02-28</v>
          </cell>
        </row>
        <row r="148">
          <cell r="K148">
            <v>8000</v>
          </cell>
        </row>
        <row r="148">
          <cell r="Q148" t="str">
            <v>青海发投碱业有限公司</v>
          </cell>
        </row>
        <row r="149">
          <cell r="A149" t="str">
            <v>BZJSQ-20240228-0039</v>
          </cell>
        </row>
        <row r="149">
          <cell r="C149" t="str">
            <v>2024-02-28</v>
          </cell>
        </row>
        <row r="149">
          <cell r="K149">
            <v>9250</v>
          </cell>
        </row>
        <row r="149">
          <cell r="Q149" t="str">
            <v>青海发投碱业有限公司</v>
          </cell>
        </row>
        <row r="150">
          <cell r="A150" t="str">
            <v>BZJSQ-20240227-0038</v>
          </cell>
        </row>
        <row r="150">
          <cell r="C150" t="str">
            <v>2024-02-27</v>
          </cell>
        </row>
        <row r="150">
          <cell r="K150">
            <v>5000</v>
          </cell>
        </row>
        <row r="150">
          <cell r="Q150" t="str">
            <v>福建安砂建福水泥有限公司</v>
          </cell>
        </row>
        <row r="151">
          <cell r="A151" t="str">
            <v>BZJSQ-20240223-0037</v>
          </cell>
        </row>
        <row r="151">
          <cell r="C151" t="str">
            <v>2024-02-23</v>
          </cell>
        </row>
        <row r="151">
          <cell r="K151">
            <v>27200</v>
          </cell>
        </row>
        <row r="151">
          <cell r="Q151" t="str">
            <v>新疆伊犁钢铁有限责任公司</v>
          </cell>
        </row>
        <row r="152">
          <cell r="A152" t="str">
            <v>BZJSQ-20240220-0036</v>
          </cell>
        </row>
        <row r="152">
          <cell r="C152" t="str">
            <v>2024-02-20</v>
          </cell>
        </row>
        <row r="152">
          <cell r="K152">
            <v>88500</v>
          </cell>
        </row>
        <row r="152">
          <cell r="Q152" t="str">
            <v>武汉开明高新科技有限公司热电车间烟道更换农民工工资保证金</v>
          </cell>
        </row>
        <row r="153">
          <cell r="A153" t="str">
            <v>BZJSQ-20240220-0035</v>
          </cell>
        </row>
        <row r="153">
          <cell r="C153" t="str">
            <v>2024-02-20</v>
          </cell>
        </row>
        <row r="153">
          <cell r="K153">
            <v>20500</v>
          </cell>
        </row>
        <row r="153">
          <cell r="Q153" t="str">
            <v>青海发投碱业有限公司</v>
          </cell>
        </row>
        <row r="154">
          <cell r="A154" t="str">
            <v>BZJSQ-20240220-0034</v>
          </cell>
        </row>
        <row r="154">
          <cell r="C154" t="str">
            <v>2024-02-20</v>
          </cell>
        </row>
        <row r="154">
          <cell r="K154">
            <v>20500</v>
          </cell>
        </row>
        <row r="154">
          <cell r="Q154" t="str">
            <v>青海发投碱业有限公司</v>
          </cell>
        </row>
        <row r="155">
          <cell r="A155" t="str">
            <v>BZJSQ-20240220-0033</v>
          </cell>
        </row>
        <row r="155">
          <cell r="C155" t="str">
            <v>2024-02-20</v>
          </cell>
        </row>
        <row r="155">
          <cell r="K155">
            <v>13500</v>
          </cell>
        </row>
        <row r="155">
          <cell r="Q155" t="str">
            <v>青海发投碱业有限公司</v>
          </cell>
        </row>
        <row r="156">
          <cell r="A156" t="str">
            <v>BZJSQ-20240218-0032</v>
          </cell>
        </row>
        <row r="156">
          <cell r="C156" t="str">
            <v>2024-02-18</v>
          </cell>
        </row>
        <row r="156">
          <cell r="K156">
            <v>9250</v>
          </cell>
        </row>
        <row r="156">
          <cell r="Q156" t="str">
            <v>青海发投碱业有限公司</v>
          </cell>
        </row>
        <row r="157">
          <cell r="A157" t="str">
            <v>BZJSQ-20240218-0031</v>
          </cell>
        </row>
        <row r="157">
          <cell r="C157" t="str">
            <v>2024-02-18</v>
          </cell>
        </row>
        <row r="157">
          <cell r="K157">
            <v>8000</v>
          </cell>
        </row>
        <row r="157">
          <cell r="Q157" t="str">
            <v>青海发投碱业有限公司</v>
          </cell>
        </row>
        <row r="158">
          <cell r="A158" t="str">
            <v>BZJSQ-20240218-0030</v>
          </cell>
        </row>
        <row r="158">
          <cell r="C158" t="str">
            <v>2024-02-18</v>
          </cell>
        </row>
        <row r="158">
          <cell r="K158">
            <v>13500</v>
          </cell>
        </row>
        <row r="158">
          <cell r="Q158" t="str">
            <v>青海发投碱业有限公司</v>
          </cell>
        </row>
        <row r="159">
          <cell r="A159" t="str">
            <v>BZJSQ-20240217-0029</v>
          </cell>
        </row>
        <row r="159">
          <cell r="C159" t="str">
            <v>2024-02-17</v>
          </cell>
        </row>
        <row r="159">
          <cell r="K159">
            <v>1000</v>
          </cell>
        </row>
        <row r="159">
          <cell r="Q159" t="str">
            <v/>
          </cell>
        </row>
        <row r="160">
          <cell r="A160" t="str">
            <v>BZJSQ-20240204-0027</v>
          </cell>
        </row>
        <row r="160">
          <cell r="C160" t="str">
            <v>2024-02-04</v>
          </cell>
        </row>
        <row r="160">
          <cell r="K160">
            <v>20000</v>
          </cell>
        </row>
        <row r="160">
          <cell r="Q160" t="str">
            <v/>
          </cell>
        </row>
        <row r="161">
          <cell r="A161" t="str">
            <v>BZJSQ-20240201-0026</v>
          </cell>
        </row>
        <row r="161">
          <cell r="C161" t="str">
            <v>2024-02-01</v>
          </cell>
        </row>
        <row r="161">
          <cell r="K161">
            <v>20000</v>
          </cell>
        </row>
        <row r="161">
          <cell r="Q161" t="str">
            <v>青海发投碱业有限公司</v>
          </cell>
        </row>
        <row r="162">
          <cell r="A162" t="str">
            <v>BZJSQ-20240130-0025</v>
          </cell>
        </row>
        <row r="162">
          <cell r="C162" t="str">
            <v>2024-01-30</v>
          </cell>
        </row>
        <row r="162">
          <cell r="K162">
            <v>4450</v>
          </cell>
        </row>
        <row r="162">
          <cell r="Q162" t="str">
            <v>青海发投碱业有限公司</v>
          </cell>
        </row>
        <row r="163">
          <cell r="A163" t="str">
            <v>BZJSQ-20240130-0024</v>
          </cell>
        </row>
        <row r="163">
          <cell r="C163" t="str">
            <v>2024-01-30</v>
          </cell>
        </row>
        <row r="163">
          <cell r="K163">
            <v>29000</v>
          </cell>
        </row>
        <row r="163">
          <cell r="Q163" t="str">
            <v>青海发投碱业有限公司</v>
          </cell>
        </row>
        <row r="164">
          <cell r="A164" t="str">
            <v>BZJSQ-20240129-0023</v>
          </cell>
        </row>
        <row r="164">
          <cell r="C164" t="str">
            <v>2024-01-29</v>
          </cell>
        </row>
        <row r="164">
          <cell r="K164">
            <v>17000</v>
          </cell>
        </row>
        <row r="164">
          <cell r="Q164" t="str">
            <v>28500001040010582</v>
          </cell>
        </row>
        <row r="165">
          <cell r="A165" t="str">
            <v>BZJSQ-20240129-0022</v>
          </cell>
        </row>
        <row r="165">
          <cell r="C165" t="str">
            <v>2024-01-29</v>
          </cell>
        </row>
        <row r="165">
          <cell r="K165">
            <v>88500</v>
          </cell>
        </row>
        <row r="165">
          <cell r="Q165" t="str">
            <v>青海发投碱业有限公司</v>
          </cell>
        </row>
        <row r="166">
          <cell r="A166" t="str">
            <v>BZJSQ-20240129-0021</v>
          </cell>
        </row>
        <row r="166">
          <cell r="C166" t="str">
            <v>2024-01-29</v>
          </cell>
        </row>
        <row r="166">
          <cell r="K166">
            <v>17000</v>
          </cell>
        </row>
        <row r="166">
          <cell r="Q166" t="str">
            <v>青海发投碱业有限公司</v>
          </cell>
        </row>
        <row r="167">
          <cell r="A167" t="str">
            <v>BZJSQ-20240129-0020</v>
          </cell>
        </row>
        <row r="167">
          <cell r="C167" t="str">
            <v>2024-01-29</v>
          </cell>
        </row>
        <row r="167">
          <cell r="K167">
            <v>15975</v>
          </cell>
        </row>
        <row r="167">
          <cell r="Q167" t="str">
            <v>青海发投碱业有限公司</v>
          </cell>
        </row>
        <row r="168">
          <cell r="A168" t="str">
            <v>BZJSQ-20240123-0019</v>
          </cell>
        </row>
        <row r="168">
          <cell r="C168" t="str">
            <v>2024-01-23</v>
          </cell>
        </row>
        <row r="168">
          <cell r="K168">
            <v>30000</v>
          </cell>
        </row>
        <row r="168">
          <cell r="Q168" t="str">
            <v>青海发投碱业有限公司</v>
          </cell>
        </row>
        <row r="169">
          <cell r="A169" t="str">
            <v>BZJSQ-20240118-0018</v>
          </cell>
        </row>
        <row r="169">
          <cell r="C169" t="str">
            <v>2024-01-18</v>
          </cell>
        </row>
        <row r="169">
          <cell r="K169">
            <v>10000</v>
          </cell>
        </row>
        <row r="169">
          <cell r="Q169" t="str">
            <v>青海发投碱业有限公司</v>
          </cell>
        </row>
        <row r="170">
          <cell r="A170" t="str">
            <v>BZJSQ-20240118-0017</v>
          </cell>
        </row>
        <row r="170">
          <cell r="C170" t="str">
            <v>2024-01-18</v>
          </cell>
        </row>
        <row r="170">
          <cell r="K170">
            <v>4450</v>
          </cell>
        </row>
        <row r="170">
          <cell r="Q170" t="str">
            <v>青海发投碱业有限公司</v>
          </cell>
        </row>
        <row r="171">
          <cell r="A171" t="str">
            <v>BZJSQ-20240117-0016</v>
          </cell>
        </row>
        <row r="171">
          <cell r="C171" t="str">
            <v>2024-01-17</v>
          </cell>
        </row>
        <row r="171">
          <cell r="K171">
            <v>32000</v>
          </cell>
        </row>
        <row r="171">
          <cell r="Q171" t="str">
            <v>日钢营口中板有限公司</v>
          </cell>
        </row>
        <row r="172">
          <cell r="A172" t="str">
            <v>BZJSQ-20240116-0015</v>
          </cell>
        </row>
        <row r="172">
          <cell r="C172" t="str">
            <v>2024-01-16</v>
          </cell>
        </row>
        <row r="172">
          <cell r="K172">
            <v>89000</v>
          </cell>
        </row>
        <row r="172">
          <cell r="Q172" t="str">
            <v>青海发投碱业有限公司</v>
          </cell>
        </row>
        <row r="173">
          <cell r="A173" t="str">
            <v>BZJSQ-20240116-0014</v>
          </cell>
        </row>
        <row r="173">
          <cell r="C173" t="str">
            <v>2024-01-16</v>
          </cell>
        </row>
        <row r="173">
          <cell r="K173">
            <v>3050</v>
          </cell>
        </row>
        <row r="173">
          <cell r="Q173" t="str">
            <v>青海发投碱业有限公司</v>
          </cell>
        </row>
        <row r="174">
          <cell r="A174" t="str">
            <v>BZJSQ-20240116-0013</v>
          </cell>
        </row>
        <row r="174">
          <cell r="C174" t="str">
            <v>2024-01-16</v>
          </cell>
        </row>
        <row r="174">
          <cell r="K174">
            <v>3050</v>
          </cell>
        </row>
        <row r="174">
          <cell r="Q174" t="str">
            <v>青海发投碱业有限公司</v>
          </cell>
        </row>
        <row r="175">
          <cell r="A175" t="str">
            <v>BZJSQ-20240116-0012</v>
          </cell>
        </row>
        <row r="175">
          <cell r="C175" t="str">
            <v>2024-01-16</v>
          </cell>
        </row>
        <row r="175">
          <cell r="K175">
            <v>0</v>
          </cell>
        </row>
        <row r="175">
          <cell r="Q175" t="str">
            <v>新疆宜化化工有限公司</v>
          </cell>
        </row>
        <row r="176">
          <cell r="A176" t="str">
            <v>BZJSQ-20240115-0011</v>
          </cell>
        </row>
        <row r="176">
          <cell r="C176" t="str">
            <v>2024-01-15</v>
          </cell>
        </row>
        <row r="176">
          <cell r="K176">
            <v>3050</v>
          </cell>
        </row>
        <row r="176">
          <cell r="Q176" t="str">
            <v>青海发投碱业有限公司</v>
          </cell>
        </row>
        <row r="177">
          <cell r="A177" t="str">
            <v>BZJSQ-20240115-0010</v>
          </cell>
        </row>
        <row r="177">
          <cell r="C177" t="str">
            <v>2024-01-15</v>
          </cell>
        </row>
        <row r="177">
          <cell r="K177">
            <v>10000</v>
          </cell>
        </row>
        <row r="177">
          <cell r="Q177" t="str">
            <v>青海发投碱业有限公司</v>
          </cell>
        </row>
        <row r="178">
          <cell r="A178" t="str">
            <v>BZJSQ-20240112-0009</v>
          </cell>
        </row>
        <row r="178">
          <cell r="C178" t="str">
            <v>2024-01-12</v>
          </cell>
        </row>
        <row r="178">
          <cell r="K178">
            <v>20000</v>
          </cell>
        </row>
        <row r="178">
          <cell r="Q178" t="str">
            <v/>
          </cell>
        </row>
        <row r="179">
          <cell r="A179" t="str">
            <v>BZJSQ-20240109-0008</v>
          </cell>
        </row>
        <row r="179">
          <cell r="C179" t="str">
            <v>2024-01-09</v>
          </cell>
        </row>
        <row r="179">
          <cell r="K179">
            <v>47850</v>
          </cell>
        </row>
        <row r="179">
          <cell r="Q179" t="str">
            <v>青海发投碱业有限公司</v>
          </cell>
        </row>
        <row r="180">
          <cell r="A180" t="str">
            <v>BZJSQ-20240109-0007</v>
          </cell>
        </row>
        <row r="180">
          <cell r="C180" t="str">
            <v>2024-01-09</v>
          </cell>
        </row>
        <row r="180">
          <cell r="K180">
            <v>47850</v>
          </cell>
        </row>
        <row r="180">
          <cell r="Q180" t="str">
            <v>青海发投碱业有限公司</v>
          </cell>
        </row>
        <row r="181">
          <cell r="A181" t="str">
            <v>BZJSQ-20240109-0006</v>
          </cell>
        </row>
        <row r="181">
          <cell r="C181" t="str">
            <v>2024-01-09</v>
          </cell>
        </row>
        <row r="181">
          <cell r="K181">
            <v>30000</v>
          </cell>
        </row>
        <row r="181">
          <cell r="Q181" t="str">
            <v>日钢营口中板有限公司</v>
          </cell>
        </row>
        <row r="182">
          <cell r="A182" t="str">
            <v>BZJSQ-20240109-0005</v>
          </cell>
        </row>
        <row r="182">
          <cell r="C182" t="str">
            <v>2024-01-09</v>
          </cell>
        </row>
        <row r="182">
          <cell r="K182">
            <v>0</v>
          </cell>
        </row>
        <row r="182">
          <cell r="Q182" t="str">
            <v>东方希望重庆水泥有限公司</v>
          </cell>
        </row>
        <row r="183">
          <cell r="A183" t="str">
            <v>BZJSQ-20240108-0004</v>
          </cell>
        </row>
        <row r="183">
          <cell r="C183" t="str">
            <v>2024-01-08</v>
          </cell>
        </row>
        <row r="183">
          <cell r="K183">
            <v>28000</v>
          </cell>
        </row>
        <row r="183">
          <cell r="Q183" t="str">
            <v>青海发投碱业有限公司</v>
          </cell>
        </row>
        <row r="184">
          <cell r="A184" t="str">
            <v>BZJSQ-20240105-0003</v>
          </cell>
        </row>
        <row r="184">
          <cell r="C184" t="str">
            <v>2024-01-05</v>
          </cell>
        </row>
        <row r="184">
          <cell r="K184">
            <v>27999</v>
          </cell>
        </row>
        <row r="184">
          <cell r="Q184" t="str">
            <v>青海发投碱业有限公司</v>
          </cell>
        </row>
        <row r="185">
          <cell r="A185" t="str">
            <v>BZJSQ-20240103-0002</v>
          </cell>
        </row>
        <row r="185">
          <cell r="C185" t="str">
            <v>2024-01-04</v>
          </cell>
        </row>
        <row r="185">
          <cell r="K185">
            <v>27999</v>
          </cell>
        </row>
        <row r="185">
          <cell r="Q185" t="str">
            <v>青海发投碱业有限公司</v>
          </cell>
        </row>
        <row r="186">
          <cell r="A186" t="str">
            <v>BZJSQ-20240102-0001</v>
          </cell>
        </row>
        <row r="186">
          <cell r="C186" t="str">
            <v>2024-01-02</v>
          </cell>
        </row>
        <row r="186">
          <cell r="K186">
            <v>20000</v>
          </cell>
        </row>
        <row r="186">
          <cell r="Q186" t="str">
            <v>青海发投碱业有限公司</v>
          </cell>
        </row>
        <row r="187">
          <cell r="A187" t="str">
            <v>BZJSQ-20231225-0789</v>
          </cell>
        </row>
        <row r="187">
          <cell r="C187" t="str">
            <v>2023-12-25</v>
          </cell>
        </row>
        <row r="187">
          <cell r="K187">
            <v>10000</v>
          </cell>
        </row>
        <row r="187">
          <cell r="Q187" t="str">
            <v>青海发投碱业有限公司</v>
          </cell>
        </row>
        <row r="188">
          <cell r="A188" t="str">
            <v>BZJSQ-20231222-0788</v>
          </cell>
        </row>
        <row r="188">
          <cell r="C188" t="str">
            <v>2023-12-22</v>
          </cell>
        </row>
        <row r="188">
          <cell r="K188">
            <v>10000</v>
          </cell>
        </row>
        <row r="188">
          <cell r="Q188" t="str">
            <v>青海发投碱业有限公司</v>
          </cell>
        </row>
        <row r="189">
          <cell r="A189" t="str">
            <v>BZJSQ-20231222-0787</v>
          </cell>
        </row>
        <row r="189">
          <cell r="C189" t="str">
            <v>2023-12-22</v>
          </cell>
        </row>
        <row r="189">
          <cell r="K189">
            <v>10000</v>
          </cell>
        </row>
        <row r="189">
          <cell r="Q189" t="str">
            <v>青海发投碱业有限公司</v>
          </cell>
        </row>
        <row r="190">
          <cell r="A190" t="str">
            <v>BZJSQ-20231222-0786</v>
          </cell>
        </row>
        <row r="190">
          <cell r="C190" t="str">
            <v>2023-12-22</v>
          </cell>
        </row>
        <row r="190">
          <cell r="K190">
            <v>10000</v>
          </cell>
        </row>
        <row r="190">
          <cell r="Q190" t="str">
            <v>青海发投碱业有限公司</v>
          </cell>
        </row>
        <row r="191">
          <cell r="A191" t="str">
            <v>BZJSQ-20231221-0785</v>
          </cell>
        </row>
        <row r="191">
          <cell r="C191" t="str">
            <v>2023-12-21</v>
          </cell>
        </row>
        <row r="191">
          <cell r="K191">
            <v>39390</v>
          </cell>
        </row>
        <row r="191">
          <cell r="Q191" t="str">
            <v/>
          </cell>
        </row>
        <row r="192">
          <cell r="A192" t="str">
            <v>BZJSQ-20231214-0784</v>
          </cell>
        </row>
        <row r="192">
          <cell r="C192" t="str">
            <v>2023-12-14</v>
          </cell>
        </row>
        <row r="192">
          <cell r="K192">
            <v>17100</v>
          </cell>
        </row>
        <row r="192">
          <cell r="Q192" t="str">
            <v>富蕴天山水泥有限责任公司</v>
          </cell>
        </row>
        <row r="193">
          <cell r="A193" t="str">
            <v>BZJSQ-20231213-0783</v>
          </cell>
        </row>
        <row r="193">
          <cell r="C193" t="str">
            <v>2023-12-13</v>
          </cell>
        </row>
        <row r="193">
          <cell r="K193">
            <v>9000</v>
          </cell>
        </row>
        <row r="193">
          <cell r="Q193" t="str">
            <v>青海发投碱业有限公司</v>
          </cell>
        </row>
        <row r="194">
          <cell r="A194" t="str">
            <v>BZJSQ-20231213-0782</v>
          </cell>
        </row>
        <row r="194">
          <cell r="C194" t="str">
            <v>2023-12-13</v>
          </cell>
        </row>
        <row r="194">
          <cell r="K194">
            <v>32400</v>
          </cell>
        </row>
        <row r="194">
          <cell r="Q194" t="str">
            <v>新疆伊犁钢铁有限责任公司</v>
          </cell>
        </row>
        <row r="195">
          <cell r="A195" t="str">
            <v>BZJSQ-20231213-0781</v>
          </cell>
        </row>
        <row r="195">
          <cell r="C195" t="str">
            <v>2023-12-13</v>
          </cell>
        </row>
        <row r="195">
          <cell r="K195">
            <v>44802</v>
          </cell>
        </row>
        <row r="195">
          <cell r="Q195" t="str">
            <v>新疆伊犁钢铁有限责任公司</v>
          </cell>
        </row>
        <row r="196">
          <cell r="A196" t="str">
            <v>BZJSQ-20231212-0780</v>
          </cell>
        </row>
        <row r="196">
          <cell r="C196" t="str">
            <v>2023-12-12</v>
          </cell>
        </row>
        <row r="196">
          <cell r="K196">
            <v>70000</v>
          </cell>
        </row>
        <row r="196">
          <cell r="Q196" t="str">
            <v>青海发投碱业有限公司</v>
          </cell>
        </row>
        <row r="197">
          <cell r="A197" t="str">
            <v>BZJSQ-20231210-0779</v>
          </cell>
        </row>
        <row r="197">
          <cell r="C197" t="str">
            <v>2023-12-10</v>
          </cell>
        </row>
        <row r="197">
          <cell r="K197">
            <v>12000</v>
          </cell>
        </row>
        <row r="197">
          <cell r="Q197" t="str">
            <v>青海发投碱业有限公司</v>
          </cell>
        </row>
        <row r="198">
          <cell r="A198" t="str">
            <v>BZJSQ-20231209-0778</v>
          </cell>
        </row>
        <row r="198">
          <cell r="C198" t="str">
            <v>2023-12-09</v>
          </cell>
        </row>
        <row r="198">
          <cell r="K198">
            <v>0</v>
          </cell>
        </row>
        <row r="198">
          <cell r="Q198" t="str">
            <v>安徽省优质采科技发展有限责任公司</v>
          </cell>
        </row>
        <row r="199">
          <cell r="A199" t="str">
            <v>BZJSQ-20231208-0777</v>
          </cell>
        </row>
        <row r="199">
          <cell r="C199" t="str">
            <v>2023-12-08</v>
          </cell>
        </row>
        <row r="199">
          <cell r="K199">
            <v>11500</v>
          </cell>
        </row>
        <row r="199">
          <cell r="Q199" t="str">
            <v>青海发投碱业有限公司</v>
          </cell>
        </row>
        <row r="200">
          <cell r="A200" t="str">
            <v>BZJSQ-20231206-0776</v>
          </cell>
        </row>
        <row r="200">
          <cell r="C200" t="str">
            <v>2023-12-06</v>
          </cell>
        </row>
        <row r="200">
          <cell r="K200">
            <v>10000</v>
          </cell>
        </row>
        <row r="200">
          <cell r="Q200" t="str">
            <v>萍乡萍钢安源钢铁有限公司</v>
          </cell>
        </row>
        <row r="201">
          <cell r="A201" t="str">
            <v>BZJSQ-20231206-0775</v>
          </cell>
        </row>
        <row r="201">
          <cell r="C201" t="str">
            <v>2023-12-06</v>
          </cell>
        </row>
        <row r="201">
          <cell r="K201">
            <v>1000</v>
          </cell>
        </row>
        <row r="201">
          <cell r="Q201" t="str">
            <v>汪勇刚</v>
          </cell>
        </row>
        <row r="202">
          <cell r="A202" t="str">
            <v>BZJSQ-20231205-0774</v>
          </cell>
        </row>
        <row r="202">
          <cell r="C202" t="str">
            <v>2023-12-05</v>
          </cell>
        </row>
        <row r="202">
          <cell r="K202">
            <v>9000</v>
          </cell>
        </row>
        <row r="202">
          <cell r="Q202" t="str">
            <v>布尔津天山水泥</v>
          </cell>
        </row>
        <row r="203">
          <cell r="A203" t="str">
            <v>BZJSQ-20231205-0773</v>
          </cell>
        </row>
        <row r="203">
          <cell r="C203" t="str">
            <v>2023-12-05</v>
          </cell>
        </row>
        <row r="203">
          <cell r="K203">
            <v>3900</v>
          </cell>
        </row>
        <row r="203">
          <cell r="Q203" t="str">
            <v>布尔津天山水泥</v>
          </cell>
        </row>
        <row r="204">
          <cell r="A204" t="str">
            <v>BZJSQ-20231205-0772</v>
          </cell>
        </row>
        <row r="204">
          <cell r="C204" t="str">
            <v>2023-12-05</v>
          </cell>
        </row>
        <row r="204">
          <cell r="K204">
            <v>3900</v>
          </cell>
        </row>
        <row r="204">
          <cell r="Q204" t="str">
            <v>布尔津天山水泥</v>
          </cell>
        </row>
        <row r="205">
          <cell r="A205" t="str">
            <v>BZJSQ-20231201-0771</v>
          </cell>
        </row>
        <row r="205">
          <cell r="C205" t="str">
            <v>2023-12-01</v>
          </cell>
        </row>
        <row r="205">
          <cell r="K205">
            <v>50000</v>
          </cell>
        </row>
        <row r="205">
          <cell r="Q205" t="str">
            <v>应城市新都化工有限责任公司</v>
          </cell>
        </row>
        <row r="206">
          <cell r="A206" t="str">
            <v>BZJSQ-20231130-0770</v>
          </cell>
        </row>
        <row r="206">
          <cell r="C206" t="str">
            <v>2023-11-30</v>
          </cell>
        </row>
        <row r="206">
          <cell r="K206">
            <v>10000</v>
          </cell>
        </row>
        <row r="206">
          <cell r="Q206" t="str">
            <v/>
          </cell>
        </row>
        <row r="207">
          <cell r="A207" t="str">
            <v>BZJSQ-20231130-0769</v>
          </cell>
        </row>
        <row r="207">
          <cell r="C207" t="str">
            <v>2023-11-30</v>
          </cell>
        </row>
        <row r="207">
          <cell r="K207">
            <v>20000</v>
          </cell>
        </row>
        <row r="207">
          <cell r="Q207" t="str">
            <v/>
          </cell>
        </row>
        <row r="208">
          <cell r="A208" t="str">
            <v>BZJSQ-20231129-0768</v>
          </cell>
        </row>
        <row r="208">
          <cell r="C208" t="str">
            <v>2023-11-29</v>
          </cell>
        </row>
        <row r="208">
          <cell r="K208">
            <v>12000</v>
          </cell>
        </row>
        <row r="208">
          <cell r="Q208" t="str">
            <v>富蕴天山水泥有限责任公司</v>
          </cell>
        </row>
        <row r="209">
          <cell r="A209" t="str">
            <v>BZJSQ-20231129-0767</v>
          </cell>
        </row>
        <row r="209">
          <cell r="C209" t="str">
            <v>2023-11-29</v>
          </cell>
        </row>
        <row r="209">
          <cell r="K209">
            <v>30000</v>
          </cell>
        </row>
        <row r="209">
          <cell r="Q209" t="str">
            <v>安徽省招标集团股份有限公司</v>
          </cell>
        </row>
        <row r="210">
          <cell r="A210" t="str">
            <v>BZJSQ-20231128-0766</v>
          </cell>
        </row>
        <row r="210">
          <cell r="C210" t="str">
            <v>2023-11-28</v>
          </cell>
        </row>
        <row r="210">
          <cell r="K210">
            <v>59000</v>
          </cell>
        </row>
        <row r="210">
          <cell r="Q210" t="str">
            <v>新疆伊犁钢铁有限责任公司</v>
          </cell>
        </row>
        <row r="211">
          <cell r="A211" t="str">
            <v>BZJSQ-20231128-0765</v>
          </cell>
        </row>
        <row r="211">
          <cell r="C211" t="str">
            <v>2023-11-28</v>
          </cell>
        </row>
        <row r="211">
          <cell r="K211">
            <v>9000</v>
          </cell>
        </row>
        <row r="211">
          <cell r="Q211" t="str">
            <v>青海发投碱业有限公司</v>
          </cell>
        </row>
        <row r="212">
          <cell r="A212" t="str">
            <v>BZJSQ-20231128-0764</v>
          </cell>
        </row>
        <row r="212">
          <cell r="C212" t="str">
            <v>2023-11-28</v>
          </cell>
        </row>
        <row r="212">
          <cell r="K212">
            <v>20000</v>
          </cell>
        </row>
        <row r="212">
          <cell r="Q212" t="str">
            <v>新疆伊犁钢铁有限责任公司</v>
          </cell>
        </row>
        <row r="213">
          <cell r="A213" t="str">
            <v>BZJSQ-20231127-0763</v>
          </cell>
        </row>
        <row r="213">
          <cell r="C213" t="str">
            <v>2023-11-27</v>
          </cell>
        </row>
        <row r="213">
          <cell r="K213">
            <v>3000</v>
          </cell>
        </row>
        <row r="213">
          <cell r="Q213" t="str">
            <v>山东钢铁集团日照有限公司</v>
          </cell>
        </row>
        <row r="214">
          <cell r="A214" t="str">
            <v>BZJSQ-20231127-0762</v>
          </cell>
        </row>
        <row r="214">
          <cell r="C214" t="str">
            <v>2023-11-27</v>
          </cell>
        </row>
        <row r="214">
          <cell r="K214">
            <v>9000</v>
          </cell>
        </row>
        <row r="214">
          <cell r="Q214" t="str">
            <v>28500001040010582</v>
          </cell>
        </row>
        <row r="215">
          <cell r="A215" t="str">
            <v>BZJSQ-20231126-0761</v>
          </cell>
        </row>
        <row r="215">
          <cell r="C215" t="str">
            <v>2023-11-26</v>
          </cell>
        </row>
        <row r="215">
          <cell r="K215">
            <v>6000</v>
          </cell>
        </row>
        <row r="215">
          <cell r="Q215" t="str">
            <v>青海发投碱业有限公司</v>
          </cell>
        </row>
        <row r="216">
          <cell r="A216" t="str">
            <v>BZJSQ-20231123-0760</v>
          </cell>
        </row>
        <row r="216">
          <cell r="C216" t="str">
            <v>2023-11-23</v>
          </cell>
        </row>
        <row r="216">
          <cell r="K216">
            <v>20000</v>
          </cell>
        </row>
        <row r="216">
          <cell r="Q216" t="str">
            <v>青海发投碱业有限公司</v>
          </cell>
        </row>
        <row r="217">
          <cell r="A217" t="str">
            <v>BZJSQ-20231121-0759</v>
          </cell>
        </row>
        <row r="217">
          <cell r="C217" t="str">
            <v>2023-11-21</v>
          </cell>
        </row>
        <row r="217">
          <cell r="K217">
            <v>20000</v>
          </cell>
        </row>
        <row r="217">
          <cell r="Q217" t="str">
            <v>成都云图控股股份有限公司</v>
          </cell>
        </row>
        <row r="218">
          <cell r="A218" t="str">
            <v>BZJSQ-20231120-0758</v>
          </cell>
        </row>
        <row r="218">
          <cell r="C218" t="str">
            <v>2023-11-20</v>
          </cell>
        </row>
        <row r="218">
          <cell r="K218">
            <v>6000</v>
          </cell>
        </row>
        <row r="218">
          <cell r="Q218" t="str">
            <v>28500001040010582</v>
          </cell>
        </row>
        <row r="219">
          <cell r="A219" t="str">
            <v>BZJSQ-20231117-0757</v>
          </cell>
        </row>
        <row r="219">
          <cell r="C219" t="str">
            <v>2023-11-17</v>
          </cell>
        </row>
        <row r="219">
          <cell r="K219">
            <v>5000</v>
          </cell>
        </row>
        <row r="219">
          <cell r="Q219" t="str">
            <v>123908132835</v>
          </cell>
        </row>
        <row r="220">
          <cell r="A220" t="str">
            <v>BZJSQ-20231114-0756</v>
          </cell>
        </row>
        <row r="220">
          <cell r="C220" t="str">
            <v>2023-11-14</v>
          </cell>
        </row>
        <row r="220">
          <cell r="K220">
            <v>1300</v>
          </cell>
        </row>
        <row r="220">
          <cell r="Q220" t="str">
            <v>新疆天山水泥股份有限公司库尔勒分公司</v>
          </cell>
        </row>
        <row r="221">
          <cell r="A221" t="str">
            <v>BZJSQ-20231110-0755</v>
          </cell>
        </row>
        <row r="221">
          <cell r="C221" t="str">
            <v>2023-11-10</v>
          </cell>
        </row>
        <row r="221">
          <cell r="K221">
            <v>25000</v>
          </cell>
        </row>
        <row r="221">
          <cell r="Q221" t="str">
            <v>上海宝华国际招标有限公司</v>
          </cell>
        </row>
        <row r="222">
          <cell r="A222" t="str">
            <v>BZJSQ-20231107-0754</v>
          </cell>
        </row>
        <row r="222">
          <cell r="C222" t="str">
            <v>2023-11-08</v>
          </cell>
        </row>
        <row r="222">
          <cell r="K222">
            <v>4000</v>
          </cell>
        </row>
        <row r="222">
          <cell r="Q222" t="str">
            <v>冀东海德堡（扶风）水泥有限公司</v>
          </cell>
        </row>
        <row r="223">
          <cell r="A223" t="str">
            <v>BZJSQ-20231107-0753</v>
          </cell>
        </row>
        <row r="223">
          <cell r="C223" t="str">
            <v>2023-11-07</v>
          </cell>
        </row>
        <row r="223">
          <cell r="K223">
            <v>5000</v>
          </cell>
        </row>
        <row r="223">
          <cell r="Q223" t="str">
            <v>山西强伟纸业有限公司</v>
          </cell>
        </row>
        <row r="224">
          <cell r="A224" t="str">
            <v>BZJSQ-20231105-0752</v>
          </cell>
        </row>
        <row r="224">
          <cell r="C224" t="str">
            <v>2023-11-05</v>
          </cell>
        </row>
        <row r="224">
          <cell r="K224">
            <v>2000</v>
          </cell>
        </row>
        <row r="224">
          <cell r="Q224" t="str">
            <v>博爱金隅水泥有限公司</v>
          </cell>
        </row>
        <row r="225">
          <cell r="A225" t="str">
            <v>BZJSQ-20231027-0748</v>
          </cell>
        </row>
        <row r="225">
          <cell r="C225" t="str">
            <v>2023-10-27</v>
          </cell>
        </row>
        <row r="225">
          <cell r="K225">
            <v>4000</v>
          </cell>
        </row>
        <row r="225">
          <cell r="Q225" t="str">
            <v>仁寿县汪洋建宝水泥有限公司广石分公司</v>
          </cell>
        </row>
        <row r="226">
          <cell r="A226" t="str">
            <v>BZJSQ-20231016-0747</v>
          </cell>
        </row>
        <row r="226">
          <cell r="C226" t="str">
            <v>2023-10-16</v>
          </cell>
        </row>
        <row r="226">
          <cell r="K226">
            <v>10000</v>
          </cell>
        </row>
        <row r="226">
          <cell r="Q226" t="str">
            <v>徐州中联水泥有限公司</v>
          </cell>
        </row>
        <row r="227">
          <cell r="A227" t="str">
            <v>BZJSQ-20231012-0746</v>
          </cell>
        </row>
        <row r="227">
          <cell r="C227" t="str">
            <v>2023-10-12</v>
          </cell>
        </row>
        <row r="227">
          <cell r="K227">
            <v>10000</v>
          </cell>
        </row>
        <row r="227">
          <cell r="Q227" t="str">
            <v>徐州中联水泥有限公司</v>
          </cell>
        </row>
        <row r="228">
          <cell r="A228" t="str">
            <v>BZJSQ-20231011-0745</v>
          </cell>
        </row>
        <row r="228">
          <cell r="C228" t="str">
            <v>2023-10-11</v>
          </cell>
        </row>
        <row r="228">
          <cell r="K228">
            <v>10000</v>
          </cell>
        </row>
        <row r="228">
          <cell r="Q228" t="str">
            <v>江苏永钢集团有限公司</v>
          </cell>
        </row>
        <row r="229">
          <cell r="A229" t="str">
            <v>BZJSQ-20231010-0744</v>
          </cell>
        </row>
        <row r="229">
          <cell r="C229" t="str">
            <v>2023-10-10</v>
          </cell>
        </row>
        <row r="229">
          <cell r="K229">
            <v>0</v>
          </cell>
        </row>
        <row r="229">
          <cell r="Q229" t="str">
            <v>布尔津天山水泥</v>
          </cell>
        </row>
        <row r="230">
          <cell r="A230" t="str">
            <v>BZJSQ-20230927-0743</v>
          </cell>
        </row>
        <row r="230">
          <cell r="C230" t="str">
            <v>2023-09-27</v>
          </cell>
        </row>
        <row r="230">
          <cell r="K230">
            <v>2500</v>
          </cell>
        </row>
        <row r="230">
          <cell r="Q230" t="str">
            <v>包头冀东水泥有限公司</v>
          </cell>
        </row>
        <row r="231">
          <cell r="A231" t="str">
            <v>BZJSQ-20230925-0742</v>
          </cell>
        </row>
        <row r="231">
          <cell r="C231" t="str">
            <v>2023-09-25</v>
          </cell>
        </row>
        <row r="231">
          <cell r="K231">
            <v>70000</v>
          </cell>
        </row>
        <row r="231">
          <cell r="Q231" t="str">
            <v>青海发投碱业有限公司</v>
          </cell>
        </row>
        <row r="232">
          <cell r="A232" t="str">
            <v>BZJSQ-20230922-0741</v>
          </cell>
        </row>
        <row r="232">
          <cell r="C232" t="str">
            <v>2023-09-22</v>
          </cell>
        </row>
        <row r="232">
          <cell r="K232">
            <v>2000</v>
          </cell>
        </row>
        <row r="232">
          <cell r="Q232" t="str">
            <v>安徽省优质采科技发展有限责任公司</v>
          </cell>
        </row>
        <row r="233">
          <cell r="A233" t="str">
            <v>BZJSQ-20230922-0740</v>
          </cell>
        </row>
        <row r="233">
          <cell r="C233" t="str">
            <v>2023-09-22</v>
          </cell>
        </row>
        <row r="233">
          <cell r="K233">
            <v>13300</v>
          </cell>
        </row>
        <row r="233">
          <cell r="Q233" t="str">
            <v>保山昆钢嘉华水泥建材有限公司</v>
          </cell>
        </row>
        <row r="234">
          <cell r="A234" t="str">
            <v>BZJSQ-20230912-0739</v>
          </cell>
        </row>
        <row r="234">
          <cell r="C234" t="str">
            <v>2023-09-12</v>
          </cell>
        </row>
        <row r="234">
          <cell r="K234">
            <v>4000</v>
          </cell>
        </row>
        <row r="234">
          <cell r="Q234" t="str">
            <v>唐山市诚峻设备修理有限公司</v>
          </cell>
        </row>
        <row r="235">
          <cell r="A235" t="str">
            <v>BZJSQ-20230912-0738</v>
          </cell>
        </row>
        <row r="235">
          <cell r="C235" t="str">
            <v>2023-09-17</v>
          </cell>
        </row>
        <row r="235">
          <cell r="K235">
            <v>4000</v>
          </cell>
        </row>
        <row r="235">
          <cell r="Q235" t="str">
            <v>内蒙古晟雄科技有限责任公司</v>
          </cell>
        </row>
        <row r="236">
          <cell r="A236" t="str">
            <v>BZJSQ-20230912-0737</v>
          </cell>
        </row>
        <row r="236">
          <cell r="C236" t="str">
            <v>2023-09-12</v>
          </cell>
        </row>
        <row r="236">
          <cell r="K236">
            <v>6300</v>
          </cell>
        </row>
        <row r="236">
          <cell r="Q236" t="str">
            <v>青海发投碱业有限公司</v>
          </cell>
        </row>
        <row r="237">
          <cell r="A237" t="str">
            <v>BZJSQ-20230907-0736</v>
          </cell>
        </row>
        <row r="237">
          <cell r="C237" t="str">
            <v>2023-09-07</v>
          </cell>
        </row>
        <row r="237">
          <cell r="K237">
            <v>2000</v>
          </cell>
        </row>
        <row r="237">
          <cell r="Q237" t="str">
            <v>冀东水泥重庆合川有限责任公司</v>
          </cell>
        </row>
        <row r="238">
          <cell r="A238" t="str">
            <v>BZJSQ-20230905-0735</v>
          </cell>
        </row>
        <row r="238">
          <cell r="C238" t="str">
            <v>2023-09-05</v>
          </cell>
        </row>
        <row r="238">
          <cell r="K238">
            <v>100000</v>
          </cell>
        </row>
        <row r="238">
          <cell r="Q238" t="str">
            <v>日照钢铁有限公司</v>
          </cell>
        </row>
        <row r="239">
          <cell r="A239" t="str">
            <v>BZJSQ-20230905-0734</v>
          </cell>
        </row>
        <row r="239">
          <cell r="C239" t="str">
            <v>2023-09-05</v>
          </cell>
        </row>
        <row r="239">
          <cell r="K239">
            <v>30000</v>
          </cell>
        </row>
        <row r="239">
          <cell r="Q239" t="str">
            <v>青海发投碱业有限公司</v>
          </cell>
        </row>
        <row r="240">
          <cell r="A240" t="str">
            <v>BZJSQ-20230904-0732</v>
          </cell>
        </row>
        <row r="240">
          <cell r="C240" t="str">
            <v>2023-09-04</v>
          </cell>
        </row>
        <row r="240">
          <cell r="K240">
            <v>10000</v>
          </cell>
        </row>
        <row r="240">
          <cell r="Q240" t="str">
            <v>青海发投碱业有限公司</v>
          </cell>
        </row>
        <row r="241">
          <cell r="A241" t="str">
            <v>BZJSQ-20230829-0731</v>
          </cell>
        </row>
        <row r="241">
          <cell r="C241" t="str">
            <v>2023-08-29</v>
          </cell>
        </row>
        <row r="241">
          <cell r="K241">
            <v>3340</v>
          </cell>
        </row>
        <row r="241">
          <cell r="Q241" t="str">
            <v>青海发投碱业有限公司</v>
          </cell>
        </row>
        <row r="242">
          <cell r="A242" t="str">
            <v>BZJSQ-20230825-0730</v>
          </cell>
        </row>
        <row r="242">
          <cell r="C242" t="str">
            <v>2023-08-25</v>
          </cell>
        </row>
        <row r="242">
          <cell r="K242">
            <v>50000</v>
          </cell>
        </row>
        <row r="242">
          <cell r="Q242" t="str">
            <v>云南西南水泥有限公司</v>
          </cell>
        </row>
        <row r="243">
          <cell r="A243" t="str">
            <v>BZJSQ-20230815-0729</v>
          </cell>
        </row>
        <row r="243">
          <cell r="C243" t="str">
            <v>2023-08-15</v>
          </cell>
        </row>
        <row r="243">
          <cell r="K243">
            <v>14000</v>
          </cell>
        </row>
        <row r="243">
          <cell r="Q243" t="str">
            <v>青海发投碱业有限公司</v>
          </cell>
        </row>
        <row r="244">
          <cell r="A244" t="str">
            <v>BZJSQ-20230810-0728</v>
          </cell>
        </row>
        <row r="244">
          <cell r="C244" t="str">
            <v>2023-08-10</v>
          </cell>
        </row>
        <row r="244">
          <cell r="K244">
            <v>5000</v>
          </cell>
        </row>
        <row r="244">
          <cell r="Q244" t="str">
            <v>福建三钢闽光股份有限公司</v>
          </cell>
        </row>
        <row r="245">
          <cell r="A245" t="str">
            <v>BZJSQ-20230810-0727</v>
          </cell>
        </row>
        <row r="245">
          <cell r="C245" t="str">
            <v>2023-08-10</v>
          </cell>
        </row>
        <row r="245">
          <cell r="K245">
            <v>26000</v>
          </cell>
        </row>
        <row r="245">
          <cell r="Q245" t="str">
            <v>青海发投碱业有限公司</v>
          </cell>
        </row>
        <row r="246">
          <cell r="A246" t="str">
            <v>BZJSQ-20230809-0726</v>
          </cell>
        </row>
        <row r="246">
          <cell r="C246" t="str">
            <v>2023-08-09</v>
          </cell>
        </row>
        <row r="246">
          <cell r="K246">
            <v>10000</v>
          </cell>
        </row>
        <row r="246">
          <cell r="Q246" t="str">
            <v>江西玉山万年青水泥有限公司</v>
          </cell>
        </row>
        <row r="247">
          <cell r="A247" t="str">
            <v>BZJSQ-20230804-0725</v>
          </cell>
        </row>
        <row r="247">
          <cell r="C247" t="str">
            <v>2023-08-04</v>
          </cell>
        </row>
        <row r="247">
          <cell r="K247">
            <v>4000</v>
          </cell>
        </row>
        <row r="247">
          <cell r="Q247" t="str">
            <v>包头冀东水泥有限公司</v>
          </cell>
        </row>
        <row r="248">
          <cell r="A248" t="str">
            <v>BZJSQ-20230803-0724</v>
          </cell>
        </row>
        <row r="248">
          <cell r="C248" t="str">
            <v>2023-08-03</v>
          </cell>
        </row>
        <row r="248">
          <cell r="K248">
            <v>15490</v>
          </cell>
        </row>
        <row r="248">
          <cell r="Q248" t="str">
            <v>青海发投碱业有限公司</v>
          </cell>
        </row>
        <row r="249">
          <cell r="A249" t="str">
            <v>BZJSQ-20230803-0723</v>
          </cell>
        </row>
        <row r="249">
          <cell r="C249" t="str">
            <v>2023-08-03</v>
          </cell>
        </row>
        <row r="249">
          <cell r="K249">
            <v>6000</v>
          </cell>
        </row>
        <row r="249">
          <cell r="Q249" t="str">
            <v>青海发投碱业有限公司</v>
          </cell>
        </row>
        <row r="250">
          <cell r="A250" t="str">
            <v>BZJSQ-20230801-0722</v>
          </cell>
        </row>
        <row r="250">
          <cell r="C250" t="str">
            <v>2023-08-01</v>
          </cell>
        </row>
        <row r="250">
          <cell r="K250">
            <v>46000</v>
          </cell>
        </row>
        <row r="250">
          <cell r="Q250" t="str">
            <v>青海发投碱业有限公司</v>
          </cell>
        </row>
        <row r="251">
          <cell r="A251" t="str">
            <v>BZJSQ-20230727-0721</v>
          </cell>
        </row>
        <row r="251">
          <cell r="C251" t="str">
            <v>2023-07-27</v>
          </cell>
        </row>
        <row r="251">
          <cell r="K251">
            <v>450</v>
          </cell>
        </row>
        <row r="251">
          <cell r="Q251" t="str">
            <v>青海发投碱业有限公司</v>
          </cell>
        </row>
        <row r="252">
          <cell r="A252" t="str">
            <v>BZJSQ-20230727-0720</v>
          </cell>
        </row>
        <row r="252">
          <cell r="C252" t="str">
            <v>2023-07-27</v>
          </cell>
        </row>
        <row r="252">
          <cell r="K252">
            <v>7550</v>
          </cell>
        </row>
        <row r="252">
          <cell r="Q252" t="str">
            <v>青海发投碱业有限公司</v>
          </cell>
        </row>
        <row r="253">
          <cell r="A253" t="str">
            <v>BZJSQ-20230721-0719</v>
          </cell>
        </row>
        <row r="253">
          <cell r="C253" t="str">
            <v>2023-07-21</v>
          </cell>
        </row>
        <row r="253">
          <cell r="K253">
            <v>5000</v>
          </cell>
        </row>
        <row r="253">
          <cell r="Q253" t="str">
            <v>福建永安建福水泥有限公司</v>
          </cell>
        </row>
        <row r="254">
          <cell r="A254" t="str">
            <v>BZJSQ-20230719-0718</v>
          </cell>
        </row>
        <row r="254">
          <cell r="C254" t="str">
            <v>2023-07-19</v>
          </cell>
        </row>
        <row r="254">
          <cell r="K254">
            <v>2000</v>
          </cell>
        </row>
        <row r="254">
          <cell r="Q254" t="str">
            <v>阳泉冀东水泥有限责任公司</v>
          </cell>
        </row>
        <row r="255">
          <cell r="A255" t="str">
            <v>BZJSQ-20230714-0717</v>
          </cell>
        </row>
        <row r="255">
          <cell r="C255" t="str">
            <v>2023-07-14</v>
          </cell>
        </row>
        <row r="255">
          <cell r="K255">
            <v>2000</v>
          </cell>
        </row>
        <row r="255">
          <cell r="Q255" t="str">
            <v/>
          </cell>
        </row>
        <row r="256">
          <cell r="A256" t="str">
            <v>BZJSQ-20230707-0716</v>
          </cell>
        </row>
        <row r="256">
          <cell r="C256" t="str">
            <v>2023-07-07</v>
          </cell>
        </row>
        <row r="256">
          <cell r="K256">
            <v>5000</v>
          </cell>
        </row>
        <row r="256">
          <cell r="Q256" t="str">
            <v/>
          </cell>
        </row>
        <row r="257">
          <cell r="A257" t="str">
            <v>BZJSQ-20230707-0715</v>
          </cell>
        </row>
        <row r="257">
          <cell r="C257" t="str">
            <v>2023-07-07</v>
          </cell>
        </row>
        <row r="257">
          <cell r="K257">
            <v>2000</v>
          </cell>
        </row>
        <row r="257">
          <cell r="Q257" t="str">
            <v>鞍山冀东水泥有限责任公司</v>
          </cell>
        </row>
        <row r="258">
          <cell r="A258" t="str">
            <v>BZJSQ-20230705-0714</v>
          </cell>
        </row>
        <row r="258">
          <cell r="C258" t="str">
            <v>2023-07-05</v>
          </cell>
        </row>
        <row r="258">
          <cell r="K258">
            <v>1000</v>
          </cell>
        </row>
        <row r="258">
          <cell r="Q258" t="str">
            <v>临沂中联水泥有限公司</v>
          </cell>
        </row>
        <row r="259">
          <cell r="A259" t="str">
            <v>BZJSQ-20230705-0713</v>
          </cell>
        </row>
        <row r="259">
          <cell r="C259" t="str">
            <v>2023-07-05</v>
          </cell>
        </row>
        <row r="259">
          <cell r="K259">
            <v>5000</v>
          </cell>
        </row>
        <row r="259">
          <cell r="Q259" t="str">
            <v>曲阳金隅水泥有限公司</v>
          </cell>
        </row>
        <row r="260">
          <cell r="A260" t="str">
            <v>BZJSQ-20230701-0711</v>
          </cell>
        </row>
        <row r="260">
          <cell r="C260" t="str">
            <v>2023-07-01</v>
          </cell>
        </row>
        <row r="260">
          <cell r="K260">
            <v>10000</v>
          </cell>
        </row>
        <row r="260">
          <cell r="Q260" t="str">
            <v>云南普洱西南水泥有限公司</v>
          </cell>
        </row>
        <row r="261">
          <cell r="A261" t="str">
            <v>BZJSQ-20230701-0710</v>
          </cell>
        </row>
        <row r="261">
          <cell r="C261" t="str">
            <v>2023-07-01</v>
          </cell>
        </row>
        <row r="261">
          <cell r="K261">
            <v>0</v>
          </cell>
        </row>
        <row r="261">
          <cell r="Q261" t="str">
            <v>泰安中联水泥有限公司</v>
          </cell>
        </row>
        <row r="262">
          <cell r="A262" t="str">
            <v>BZJSQ-20230628-0708</v>
          </cell>
        </row>
        <row r="262">
          <cell r="C262" t="str">
            <v>2023-06-28</v>
          </cell>
        </row>
        <row r="262">
          <cell r="K262">
            <v>2750</v>
          </cell>
        </row>
        <row r="262">
          <cell r="Q262" t="str">
            <v/>
          </cell>
        </row>
        <row r="263">
          <cell r="A263" t="str">
            <v>BZJSQ-20230625-0707</v>
          </cell>
        </row>
        <row r="263">
          <cell r="C263" t="str">
            <v>2023-06-25</v>
          </cell>
        </row>
        <row r="263">
          <cell r="K263">
            <v>2000</v>
          </cell>
        </row>
        <row r="263">
          <cell r="Q263" t="str">
            <v>湖北宜化化工股份有限公司</v>
          </cell>
        </row>
        <row r="264">
          <cell r="A264" t="str">
            <v>BZJSQ-20230620-0706</v>
          </cell>
        </row>
        <row r="264">
          <cell r="C264" t="str">
            <v>2023-06-20</v>
          </cell>
        </row>
        <row r="264">
          <cell r="K264">
            <v>10000</v>
          </cell>
        </row>
        <row r="264">
          <cell r="Q264" t="str">
            <v/>
          </cell>
        </row>
        <row r="265">
          <cell r="A265" t="str">
            <v>BZJSQ-20230620-0703</v>
          </cell>
        </row>
        <row r="265">
          <cell r="C265" t="str">
            <v>2023-06-20</v>
          </cell>
        </row>
        <row r="265">
          <cell r="K265">
            <v>6000</v>
          </cell>
        </row>
        <row r="265">
          <cell r="Q265" t="str">
            <v/>
          </cell>
        </row>
        <row r="266">
          <cell r="A266" t="str">
            <v>BZJSQ-20230615-0702</v>
          </cell>
        </row>
        <row r="266">
          <cell r="C266" t="str">
            <v>2023-06-15</v>
          </cell>
        </row>
        <row r="266">
          <cell r="K266">
            <v>10000</v>
          </cell>
        </row>
        <row r="266">
          <cell r="Q266" t="str">
            <v>成都云图生活电子商务有限公司</v>
          </cell>
        </row>
        <row r="267">
          <cell r="A267" t="str">
            <v>BZJSQ-20230614-0700</v>
          </cell>
        </row>
        <row r="267">
          <cell r="C267" t="str">
            <v>2023-06-14</v>
          </cell>
        </row>
        <row r="267">
          <cell r="K267">
            <v>0</v>
          </cell>
        </row>
        <row r="267">
          <cell r="Q267" t="str">
            <v>云南宜良西南水泥有限公司</v>
          </cell>
        </row>
        <row r="268">
          <cell r="A268" t="str">
            <v>BZJSQ-20230614-0699</v>
          </cell>
        </row>
        <row r="268">
          <cell r="C268" t="str">
            <v>2023-06-14</v>
          </cell>
        </row>
        <row r="268">
          <cell r="K268">
            <v>1000</v>
          </cell>
        </row>
        <row r="268">
          <cell r="Q268" t="str">
            <v>鞍山冀东水泥有限责任公司</v>
          </cell>
        </row>
        <row r="269">
          <cell r="A269" t="str">
            <v>BZJSQ-20230613-0698</v>
          </cell>
        </row>
        <row r="269">
          <cell r="C269" t="str">
            <v>2023-06-13</v>
          </cell>
        </row>
        <row r="269">
          <cell r="K269">
            <v>5000</v>
          </cell>
        </row>
        <row r="269">
          <cell r="Q269" t="str">
            <v>金隅台泥（代县）环保科技有限公司</v>
          </cell>
        </row>
        <row r="270">
          <cell r="A270" t="str">
            <v>BZJSQ-20230612-0697</v>
          </cell>
        </row>
        <row r="270">
          <cell r="C270" t="str">
            <v>2023-06-12</v>
          </cell>
        </row>
        <row r="270">
          <cell r="K270">
            <v>20000</v>
          </cell>
        </row>
        <row r="270">
          <cell r="Q270" t="str">
            <v>中国电能成套设备有限公司</v>
          </cell>
        </row>
        <row r="271">
          <cell r="A271" t="str">
            <v>BZJSQ-20230609-0696</v>
          </cell>
        </row>
        <row r="271">
          <cell r="C271" t="str">
            <v>2023-06-09</v>
          </cell>
        </row>
        <row r="271">
          <cell r="K271">
            <v>20000</v>
          </cell>
        </row>
        <row r="271">
          <cell r="Q271" t="str">
            <v/>
          </cell>
        </row>
        <row r="272">
          <cell r="A272" t="str">
            <v>BZJSQ-20230609-0695</v>
          </cell>
        </row>
        <row r="272">
          <cell r="C272" t="str">
            <v>2023-06-09</v>
          </cell>
        </row>
        <row r="272">
          <cell r="K272">
            <v>1000</v>
          </cell>
        </row>
        <row r="272">
          <cell r="Q272" t="str">
            <v>湖北宜化化工股份有限公司</v>
          </cell>
        </row>
        <row r="273">
          <cell r="A273" t="str">
            <v>BZJSQ-20230526-0693</v>
          </cell>
        </row>
        <row r="273">
          <cell r="C273" t="str">
            <v>2023-05-26</v>
          </cell>
        </row>
        <row r="273">
          <cell r="K273">
            <v>0</v>
          </cell>
        </row>
        <row r="273">
          <cell r="Q273" t="str">
            <v>唐山冀东水泥股份有限公司唐山分公司</v>
          </cell>
        </row>
        <row r="274">
          <cell r="A274" t="str">
            <v>BZJSQ-20230524-0692</v>
          </cell>
        </row>
        <row r="274">
          <cell r="C274" t="str">
            <v>2023-05-24</v>
          </cell>
        </row>
        <row r="274">
          <cell r="K274">
            <v>20000</v>
          </cell>
        </row>
        <row r="274">
          <cell r="Q274" t="str">
            <v>山东新南铝材科技开发有限公司</v>
          </cell>
        </row>
        <row r="275">
          <cell r="A275" t="str">
            <v>BZJSQ-20230521-0691</v>
          </cell>
        </row>
        <row r="275">
          <cell r="C275" t="str">
            <v>2023-05-21</v>
          </cell>
        </row>
        <row r="275">
          <cell r="K275">
            <v>20000</v>
          </cell>
        </row>
        <row r="275">
          <cell r="Q275" t="str">
            <v>中国银行阳泉市分行</v>
          </cell>
        </row>
        <row r="276">
          <cell r="A276" t="str">
            <v>BZJSQ-20230521-0690</v>
          </cell>
        </row>
        <row r="276">
          <cell r="C276" t="str">
            <v>2023-05-21</v>
          </cell>
        </row>
        <row r="276">
          <cell r="K276">
            <v>20000</v>
          </cell>
        </row>
        <row r="276">
          <cell r="Q276" t="str">
            <v>山西金隅冀东环保科技有限公司</v>
          </cell>
        </row>
        <row r="277">
          <cell r="A277" t="str">
            <v>BZJSQ-20230519-0688</v>
          </cell>
        </row>
        <row r="277">
          <cell r="C277" t="str">
            <v>2023-05-19</v>
          </cell>
        </row>
        <row r="277">
          <cell r="K277">
            <v>10000</v>
          </cell>
        </row>
        <row r="277">
          <cell r="Q277" t="str">
            <v>江苏永钢集团有限公司</v>
          </cell>
        </row>
        <row r="278">
          <cell r="A278" t="str">
            <v>659</v>
          </cell>
        </row>
        <row r="278">
          <cell r="C278" t="str">
            <v>2023-05-16</v>
          </cell>
        </row>
        <row r="278">
          <cell r="K278">
            <v>20000</v>
          </cell>
        </row>
        <row r="278">
          <cell r="Q278" t="str">
            <v>黑龙江建龙钢铁有限公司</v>
          </cell>
        </row>
        <row r="279">
          <cell r="A279" t="str">
            <v>658</v>
          </cell>
        </row>
        <row r="279">
          <cell r="C279" t="str">
            <v>2023-05-12</v>
          </cell>
        </row>
        <row r="279">
          <cell r="K279">
            <v>2000</v>
          </cell>
        </row>
        <row r="279">
          <cell r="Q279" t="str">
            <v>新洋丰农业科技股份有限公司</v>
          </cell>
        </row>
        <row r="280">
          <cell r="A280" t="str">
            <v>657</v>
          </cell>
        </row>
        <row r="280">
          <cell r="C280" t="str">
            <v>2023-05-12</v>
          </cell>
        </row>
        <row r="280">
          <cell r="K280">
            <v>32300</v>
          </cell>
        </row>
        <row r="280">
          <cell r="Q280" t="str">
            <v>新疆八一钢铁股份有限公司</v>
          </cell>
        </row>
        <row r="281">
          <cell r="A281" t="str">
            <v>655</v>
          </cell>
        </row>
        <row r="281">
          <cell r="C281" t="str">
            <v>2023-05-10</v>
          </cell>
        </row>
        <row r="281">
          <cell r="K281">
            <v>7800</v>
          </cell>
        </row>
        <row r="281">
          <cell r="Q281" t="str">
            <v>青海发投碱业有限公司</v>
          </cell>
        </row>
        <row r="282">
          <cell r="A282" t="str">
            <v>654</v>
          </cell>
        </row>
        <row r="282">
          <cell r="C282" t="str">
            <v>2023-05-06</v>
          </cell>
        </row>
        <row r="282">
          <cell r="K282">
            <v>3760</v>
          </cell>
        </row>
        <row r="282">
          <cell r="Q282" t="str">
            <v>湖南骏泰新材料科技有限责任公司</v>
          </cell>
        </row>
        <row r="283">
          <cell r="A283" t="str">
            <v>650</v>
          </cell>
        </row>
        <row r="283">
          <cell r="C283" t="str">
            <v>2023-04-24</v>
          </cell>
        </row>
        <row r="283">
          <cell r="K283">
            <v>1000</v>
          </cell>
        </row>
        <row r="283">
          <cell r="Q283" t="str">
            <v>湖北宜化化工股份有限公司</v>
          </cell>
        </row>
        <row r="284">
          <cell r="A284" t="str">
            <v>648</v>
          </cell>
        </row>
        <row r="284">
          <cell r="C284" t="str">
            <v>2023-04-24</v>
          </cell>
        </row>
        <row r="284">
          <cell r="K284">
            <v>20000</v>
          </cell>
        </row>
        <row r="284">
          <cell r="Q284" t="str">
            <v>新疆水泥各成员企业-天山总部</v>
          </cell>
        </row>
        <row r="285">
          <cell r="A285" t="str">
            <v>647</v>
          </cell>
        </row>
        <row r="285">
          <cell r="C285" t="str">
            <v>2023-04-24</v>
          </cell>
        </row>
        <row r="285">
          <cell r="K285">
            <v>3000</v>
          </cell>
        </row>
        <row r="285">
          <cell r="Q285" t="str">
            <v>湖北宜化松滋肥业有限公司</v>
          </cell>
        </row>
        <row r="286">
          <cell r="A286" t="str">
            <v>646</v>
          </cell>
        </row>
        <row r="286">
          <cell r="C286" t="str">
            <v>2023-04-19</v>
          </cell>
        </row>
        <row r="286">
          <cell r="K286">
            <v>11500</v>
          </cell>
        </row>
        <row r="286">
          <cell r="Q286" t="str">
            <v>青海发投碱业有限公司</v>
          </cell>
        </row>
        <row r="287">
          <cell r="A287" t="str">
            <v>645</v>
          </cell>
        </row>
        <row r="287">
          <cell r="C287" t="str">
            <v>2023-04-19</v>
          </cell>
        </row>
        <row r="287">
          <cell r="K287">
            <v>14900</v>
          </cell>
        </row>
        <row r="287">
          <cell r="Q287" t="str">
            <v>青海发投碱业有限公司</v>
          </cell>
        </row>
        <row r="288">
          <cell r="A288" t="str">
            <v>643</v>
          </cell>
        </row>
        <row r="288">
          <cell r="C288" t="str">
            <v>2023-04-18</v>
          </cell>
        </row>
        <row r="288">
          <cell r="K288">
            <v>12000</v>
          </cell>
        </row>
        <row r="288">
          <cell r="Q288" t="str">
            <v>秦皇岛博荐工程项目管理有限公司</v>
          </cell>
        </row>
        <row r="289">
          <cell r="A289" t="str">
            <v>642</v>
          </cell>
        </row>
        <row r="289">
          <cell r="C289" t="str">
            <v>2023-04-17</v>
          </cell>
        </row>
        <row r="289">
          <cell r="K289">
            <v>3800</v>
          </cell>
        </row>
        <row r="289">
          <cell r="Q289" t="str">
            <v>湖北宜化松滋肥业有限公司</v>
          </cell>
        </row>
        <row r="290">
          <cell r="A290" t="str">
            <v>641</v>
          </cell>
        </row>
        <row r="290">
          <cell r="C290" t="str">
            <v>2023-04-14</v>
          </cell>
        </row>
        <row r="290">
          <cell r="K290">
            <v>14000</v>
          </cell>
        </row>
        <row r="290">
          <cell r="Q290" t="str">
            <v>福建福海创石油化工有限公司</v>
          </cell>
        </row>
        <row r="291">
          <cell r="A291" t="str">
            <v>640</v>
          </cell>
        </row>
        <row r="291">
          <cell r="C291" t="str">
            <v>2023-04-14</v>
          </cell>
        </row>
        <row r="291">
          <cell r="K291">
            <v>100000</v>
          </cell>
        </row>
        <row r="291">
          <cell r="Q291" t="str">
            <v>红河州紫燕水泥有限责任公司</v>
          </cell>
        </row>
        <row r="292">
          <cell r="A292" t="str">
            <v>637</v>
          </cell>
        </row>
        <row r="292">
          <cell r="C292" t="str">
            <v>2023-04-12</v>
          </cell>
        </row>
        <row r="292">
          <cell r="K292">
            <v>20000</v>
          </cell>
        </row>
        <row r="292">
          <cell r="Q292" t="str">
            <v>宁夏建材集团股份有限公司</v>
          </cell>
        </row>
        <row r="293">
          <cell r="A293" t="str">
            <v>636</v>
          </cell>
        </row>
        <row r="293">
          <cell r="C293" t="str">
            <v>2023-04-12</v>
          </cell>
        </row>
        <row r="293">
          <cell r="K293">
            <v>2000</v>
          </cell>
        </row>
        <row r="293">
          <cell r="Q293" t="str">
            <v>冀东海德堡（泾阳）水泥有限公司</v>
          </cell>
        </row>
        <row r="294">
          <cell r="A294" t="str">
            <v>635</v>
          </cell>
        </row>
        <row r="294">
          <cell r="C294" t="str">
            <v>2023-04-07</v>
          </cell>
        </row>
        <row r="294">
          <cell r="K294">
            <v>14000</v>
          </cell>
        </row>
        <row r="294">
          <cell r="Q294" t="str">
            <v>青海发投碱业有限公司</v>
          </cell>
        </row>
        <row r="295">
          <cell r="A295" t="str">
            <v>634</v>
          </cell>
        </row>
        <row r="295">
          <cell r="C295" t="str">
            <v>2023-04-07</v>
          </cell>
        </row>
        <row r="295">
          <cell r="K295">
            <v>34600</v>
          </cell>
        </row>
        <row r="295">
          <cell r="Q295" t="str">
            <v>青海发投碱业有限公司</v>
          </cell>
        </row>
        <row r="296">
          <cell r="A296" t="str">
            <v>633</v>
          </cell>
        </row>
        <row r="296">
          <cell r="C296" t="str">
            <v>2023-04-03</v>
          </cell>
        </row>
        <row r="296">
          <cell r="K296">
            <v>20000</v>
          </cell>
        </row>
        <row r="296">
          <cell r="Q296" t="str">
            <v>青海发投碱业有限公司</v>
          </cell>
        </row>
        <row r="297">
          <cell r="A297" t="str">
            <v>632</v>
          </cell>
        </row>
        <row r="297">
          <cell r="C297" t="str">
            <v>2023-03-31</v>
          </cell>
        </row>
        <row r="297">
          <cell r="K297">
            <v>27800</v>
          </cell>
        </row>
        <row r="297">
          <cell r="Q297" t="str">
            <v>湖北双环科技股份有限公司</v>
          </cell>
        </row>
        <row r="298">
          <cell r="A298" t="str">
            <v>631</v>
          </cell>
        </row>
        <row r="298">
          <cell r="C298" t="str">
            <v>2023-03-29</v>
          </cell>
        </row>
        <row r="298">
          <cell r="K298">
            <v>5000</v>
          </cell>
        </row>
        <row r="298">
          <cell r="Q298" t="str">
            <v>邢台金隅冀东水泥有限公司</v>
          </cell>
        </row>
        <row r="299">
          <cell r="A299" t="str">
            <v>630</v>
          </cell>
        </row>
        <row r="299">
          <cell r="C299" t="str">
            <v>2023-03-28</v>
          </cell>
        </row>
        <row r="299">
          <cell r="K299">
            <v>10000</v>
          </cell>
        </row>
        <row r="299">
          <cell r="Q299" t="str">
            <v>重庆大朗冶金新材料有限公司</v>
          </cell>
        </row>
        <row r="300">
          <cell r="A300" t="str">
            <v>629</v>
          </cell>
        </row>
        <row r="300">
          <cell r="C300" t="str">
            <v>2023-03-27</v>
          </cell>
        </row>
        <row r="300">
          <cell r="K300">
            <v>31000</v>
          </cell>
        </row>
        <row r="300">
          <cell r="Q300" t="str">
            <v>青海发投碱业有限公司</v>
          </cell>
        </row>
        <row r="301">
          <cell r="A301" t="str">
            <v>628</v>
          </cell>
        </row>
        <row r="301">
          <cell r="C301" t="str">
            <v>2023-03-27</v>
          </cell>
        </row>
        <row r="301">
          <cell r="K301">
            <v>7550</v>
          </cell>
        </row>
        <row r="301">
          <cell r="Q301" t="str">
            <v>青海发投碱业有限公司</v>
          </cell>
        </row>
        <row r="302">
          <cell r="A302" t="str">
            <v>627</v>
          </cell>
        </row>
        <row r="302">
          <cell r="C302" t="str">
            <v>2023-03-27</v>
          </cell>
        </row>
        <row r="302">
          <cell r="K302">
            <v>10000</v>
          </cell>
        </row>
        <row r="302">
          <cell r="Q302" t="str">
            <v>日照钢铁有限公司</v>
          </cell>
        </row>
        <row r="303">
          <cell r="A303" t="str">
            <v>626</v>
          </cell>
        </row>
        <row r="303">
          <cell r="C303" t="str">
            <v>2023-03-24</v>
          </cell>
        </row>
        <row r="303">
          <cell r="K303">
            <v>7500</v>
          </cell>
        </row>
        <row r="303">
          <cell r="Q303" t="str">
            <v>布尔津天山</v>
          </cell>
        </row>
        <row r="304">
          <cell r="A304" t="str">
            <v>624</v>
          </cell>
        </row>
        <row r="304">
          <cell r="C304" t="str">
            <v>2023-03-21</v>
          </cell>
        </row>
        <row r="304">
          <cell r="K304">
            <v>2000</v>
          </cell>
        </row>
        <row r="304">
          <cell r="Q304" t="str">
            <v>唐山冀东水泥三友有限公司</v>
          </cell>
        </row>
        <row r="305">
          <cell r="A305" t="str">
            <v>623</v>
          </cell>
        </row>
        <row r="305">
          <cell r="C305" t="str">
            <v>2023-03-17</v>
          </cell>
        </row>
        <row r="305">
          <cell r="K305">
            <v>22400</v>
          </cell>
        </row>
        <row r="305">
          <cell r="Q305" t="str">
            <v>吉林金隅冀东环保科技有限公司</v>
          </cell>
        </row>
        <row r="306">
          <cell r="A306" t="str">
            <v>622</v>
          </cell>
        </row>
        <row r="306">
          <cell r="C306" t="str">
            <v>2023-03-14</v>
          </cell>
        </row>
        <row r="306">
          <cell r="K306">
            <v>10000</v>
          </cell>
        </row>
        <row r="306">
          <cell r="Q306" t="str">
            <v>鄂尔多斯市君正能源化工有限公司</v>
          </cell>
        </row>
        <row r="307">
          <cell r="A307" t="str">
            <v>621</v>
          </cell>
        </row>
        <row r="307">
          <cell r="C307" t="str">
            <v>2023-03-14</v>
          </cell>
        </row>
        <row r="307">
          <cell r="K307">
            <v>20000</v>
          </cell>
        </row>
        <row r="307">
          <cell r="Q307" t="str">
            <v>青海发投碱业有限公司</v>
          </cell>
        </row>
        <row r="308">
          <cell r="A308" t="str">
            <v>620</v>
          </cell>
        </row>
        <row r="308">
          <cell r="C308" t="str">
            <v>2023-03-13</v>
          </cell>
        </row>
        <row r="308">
          <cell r="K308">
            <v>50000</v>
          </cell>
        </row>
        <row r="308">
          <cell r="Q308" t="str">
            <v>中机国际招标有限公司（青海发投碱业有限公司）</v>
          </cell>
        </row>
        <row r="309">
          <cell r="A309" t="str">
            <v>619</v>
          </cell>
        </row>
        <row r="309">
          <cell r="C309" t="str">
            <v>2023-03-13</v>
          </cell>
        </row>
        <row r="309">
          <cell r="K309">
            <v>20000</v>
          </cell>
        </row>
        <row r="309">
          <cell r="Q309" t="str">
            <v>中机国际招标有限公司（青海发投碱业有限公司）</v>
          </cell>
        </row>
        <row r="310">
          <cell r="A310" t="str">
            <v>618</v>
          </cell>
        </row>
        <row r="310">
          <cell r="C310" t="str">
            <v>2023-03-11</v>
          </cell>
        </row>
        <row r="310">
          <cell r="K310">
            <v>5000</v>
          </cell>
        </row>
        <row r="310">
          <cell r="Q310" t="str">
            <v>邢台金隅冀东水泥有限公司</v>
          </cell>
        </row>
        <row r="311">
          <cell r="A311" t="str">
            <v>615</v>
          </cell>
        </row>
        <row r="311">
          <cell r="C311" t="str">
            <v>2023-03-07</v>
          </cell>
        </row>
        <row r="311">
          <cell r="K311">
            <v>5000</v>
          </cell>
        </row>
        <row r="311">
          <cell r="Q311" t="str">
            <v>湖北双环科技股份有限公司</v>
          </cell>
        </row>
        <row r="312">
          <cell r="A312" t="str">
            <v>614</v>
          </cell>
        </row>
        <row r="312">
          <cell r="C312" t="str">
            <v>2023-03-07</v>
          </cell>
        </row>
        <row r="312">
          <cell r="K312">
            <v>1000</v>
          </cell>
        </row>
        <row r="312">
          <cell r="Q312" t="str">
            <v>阜康天山</v>
          </cell>
        </row>
        <row r="313">
          <cell r="A313" t="str">
            <v>611</v>
          </cell>
        </row>
        <row r="313">
          <cell r="C313" t="str">
            <v>2023-03-06</v>
          </cell>
        </row>
        <row r="313">
          <cell r="K313">
            <v>10000</v>
          </cell>
        </row>
        <row r="313">
          <cell r="Q313" t="str">
            <v>伊犁天山水泥有限公司</v>
          </cell>
        </row>
        <row r="314">
          <cell r="A314" t="str">
            <v>610</v>
          </cell>
        </row>
        <row r="314">
          <cell r="C314" t="str">
            <v>2023-03-06</v>
          </cell>
        </row>
        <row r="314">
          <cell r="K314">
            <v>80000</v>
          </cell>
        </row>
        <row r="314">
          <cell r="Q314" t="str">
            <v>内蒙古亿利冀东水泥有限公司</v>
          </cell>
        </row>
        <row r="315">
          <cell r="A315" t="str">
            <v>607</v>
          </cell>
        </row>
        <row r="315">
          <cell r="C315" t="str">
            <v>2023-03-04</v>
          </cell>
        </row>
        <row r="315">
          <cell r="K315">
            <v>2000</v>
          </cell>
        </row>
        <row r="315">
          <cell r="Q315" t="str">
            <v>宁夏滨河海利建材有限公司</v>
          </cell>
        </row>
        <row r="316">
          <cell r="A316" t="str">
            <v>606</v>
          </cell>
        </row>
        <row r="316">
          <cell r="C316" t="str">
            <v>2023-03-03</v>
          </cell>
        </row>
        <row r="316">
          <cell r="K316">
            <v>2000</v>
          </cell>
        </row>
        <row r="316">
          <cell r="Q316" t="str">
            <v>四川德胜集团水泥有限公司</v>
          </cell>
        </row>
        <row r="317">
          <cell r="A317" t="str">
            <v>603</v>
          </cell>
        </row>
        <row r="317">
          <cell r="C317" t="str">
            <v>2023-02-28</v>
          </cell>
        </row>
        <row r="317">
          <cell r="K317">
            <v>20100</v>
          </cell>
        </row>
        <row r="317">
          <cell r="Q317" t="str">
            <v>内蒙古霍宁碳素有限责任公司</v>
          </cell>
        </row>
        <row r="318">
          <cell r="A318" t="str">
            <v>602</v>
          </cell>
        </row>
        <row r="318">
          <cell r="C318" t="str">
            <v>2023-02-27</v>
          </cell>
        </row>
        <row r="318">
          <cell r="K318">
            <v>20100</v>
          </cell>
        </row>
        <row r="318">
          <cell r="Q318" t="str">
            <v>内蒙古霍宁碳素有限责任公司</v>
          </cell>
        </row>
        <row r="319">
          <cell r="A319" t="str">
            <v>597</v>
          </cell>
        </row>
        <row r="319">
          <cell r="C319" t="str">
            <v>2023-02-22</v>
          </cell>
        </row>
        <row r="319">
          <cell r="K319">
            <v>15800</v>
          </cell>
        </row>
        <row r="319">
          <cell r="Q319" t="str">
            <v>葛洲坝石门特种水泥公司</v>
          </cell>
        </row>
        <row r="320">
          <cell r="A320" t="str">
            <v>596</v>
          </cell>
        </row>
        <row r="320">
          <cell r="C320" t="str">
            <v>2023-02-22</v>
          </cell>
        </row>
        <row r="320">
          <cell r="K320">
            <v>4500</v>
          </cell>
        </row>
        <row r="320">
          <cell r="Q320" t="str">
            <v>青海发投碱业有限公司</v>
          </cell>
        </row>
        <row r="321">
          <cell r="A321" t="str">
            <v>595</v>
          </cell>
        </row>
        <row r="321">
          <cell r="C321" t="str">
            <v>2023-02-22</v>
          </cell>
        </row>
        <row r="321">
          <cell r="K321">
            <v>3100</v>
          </cell>
        </row>
        <row r="321">
          <cell r="Q321" t="str">
            <v>青海发投碱业有限公司</v>
          </cell>
        </row>
        <row r="322">
          <cell r="A322" t="str">
            <v>594</v>
          </cell>
        </row>
        <row r="322">
          <cell r="C322" t="str">
            <v>2023-02-22</v>
          </cell>
        </row>
        <row r="322">
          <cell r="K322">
            <v>6400</v>
          </cell>
        </row>
        <row r="322">
          <cell r="Q322" t="str">
            <v>青海发投碱业有限公司</v>
          </cell>
        </row>
        <row r="323">
          <cell r="A323" t="str">
            <v>593</v>
          </cell>
        </row>
        <row r="323">
          <cell r="C323" t="str">
            <v>2023-02-22</v>
          </cell>
        </row>
        <row r="323">
          <cell r="K323">
            <v>5400</v>
          </cell>
        </row>
        <row r="323">
          <cell r="Q323" t="str">
            <v>青海发投碱业有限公司</v>
          </cell>
        </row>
        <row r="324">
          <cell r="A324" t="str">
            <v>592</v>
          </cell>
        </row>
        <row r="324">
          <cell r="C324" t="str">
            <v>2023-02-21</v>
          </cell>
        </row>
        <row r="324">
          <cell r="K324">
            <v>2000</v>
          </cell>
        </row>
        <row r="324">
          <cell r="Q324" t="str">
            <v>唐山冀东水泥三友有限公司</v>
          </cell>
        </row>
        <row r="325">
          <cell r="A325" t="str">
            <v>589</v>
          </cell>
        </row>
        <row r="325">
          <cell r="C325" t="str">
            <v>2023-02-21</v>
          </cell>
        </row>
        <row r="325">
          <cell r="K325">
            <v>10000</v>
          </cell>
        </row>
        <row r="325">
          <cell r="Q325" t="str">
            <v>忂州元立金属制品有限公司</v>
          </cell>
        </row>
        <row r="326">
          <cell r="A326" t="str">
            <v>588</v>
          </cell>
        </row>
        <row r="326">
          <cell r="C326" t="str">
            <v>2023-02-17</v>
          </cell>
        </row>
        <row r="326">
          <cell r="K326">
            <v>2000</v>
          </cell>
        </row>
        <row r="326">
          <cell r="Q326" t="str">
            <v>临沂中联水泥有限公司</v>
          </cell>
        </row>
        <row r="327">
          <cell r="A327" t="str">
            <v>587</v>
          </cell>
        </row>
        <row r="327">
          <cell r="C327" t="str">
            <v>2023-02-16</v>
          </cell>
        </row>
        <row r="327">
          <cell r="K327">
            <v>10000</v>
          </cell>
        </row>
        <row r="327">
          <cell r="Q327" t="str">
            <v>叶城天山水泥有限公司</v>
          </cell>
        </row>
        <row r="328">
          <cell r="A328" t="str">
            <v>585</v>
          </cell>
        </row>
        <row r="328">
          <cell r="C328" t="str">
            <v>2023-02-10</v>
          </cell>
        </row>
        <row r="328">
          <cell r="K328">
            <v>50000</v>
          </cell>
        </row>
        <row r="328">
          <cell r="Q328" t="str">
            <v>四川永祥新材料有限公司</v>
          </cell>
        </row>
        <row r="329">
          <cell r="A329" t="str">
            <v>582</v>
          </cell>
        </row>
        <row r="329">
          <cell r="C329" t="str">
            <v>2023-02-07</v>
          </cell>
        </row>
        <row r="329">
          <cell r="K329">
            <v>4000</v>
          </cell>
        </row>
        <row r="329">
          <cell r="Q329" t="str">
            <v>汪清北方水泥有限公司</v>
          </cell>
        </row>
        <row r="330">
          <cell r="A330" t="str">
            <v>581</v>
          </cell>
        </row>
        <row r="330">
          <cell r="C330" t="str">
            <v>2023-02-06</v>
          </cell>
        </row>
        <row r="330">
          <cell r="K330">
            <v>3000</v>
          </cell>
        </row>
        <row r="330">
          <cell r="Q330" t="str">
            <v>福建安砂建福水泥有限公司</v>
          </cell>
        </row>
        <row r="331">
          <cell r="A331" t="str">
            <v>580</v>
          </cell>
        </row>
        <row r="331">
          <cell r="C331" t="str">
            <v>2023-02-06</v>
          </cell>
        </row>
        <row r="331">
          <cell r="K331">
            <v>54479.6</v>
          </cell>
        </row>
        <row r="331">
          <cell r="Q331" t="str">
            <v>内蒙古冀东水泥有限责任公司</v>
          </cell>
        </row>
        <row r="332">
          <cell r="A332" t="str">
            <v>578</v>
          </cell>
        </row>
        <row r="332">
          <cell r="C332" t="str">
            <v>2023-02-02</v>
          </cell>
        </row>
        <row r="332">
          <cell r="K332">
            <v>2000</v>
          </cell>
        </row>
        <row r="332">
          <cell r="Q332" t="str">
            <v>唐山冀东水泥三友有限公司</v>
          </cell>
        </row>
        <row r="333">
          <cell r="A333" t="str">
            <v>576</v>
          </cell>
        </row>
        <row r="333">
          <cell r="C333" t="str">
            <v>2023-01-30</v>
          </cell>
        </row>
        <row r="333">
          <cell r="K333">
            <v>2650</v>
          </cell>
        </row>
        <row r="333">
          <cell r="Q333" t="str">
            <v>山东泰西水泥有限公司</v>
          </cell>
        </row>
        <row r="334">
          <cell r="A334" t="str">
            <v>575</v>
          </cell>
        </row>
        <row r="334">
          <cell r="C334" t="str">
            <v>2023-01-29</v>
          </cell>
        </row>
        <row r="334">
          <cell r="K334">
            <v>10000</v>
          </cell>
        </row>
        <row r="334">
          <cell r="Q334" t="str">
            <v>青海发投碱业有限公司</v>
          </cell>
        </row>
        <row r="335">
          <cell r="A335" t="str">
            <v>573</v>
          </cell>
        </row>
        <row r="335">
          <cell r="C335" t="str">
            <v>2023-01-28</v>
          </cell>
        </row>
        <row r="335">
          <cell r="K335">
            <v>14000</v>
          </cell>
        </row>
        <row r="335">
          <cell r="Q335" t="str">
            <v>泰安中联水泥有限公司</v>
          </cell>
        </row>
        <row r="336">
          <cell r="A336" t="str">
            <v>570</v>
          </cell>
        </row>
        <row r="336">
          <cell r="C336" t="str">
            <v>2023-01-18</v>
          </cell>
        </row>
        <row r="336">
          <cell r="K336">
            <v>21560</v>
          </cell>
        </row>
        <row r="336">
          <cell r="Q336" t="str">
            <v>葛洲坝钟祥水泥有限公司</v>
          </cell>
        </row>
        <row r="337">
          <cell r="A337" t="str">
            <v>569</v>
          </cell>
        </row>
        <row r="337">
          <cell r="C337" t="str">
            <v>2023-01-17</v>
          </cell>
        </row>
        <row r="337">
          <cell r="K337">
            <v>2000</v>
          </cell>
        </row>
        <row r="337">
          <cell r="Q337" t="str">
            <v>福建安砂建福水泥有限公司</v>
          </cell>
        </row>
        <row r="338">
          <cell r="A338" t="str">
            <v>567</v>
          </cell>
        </row>
        <row r="338">
          <cell r="C338" t="str">
            <v>2023-01-11</v>
          </cell>
        </row>
        <row r="338">
          <cell r="K338">
            <v>5000</v>
          </cell>
        </row>
        <row r="338">
          <cell r="Q338" t="str">
            <v>枣庄中联水泥有限公司</v>
          </cell>
        </row>
        <row r="339">
          <cell r="A339" t="str">
            <v>566</v>
          </cell>
        </row>
        <row r="339">
          <cell r="C339" t="str">
            <v>2023-01-10</v>
          </cell>
        </row>
        <row r="339">
          <cell r="K339">
            <v>6650</v>
          </cell>
        </row>
        <row r="339">
          <cell r="Q339" t="str">
            <v>青海发投碱业有限公司</v>
          </cell>
        </row>
        <row r="340">
          <cell r="A340" t="str">
            <v>564</v>
          </cell>
        </row>
        <row r="340">
          <cell r="C340" t="str">
            <v>2023-01-09</v>
          </cell>
        </row>
        <row r="340">
          <cell r="K340">
            <v>10000</v>
          </cell>
        </row>
        <row r="340">
          <cell r="Q340" t="str">
            <v>辽源渭津金刚水泥有限公司（北方水泥龙东片区）</v>
          </cell>
        </row>
        <row r="341">
          <cell r="A341" t="str">
            <v>563</v>
          </cell>
        </row>
        <row r="341">
          <cell r="C341" t="str">
            <v>2023-01-09</v>
          </cell>
        </row>
        <row r="341">
          <cell r="K341">
            <v>30328</v>
          </cell>
        </row>
        <row r="341">
          <cell r="Q341" t="str">
            <v>中国电能成套设备有限公司（黔西电厂）</v>
          </cell>
        </row>
        <row r="342">
          <cell r="A342" t="str">
            <v>562</v>
          </cell>
        </row>
        <row r="342">
          <cell r="C342" t="str">
            <v>2023-01-09</v>
          </cell>
        </row>
        <row r="342">
          <cell r="K342">
            <v>1000</v>
          </cell>
        </row>
        <row r="342">
          <cell r="Q342" t="str">
            <v>吉林金隅冀东环保科技有限公司</v>
          </cell>
        </row>
        <row r="343">
          <cell r="A343" t="str">
            <v>561</v>
          </cell>
        </row>
        <row r="343">
          <cell r="C343" t="str">
            <v>2022-12-30</v>
          </cell>
        </row>
        <row r="343">
          <cell r="K343">
            <v>2000</v>
          </cell>
        </row>
        <row r="343">
          <cell r="Q343" t="str">
            <v>邢台金隅冀东水泥有限公司</v>
          </cell>
        </row>
        <row r="344">
          <cell r="A344" t="str">
            <v>560</v>
          </cell>
        </row>
        <row r="344">
          <cell r="C344" t="str">
            <v>2022-12-27</v>
          </cell>
        </row>
        <row r="344">
          <cell r="K344">
            <v>50000</v>
          </cell>
        </row>
        <row r="344">
          <cell r="Q344" t="str">
            <v>湖南华菱湘潭钢铁有限公司</v>
          </cell>
        </row>
        <row r="345">
          <cell r="A345" t="str">
            <v>559</v>
          </cell>
        </row>
        <row r="345">
          <cell r="C345" t="str">
            <v>2022-12-23</v>
          </cell>
        </row>
        <row r="345">
          <cell r="K345">
            <v>2000</v>
          </cell>
        </row>
        <row r="345">
          <cell r="Q345" t="str">
            <v>唐山冀东水泥三友有限公司</v>
          </cell>
        </row>
        <row r="346">
          <cell r="A346" t="str">
            <v>557</v>
          </cell>
        </row>
        <row r="346">
          <cell r="C346" t="str">
            <v>2022-12-21</v>
          </cell>
        </row>
        <row r="346">
          <cell r="K346">
            <v>10000</v>
          </cell>
        </row>
        <row r="346">
          <cell r="Q346" t="str">
            <v>元江县永发水泥有限公司</v>
          </cell>
        </row>
        <row r="347">
          <cell r="A347" t="str">
            <v>555</v>
          </cell>
        </row>
        <row r="347">
          <cell r="C347" t="str">
            <v>2022-12-12</v>
          </cell>
        </row>
        <row r="347">
          <cell r="K347">
            <v>12000</v>
          </cell>
        </row>
        <row r="347">
          <cell r="Q347" t="str">
            <v>吐鲁番天山水泥有限责任公司</v>
          </cell>
        </row>
        <row r="348">
          <cell r="A348" t="str">
            <v>553</v>
          </cell>
        </row>
        <row r="348">
          <cell r="C348" t="str">
            <v>2022-12-09</v>
          </cell>
        </row>
        <row r="348">
          <cell r="K348">
            <v>15000</v>
          </cell>
        </row>
        <row r="348">
          <cell r="Q348" t="str">
            <v>吐鲁番天山水泥有限责任公司</v>
          </cell>
        </row>
        <row r="349">
          <cell r="A349" t="str">
            <v>550</v>
          </cell>
        </row>
        <row r="349">
          <cell r="C349" t="str">
            <v>2022-12-07</v>
          </cell>
        </row>
        <row r="349">
          <cell r="K349">
            <v>50000</v>
          </cell>
        </row>
        <row r="349">
          <cell r="Q349" t="str">
            <v>贵州西南水泥有限公司</v>
          </cell>
        </row>
        <row r="350">
          <cell r="A350" t="str">
            <v>549</v>
          </cell>
        </row>
        <row r="350">
          <cell r="C350" t="str">
            <v>2022-12-06</v>
          </cell>
        </row>
        <row r="350">
          <cell r="K350">
            <v>10000</v>
          </cell>
        </row>
        <row r="350">
          <cell r="Q350" t="str">
            <v>中联水泥（山东）研发中心有限公司（莒县中联水泥有限公司）</v>
          </cell>
        </row>
        <row r="351">
          <cell r="A351" t="str">
            <v>546</v>
          </cell>
        </row>
        <row r="351">
          <cell r="C351" t="str">
            <v>2022-12-06</v>
          </cell>
        </row>
        <row r="351">
          <cell r="K351">
            <v>4000</v>
          </cell>
        </row>
        <row r="351">
          <cell r="Q351" t="str">
            <v>塔什店天山</v>
          </cell>
        </row>
        <row r="352">
          <cell r="A352" t="str">
            <v>545</v>
          </cell>
        </row>
        <row r="352">
          <cell r="C352" t="str">
            <v>2022-12-05</v>
          </cell>
        </row>
        <row r="352">
          <cell r="K352">
            <v>15000</v>
          </cell>
        </row>
        <row r="352">
          <cell r="Q352" t="str">
            <v>包头冀东水泥有限公司</v>
          </cell>
        </row>
        <row r="353">
          <cell r="A353" t="str">
            <v>544</v>
          </cell>
        </row>
        <row r="353">
          <cell r="C353" t="str">
            <v>2022-12-05</v>
          </cell>
        </row>
        <row r="353">
          <cell r="K353">
            <v>10000</v>
          </cell>
        </row>
        <row r="353">
          <cell r="Q353" t="str">
            <v>西昌航天水泥有限责任公司</v>
          </cell>
        </row>
        <row r="354">
          <cell r="A354" t="str">
            <v>542</v>
          </cell>
        </row>
        <row r="354">
          <cell r="C354" t="str">
            <v>2022-12-05</v>
          </cell>
        </row>
        <row r="354">
          <cell r="K354">
            <v>3000</v>
          </cell>
        </row>
        <row r="354">
          <cell r="Q354" t="str">
            <v>天瑞集团汝州水泥有限公司</v>
          </cell>
        </row>
        <row r="355">
          <cell r="A355" t="str">
            <v>537</v>
          </cell>
        </row>
        <row r="355">
          <cell r="C355" t="str">
            <v>2022-12-01</v>
          </cell>
        </row>
        <row r="355">
          <cell r="K355">
            <v>10000</v>
          </cell>
        </row>
        <row r="355">
          <cell r="Q355" t="str">
            <v>叶城天山水泥有限公司</v>
          </cell>
        </row>
        <row r="356">
          <cell r="A356" t="str">
            <v>536</v>
          </cell>
        </row>
        <row r="356">
          <cell r="C356" t="str">
            <v>2022-12-01</v>
          </cell>
        </row>
        <row r="356">
          <cell r="K356">
            <v>10000</v>
          </cell>
        </row>
        <row r="356">
          <cell r="Q356" t="str">
            <v>中联水泥（山东）研发中心有限公司（泰安中联水泥有限公司）</v>
          </cell>
        </row>
        <row r="357">
          <cell r="A357" t="str">
            <v>533</v>
          </cell>
        </row>
        <row r="357">
          <cell r="C357" t="str">
            <v>2022-11-29</v>
          </cell>
        </row>
        <row r="357">
          <cell r="K357">
            <v>3800</v>
          </cell>
        </row>
        <row r="357">
          <cell r="Q357" t="str">
            <v>山东滕国项目管理有限公司（山东申丰水泥集团有限公司）</v>
          </cell>
        </row>
        <row r="358">
          <cell r="A358" t="str">
            <v>530</v>
          </cell>
        </row>
        <row r="358">
          <cell r="C358" t="str">
            <v>2022-11-29</v>
          </cell>
        </row>
        <row r="358">
          <cell r="K358">
            <v>4000</v>
          </cell>
        </row>
        <row r="358">
          <cell r="Q358" t="str">
            <v>山东滕国项目管理有限公司（山东申丰水泥集团有限公司）</v>
          </cell>
        </row>
        <row r="359">
          <cell r="A359" t="str">
            <v>529</v>
          </cell>
        </row>
        <row r="359">
          <cell r="C359" t="str">
            <v>2022-11-29</v>
          </cell>
        </row>
        <row r="359">
          <cell r="K359">
            <v>4200</v>
          </cell>
        </row>
        <row r="359">
          <cell r="Q359" t="str">
            <v>山东滕国项目管理有限公司（山东申丰水泥集团有限公司）</v>
          </cell>
        </row>
        <row r="360">
          <cell r="A360" t="str">
            <v>527</v>
          </cell>
        </row>
        <row r="360">
          <cell r="C360" t="str">
            <v>2022-11-28</v>
          </cell>
        </row>
        <row r="360">
          <cell r="K360">
            <v>5000</v>
          </cell>
        </row>
        <row r="360">
          <cell r="Q360" t="str">
            <v>沂南中联水泥有限公司</v>
          </cell>
        </row>
        <row r="361">
          <cell r="A361" t="str">
            <v>526</v>
          </cell>
        </row>
        <row r="361">
          <cell r="C361" t="str">
            <v>2022-11-25</v>
          </cell>
        </row>
        <row r="361">
          <cell r="K361">
            <v>36000</v>
          </cell>
        </row>
        <row r="361">
          <cell r="Q361" t="str">
            <v>葛洲坝嘉鱼水泥有限公司</v>
          </cell>
        </row>
        <row r="362">
          <cell r="A362" t="str">
            <v>525</v>
          </cell>
        </row>
        <row r="362">
          <cell r="C362" t="str">
            <v>2022-11-22</v>
          </cell>
        </row>
        <row r="362">
          <cell r="K362">
            <v>3000</v>
          </cell>
        </row>
        <row r="362">
          <cell r="Q362" t="str">
            <v>江西上高南方水泥有限公司</v>
          </cell>
        </row>
        <row r="363">
          <cell r="A363" t="str">
            <v>524</v>
          </cell>
        </row>
        <row r="363">
          <cell r="C363" t="str">
            <v>2022-11-21</v>
          </cell>
        </row>
        <row r="363">
          <cell r="K363">
            <v>4000</v>
          </cell>
        </row>
        <row r="363">
          <cell r="Q363" t="str">
            <v>包头冀东水泥有限公司</v>
          </cell>
        </row>
        <row r="364">
          <cell r="A364" t="str">
            <v>523</v>
          </cell>
        </row>
        <row r="364">
          <cell r="C364" t="str">
            <v>2022-11-15</v>
          </cell>
        </row>
        <row r="364">
          <cell r="K364">
            <v>52088</v>
          </cell>
        </row>
        <row r="364">
          <cell r="Q364" t="str">
            <v>青海发投碱业有限公司</v>
          </cell>
        </row>
        <row r="365">
          <cell r="A365" t="str">
            <v>522</v>
          </cell>
        </row>
        <row r="365">
          <cell r="C365" t="str">
            <v>2022-11-15</v>
          </cell>
        </row>
        <row r="365">
          <cell r="K365">
            <v>2500</v>
          </cell>
        </row>
        <row r="365">
          <cell r="Q365" t="str">
            <v>赞皇金隅水泥有限公司</v>
          </cell>
        </row>
        <row r="366">
          <cell r="A366" t="str">
            <v>521</v>
          </cell>
        </row>
        <row r="366">
          <cell r="C366" t="str">
            <v>2022-11-15</v>
          </cell>
        </row>
        <row r="366">
          <cell r="K366">
            <v>4000</v>
          </cell>
        </row>
        <row r="366">
          <cell r="Q366" t="str">
            <v>包头冀东水泥有限公司</v>
          </cell>
        </row>
        <row r="367">
          <cell r="A367" t="str">
            <v>520</v>
          </cell>
        </row>
        <row r="367">
          <cell r="C367" t="str">
            <v>2022-11-14</v>
          </cell>
        </row>
        <row r="367">
          <cell r="K367">
            <v>3000</v>
          </cell>
        </row>
        <row r="367">
          <cell r="Q367" t="str">
            <v>涞水金隅冀东环保科技有限公司</v>
          </cell>
        </row>
        <row r="368">
          <cell r="A368" t="str">
            <v>519</v>
          </cell>
        </row>
        <row r="368">
          <cell r="C368" t="str">
            <v>2022-11-14</v>
          </cell>
        </row>
        <row r="368">
          <cell r="K368">
            <v>10000</v>
          </cell>
        </row>
        <row r="368">
          <cell r="Q368" t="str">
            <v>山西金隅冀东环保科技有限公司</v>
          </cell>
        </row>
        <row r="369">
          <cell r="A369" t="str">
            <v>518</v>
          </cell>
        </row>
        <row r="369">
          <cell r="C369" t="str">
            <v>2022-11-10</v>
          </cell>
        </row>
        <row r="369">
          <cell r="K369">
            <v>30000</v>
          </cell>
        </row>
        <row r="369">
          <cell r="Q369" t="str">
            <v>山东申丰水泥有限公司</v>
          </cell>
        </row>
        <row r="370">
          <cell r="A370" t="str">
            <v>516</v>
          </cell>
        </row>
        <row r="370">
          <cell r="C370" t="str">
            <v>2022-11-09</v>
          </cell>
        </row>
        <row r="370">
          <cell r="K370">
            <v>2000</v>
          </cell>
        </row>
        <row r="370">
          <cell r="Q370" t="str">
            <v>唐山冀东水泥三友有限公司</v>
          </cell>
        </row>
        <row r="371">
          <cell r="A371" t="str">
            <v>515</v>
          </cell>
        </row>
        <row r="371">
          <cell r="C371" t="str">
            <v>2022-11-09</v>
          </cell>
        </row>
        <row r="371">
          <cell r="K371">
            <v>9000</v>
          </cell>
        </row>
        <row r="371">
          <cell r="Q371" t="str">
            <v>包头冀东水泥有限公司</v>
          </cell>
        </row>
        <row r="372">
          <cell r="A372" t="str">
            <v>514</v>
          </cell>
        </row>
        <row r="372">
          <cell r="C372" t="str">
            <v>2022-11-09</v>
          </cell>
        </row>
        <row r="372">
          <cell r="K372">
            <v>5000</v>
          </cell>
        </row>
        <row r="372">
          <cell r="Q372" t="str">
            <v>包头冀东水泥有限公司</v>
          </cell>
        </row>
        <row r="373">
          <cell r="A373" t="str">
            <v>512</v>
          </cell>
        </row>
        <row r="373">
          <cell r="C373" t="str">
            <v>2022-11-08</v>
          </cell>
        </row>
        <row r="373">
          <cell r="K373">
            <v>5000</v>
          </cell>
        </row>
        <row r="373">
          <cell r="Q373" t="str">
            <v>克州天山</v>
          </cell>
        </row>
        <row r="374">
          <cell r="A374" t="str">
            <v>511</v>
          </cell>
        </row>
        <row r="374">
          <cell r="C374" t="str">
            <v>2022-11-07</v>
          </cell>
        </row>
        <row r="374">
          <cell r="K374">
            <v>3000</v>
          </cell>
        </row>
        <row r="374">
          <cell r="Q374" t="str">
            <v>重庆长寿西南水泥有限公司</v>
          </cell>
        </row>
        <row r="375">
          <cell r="A375" t="str">
            <v>510</v>
          </cell>
        </row>
        <row r="375">
          <cell r="C375" t="str">
            <v>2022-11-07</v>
          </cell>
        </row>
        <row r="375">
          <cell r="K375">
            <v>52088</v>
          </cell>
        </row>
        <row r="375">
          <cell r="Q375" t="str">
            <v>青海发投碱业有限公司</v>
          </cell>
        </row>
        <row r="376">
          <cell r="A376" t="str">
            <v>509</v>
          </cell>
        </row>
        <row r="376">
          <cell r="C376" t="str">
            <v>2022-11-07</v>
          </cell>
        </row>
        <row r="376">
          <cell r="K376">
            <v>5000</v>
          </cell>
        </row>
        <row r="376">
          <cell r="Q376" t="str">
            <v>河北金隅鼎鑫水泥有限公司</v>
          </cell>
        </row>
        <row r="377">
          <cell r="A377" t="str">
            <v>505</v>
          </cell>
        </row>
        <row r="377">
          <cell r="C377" t="str">
            <v>2022-11-07</v>
          </cell>
        </row>
        <row r="377">
          <cell r="K377">
            <v>10000</v>
          </cell>
        </row>
        <row r="377">
          <cell r="Q377" t="str">
            <v>叶城天山水泥有限公司</v>
          </cell>
        </row>
        <row r="378">
          <cell r="A378" t="str">
            <v>504</v>
          </cell>
        </row>
        <row r="378">
          <cell r="C378" t="str">
            <v>2022-11-04</v>
          </cell>
        </row>
        <row r="378">
          <cell r="K378">
            <v>5000</v>
          </cell>
        </row>
        <row r="378">
          <cell r="Q378" t="str">
            <v>中联水泥（山东）研发中心有限公司（沂南中联水泥有限公司）</v>
          </cell>
        </row>
        <row r="379">
          <cell r="A379" t="str">
            <v>503</v>
          </cell>
        </row>
        <row r="379">
          <cell r="C379" t="str">
            <v>2022-10-31</v>
          </cell>
        </row>
        <row r="379">
          <cell r="K379">
            <v>10000</v>
          </cell>
        </row>
        <row r="379">
          <cell r="Q379" t="str">
            <v>东方希望重庆水泥有限公司</v>
          </cell>
        </row>
        <row r="380">
          <cell r="A380" t="str">
            <v>502</v>
          </cell>
        </row>
        <row r="380">
          <cell r="C380" t="str">
            <v>2022-10-28</v>
          </cell>
        </row>
        <row r="380">
          <cell r="K380">
            <v>6000</v>
          </cell>
        </row>
        <row r="380">
          <cell r="Q380" t="str">
            <v>四川兴恒晟商贸有限公司
（四川省星船城水泥有限公司）</v>
          </cell>
        </row>
        <row r="381">
          <cell r="A381" t="str">
            <v>501</v>
          </cell>
        </row>
        <row r="381">
          <cell r="C381" t="str">
            <v>2022-10-28</v>
          </cell>
        </row>
        <row r="381">
          <cell r="K381">
            <v>20000</v>
          </cell>
        </row>
        <row r="381">
          <cell r="Q381" t="str">
            <v>阿克苏天山</v>
          </cell>
        </row>
        <row r="382">
          <cell r="A382" t="str">
            <v>499</v>
          </cell>
        </row>
        <row r="382">
          <cell r="C382" t="str">
            <v>2022-10-27</v>
          </cell>
        </row>
        <row r="382">
          <cell r="K382">
            <v>4600</v>
          </cell>
        </row>
        <row r="382">
          <cell r="Q382" t="str">
            <v>中技兴安工程项目管理有限公司（枣庄沃丰水泥有限公司）</v>
          </cell>
        </row>
        <row r="383">
          <cell r="A383" t="str">
            <v>498</v>
          </cell>
        </row>
        <row r="383">
          <cell r="C383" t="str">
            <v>2022-10-26</v>
          </cell>
        </row>
        <row r="383">
          <cell r="K383">
            <v>10000</v>
          </cell>
        </row>
        <row r="383">
          <cell r="Q383" t="str">
            <v>山东合标项目管理有限公司
华沃（枣庄）水泥有限公司</v>
          </cell>
        </row>
        <row r="384">
          <cell r="A384" t="str">
            <v>497</v>
          </cell>
        </row>
        <row r="384">
          <cell r="C384" t="str">
            <v>2022-10-26</v>
          </cell>
        </row>
        <row r="384">
          <cell r="K384">
            <v>15000</v>
          </cell>
        </row>
        <row r="384">
          <cell r="Q384" t="str">
            <v>江阴兴澄特种钢铁有限公司</v>
          </cell>
        </row>
        <row r="385">
          <cell r="A385" t="str">
            <v>495</v>
          </cell>
        </row>
        <row r="385">
          <cell r="C385" t="str">
            <v>2022-10-24</v>
          </cell>
        </row>
        <row r="385">
          <cell r="K385">
            <v>5000</v>
          </cell>
        </row>
        <row r="385">
          <cell r="Q385" t="str">
            <v>湖南骏泰新材料科技有限责任公司</v>
          </cell>
        </row>
        <row r="386">
          <cell r="A386" t="str">
            <v>494</v>
          </cell>
        </row>
        <row r="386">
          <cell r="C386" t="str">
            <v>2022-10-24</v>
          </cell>
        </row>
        <row r="386">
          <cell r="K386">
            <v>10000</v>
          </cell>
        </row>
        <row r="386">
          <cell r="Q386" t="str">
            <v>宁夏建材集团股份有限公司</v>
          </cell>
        </row>
        <row r="387">
          <cell r="A387" t="str">
            <v>493</v>
          </cell>
        </row>
        <row r="387">
          <cell r="C387" t="str">
            <v>2022-10-21</v>
          </cell>
        </row>
        <row r="387">
          <cell r="K387">
            <v>20000</v>
          </cell>
        </row>
        <row r="387">
          <cell r="Q387" t="str">
            <v>青海发投碱业有限公司</v>
          </cell>
        </row>
        <row r="388">
          <cell r="A388" t="str">
            <v>490</v>
          </cell>
        </row>
        <row r="388">
          <cell r="C388" t="str">
            <v>2022-10-17</v>
          </cell>
        </row>
        <row r="388">
          <cell r="K388">
            <v>10000</v>
          </cell>
        </row>
        <row r="388">
          <cell r="Q388" t="str">
            <v>山东韶华项目管理有限公司
（山东申丰水泥集团有限公司）</v>
          </cell>
        </row>
        <row r="389">
          <cell r="A389" t="str">
            <v>489</v>
          </cell>
        </row>
        <row r="389">
          <cell r="C389" t="str">
            <v>2022-10-17</v>
          </cell>
        </row>
        <row r="389">
          <cell r="K389">
            <v>15000</v>
          </cell>
        </row>
        <row r="389">
          <cell r="Q389" t="str">
            <v>山东韶华项目管理有限公司
（山东申丰水泥集团有限公司）</v>
          </cell>
        </row>
        <row r="390">
          <cell r="A390" t="str">
            <v>488</v>
          </cell>
        </row>
        <row r="390">
          <cell r="C390" t="str">
            <v>2022-10-17</v>
          </cell>
        </row>
        <row r="390">
          <cell r="K390">
            <v>7000</v>
          </cell>
        </row>
        <row r="390">
          <cell r="Q390" t="str">
            <v>山东韶华项目管理有限公司
（山东泉兴水泥有限公司）</v>
          </cell>
        </row>
        <row r="391">
          <cell r="A391" t="str">
            <v>487</v>
          </cell>
        </row>
        <row r="391">
          <cell r="C391" t="str">
            <v>2022-10-17</v>
          </cell>
        </row>
        <row r="391">
          <cell r="K391">
            <v>5000</v>
          </cell>
        </row>
        <row r="391">
          <cell r="Q391" t="str">
            <v>山东韶华项目管理有限公司
（山东泉兴水泥有限公司）</v>
          </cell>
        </row>
        <row r="392">
          <cell r="A392" t="str">
            <v>486</v>
          </cell>
        </row>
        <row r="392">
          <cell r="C392" t="str">
            <v>2022-10-17</v>
          </cell>
        </row>
        <row r="392">
          <cell r="K392">
            <v>4000</v>
          </cell>
        </row>
        <row r="392">
          <cell r="Q392" t="str">
            <v>山东韶华项目管理有限公司
（山东泉兴水泥有限公司）</v>
          </cell>
        </row>
        <row r="393">
          <cell r="A393" t="str">
            <v>485</v>
          </cell>
        </row>
        <row r="393">
          <cell r="C393" t="str">
            <v>2022-10-17</v>
          </cell>
        </row>
        <row r="393">
          <cell r="K393">
            <v>3000</v>
          </cell>
        </row>
        <row r="393">
          <cell r="Q393" t="str">
            <v>山东韶华项目管理有限公司
（山东泉兴水泥有限公司）</v>
          </cell>
        </row>
        <row r="394">
          <cell r="A394" t="str">
            <v>482</v>
          </cell>
        </row>
        <row r="394">
          <cell r="C394" t="str">
            <v>2022-10-07</v>
          </cell>
        </row>
        <row r="394">
          <cell r="K394">
            <v>20000</v>
          </cell>
        </row>
        <row r="394">
          <cell r="Q394" t="str">
            <v>青海发投碱业有限公司</v>
          </cell>
        </row>
        <row r="395">
          <cell r="A395" t="str">
            <v>480</v>
          </cell>
        </row>
        <row r="395">
          <cell r="C395" t="str">
            <v>2022-09-29</v>
          </cell>
        </row>
        <row r="395">
          <cell r="K395">
            <v>50000</v>
          </cell>
        </row>
        <row r="395">
          <cell r="Q395" t="str">
            <v>贵州西南水泥有限公司</v>
          </cell>
        </row>
        <row r="396">
          <cell r="A396" t="str">
            <v>479</v>
          </cell>
        </row>
        <row r="396">
          <cell r="C396" t="str">
            <v>2022-09-28</v>
          </cell>
        </row>
        <row r="396">
          <cell r="K396">
            <v>5000</v>
          </cell>
        </row>
        <row r="396">
          <cell r="Q396" t="str">
            <v>包头冀东水泥有限公司</v>
          </cell>
        </row>
        <row r="397">
          <cell r="A397" t="str">
            <v>478</v>
          </cell>
        </row>
        <row r="397">
          <cell r="C397" t="str">
            <v>2022-09-27</v>
          </cell>
        </row>
        <row r="397">
          <cell r="K397">
            <v>2000</v>
          </cell>
        </row>
        <row r="397">
          <cell r="Q397" t="str">
            <v>包头冀东水泥有限公司</v>
          </cell>
        </row>
        <row r="398">
          <cell r="A398" t="str">
            <v>476</v>
          </cell>
        </row>
        <row r="398">
          <cell r="C398" t="str">
            <v>2022-09-26</v>
          </cell>
        </row>
        <row r="398">
          <cell r="K398">
            <v>9800</v>
          </cell>
        </row>
        <row r="398">
          <cell r="Q398" t="str">
            <v>内蒙古宜化化工有限公司</v>
          </cell>
        </row>
        <row r="399">
          <cell r="A399" t="str">
            <v>475</v>
          </cell>
        </row>
        <row r="399">
          <cell r="C399" t="str">
            <v>2022-09-23</v>
          </cell>
        </row>
        <row r="399">
          <cell r="K399">
            <v>5000</v>
          </cell>
        </row>
        <row r="399">
          <cell r="Q399" t="str">
            <v>洛阳万基炭素有限公司</v>
          </cell>
        </row>
        <row r="400">
          <cell r="A400" t="str">
            <v>474</v>
          </cell>
        </row>
        <row r="400">
          <cell r="C400" t="str">
            <v>2022-09-23</v>
          </cell>
        </row>
        <row r="400">
          <cell r="K400">
            <v>5000</v>
          </cell>
        </row>
        <row r="400">
          <cell r="Q400" t="str">
            <v>洛阳万基发电有限公司</v>
          </cell>
        </row>
        <row r="401">
          <cell r="A401" t="str">
            <v>473</v>
          </cell>
        </row>
        <row r="401">
          <cell r="C401" t="str">
            <v>2022-09-23</v>
          </cell>
        </row>
        <row r="401">
          <cell r="K401">
            <v>5000</v>
          </cell>
        </row>
        <row r="401">
          <cell r="Q401" t="str">
            <v>包头冀东水泥有限公司</v>
          </cell>
        </row>
        <row r="402">
          <cell r="A402" t="str">
            <v>472</v>
          </cell>
        </row>
        <row r="402">
          <cell r="C402" t="str">
            <v>2022-09-22</v>
          </cell>
        </row>
        <row r="402">
          <cell r="K402">
            <v>5000</v>
          </cell>
        </row>
        <row r="402">
          <cell r="Q402" t="str">
            <v>河北金隅鼎鑫水泥有限公司</v>
          </cell>
        </row>
        <row r="403">
          <cell r="A403" t="str">
            <v>470</v>
          </cell>
        </row>
        <row r="403">
          <cell r="C403" t="str">
            <v>2022-09-20</v>
          </cell>
        </row>
        <row r="403">
          <cell r="K403">
            <v>10000</v>
          </cell>
        </row>
        <row r="403">
          <cell r="Q403" t="str">
            <v>陵川金隅冀东环保科技有限公司</v>
          </cell>
        </row>
        <row r="404">
          <cell r="A404" t="str">
            <v>469</v>
          </cell>
        </row>
        <row r="404">
          <cell r="C404" t="str">
            <v>2022-09-20</v>
          </cell>
        </row>
        <row r="404">
          <cell r="K404">
            <v>50000</v>
          </cell>
        </row>
        <row r="404">
          <cell r="Q404" t="str">
            <v>云南西南水泥有限公司</v>
          </cell>
        </row>
        <row r="405">
          <cell r="A405" t="str">
            <v>468</v>
          </cell>
        </row>
        <row r="405">
          <cell r="C405" t="str">
            <v>2022-09-20</v>
          </cell>
        </row>
        <row r="405">
          <cell r="K405">
            <v>50000</v>
          </cell>
        </row>
        <row r="405">
          <cell r="Q405" t="str">
            <v>云南西南水泥有限公司</v>
          </cell>
        </row>
        <row r="406">
          <cell r="A406" t="str">
            <v>466</v>
          </cell>
        </row>
        <row r="406">
          <cell r="C406" t="str">
            <v>2022-09-20</v>
          </cell>
        </row>
        <row r="406">
          <cell r="K406">
            <v>6000</v>
          </cell>
        </row>
        <row r="406">
          <cell r="Q406" t="str">
            <v>葛洲坝嘉鱼水泥有限公司</v>
          </cell>
        </row>
        <row r="407">
          <cell r="A407" t="str">
            <v>465</v>
          </cell>
        </row>
        <row r="407">
          <cell r="C407" t="str">
            <v>2022-09-15</v>
          </cell>
        </row>
        <row r="407">
          <cell r="K407">
            <v>20063.75</v>
          </cell>
        </row>
        <row r="407">
          <cell r="Q407" t="str">
            <v>青海发投碱业有限公司</v>
          </cell>
        </row>
        <row r="408">
          <cell r="A408" t="str">
            <v>464</v>
          </cell>
        </row>
        <row r="408">
          <cell r="C408" t="str">
            <v>2022-09-15</v>
          </cell>
        </row>
        <row r="408">
          <cell r="K408">
            <v>20063.75</v>
          </cell>
        </row>
        <row r="408">
          <cell r="Q408" t="str">
            <v>青海发投碱业有限公司</v>
          </cell>
        </row>
        <row r="409">
          <cell r="A409" t="str">
            <v>463</v>
          </cell>
        </row>
        <row r="409">
          <cell r="C409" t="str">
            <v>2022-09-15</v>
          </cell>
        </row>
        <row r="409">
          <cell r="K409">
            <v>10500</v>
          </cell>
        </row>
        <row r="409">
          <cell r="Q409" t="str">
            <v>青海发投碱业有限公司</v>
          </cell>
        </row>
        <row r="410">
          <cell r="A410" t="str">
            <v>462</v>
          </cell>
        </row>
        <row r="410">
          <cell r="C410" t="str">
            <v>2022-09-15</v>
          </cell>
        </row>
        <row r="410">
          <cell r="K410">
            <v>9450</v>
          </cell>
        </row>
        <row r="410">
          <cell r="Q410" t="str">
            <v>青海发投碱业有限公司</v>
          </cell>
        </row>
        <row r="411">
          <cell r="A411" t="str">
            <v>461</v>
          </cell>
        </row>
        <row r="411">
          <cell r="C411" t="str">
            <v>2022-09-15</v>
          </cell>
        </row>
        <row r="411">
          <cell r="K411">
            <v>9450</v>
          </cell>
        </row>
        <row r="411">
          <cell r="Q411" t="str">
            <v>青海发投碱业有限公司</v>
          </cell>
        </row>
        <row r="412">
          <cell r="A412" t="str">
            <v>460</v>
          </cell>
        </row>
        <row r="412">
          <cell r="C412" t="str">
            <v>2022-09-16</v>
          </cell>
        </row>
        <row r="412">
          <cell r="K412">
            <v>20000</v>
          </cell>
        </row>
        <row r="412">
          <cell r="Q412" t="str">
            <v>辛集市澳森钢铁有限公司</v>
          </cell>
        </row>
        <row r="413">
          <cell r="A413" t="str">
            <v>457</v>
          </cell>
        </row>
        <row r="413">
          <cell r="C413" t="str">
            <v>2022-09-08</v>
          </cell>
        </row>
        <row r="413">
          <cell r="K413">
            <v>2000</v>
          </cell>
        </row>
        <row r="413">
          <cell r="Q413" t="str">
            <v>叶城天山水泥有限公司</v>
          </cell>
        </row>
        <row r="414">
          <cell r="A414" t="str">
            <v>455</v>
          </cell>
        </row>
        <row r="414">
          <cell r="C414" t="str">
            <v>2022-09-08</v>
          </cell>
        </row>
        <row r="414">
          <cell r="K414">
            <v>2000</v>
          </cell>
        </row>
        <row r="414">
          <cell r="Q414" t="str">
            <v>河南龙宇煤化工有限公司</v>
          </cell>
        </row>
        <row r="415">
          <cell r="A415" t="str">
            <v>454</v>
          </cell>
        </row>
        <row r="415">
          <cell r="C415" t="str">
            <v>2022-09-08</v>
          </cell>
        </row>
        <row r="415">
          <cell r="K415">
            <v>2000</v>
          </cell>
        </row>
        <row r="415">
          <cell r="Q415" t="str">
            <v>叶城天山水泥有限公司</v>
          </cell>
        </row>
        <row r="416">
          <cell r="A416" t="str">
            <v>453</v>
          </cell>
        </row>
        <row r="416">
          <cell r="C416" t="str">
            <v>2022-09-05</v>
          </cell>
        </row>
        <row r="416">
          <cell r="K416">
            <v>2000</v>
          </cell>
        </row>
        <row r="416">
          <cell r="Q416" t="str">
            <v>吉林亚泰明城水泥有限公司</v>
          </cell>
        </row>
        <row r="417">
          <cell r="A417" t="str">
            <v>452</v>
          </cell>
        </row>
        <row r="417">
          <cell r="C417" t="str">
            <v>2022-09-05</v>
          </cell>
        </row>
        <row r="417">
          <cell r="K417">
            <v>20000</v>
          </cell>
        </row>
        <row r="417">
          <cell r="Q417" t="str">
            <v>青海发投碱业有限公司</v>
          </cell>
        </row>
        <row r="418">
          <cell r="A418" t="str">
            <v>451</v>
          </cell>
        </row>
        <row r="418">
          <cell r="C418" t="str">
            <v>2022-09-02</v>
          </cell>
        </row>
        <row r="418">
          <cell r="K418">
            <v>5000</v>
          </cell>
        </row>
        <row r="418">
          <cell r="Q418" t="str">
            <v>湖北省黄麦岭磷化工有限责任公司</v>
          </cell>
        </row>
        <row r="419">
          <cell r="A419" t="str">
            <v>450</v>
          </cell>
        </row>
        <row r="419">
          <cell r="C419" t="str">
            <v>2022-09-02</v>
          </cell>
        </row>
        <row r="419">
          <cell r="K419">
            <v>10000</v>
          </cell>
        </row>
        <row r="419">
          <cell r="Q419" t="str">
            <v>湖北省黄麦岭磷化工有限责任公司</v>
          </cell>
        </row>
        <row r="420">
          <cell r="A420" t="str">
            <v>449</v>
          </cell>
        </row>
        <row r="420">
          <cell r="C420" t="str">
            <v>2022-09-02</v>
          </cell>
        </row>
        <row r="420">
          <cell r="K420">
            <v>28000</v>
          </cell>
        </row>
        <row r="420">
          <cell r="Q420" t="str">
            <v>新疆千益工程项目咨询管理有限公司（天伟水泥有限公司）</v>
          </cell>
        </row>
        <row r="421">
          <cell r="A421" t="str">
            <v>448</v>
          </cell>
        </row>
        <row r="421">
          <cell r="C421" t="str">
            <v>2022-09-02</v>
          </cell>
        </row>
        <row r="421">
          <cell r="K421">
            <v>10000</v>
          </cell>
        </row>
        <row r="421">
          <cell r="Q421" t="str">
            <v>黑龙江建龙钢铁有限公司（建龙钒业）</v>
          </cell>
        </row>
        <row r="422">
          <cell r="A422" t="str">
            <v>447</v>
          </cell>
        </row>
        <row r="422">
          <cell r="C422" t="str">
            <v>2022-09-01</v>
          </cell>
        </row>
        <row r="422">
          <cell r="K422">
            <v>10000</v>
          </cell>
        </row>
        <row r="422">
          <cell r="Q422" t="str">
            <v>唐山冀东水泥股份有限公司唐山分公司</v>
          </cell>
        </row>
        <row r="423">
          <cell r="A423" t="str">
            <v>445</v>
          </cell>
        </row>
        <row r="423">
          <cell r="C423" t="str">
            <v>2022-08-24</v>
          </cell>
        </row>
        <row r="423">
          <cell r="K423">
            <v>10000</v>
          </cell>
        </row>
        <row r="423">
          <cell r="Q423" t="str">
            <v>湖北省黄麦岭磷化工有限责任公司</v>
          </cell>
        </row>
        <row r="424">
          <cell r="A424" t="str">
            <v>444</v>
          </cell>
        </row>
        <row r="424">
          <cell r="C424" t="str">
            <v>2022-08-24</v>
          </cell>
        </row>
        <row r="424">
          <cell r="K424">
            <v>10000</v>
          </cell>
        </row>
        <row r="424">
          <cell r="Q424" t="str">
            <v>邢台金隅咏宁水泥有限公司</v>
          </cell>
        </row>
        <row r="425">
          <cell r="A425" t="str">
            <v>441</v>
          </cell>
        </row>
        <row r="425">
          <cell r="C425" t="str">
            <v>2022-08-23</v>
          </cell>
        </row>
        <row r="425">
          <cell r="K425">
            <v>20000</v>
          </cell>
        </row>
        <row r="425">
          <cell r="Q425" t="str">
            <v>奎山水泥有限公司</v>
          </cell>
        </row>
        <row r="426">
          <cell r="A426" t="str">
            <v>439</v>
          </cell>
        </row>
        <row r="426">
          <cell r="C426" t="str">
            <v>2022-08-23</v>
          </cell>
        </row>
        <row r="426">
          <cell r="K426">
            <v>10000</v>
          </cell>
        </row>
        <row r="426">
          <cell r="Q426" t="str">
            <v>兴业葵阳海螺水泥有限责任公司</v>
          </cell>
        </row>
        <row r="427">
          <cell r="A427" t="str">
            <v>436</v>
          </cell>
        </row>
        <row r="427">
          <cell r="C427" t="str">
            <v>2022-08-22</v>
          </cell>
        </row>
        <row r="427">
          <cell r="K427">
            <v>5000</v>
          </cell>
        </row>
        <row r="427">
          <cell r="Q427" t="str">
            <v>泰州杨湾海螺水泥有限责任公司</v>
          </cell>
        </row>
        <row r="428">
          <cell r="A428" t="str">
            <v>435</v>
          </cell>
        </row>
        <row r="428">
          <cell r="C428" t="str">
            <v>2022-08-22</v>
          </cell>
        </row>
        <row r="428">
          <cell r="K428">
            <v>2600</v>
          </cell>
        </row>
        <row r="428">
          <cell r="Q428" t="str">
            <v>冀东水泥重庆合川有限责任公司</v>
          </cell>
        </row>
        <row r="429">
          <cell r="A429" t="str">
            <v>434</v>
          </cell>
        </row>
        <row r="429">
          <cell r="C429" t="str">
            <v>2022-08-19</v>
          </cell>
        </row>
        <row r="429">
          <cell r="K429">
            <v>2100</v>
          </cell>
        </row>
        <row r="429">
          <cell r="Q429" t="str">
            <v>大方永贵建材有限责任公司</v>
          </cell>
        </row>
        <row r="430">
          <cell r="A430" t="str">
            <v>430</v>
          </cell>
        </row>
        <row r="430">
          <cell r="C430" t="str">
            <v>2022-08-05</v>
          </cell>
        </row>
        <row r="430">
          <cell r="K430">
            <v>1000</v>
          </cell>
        </row>
        <row r="430">
          <cell r="Q430" t="str">
            <v>兰州铝业有限公司</v>
          </cell>
        </row>
        <row r="431">
          <cell r="A431" t="str">
            <v>428</v>
          </cell>
        </row>
        <row r="431">
          <cell r="C431" t="str">
            <v>2022-08-01</v>
          </cell>
        </row>
        <row r="431">
          <cell r="K431">
            <v>1000</v>
          </cell>
        </row>
        <row r="431">
          <cell r="Q431" t="str">
            <v>陵川金隅冀东环保科技有限公司</v>
          </cell>
        </row>
        <row r="432">
          <cell r="A432" t="str">
            <v>427</v>
          </cell>
        </row>
        <row r="432">
          <cell r="C432" t="str">
            <v>2022-07-28</v>
          </cell>
        </row>
        <row r="432">
          <cell r="K432">
            <v>10000</v>
          </cell>
        </row>
        <row r="432">
          <cell r="Q432" t="str">
            <v>山西金隅冀东环保科技有限公司</v>
          </cell>
        </row>
        <row r="433">
          <cell r="A433" t="str">
            <v>425</v>
          </cell>
        </row>
        <row r="433">
          <cell r="C433" t="str">
            <v>2022-07-22</v>
          </cell>
        </row>
        <row r="433">
          <cell r="K433">
            <v>10000</v>
          </cell>
        </row>
        <row r="433">
          <cell r="Q433" t="str">
            <v>富民金锐水泥建材有限责任公司</v>
          </cell>
        </row>
        <row r="434">
          <cell r="A434" t="str">
            <v>424</v>
          </cell>
        </row>
        <row r="434">
          <cell r="C434" t="str">
            <v>2022-07-21</v>
          </cell>
        </row>
        <row r="434">
          <cell r="K434">
            <v>38000</v>
          </cell>
        </row>
        <row r="434">
          <cell r="Q434" t="str">
            <v>邯郸钢铁集团有限责任公司</v>
          </cell>
        </row>
        <row r="435">
          <cell r="A435" t="str">
            <v>423</v>
          </cell>
        </row>
        <row r="435">
          <cell r="C435" t="str">
            <v>2022-07-19</v>
          </cell>
        </row>
        <row r="435">
          <cell r="K435">
            <v>7750</v>
          </cell>
        </row>
        <row r="435">
          <cell r="Q435" t="str">
            <v>山东鲁泰环保建材有限公司</v>
          </cell>
        </row>
        <row r="436">
          <cell r="A436" t="str">
            <v>422</v>
          </cell>
        </row>
        <row r="436">
          <cell r="C436" t="str">
            <v>2022-07-18</v>
          </cell>
        </row>
        <row r="436">
          <cell r="K436">
            <v>3400</v>
          </cell>
        </row>
        <row r="436">
          <cell r="Q436" t="str">
            <v>吉林金隅冀东环保科技有限公司</v>
          </cell>
        </row>
        <row r="437">
          <cell r="A437" t="str">
            <v>421</v>
          </cell>
        </row>
        <row r="437">
          <cell r="C437" t="str">
            <v>2022-07-15</v>
          </cell>
        </row>
        <row r="437">
          <cell r="K437">
            <v>10000</v>
          </cell>
        </row>
        <row r="437">
          <cell r="Q437" t="str">
            <v>江苏永钢集团有限公司</v>
          </cell>
        </row>
        <row r="438">
          <cell r="A438" t="str">
            <v>420</v>
          </cell>
        </row>
        <row r="438">
          <cell r="C438" t="str">
            <v>2022-07-15</v>
          </cell>
        </row>
        <row r="438">
          <cell r="K438">
            <v>10000</v>
          </cell>
        </row>
        <row r="438">
          <cell r="Q438" t="str">
            <v>江苏永钢集团有限公司</v>
          </cell>
        </row>
        <row r="439">
          <cell r="A439" t="str">
            <v>419</v>
          </cell>
        </row>
        <row r="439">
          <cell r="C439" t="str">
            <v>2022-07-15</v>
          </cell>
        </row>
        <row r="439">
          <cell r="K439">
            <v>2000</v>
          </cell>
        </row>
        <row r="439">
          <cell r="Q439" t="str">
            <v>邢台金隅冀东水泥有限公司</v>
          </cell>
        </row>
        <row r="440">
          <cell r="A440" t="str">
            <v>417</v>
          </cell>
        </row>
        <row r="440">
          <cell r="C440" t="str">
            <v>2022-07-05</v>
          </cell>
        </row>
        <row r="440">
          <cell r="K440">
            <v>3000</v>
          </cell>
        </row>
        <row r="440">
          <cell r="Q440" t="str">
            <v>三门峡腾跃同力水泥有限公司</v>
          </cell>
        </row>
        <row r="441">
          <cell r="A441" t="str">
            <v>416</v>
          </cell>
        </row>
        <row r="441">
          <cell r="C441" t="str">
            <v>2022-07-01</v>
          </cell>
        </row>
        <row r="441">
          <cell r="K441">
            <v>11200</v>
          </cell>
        </row>
        <row r="441">
          <cell r="Q441" t="str">
            <v>云南普洱西南水泥有限公司</v>
          </cell>
        </row>
        <row r="442">
          <cell r="A442" t="str">
            <v>414</v>
          </cell>
        </row>
        <row r="442">
          <cell r="C442" t="str">
            <v>2022-06-28</v>
          </cell>
        </row>
        <row r="442">
          <cell r="K442">
            <v>10000</v>
          </cell>
        </row>
        <row r="442">
          <cell r="Q442" t="str">
            <v>米东天山</v>
          </cell>
        </row>
        <row r="443">
          <cell r="A443" t="str">
            <v>360</v>
          </cell>
        </row>
        <row r="443">
          <cell r="C443" t="str">
            <v>2022-05-27</v>
          </cell>
        </row>
        <row r="443">
          <cell r="K443">
            <v>22000</v>
          </cell>
        </row>
        <row r="443">
          <cell r="Q443" t="str">
            <v>青海发投碱业有限公司</v>
          </cell>
        </row>
        <row r="444">
          <cell r="A444" t="str">
            <v>359</v>
          </cell>
        </row>
        <row r="444">
          <cell r="C444" t="str">
            <v>2022-05-27</v>
          </cell>
        </row>
        <row r="444">
          <cell r="K444">
            <v>15500</v>
          </cell>
        </row>
        <row r="444">
          <cell r="Q444" t="str">
            <v>青海发投碱业有限公司</v>
          </cell>
        </row>
        <row r="445">
          <cell r="A445" t="str">
            <v>358</v>
          </cell>
        </row>
        <row r="445">
          <cell r="C445" t="str">
            <v>2022-05-27</v>
          </cell>
        </row>
        <row r="445">
          <cell r="K445">
            <v>12500</v>
          </cell>
        </row>
        <row r="445">
          <cell r="Q445" t="str">
            <v>青海发投碱业有限公司</v>
          </cell>
        </row>
        <row r="446">
          <cell r="A446" t="str">
            <v>357</v>
          </cell>
        </row>
        <row r="446">
          <cell r="C446" t="str">
            <v>2022-05-17</v>
          </cell>
        </row>
        <row r="446">
          <cell r="K446">
            <v>30900</v>
          </cell>
        </row>
        <row r="446">
          <cell r="Q446" t="str">
            <v>葛洲坝钟祥水泥有限公司</v>
          </cell>
        </row>
        <row r="447">
          <cell r="A447" t="str">
            <v>356</v>
          </cell>
        </row>
        <row r="447">
          <cell r="C447" t="str">
            <v>2022-03-31</v>
          </cell>
        </row>
        <row r="447">
          <cell r="K447">
            <v>12736</v>
          </cell>
        </row>
        <row r="447">
          <cell r="Q447" t="str">
            <v>青海发投碱业有限公司</v>
          </cell>
        </row>
        <row r="448">
          <cell r="A448" t="str">
            <v>355</v>
          </cell>
        </row>
        <row r="448">
          <cell r="C448" t="str">
            <v>2022-03-29</v>
          </cell>
        </row>
        <row r="448">
          <cell r="K448">
            <v>12500</v>
          </cell>
        </row>
        <row r="448">
          <cell r="Q448" t="str">
            <v>日照京华新型建材有限公司</v>
          </cell>
        </row>
        <row r="449">
          <cell r="A449" t="str">
            <v>354</v>
          </cell>
        </row>
        <row r="449">
          <cell r="C449" t="str">
            <v>2022-02-09</v>
          </cell>
        </row>
        <row r="449">
          <cell r="K449">
            <v>50000</v>
          </cell>
        </row>
        <row r="449">
          <cell r="Q449" t="str">
            <v>广东塔牌集团股份有限公司</v>
          </cell>
        </row>
        <row r="450">
          <cell r="A450" t="str">
            <v>353</v>
          </cell>
        </row>
        <row r="450">
          <cell r="C450" t="str">
            <v>2022-01-24</v>
          </cell>
        </row>
        <row r="450">
          <cell r="K450">
            <v>30000</v>
          </cell>
        </row>
        <row r="450">
          <cell r="Q450" t="str">
            <v>河源市金杰环保建材有限公司</v>
          </cell>
        </row>
        <row r="451">
          <cell r="A451" t="str">
            <v>352</v>
          </cell>
        </row>
        <row r="451">
          <cell r="C451" t="str">
            <v>2021-12-29</v>
          </cell>
        </row>
        <row r="451">
          <cell r="K451">
            <v>9800</v>
          </cell>
        </row>
        <row r="451">
          <cell r="Q451" t="str">
            <v>葛洲坝当阳水泥有限公司</v>
          </cell>
        </row>
        <row r="452">
          <cell r="A452" t="str">
            <v>351</v>
          </cell>
        </row>
        <row r="452">
          <cell r="C452" t="str">
            <v>2021-11-03</v>
          </cell>
        </row>
        <row r="452">
          <cell r="K452">
            <v>6000</v>
          </cell>
        </row>
        <row r="452">
          <cell r="Q452" t="str">
            <v>华沃（枣庄）水泥有限公司</v>
          </cell>
        </row>
        <row r="453">
          <cell r="A453" t="str">
            <v>350</v>
          </cell>
        </row>
        <row r="453">
          <cell r="C453" t="str">
            <v>2021-08-20</v>
          </cell>
        </row>
        <row r="453">
          <cell r="K453">
            <v>13000</v>
          </cell>
        </row>
        <row r="453">
          <cell r="Q453" t="str">
            <v>葛洲坝钟祥水泥有限公司</v>
          </cell>
        </row>
        <row r="454">
          <cell r="A454" t="str">
            <v>349</v>
          </cell>
        </row>
        <row r="454">
          <cell r="C454" t="str">
            <v>2021-08-09</v>
          </cell>
        </row>
        <row r="454">
          <cell r="K454">
            <v>1000</v>
          </cell>
        </row>
        <row r="454">
          <cell r="Q454" t="str">
            <v>洛阳黄河同力水泥有限责任公司</v>
          </cell>
        </row>
        <row r="455">
          <cell r="A455" t="str">
            <v>348</v>
          </cell>
        </row>
        <row r="455">
          <cell r="C455" t="str">
            <v>2021-04-28</v>
          </cell>
        </row>
        <row r="455">
          <cell r="K455">
            <v>14400</v>
          </cell>
        </row>
        <row r="455">
          <cell r="Q455" t="str">
            <v>葛洲坝石门特种水泥公司</v>
          </cell>
        </row>
        <row r="456">
          <cell r="A456" t="str">
            <v>347</v>
          </cell>
        </row>
        <row r="456">
          <cell r="C456" t="str">
            <v>2021-02-25</v>
          </cell>
        </row>
        <row r="456">
          <cell r="K456">
            <v>4400</v>
          </cell>
        </row>
        <row r="456">
          <cell r="Q456" t="str">
            <v>芜湖新兴铸管有限责任公司</v>
          </cell>
        </row>
        <row r="457">
          <cell r="A457" t="str">
            <v>346</v>
          </cell>
        </row>
        <row r="457">
          <cell r="C457" t="str">
            <v>2021-01-25</v>
          </cell>
        </row>
        <row r="457">
          <cell r="K457">
            <v>11800</v>
          </cell>
        </row>
        <row r="457">
          <cell r="Q457" t="str">
            <v>葛洲坝钟祥水泥有限公司</v>
          </cell>
        </row>
        <row r="458">
          <cell r="A458" t="str">
            <v>345</v>
          </cell>
        </row>
        <row r="458">
          <cell r="C458" t="str">
            <v>2020-12-11</v>
          </cell>
        </row>
        <row r="458">
          <cell r="K458">
            <v>10800</v>
          </cell>
        </row>
        <row r="458">
          <cell r="Q458" t="str">
            <v>葛洲坝嘉鱼水泥有限公司</v>
          </cell>
        </row>
        <row r="459">
          <cell r="A459" t="str">
            <v>344</v>
          </cell>
        </row>
        <row r="459">
          <cell r="C459" t="str">
            <v>2020-01-13</v>
          </cell>
        </row>
        <row r="459">
          <cell r="K459">
            <v>24000</v>
          </cell>
        </row>
        <row r="459">
          <cell r="Q459" t="str">
            <v>四川金宏通实业有限公司</v>
          </cell>
        </row>
        <row r="460">
          <cell r="A460" t="str">
            <v>343</v>
          </cell>
        </row>
        <row r="460">
          <cell r="C460" t="str">
            <v>2019-04-30</v>
          </cell>
        </row>
        <row r="460">
          <cell r="K460">
            <v>10000</v>
          </cell>
        </row>
        <row r="460">
          <cell r="Q460" t="str">
            <v>葛洲坝钟祥水泥有限公司</v>
          </cell>
        </row>
        <row r="461">
          <cell r="A461" t="str">
            <v>342</v>
          </cell>
        </row>
        <row r="461">
          <cell r="C461" t="str">
            <v>2019-08-19</v>
          </cell>
        </row>
        <row r="461">
          <cell r="K461">
            <v>20000</v>
          </cell>
        </row>
        <row r="461">
          <cell r="Q461" t="str">
            <v>涿鹿金隅水泥有限公司</v>
          </cell>
        </row>
        <row r="462">
          <cell r="A462" t="str">
            <v>341</v>
          </cell>
        </row>
        <row r="462">
          <cell r="C462" t="str">
            <v>2021-10-26</v>
          </cell>
        </row>
        <row r="462">
          <cell r="K462">
            <v>5000</v>
          </cell>
        </row>
        <row r="462">
          <cell r="Q462" t="str">
            <v>石门海螺水泥有限责任公司</v>
          </cell>
        </row>
        <row r="463">
          <cell r="A463" t="str">
            <v>340</v>
          </cell>
        </row>
        <row r="463">
          <cell r="C463" t="str">
            <v>2022-06-13</v>
          </cell>
        </row>
        <row r="463">
          <cell r="K463">
            <v>10000</v>
          </cell>
        </row>
        <row r="463">
          <cell r="Q463" t="str">
            <v>日照钢铁有限公司</v>
          </cell>
        </row>
        <row r="464">
          <cell r="A464" t="str">
            <v>339</v>
          </cell>
        </row>
        <row r="464">
          <cell r="C464" t="str">
            <v>2022-06-07</v>
          </cell>
        </row>
        <row r="464">
          <cell r="K464">
            <v>10000</v>
          </cell>
        </row>
        <row r="464">
          <cell r="Q464" t="str">
            <v>宁夏建材集团股份有限公司</v>
          </cell>
        </row>
        <row r="465">
          <cell r="A465" t="str">
            <v>338</v>
          </cell>
        </row>
        <row r="465">
          <cell r="C465" t="str">
            <v>2022-05-30</v>
          </cell>
        </row>
        <row r="465">
          <cell r="K465">
            <v>2000</v>
          </cell>
        </row>
        <row r="465">
          <cell r="Q465" t="str">
            <v>兰州铝业有限公司</v>
          </cell>
        </row>
        <row r="466">
          <cell r="A466" t="str">
            <v>337</v>
          </cell>
        </row>
        <row r="466">
          <cell r="C466" t="str">
            <v>2022-05-26</v>
          </cell>
        </row>
        <row r="466">
          <cell r="K466">
            <v>10000</v>
          </cell>
        </row>
        <row r="466">
          <cell r="Q466" t="str">
            <v>青海发投碱业有限公司</v>
          </cell>
        </row>
        <row r="467">
          <cell r="A467" t="str">
            <v>336</v>
          </cell>
        </row>
        <row r="467">
          <cell r="C467" t="str">
            <v>2022-05-25</v>
          </cell>
        </row>
        <row r="467">
          <cell r="K467">
            <v>10000</v>
          </cell>
        </row>
        <row r="467">
          <cell r="Q467" t="str">
            <v>奎山水泥有限公司</v>
          </cell>
        </row>
        <row r="468">
          <cell r="A468" t="str">
            <v>335</v>
          </cell>
        </row>
        <row r="468">
          <cell r="C468" t="str">
            <v>2022-05-24</v>
          </cell>
        </row>
        <row r="468">
          <cell r="K468">
            <v>5000</v>
          </cell>
        </row>
        <row r="468">
          <cell r="Q468" t="str">
            <v>北京金隅琉水环保科技有限公司</v>
          </cell>
        </row>
        <row r="469">
          <cell r="A469" t="str">
            <v>334</v>
          </cell>
        </row>
        <row r="469">
          <cell r="C469" t="str">
            <v>2022-05-18</v>
          </cell>
        </row>
        <row r="469">
          <cell r="K469">
            <v>5000</v>
          </cell>
        </row>
        <row r="469">
          <cell r="Q469" t="str">
            <v>商务部周奇用款阜康天山投标保证金--对公</v>
          </cell>
        </row>
        <row r="470">
          <cell r="A470" t="str">
            <v>333</v>
          </cell>
        </row>
        <row r="470">
          <cell r="C470" t="str">
            <v>2022-05-18</v>
          </cell>
        </row>
        <row r="470">
          <cell r="K470">
            <v>10000</v>
          </cell>
        </row>
        <row r="470">
          <cell r="Q470" t="str">
            <v>米东天山</v>
          </cell>
        </row>
        <row r="471">
          <cell r="A471" t="str">
            <v>332</v>
          </cell>
        </row>
        <row r="471">
          <cell r="C471" t="str">
            <v>2022-05-13</v>
          </cell>
        </row>
        <row r="471">
          <cell r="K471">
            <v>10000</v>
          </cell>
        </row>
        <row r="471">
          <cell r="Q471" t="str">
            <v>河北新金轧材有限公司</v>
          </cell>
        </row>
        <row r="472">
          <cell r="A472" t="str">
            <v>331</v>
          </cell>
        </row>
        <row r="472">
          <cell r="C472" t="str">
            <v>2022-05-13</v>
          </cell>
        </row>
        <row r="472">
          <cell r="K472">
            <v>1000</v>
          </cell>
        </row>
        <row r="472">
          <cell r="Q472" t="str">
            <v>华沃（枣庄）水泥有限公司</v>
          </cell>
        </row>
        <row r="473">
          <cell r="A473" t="str">
            <v>330</v>
          </cell>
        </row>
        <row r="473">
          <cell r="C473" t="str">
            <v>2022-05-13</v>
          </cell>
        </row>
        <row r="473">
          <cell r="K473">
            <v>3000</v>
          </cell>
        </row>
        <row r="473">
          <cell r="Q473" t="str">
            <v>华沃（枣庄）水泥有限公司</v>
          </cell>
        </row>
        <row r="474">
          <cell r="A474" t="str">
            <v>329</v>
          </cell>
        </row>
        <row r="474">
          <cell r="C474" t="str">
            <v>2022-05-10</v>
          </cell>
        </row>
        <row r="474">
          <cell r="K474">
            <v>20000</v>
          </cell>
        </row>
        <row r="474">
          <cell r="Q474" t="str">
            <v>新疆天山</v>
          </cell>
        </row>
        <row r="475">
          <cell r="A475" t="str">
            <v>328</v>
          </cell>
        </row>
        <row r="475">
          <cell r="C475" t="str">
            <v>2022-05-09</v>
          </cell>
        </row>
        <row r="475">
          <cell r="K475">
            <v>20000</v>
          </cell>
        </row>
        <row r="475">
          <cell r="Q475" t="str">
            <v>新疆天山</v>
          </cell>
        </row>
        <row r="476">
          <cell r="A476" t="str">
            <v>327</v>
          </cell>
        </row>
        <row r="476">
          <cell r="C476" t="str">
            <v>2022-05-09</v>
          </cell>
        </row>
        <row r="476">
          <cell r="K476">
            <v>1000</v>
          </cell>
        </row>
        <row r="476">
          <cell r="Q476" t="str">
            <v>洛阳黄河同力水泥有限责任公司</v>
          </cell>
        </row>
        <row r="477">
          <cell r="A477" t="str">
            <v>326</v>
          </cell>
        </row>
        <row r="477">
          <cell r="C477" t="str">
            <v>2022-04-28</v>
          </cell>
        </row>
        <row r="477">
          <cell r="K477">
            <v>10000</v>
          </cell>
        </row>
        <row r="477">
          <cell r="Q477" t="str">
            <v>日照钢铁有限公司</v>
          </cell>
        </row>
        <row r="478">
          <cell r="A478" t="str">
            <v>325</v>
          </cell>
        </row>
        <row r="478">
          <cell r="C478" t="str">
            <v>2022-04-27</v>
          </cell>
        </row>
        <row r="478">
          <cell r="K478">
            <v>5000</v>
          </cell>
        </row>
        <row r="478">
          <cell r="Q478" t="str">
            <v>河北金隅鼎鑫水泥有限公司</v>
          </cell>
        </row>
        <row r="479">
          <cell r="A479" t="str">
            <v>322</v>
          </cell>
        </row>
        <row r="479">
          <cell r="C479" t="str">
            <v>2022-06-06</v>
          </cell>
        </row>
        <row r="479">
          <cell r="K479">
            <v>2000</v>
          </cell>
        </row>
        <row r="479">
          <cell r="Q479" t="str">
            <v>鞍山冀东水泥有限责任公司</v>
          </cell>
        </row>
        <row r="480">
          <cell r="A480" t="str">
            <v>321</v>
          </cell>
        </row>
        <row r="480">
          <cell r="C480" t="str">
            <v>2022-04-26</v>
          </cell>
        </row>
        <row r="480">
          <cell r="K480">
            <v>1000</v>
          </cell>
        </row>
        <row r="480">
          <cell r="Q480" t="str">
            <v>鞍山冀东水泥有限责任公司</v>
          </cell>
        </row>
        <row r="481">
          <cell r="A481" t="str">
            <v>320</v>
          </cell>
        </row>
        <row r="481">
          <cell r="C481" t="str">
            <v>2022-04-26</v>
          </cell>
        </row>
        <row r="481">
          <cell r="K481">
            <v>1500</v>
          </cell>
        </row>
        <row r="481">
          <cell r="Q481" t="str">
            <v>鞍山冀东水泥有限责任公司</v>
          </cell>
        </row>
        <row r="482">
          <cell r="A482" t="str">
            <v>319</v>
          </cell>
        </row>
        <row r="482">
          <cell r="C482" t="str">
            <v>2022-04-22</v>
          </cell>
        </row>
        <row r="482">
          <cell r="K482">
            <v>20000</v>
          </cell>
        </row>
        <row r="482">
          <cell r="Q482" t="str">
            <v>阳泉冀东水泥有限责任公司</v>
          </cell>
        </row>
        <row r="483">
          <cell r="A483" t="str">
            <v>317</v>
          </cell>
        </row>
        <row r="483">
          <cell r="C483" t="str">
            <v>2022-04-07</v>
          </cell>
        </row>
        <row r="483">
          <cell r="K483">
            <v>2000</v>
          </cell>
        </row>
        <row r="483">
          <cell r="Q483" t="str">
            <v>鞍山冀东水泥有限责任公司</v>
          </cell>
        </row>
        <row r="484">
          <cell r="A484" t="str">
            <v>316</v>
          </cell>
        </row>
        <row r="484">
          <cell r="C484" t="str">
            <v>2022-01-11</v>
          </cell>
        </row>
        <row r="484">
          <cell r="K484">
            <v>2000</v>
          </cell>
        </row>
        <row r="484">
          <cell r="Q484" t="str">
            <v>鞍山冀东水泥有限责任公司</v>
          </cell>
        </row>
        <row r="485">
          <cell r="A485" t="str">
            <v>315</v>
          </cell>
        </row>
        <row r="485">
          <cell r="C485" t="str">
            <v>2022-04-06</v>
          </cell>
        </row>
        <row r="485">
          <cell r="K485">
            <v>15000</v>
          </cell>
        </row>
        <row r="485">
          <cell r="Q485" t="str">
            <v>邢台金隅冀东水泥有限公司</v>
          </cell>
        </row>
        <row r="486">
          <cell r="A486" t="str">
            <v>314</v>
          </cell>
        </row>
        <row r="486">
          <cell r="C486" t="str">
            <v>2022-04-06</v>
          </cell>
        </row>
        <row r="486">
          <cell r="K486">
            <v>10000</v>
          </cell>
        </row>
        <row r="486">
          <cell r="Q486" t="str">
            <v>宁夏建材集团股份有限公司</v>
          </cell>
        </row>
        <row r="487">
          <cell r="A487" t="str">
            <v>313</v>
          </cell>
        </row>
        <row r="487">
          <cell r="C487" t="str">
            <v>2022-03-23</v>
          </cell>
        </row>
        <row r="487">
          <cell r="K487">
            <v>10000</v>
          </cell>
        </row>
        <row r="487">
          <cell r="Q487" t="str">
            <v>日照钢铁有限公司</v>
          </cell>
        </row>
        <row r="488">
          <cell r="A488" t="str">
            <v>311</v>
          </cell>
        </row>
        <row r="488">
          <cell r="C488" t="str">
            <v>2022-03-11</v>
          </cell>
        </row>
        <row r="488">
          <cell r="K488">
            <v>80000</v>
          </cell>
        </row>
        <row r="488">
          <cell r="Q488" t="str">
            <v>广东清新水泥有限公司</v>
          </cell>
        </row>
        <row r="489">
          <cell r="A489" t="str">
            <v>310</v>
          </cell>
        </row>
        <row r="489">
          <cell r="C489" t="str">
            <v>2022-03-07</v>
          </cell>
        </row>
        <row r="489">
          <cell r="K489">
            <v>17000</v>
          </cell>
        </row>
        <row r="489">
          <cell r="Q489" t="str">
            <v>仁寿县汪洋建宝水泥有限公司广石分公司</v>
          </cell>
        </row>
        <row r="490">
          <cell r="A490" t="str">
            <v>309</v>
          </cell>
        </row>
        <row r="490">
          <cell r="C490" t="str">
            <v>2022-03-04</v>
          </cell>
        </row>
        <row r="490">
          <cell r="K490">
            <v>2000</v>
          </cell>
        </row>
        <row r="490">
          <cell r="Q490" t="str">
            <v>江苏磊达股份有限公司</v>
          </cell>
        </row>
        <row r="491">
          <cell r="A491" t="str">
            <v>307</v>
          </cell>
        </row>
        <row r="491">
          <cell r="C491" t="str">
            <v>2022-02-23</v>
          </cell>
        </row>
        <row r="491">
          <cell r="K491">
            <v>10000</v>
          </cell>
        </row>
        <row r="491">
          <cell r="Q491" t="str">
            <v>山西省中条山新型建材有限公司</v>
          </cell>
        </row>
        <row r="492">
          <cell r="A492" t="str">
            <v>306</v>
          </cell>
        </row>
        <row r="492">
          <cell r="C492" t="str">
            <v>2022-02-23</v>
          </cell>
        </row>
        <row r="492">
          <cell r="K492">
            <v>40000</v>
          </cell>
        </row>
        <row r="492">
          <cell r="Q492" t="str">
            <v>安徽华塑股份有限公司水泥分公司</v>
          </cell>
        </row>
        <row r="493">
          <cell r="A493" t="str">
            <v>305</v>
          </cell>
        </row>
        <row r="493">
          <cell r="C493" t="str">
            <v>2022-02-17</v>
          </cell>
        </row>
        <row r="493">
          <cell r="K493">
            <v>20000</v>
          </cell>
        </row>
        <row r="493">
          <cell r="Q493" t="str">
            <v>安徽华塑股份有限公司</v>
          </cell>
        </row>
        <row r="494">
          <cell r="A494" t="str">
            <v>304</v>
          </cell>
        </row>
        <row r="494">
          <cell r="C494" t="str">
            <v>2022-02-10</v>
          </cell>
        </row>
        <row r="494">
          <cell r="K494">
            <v>10000</v>
          </cell>
        </row>
        <row r="494">
          <cell r="Q494" t="str">
            <v>北京金隅琉水环保科技有限公司</v>
          </cell>
        </row>
        <row r="495">
          <cell r="A495" t="str">
            <v>302</v>
          </cell>
        </row>
        <row r="495">
          <cell r="C495" t="str">
            <v>2022-01-27</v>
          </cell>
        </row>
        <row r="495">
          <cell r="K495">
            <v>3800</v>
          </cell>
        </row>
        <row r="495">
          <cell r="Q495" t="str">
            <v>鄂钢嘉华减速机更换线上支付</v>
          </cell>
        </row>
        <row r="496">
          <cell r="A496" t="str">
            <v>301</v>
          </cell>
        </row>
        <row r="496">
          <cell r="C496" t="str">
            <v>2022-01-20</v>
          </cell>
        </row>
        <row r="496">
          <cell r="K496">
            <v>5000</v>
          </cell>
        </row>
        <row r="496">
          <cell r="Q496" t="str">
            <v>冀东水泥阿巴嘎旗有限责任公司</v>
          </cell>
        </row>
        <row r="497">
          <cell r="A497" t="str">
            <v>300</v>
          </cell>
        </row>
        <row r="497">
          <cell r="C497" t="str">
            <v>2022-01-17</v>
          </cell>
        </row>
        <row r="497">
          <cell r="K497">
            <v>10000</v>
          </cell>
        </row>
        <row r="497">
          <cell r="Q497" t="str">
            <v>冀东水泥磐石有限责任公司</v>
          </cell>
        </row>
        <row r="498">
          <cell r="A498" t="str">
            <v>299</v>
          </cell>
        </row>
        <row r="498">
          <cell r="C498" t="str">
            <v>2022-01-17</v>
          </cell>
        </row>
        <row r="498">
          <cell r="K498">
            <v>10000</v>
          </cell>
        </row>
        <row r="498">
          <cell r="Q498" t="str">
            <v>阿克苏天山</v>
          </cell>
        </row>
        <row r="499">
          <cell r="A499" t="str">
            <v>298</v>
          </cell>
        </row>
        <row r="499">
          <cell r="C499" t="str">
            <v>2022-01-15</v>
          </cell>
        </row>
        <row r="499">
          <cell r="K499">
            <v>5000</v>
          </cell>
        </row>
        <row r="499">
          <cell r="Q499" t="str">
            <v>云南普洱西南水泥有限公司</v>
          </cell>
        </row>
        <row r="500">
          <cell r="A500" t="str">
            <v>297</v>
          </cell>
        </row>
        <row r="500">
          <cell r="C500" t="str">
            <v>2022-01-14</v>
          </cell>
        </row>
        <row r="500">
          <cell r="K500">
            <v>5000</v>
          </cell>
        </row>
        <row r="500">
          <cell r="Q500" t="str">
            <v>云南普洱西南水泥有限公司</v>
          </cell>
        </row>
        <row r="501">
          <cell r="A501" t="str">
            <v>295</v>
          </cell>
        </row>
        <row r="501">
          <cell r="C501" t="str">
            <v>2022-01-10</v>
          </cell>
        </row>
        <row r="501">
          <cell r="K501">
            <v>5000</v>
          </cell>
        </row>
        <row r="501">
          <cell r="Q501" t="str">
            <v>赞皇金隅水泥有限公司</v>
          </cell>
        </row>
        <row r="502">
          <cell r="A502" t="str">
            <v>294</v>
          </cell>
        </row>
        <row r="502">
          <cell r="C502" t="str">
            <v>2022-01-06</v>
          </cell>
        </row>
        <row r="502">
          <cell r="K502">
            <v>5000</v>
          </cell>
        </row>
        <row r="502">
          <cell r="Q502" t="str">
            <v>冀东水泥磐石有限责任公司</v>
          </cell>
        </row>
        <row r="503">
          <cell r="A503" t="str">
            <v>293</v>
          </cell>
        </row>
        <row r="503">
          <cell r="C503" t="str">
            <v>2022-01-04</v>
          </cell>
        </row>
        <row r="503">
          <cell r="K503">
            <v>5000</v>
          </cell>
        </row>
        <row r="503">
          <cell r="Q503" t="str">
            <v>冀东水泥磐石有限责任公司</v>
          </cell>
        </row>
        <row r="504">
          <cell r="A504" t="str">
            <v>292</v>
          </cell>
        </row>
        <row r="504">
          <cell r="C504" t="str">
            <v>2022-01-04</v>
          </cell>
        </row>
        <row r="504">
          <cell r="K504">
            <v>5000</v>
          </cell>
        </row>
        <row r="504">
          <cell r="Q504" t="str">
            <v>冀东水泥磐石有限责任公司</v>
          </cell>
        </row>
        <row r="505">
          <cell r="A505" t="str">
            <v>291</v>
          </cell>
        </row>
        <row r="505">
          <cell r="C505" t="str">
            <v>2021-12-27</v>
          </cell>
        </row>
        <row r="505">
          <cell r="K505">
            <v>5000</v>
          </cell>
        </row>
        <row r="505">
          <cell r="Q505" t="str">
            <v>冀东水泥磐石有限责任公司</v>
          </cell>
        </row>
        <row r="506">
          <cell r="A506" t="str">
            <v>290</v>
          </cell>
        </row>
        <row r="506">
          <cell r="C506" t="str">
            <v>2021-12-27</v>
          </cell>
        </row>
        <row r="506">
          <cell r="K506">
            <v>3000</v>
          </cell>
        </row>
        <row r="506">
          <cell r="Q506" t="str">
            <v>冀东水泥磐石有限责任公司</v>
          </cell>
        </row>
        <row r="507">
          <cell r="A507" t="str">
            <v>289</v>
          </cell>
        </row>
        <row r="507">
          <cell r="C507" t="str">
            <v>2021-12-27</v>
          </cell>
        </row>
        <row r="507">
          <cell r="K507">
            <v>3000</v>
          </cell>
        </row>
        <row r="507">
          <cell r="Q507" t="str">
            <v>冀东水泥磐石有限责任公司</v>
          </cell>
        </row>
        <row r="508">
          <cell r="A508" t="str">
            <v>288</v>
          </cell>
        </row>
        <row r="508">
          <cell r="C508" t="str">
            <v>2021-12-23</v>
          </cell>
        </row>
        <row r="508">
          <cell r="K508">
            <v>2000</v>
          </cell>
        </row>
        <row r="508">
          <cell r="Q508" t="str">
            <v>鞍山冀东水泥有限责任公司</v>
          </cell>
        </row>
        <row r="509">
          <cell r="A509" t="str">
            <v>287</v>
          </cell>
        </row>
        <row r="509">
          <cell r="C509" t="str">
            <v>2021-12-23</v>
          </cell>
        </row>
        <row r="509">
          <cell r="K509">
            <v>1000</v>
          </cell>
        </row>
        <row r="509">
          <cell r="Q509" t="str">
            <v>鞍山冀东水泥有限责任公司</v>
          </cell>
        </row>
        <row r="510">
          <cell r="A510" t="str">
            <v>286</v>
          </cell>
        </row>
        <row r="510">
          <cell r="C510" t="str">
            <v>2021-12-23</v>
          </cell>
        </row>
        <row r="510">
          <cell r="K510">
            <v>400</v>
          </cell>
        </row>
        <row r="510">
          <cell r="Q510" t="str">
            <v>安钢集团附属企业有限公司</v>
          </cell>
        </row>
        <row r="511">
          <cell r="A511" t="str">
            <v>285</v>
          </cell>
        </row>
        <row r="511">
          <cell r="C511" t="str">
            <v>2021-12-22</v>
          </cell>
        </row>
        <row r="511">
          <cell r="K511">
            <v>10000</v>
          </cell>
        </row>
        <row r="511">
          <cell r="Q511" t="str">
            <v>中材常德水泥有限责任公司</v>
          </cell>
        </row>
        <row r="512">
          <cell r="A512" t="str">
            <v>284</v>
          </cell>
        </row>
        <row r="512">
          <cell r="C512" t="str">
            <v>2021-12-22</v>
          </cell>
        </row>
        <row r="512">
          <cell r="K512">
            <v>10000</v>
          </cell>
        </row>
        <row r="512">
          <cell r="Q512" t="str">
            <v>武汉阳训科技有限公司</v>
          </cell>
        </row>
        <row r="513">
          <cell r="A513" t="str">
            <v>283</v>
          </cell>
        </row>
        <row r="513">
          <cell r="C513" t="str">
            <v>2021-12-20</v>
          </cell>
        </row>
        <row r="513">
          <cell r="K513">
            <v>5000</v>
          </cell>
        </row>
        <row r="513">
          <cell r="Q513" t="str">
            <v>武汉阳训科技有限公司</v>
          </cell>
        </row>
        <row r="514">
          <cell r="A514" t="str">
            <v>282</v>
          </cell>
        </row>
        <row r="514">
          <cell r="C514" t="str">
            <v>2021-12-20</v>
          </cell>
        </row>
        <row r="514">
          <cell r="K514">
            <v>10000</v>
          </cell>
        </row>
        <row r="514">
          <cell r="Q514" t="str">
            <v>阿克苏天山</v>
          </cell>
        </row>
        <row r="515">
          <cell r="A515" t="str">
            <v>281</v>
          </cell>
        </row>
        <row r="515">
          <cell r="C515" t="str">
            <v>2021-12-17</v>
          </cell>
        </row>
        <row r="515">
          <cell r="K515">
            <v>4000</v>
          </cell>
        </row>
        <row r="515">
          <cell r="Q515" t="str">
            <v>四川省星船城水泥有限公司</v>
          </cell>
        </row>
        <row r="516">
          <cell r="A516" t="str">
            <v>280</v>
          </cell>
        </row>
        <row r="516">
          <cell r="C516" t="str">
            <v>2021-12-16</v>
          </cell>
        </row>
        <row r="516">
          <cell r="K516">
            <v>3000</v>
          </cell>
        </row>
        <row r="516">
          <cell r="Q516" t="str">
            <v>冀东水泥磐石有限责任公司</v>
          </cell>
        </row>
        <row r="517">
          <cell r="A517" t="str">
            <v>279</v>
          </cell>
        </row>
        <row r="517">
          <cell r="C517" t="str">
            <v>2021-12-10</v>
          </cell>
        </row>
        <row r="517">
          <cell r="K517">
            <v>5000</v>
          </cell>
        </row>
        <row r="517">
          <cell r="Q517" t="str">
            <v>北京金隅琉水环保科技有限公司</v>
          </cell>
        </row>
        <row r="518">
          <cell r="A518" t="str">
            <v>278</v>
          </cell>
        </row>
        <row r="518">
          <cell r="C518" t="str">
            <v>2021-12-09</v>
          </cell>
        </row>
        <row r="518">
          <cell r="K518">
            <v>6000</v>
          </cell>
        </row>
        <row r="518">
          <cell r="Q518" t="str">
            <v>涞水金隅冀东环保科技有限公司</v>
          </cell>
        </row>
        <row r="519">
          <cell r="A519" t="str">
            <v>277</v>
          </cell>
        </row>
        <row r="519">
          <cell r="C519" t="str">
            <v>2021-12-09</v>
          </cell>
        </row>
        <row r="519">
          <cell r="K519">
            <v>5000</v>
          </cell>
        </row>
        <row r="519">
          <cell r="Q519" t="str">
            <v>涞水金隅冀东环保科技有限公司</v>
          </cell>
        </row>
        <row r="520">
          <cell r="A520" t="str">
            <v>276</v>
          </cell>
        </row>
        <row r="520">
          <cell r="C520" t="str">
            <v>2021-12-08</v>
          </cell>
        </row>
        <row r="520">
          <cell r="K520">
            <v>10000</v>
          </cell>
        </row>
        <row r="520">
          <cell r="Q520" t="str">
            <v>叶城天山水泥有限公司</v>
          </cell>
        </row>
        <row r="521">
          <cell r="A521" t="str">
            <v>275</v>
          </cell>
        </row>
        <row r="521">
          <cell r="C521" t="str">
            <v>2021-12-08</v>
          </cell>
        </row>
        <row r="521">
          <cell r="K521">
            <v>10000</v>
          </cell>
        </row>
        <row r="521">
          <cell r="Q521" t="str">
            <v>阿克苏天山</v>
          </cell>
        </row>
        <row r="522">
          <cell r="A522" t="str">
            <v>272</v>
          </cell>
        </row>
        <row r="522">
          <cell r="C522" t="str">
            <v>2021-12-03</v>
          </cell>
        </row>
        <row r="522">
          <cell r="K522">
            <v>1000</v>
          </cell>
        </row>
        <row r="522">
          <cell r="Q522" t="str">
            <v>平泉冀东水泥有限责任公司</v>
          </cell>
        </row>
        <row r="523">
          <cell r="A523" t="str">
            <v>271</v>
          </cell>
        </row>
        <row r="523">
          <cell r="C523" t="str">
            <v>2021-12-03</v>
          </cell>
        </row>
        <row r="523">
          <cell r="K523">
            <v>20000</v>
          </cell>
        </row>
        <row r="523">
          <cell r="Q523" t="str">
            <v>新兴铸管股份有限公司</v>
          </cell>
        </row>
        <row r="524">
          <cell r="A524" t="str">
            <v>270</v>
          </cell>
        </row>
        <row r="524">
          <cell r="C524" t="str">
            <v>2021-12-02</v>
          </cell>
        </row>
        <row r="524">
          <cell r="K524">
            <v>10000</v>
          </cell>
        </row>
        <row r="524">
          <cell r="Q524" t="str">
            <v>重庆正阳新材料有限公司</v>
          </cell>
        </row>
        <row r="525">
          <cell r="A525" t="str">
            <v>269</v>
          </cell>
        </row>
        <row r="525">
          <cell r="C525" t="str">
            <v>2021-12-01</v>
          </cell>
        </row>
        <row r="525">
          <cell r="K525">
            <v>10000</v>
          </cell>
        </row>
        <row r="525">
          <cell r="Q525" t="str">
            <v>吐鲁番天山水泥有限责任公司</v>
          </cell>
        </row>
        <row r="526">
          <cell r="A526" t="str">
            <v>268</v>
          </cell>
        </row>
        <row r="526">
          <cell r="C526" t="str">
            <v>2021-11-29</v>
          </cell>
        </row>
        <row r="526">
          <cell r="K526">
            <v>20000</v>
          </cell>
        </row>
        <row r="526">
          <cell r="Q526" t="str">
            <v>克州天山</v>
          </cell>
        </row>
        <row r="527">
          <cell r="A527" t="str">
            <v>267</v>
          </cell>
        </row>
        <row r="527">
          <cell r="C527" t="str">
            <v>2021-11-29</v>
          </cell>
        </row>
        <row r="527">
          <cell r="K527">
            <v>10000</v>
          </cell>
        </row>
        <row r="527">
          <cell r="Q527" t="str">
            <v>喀什店天山</v>
          </cell>
        </row>
        <row r="528">
          <cell r="A528" t="str">
            <v>266</v>
          </cell>
        </row>
        <row r="528">
          <cell r="C528" t="str">
            <v>2021-11-29</v>
          </cell>
        </row>
        <row r="528">
          <cell r="K528">
            <v>18000</v>
          </cell>
        </row>
        <row r="528">
          <cell r="Q528" t="str">
            <v>湘潭电机股份有限公司</v>
          </cell>
        </row>
        <row r="529">
          <cell r="A529" t="str">
            <v>265</v>
          </cell>
        </row>
        <row r="529">
          <cell r="C529" t="str">
            <v>2021-11-29</v>
          </cell>
        </row>
        <row r="529">
          <cell r="K529">
            <v>5000</v>
          </cell>
        </row>
        <row r="529">
          <cell r="Q529" t="str">
            <v>冀东水泥（烟台）有限责任公司</v>
          </cell>
        </row>
        <row r="530">
          <cell r="A530" t="str">
            <v>264</v>
          </cell>
        </row>
        <row r="530">
          <cell r="C530" t="str">
            <v>2021-11-29</v>
          </cell>
        </row>
        <row r="530">
          <cell r="K530">
            <v>5000</v>
          </cell>
        </row>
        <row r="530">
          <cell r="Q530" t="str">
            <v>曲阳金隅水泥有限公司</v>
          </cell>
        </row>
        <row r="531">
          <cell r="A531" t="str">
            <v>263</v>
          </cell>
        </row>
        <row r="531">
          <cell r="C531" t="str">
            <v>2021-11-24</v>
          </cell>
        </row>
        <row r="531">
          <cell r="K531">
            <v>1500</v>
          </cell>
        </row>
        <row r="531">
          <cell r="Q531" t="str">
            <v>塔什店天山</v>
          </cell>
        </row>
        <row r="532">
          <cell r="A532" t="str">
            <v>262</v>
          </cell>
        </row>
        <row r="532">
          <cell r="C532" t="str">
            <v>2021-11-23</v>
          </cell>
        </row>
        <row r="532">
          <cell r="K532">
            <v>5000</v>
          </cell>
        </row>
        <row r="532">
          <cell r="Q532" t="str">
            <v>冀东海德堡（扶风）水泥有限公司</v>
          </cell>
        </row>
        <row r="533">
          <cell r="A533" t="str">
            <v>259</v>
          </cell>
        </row>
        <row r="533">
          <cell r="C533" t="str">
            <v>2021-11-23</v>
          </cell>
        </row>
        <row r="533">
          <cell r="K533">
            <v>1500</v>
          </cell>
        </row>
        <row r="533">
          <cell r="Q533" t="str">
            <v>塔什店天山</v>
          </cell>
        </row>
        <row r="534">
          <cell r="A534" t="str">
            <v>258</v>
          </cell>
        </row>
        <row r="534">
          <cell r="C534" t="str">
            <v>2021-11-23</v>
          </cell>
        </row>
        <row r="534">
          <cell r="K534">
            <v>10000</v>
          </cell>
        </row>
        <row r="534">
          <cell r="Q534" t="str">
            <v>洛阳万基炭素有限公司</v>
          </cell>
        </row>
        <row r="535">
          <cell r="A535" t="str">
            <v>253</v>
          </cell>
        </row>
        <row r="535">
          <cell r="C535" t="str">
            <v>2021-11-18</v>
          </cell>
        </row>
        <row r="535">
          <cell r="K535">
            <v>50000</v>
          </cell>
        </row>
        <row r="535">
          <cell r="Q535" t="str">
            <v>蒙阴广汇建材有限公司</v>
          </cell>
        </row>
        <row r="536">
          <cell r="A536" t="str">
            <v>252</v>
          </cell>
        </row>
        <row r="536">
          <cell r="C536" t="str">
            <v>2021-11-18</v>
          </cell>
        </row>
        <row r="536">
          <cell r="K536">
            <v>10000</v>
          </cell>
        </row>
        <row r="536">
          <cell r="Q536" t="str">
            <v>吐鲁番天山水泥有限责任公司</v>
          </cell>
        </row>
        <row r="537">
          <cell r="A537" t="str">
            <v>251</v>
          </cell>
        </row>
        <row r="537">
          <cell r="C537" t="str">
            <v>2021-11-17</v>
          </cell>
        </row>
        <row r="537">
          <cell r="K537">
            <v>11600</v>
          </cell>
        </row>
        <row r="537">
          <cell r="Q537" t="str">
            <v>冀东水泥滦州有限公司</v>
          </cell>
        </row>
        <row r="538">
          <cell r="A538" t="str">
            <v>250</v>
          </cell>
        </row>
        <row r="538">
          <cell r="C538" t="str">
            <v>2021-11-17</v>
          </cell>
        </row>
        <row r="538">
          <cell r="K538">
            <v>10000</v>
          </cell>
        </row>
        <row r="538">
          <cell r="Q538" t="str">
            <v>甘肃祁连山水泥集团股份有限公司</v>
          </cell>
        </row>
        <row r="539">
          <cell r="A539" t="str">
            <v>249</v>
          </cell>
        </row>
        <row r="539">
          <cell r="C539" t="str">
            <v>2021-11-17</v>
          </cell>
        </row>
        <row r="539">
          <cell r="K539">
            <v>10000</v>
          </cell>
        </row>
        <row r="539">
          <cell r="Q539" t="str">
            <v>甘肃祁连山水泥集团股份有限公司</v>
          </cell>
        </row>
        <row r="540">
          <cell r="A540" t="str">
            <v>248</v>
          </cell>
        </row>
        <row r="540">
          <cell r="C540" t="str">
            <v>2021-11-15</v>
          </cell>
        </row>
        <row r="540">
          <cell r="K540">
            <v>50000</v>
          </cell>
        </row>
        <row r="540">
          <cell r="Q540" t="str">
            <v>云南西南水泥有限公司</v>
          </cell>
        </row>
        <row r="541">
          <cell r="A541" t="str">
            <v>247</v>
          </cell>
        </row>
        <row r="541">
          <cell r="C541" t="str">
            <v>2021-11-15</v>
          </cell>
        </row>
        <row r="541">
          <cell r="K541">
            <v>50000</v>
          </cell>
        </row>
        <row r="541">
          <cell r="Q541" t="str">
            <v>云南西南水泥有限公司</v>
          </cell>
        </row>
        <row r="542">
          <cell r="A542" t="str">
            <v>246</v>
          </cell>
        </row>
        <row r="542">
          <cell r="C542" t="str">
            <v>2021-11-15</v>
          </cell>
        </row>
        <row r="542">
          <cell r="K542">
            <v>5000</v>
          </cell>
        </row>
        <row r="542">
          <cell r="Q542" t="str">
            <v>唐山曹妃甸盾石新型建材有限公司</v>
          </cell>
        </row>
        <row r="543">
          <cell r="A543" t="str">
            <v>245</v>
          </cell>
        </row>
        <row r="543">
          <cell r="C543" t="str">
            <v>2021-11-12</v>
          </cell>
        </row>
        <row r="543">
          <cell r="K543">
            <v>5000</v>
          </cell>
        </row>
        <row r="543">
          <cell r="Q543" t="str">
            <v>蚌埠中联水泥有限公司</v>
          </cell>
        </row>
        <row r="544">
          <cell r="A544" t="str">
            <v>244</v>
          </cell>
        </row>
        <row r="544">
          <cell r="C544" t="str">
            <v>2021-11-08</v>
          </cell>
        </row>
        <row r="544">
          <cell r="K544">
            <v>10000</v>
          </cell>
        </row>
        <row r="544">
          <cell r="Q544" t="str">
            <v>阿克苏天山（阿克苏天山公司回转窑外协项目）</v>
          </cell>
        </row>
        <row r="545">
          <cell r="A545" t="str">
            <v>243</v>
          </cell>
        </row>
        <row r="545">
          <cell r="C545" t="str">
            <v>2021-11-01</v>
          </cell>
        </row>
        <row r="545">
          <cell r="K545">
            <v>10000</v>
          </cell>
        </row>
        <row r="545">
          <cell r="Q545" t="str">
            <v>叶城天山水泥有限公司</v>
          </cell>
        </row>
        <row r="546">
          <cell r="A546" t="str">
            <v>242</v>
          </cell>
        </row>
        <row r="546">
          <cell r="C546" t="str">
            <v>2021-10-29</v>
          </cell>
        </row>
        <row r="546">
          <cell r="K546">
            <v>10000</v>
          </cell>
        </row>
        <row r="546">
          <cell r="Q546" t="str">
            <v>叶城天山水泥有限公司</v>
          </cell>
        </row>
        <row r="547">
          <cell r="A547" t="str">
            <v>241</v>
          </cell>
        </row>
        <row r="547">
          <cell r="C547" t="str">
            <v>2021-10-29</v>
          </cell>
        </row>
        <row r="547">
          <cell r="K547">
            <v>10000</v>
          </cell>
        </row>
        <row r="547">
          <cell r="Q547" t="str">
            <v>叶城天山水泥有限公司</v>
          </cell>
        </row>
        <row r="548">
          <cell r="A548" t="str">
            <v>240</v>
          </cell>
        </row>
        <row r="548">
          <cell r="C548" t="str">
            <v>2021-10-25</v>
          </cell>
        </row>
        <row r="548">
          <cell r="K548">
            <v>1000</v>
          </cell>
        </row>
        <row r="548">
          <cell r="Q548" t="str">
            <v>鞍山冀东水泥有限责任公司</v>
          </cell>
        </row>
        <row r="549">
          <cell r="A549" t="str">
            <v>239</v>
          </cell>
        </row>
        <row r="549">
          <cell r="C549" t="str">
            <v>2021-10-18</v>
          </cell>
        </row>
        <row r="549">
          <cell r="K549">
            <v>10000</v>
          </cell>
        </row>
        <row r="549">
          <cell r="Q549" t="str">
            <v>河北新金钢铁有限公司</v>
          </cell>
        </row>
        <row r="550">
          <cell r="A550" t="str">
            <v>238</v>
          </cell>
        </row>
        <row r="550">
          <cell r="C550" t="str">
            <v>2021-10-18</v>
          </cell>
        </row>
        <row r="550">
          <cell r="K550">
            <v>2000</v>
          </cell>
        </row>
        <row r="550">
          <cell r="Q550" t="str">
            <v>中材甘肃水泥有限公司</v>
          </cell>
        </row>
        <row r="551">
          <cell r="A551" t="str">
            <v>237</v>
          </cell>
        </row>
        <row r="551">
          <cell r="C551" t="str">
            <v>2021-10-11</v>
          </cell>
        </row>
        <row r="551">
          <cell r="K551">
            <v>10000</v>
          </cell>
        </row>
        <row r="551">
          <cell r="Q551" t="str">
            <v>吉林亚泰（集团）股份有限公司物资经销分公司</v>
          </cell>
        </row>
        <row r="552">
          <cell r="A552" t="str">
            <v>236</v>
          </cell>
        </row>
        <row r="552">
          <cell r="C552" t="str">
            <v>2021-10-12</v>
          </cell>
        </row>
        <row r="552">
          <cell r="K552">
            <v>7400</v>
          </cell>
        </row>
        <row r="552">
          <cell r="Q552" t="str">
            <v>冀东水泥滦州有限公司</v>
          </cell>
        </row>
        <row r="553">
          <cell r="A553" t="str">
            <v>235</v>
          </cell>
        </row>
        <row r="553">
          <cell r="C553" t="str">
            <v>2021-09-30</v>
          </cell>
        </row>
        <row r="553">
          <cell r="K553">
            <v>3400</v>
          </cell>
        </row>
        <row r="553">
          <cell r="Q553" t="str">
            <v>华沃（枣庄）水泥有限公司</v>
          </cell>
        </row>
        <row r="554">
          <cell r="A554" t="str">
            <v>234</v>
          </cell>
        </row>
        <row r="554">
          <cell r="C554" t="str">
            <v>2021-09-30</v>
          </cell>
        </row>
        <row r="554">
          <cell r="K554">
            <v>100000</v>
          </cell>
        </row>
        <row r="554">
          <cell r="Q554" t="str">
            <v>贵州西南水泥有限公司</v>
          </cell>
        </row>
        <row r="555">
          <cell r="A555" t="str">
            <v>232</v>
          </cell>
        </row>
        <row r="555">
          <cell r="C555" t="str">
            <v>2021-09-18</v>
          </cell>
        </row>
        <row r="555">
          <cell r="K555">
            <v>50000</v>
          </cell>
        </row>
        <row r="555">
          <cell r="Q555" t="str">
            <v>云南西南水泥有限公司</v>
          </cell>
        </row>
        <row r="556">
          <cell r="A556" t="str">
            <v>231</v>
          </cell>
        </row>
        <row r="556">
          <cell r="C556" t="str">
            <v>2021-09-18</v>
          </cell>
        </row>
        <row r="556">
          <cell r="K556">
            <v>50000</v>
          </cell>
        </row>
        <row r="556">
          <cell r="Q556" t="str">
            <v>云南西南水泥有限公司</v>
          </cell>
        </row>
        <row r="557">
          <cell r="A557" t="str">
            <v>230</v>
          </cell>
        </row>
        <row r="557">
          <cell r="C557" t="str">
            <v>2021-09-18</v>
          </cell>
        </row>
        <row r="557">
          <cell r="K557">
            <v>50000</v>
          </cell>
        </row>
        <row r="557">
          <cell r="Q557" t="str">
            <v>云南西南水泥有限公司</v>
          </cell>
        </row>
        <row r="558">
          <cell r="A558" t="str">
            <v>229</v>
          </cell>
        </row>
        <row r="558">
          <cell r="C558" t="str">
            <v>2021-09-17</v>
          </cell>
        </row>
        <row r="558">
          <cell r="K558">
            <v>50000</v>
          </cell>
        </row>
        <row r="558">
          <cell r="Q558" t="str">
            <v>四川西南水泥有限公司（川渝西南）</v>
          </cell>
        </row>
        <row r="559">
          <cell r="A559" t="str">
            <v>228</v>
          </cell>
        </row>
        <row r="559">
          <cell r="C559" t="str">
            <v>2021-09-17</v>
          </cell>
        </row>
        <row r="559">
          <cell r="K559">
            <v>15000</v>
          </cell>
        </row>
        <row r="559">
          <cell r="Q559" t="str">
            <v>北京金隅琉水环保科技有限公司</v>
          </cell>
        </row>
        <row r="560">
          <cell r="A560" t="str">
            <v>227</v>
          </cell>
        </row>
        <row r="560">
          <cell r="C560" t="str">
            <v>2021-09-15</v>
          </cell>
        </row>
        <row r="560">
          <cell r="K560">
            <v>12000</v>
          </cell>
        </row>
        <row r="560">
          <cell r="Q560" t="str">
            <v>河南洛阳黄河同力</v>
          </cell>
        </row>
        <row r="561">
          <cell r="A561" t="str">
            <v>226</v>
          </cell>
        </row>
        <row r="561">
          <cell r="C561" t="str">
            <v>2021-09-01</v>
          </cell>
        </row>
        <row r="561">
          <cell r="K561">
            <v>5000</v>
          </cell>
        </row>
        <row r="561">
          <cell r="Q561" t="str">
            <v>台泥（辽宁）水泥有限公司</v>
          </cell>
        </row>
        <row r="562">
          <cell r="A562" t="str">
            <v>225</v>
          </cell>
        </row>
        <row r="562">
          <cell r="C562" t="str">
            <v>2021-08-25</v>
          </cell>
        </row>
        <row r="562">
          <cell r="K562">
            <v>1000</v>
          </cell>
        </row>
        <row r="562">
          <cell r="Q562" t="str">
            <v>河南洛阳黄河同力</v>
          </cell>
        </row>
        <row r="563">
          <cell r="A563" t="str">
            <v>224</v>
          </cell>
        </row>
        <row r="563">
          <cell r="C563" t="str">
            <v>2021-08-16</v>
          </cell>
        </row>
        <row r="563">
          <cell r="K563">
            <v>5000</v>
          </cell>
        </row>
        <row r="563">
          <cell r="Q563" t="str">
            <v>河北金隅鼎鑫水泥有限公司</v>
          </cell>
        </row>
        <row r="564">
          <cell r="A564" t="str">
            <v>223</v>
          </cell>
        </row>
        <row r="564">
          <cell r="C564" t="str">
            <v>2021-08-11</v>
          </cell>
        </row>
        <row r="564">
          <cell r="K564">
            <v>1000</v>
          </cell>
        </row>
        <row r="564">
          <cell r="Q564" t="str">
            <v>洛阳黄河同力水泥有限责任公司</v>
          </cell>
        </row>
        <row r="565">
          <cell r="A565" t="str">
            <v>222</v>
          </cell>
        </row>
        <row r="565">
          <cell r="C565" t="str">
            <v>2021-08-11</v>
          </cell>
        </row>
        <row r="565">
          <cell r="K565">
            <v>1000</v>
          </cell>
        </row>
        <row r="565">
          <cell r="Q565" t="str">
            <v>洛阳黄河同力水泥有限责任公司</v>
          </cell>
        </row>
        <row r="566">
          <cell r="A566" t="str">
            <v>221</v>
          </cell>
        </row>
        <row r="566">
          <cell r="C566" t="str">
            <v>2021-08-09</v>
          </cell>
        </row>
        <row r="566">
          <cell r="K566">
            <v>1000</v>
          </cell>
        </row>
        <row r="566">
          <cell r="Q566" t="str">
            <v>洛阳黄河同力水泥有限责任公司</v>
          </cell>
        </row>
        <row r="567">
          <cell r="A567" t="str">
            <v>220</v>
          </cell>
        </row>
        <row r="567">
          <cell r="C567" t="str">
            <v>2021-07-23</v>
          </cell>
        </row>
        <row r="567">
          <cell r="K567">
            <v>2000</v>
          </cell>
        </row>
        <row r="567">
          <cell r="Q567" t="str">
            <v>吉林亚泰（集团）股份有限公司物资经销分公司</v>
          </cell>
        </row>
        <row r="568">
          <cell r="A568" t="str">
            <v>219</v>
          </cell>
        </row>
        <row r="568">
          <cell r="C568" t="str">
            <v>2021-07-07</v>
          </cell>
        </row>
        <row r="568">
          <cell r="K568">
            <v>4000</v>
          </cell>
        </row>
        <row r="568">
          <cell r="Q568" t="str">
            <v>内蒙古宜化化工有限公司</v>
          </cell>
        </row>
        <row r="569">
          <cell r="A569" t="str">
            <v>218</v>
          </cell>
        </row>
        <row r="569">
          <cell r="C569" t="str">
            <v>2021-06-28</v>
          </cell>
        </row>
        <row r="569">
          <cell r="K569">
            <v>5000</v>
          </cell>
        </row>
        <row r="569">
          <cell r="Q569" t="str">
            <v>河北金隅鼎鑫水泥有限公司</v>
          </cell>
        </row>
        <row r="570">
          <cell r="A570" t="str">
            <v>217</v>
          </cell>
        </row>
        <row r="570">
          <cell r="C570" t="str">
            <v>2021-06-10</v>
          </cell>
        </row>
        <row r="570">
          <cell r="K570">
            <v>2000</v>
          </cell>
        </row>
        <row r="570">
          <cell r="Q570" t="str">
            <v>鞍山冀东水泥有限责任公司</v>
          </cell>
        </row>
        <row r="571">
          <cell r="A571" t="str">
            <v>216</v>
          </cell>
        </row>
        <row r="571">
          <cell r="C571" t="str">
            <v>2021-05-24</v>
          </cell>
        </row>
        <row r="571">
          <cell r="K571">
            <v>10000</v>
          </cell>
        </row>
        <row r="571">
          <cell r="Q571" t="str">
            <v>江苏永钢集团有限公司</v>
          </cell>
        </row>
        <row r="572">
          <cell r="A572" t="str">
            <v>215</v>
          </cell>
        </row>
        <row r="572">
          <cell r="C572" t="str">
            <v>2021-03-28</v>
          </cell>
        </row>
        <row r="572">
          <cell r="K572">
            <v>7100</v>
          </cell>
        </row>
        <row r="572">
          <cell r="Q572" t="str">
            <v>芜湖新兴铸管有限责任公司</v>
          </cell>
        </row>
        <row r="573">
          <cell r="A573" t="str">
            <v>214</v>
          </cell>
        </row>
        <row r="573">
          <cell r="C573" t="str">
            <v>2021-02-19</v>
          </cell>
        </row>
        <row r="573">
          <cell r="K573">
            <v>1500</v>
          </cell>
        </row>
        <row r="573">
          <cell r="Q573" t="str">
            <v>葛洲坝荆门水泥有限公司</v>
          </cell>
        </row>
        <row r="574">
          <cell r="A574" t="str">
            <v>213</v>
          </cell>
        </row>
        <row r="574">
          <cell r="C574" t="str">
            <v>2021-02-01</v>
          </cell>
        </row>
        <row r="574">
          <cell r="K574">
            <v>40000</v>
          </cell>
        </row>
        <row r="574">
          <cell r="Q574" t="str">
            <v>安徽华塑股份有限公司</v>
          </cell>
        </row>
        <row r="575">
          <cell r="A575" t="str">
            <v>212</v>
          </cell>
        </row>
        <row r="575">
          <cell r="C575" t="str">
            <v>2021-01-20</v>
          </cell>
        </row>
        <row r="575">
          <cell r="K575">
            <v>5000</v>
          </cell>
        </row>
        <row r="575">
          <cell r="Q575" t="str">
            <v>内蒙古鄂尔多斯电力冶金集团股份有限公司</v>
          </cell>
        </row>
        <row r="576">
          <cell r="A576" t="str">
            <v>211</v>
          </cell>
        </row>
        <row r="576">
          <cell r="C576" t="str">
            <v>2021-01-06</v>
          </cell>
        </row>
        <row r="576">
          <cell r="K576">
            <v>36000</v>
          </cell>
        </row>
        <row r="576">
          <cell r="Q576" t="str">
            <v>九江萍钢钢铁有限公司</v>
          </cell>
        </row>
        <row r="577">
          <cell r="A577" t="str">
            <v>210</v>
          </cell>
        </row>
        <row r="577">
          <cell r="C577" t="str">
            <v>2020-12-30</v>
          </cell>
        </row>
        <row r="577">
          <cell r="K577">
            <v>3000</v>
          </cell>
        </row>
        <row r="577">
          <cell r="Q577" t="str">
            <v>昌黎冀东水泥有限公司</v>
          </cell>
        </row>
        <row r="578">
          <cell r="A578" t="str">
            <v>209</v>
          </cell>
        </row>
        <row r="578">
          <cell r="C578" t="str">
            <v>2020-12-23</v>
          </cell>
        </row>
        <row r="578">
          <cell r="K578">
            <v>3000</v>
          </cell>
        </row>
        <row r="578">
          <cell r="Q578" t="str">
            <v>吐鲁番天山水泥有限责任公司</v>
          </cell>
        </row>
        <row r="579">
          <cell r="A579" t="str">
            <v>208</v>
          </cell>
        </row>
        <row r="579">
          <cell r="C579" t="str">
            <v>2020-12-21</v>
          </cell>
        </row>
        <row r="579">
          <cell r="K579">
            <v>10000</v>
          </cell>
        </row>
        <row r="579">
          <cell r="Q579" t="str">
            <v>金隅冀东水泥（唐山）有限责任公司唐山分公司</v>
          </cell>
        </row>
        <row r="580">
          <cell r="A580" t="str">
            <v>207</v>
          </cell>
        </row>
        <row r="580">
          <cell r="C580" t="str">
            <v>2020-12-21</v>
          </cell>
        </row>
        <row r="580">
          <cell r="K580">
            <v>5000</v>
          </cell>
        </row>
        <row r="580">
          <cell r="Q580" t="str">
            <v>鞍山冀东水泥有限责任公司</v>
          </cell>
        </row>
        <row r="581">
          <cell r="A581" t="str">
            <v>206</v>
          </cell>
        </row>
        <row r="581">
          <cell r="C581" t="str">
            <v>2020-12-16</v>
          </cell>
        </row>
        <row r="581">
          <cell r="K581">
            <v>10000</v>
          </cell>
        </row>
        <row r="581">
          <cell r="Q581" t="str">
            <v>甘肃祁连山水泥集团股份有限公司</v>
          </cell>
        </row>
        <row r="582">
          <cell r="A582" t="str">
            <v>205</v>
          </cell>
        </row>
        <row r="582">
          <cell r="C582" t="str">
            <v>2020-11-06</v>
          </cell>
        </row>
        <row r="582">
          <cell r="K582">
            <v>20000</v>
          </cell>
        </row>
        <row r="582">
          <cell r="Q582" t="str">
            <v>江西南方水泥有限公司</v>
          </cell>
        </row>
        <row r="583">
          <cell r="A583" t="str">
            <v>204</v>
          </cell>
        </row>
        <row r="583">
          <cell r="C583" t="str">
            <v>2020-10-28</v>
          </cell>
        </row>
        <row r="583">
          <cell r="K583">
            <v>2000</v>
          </cell>
        </row>
        <row r="583">
          <cell r="Q583" t="str">
            <v>鞍山冀东水泥有限责任公司</v>
          </cell>
        </row>
        <row r="584">
          <cell r="A584" t="str">
            <v>203</v>
          </cell>
        </row>
        <row r="584">
          <cell r="C584" t="str">
            <v>2020-10-26</v>
          </cell>
        </row>
        <row r="584">
          <cell r="K584">
            <v>20000</v>
          </cell>
        </row>
        <row r="584">
          <cell r="Q584" t="str">
            <v>福建福海创石油化工有限公司</v>
          </cell>
        </row>
        <row r="585">
          <cell r="A585" t="str">
            <v>202</v>
          </cell>
        </row>
        <row r="585">
          <cell r="C585" t="str">
            <v>2020-10-19</v>
          </cell>
        </row>
        <row r="585">
          <cell r="K585">
            <v>20000</v>
          </cell>
        </row>
        <row r="585">
          <cell r="Q585" t="str">
            <v>双鸭山新时代水泥有限公司</v>
          </cell>
        </row>
        <row r="586">
          <cell r="A586" t="str">
            <v>201</v>
          </cell>
        </row>
        <row r="586">
          <cell r="C586" t="str">
            <v>2020-10-09</v>
          </cell>
        </row>
        <row r="586">
          <cell r="K586">
            <v>3000</v>
          </cell>
        </row>
        <row r="586">
          <cell r="Q586" t="str">
            <v>驻马店市豫龙同力水泥有限公司</v>
          </cell>
        </row>
        <row r="587">
          <cell r="A587" t="str">
            <v>200</v>
          </cell>
        </row>
        <row r="587">
          <cell r="C587" t="str">
            <v>2020-09-18</v>
          </cell>
        </row>
        <row r="587">
          <cell r="K587">
            <v>100000</v>
          </cell>
        </row>
        <row r="587">
          <cell r="Q587" t="str">
            <v>宁夏建材集团股份有限公司</v>
          </cell>
        </row>
        <row r="588">
          <cell r="A588" t="str">
            <v>199</v>
          </cell>
        </row>
        <row r="588">
          <cell r="C588" t="str">
            <v>2020-09-11</v>
          </cell>
        </row>
        <row r="588">
          <cell r="K588">
            <v>2000</v>
          </cell>
        </row>
        <row r="588">
          <cell r="Q588" t="str">
            <v>昌黎冀东水泥有限公司</v>
          </cell>
        </row>
        <row r="589">
          <cell r="A589" t="str">
            <v>198</v>
          </cell>
        </row>
        <row r="589">
          <cell r="C589" t="str">
            <v>2020-09-04</v>
          </cell>
        </row>
        <row r="589">
          <cell r="K589">
            <v>50000</v>
          </cell>
        </row>
        <row r="589">
          <cell r="Q589" t="str">
            <v>云南西南水泥有限公司</v>
          </cell>
        </row>
        <row r="590">
          <cell r="A590" t="str">
            <v>197</v>
          </cell>
        </row>
        <row r="590">
          <cell r="C590" t="str">
            <v>2020-06-29</v>
          </cell>
        </row>
        <row r="590">
          <cell r="K590">
            <v>50000</v>
          </cell>
        </row>
        <row r="590">
          <cell r="Q590" t="str">
            <v>四川西南水泥有限公司（川渝西南）</v>
          </cell>
        </row>
        <row r="591">
          <cell r="A591" t="str">
            <v>196</v>
          </cell>
        </row>
        <row r="591">
          <cell r="C591" t="str">
            <v>2020-04-15</v>
          </cell>
        </row>
        <row r="591">
          <cell r="K591">
            <v>10000</v>
          </cell>
        </row>
        <row r="591">
          <cell r="Q591" t="str">
            <v>河北新金轧材有限公司</v>
          </cell>
        </row>
        <row r="592">
          <cell r="A592" t="str">
            <v>195</v>
          </cell>
        </row>
        <row r="592">
          <cell r="C592" t="str">
            <v>2020-01-10</v>
          </cell>
        </row>
        <row r="592">
          <cell r="K592">
            <v>10000</v>
          </cell>
        </row>
        <row r="592">
          <cell r="Q592" t="str">
            <v>鄂尔多斯市君正能源化工有限公司水泥分公司</v>
          </cell>
        </row>
        <row r="593">
          <cell r="A593" t="str">
            <v>194</v>
          </cell>
        </row>
        <row r="593">
          <cell r="C593" t="str">
            <v>2019-04-15</v>
          </cell>
        </row>
        <row r="593">
          <cell r="K593">
            <v>10000</v>
          </cell>
        </row>
        <row r="593">
          <cell r="Q593" t="str">
            <v>四川西南水泥有限公司</v>
          </cell>
        </row>
        <row r="594">
          <cell r="A594" t="str">
            <v>193</v>
          </cell>
        </row>
        <row r="594">
          <cell r="C594" t="str">
            <v>2019-12-05</v>
          </cell>
        </row>
        <row r="594">
          <cell r="K594">
            <v>10000</v>
          </cell>
        </row>
        <row r="594">
          <cell r="Q594" t="str">
            <v>江苏永钢集团有限公司</v>
          </cell>
        </row>
        <row r="595">
          <cell r="A595" t="str">
            <v>192</v>
          </cell>
        </row>
        <row r="595">
          <cell r="C595" t="str">
            <v>2020-11-30</v>
          </cell>
        </row>
        <row r="595">
          <cell r="K595">
            <v>50000</v>
          </cell>
        </row>
        <row r="595">
          <cell r="Q595" t="str">
            <v>贵州西南水泥有限公司</v>
          </cell>
        </row>
        <row r="596">
          <cell r="A596" t="str">
            <v>191</v>
          </cell>
        </row>
        <row r="596">
          <cell r="C596" t="str">
            <v>2019-11-05</v>
          </cell>
        </row>
        <row r="596">
          <cell r="K596">
            <v>50000</v>
          </cell>
        </row>
        <row r="596">
          <cell r="Q596" t="str">
            <v>贵州西南水泥有限公司</v>
          </cell>
        </row>
        <row r="597">
          <cell r="A597" t="str">
            <v>190</v>
          </cell>
        </row>
        <row r="597">
          <cell r="C597" t="str">
            <v>2019-01-10</v>
          </cell>
        </row>
        <row r="597">
          <cell r="K597">
            <v>50000</v>
          </cell>
        </row>
        <row r="597">
          <cell r="Q597" t="str">
            <v>江苏沙钢集团有限公司</v>
          </cell>
        </row>
        <row r="598">
          <cell r="A598" t="str">
            <v>189</v>
          </cell>
        </row>
        <row r="598">
          <cell r="C598" t="str">
            <v>2016-01-31</v>
          </cell>
        </row>
        <row r="598">
          <cell r="K598">
            <v>10000</v>
          </cell>
        </row>
        <row r="598">
          <cell r="Q598" t="str">
            <v>江苏沙钢集团有限公司</v>
          </cell>
        </row>
        <row r="599">
          <cell r="A599" t="str">
            <v>188</v>
          </cell>
        </row>
        <row r="599">
          <cell r="C599" t="str">
            <v/>
          </cell>
        </row>
        <row r="599">
          <cell r="K599">
            <v>300</v>
          </cell>
        </row>
        <row r="599">
          <cell r="Q599" t="str">
            <v>酒泉钢铁（集团）有限公司</v>
          </cell>
        </row>
        <row r="600">
          <cell r="A600" t="str">
            <v>187</v>
          </cell>
        </row>
        <row r="600">
          <cell r="C600" t="str">
            <v/>
          </cell>
        </row>
        <row r="600">
          <cell r="K600">
            <v>20000</v>
          </cell>
        </row>
        <row r="600">
          <cell r="Q600" t="str">
            <v>江苏永钢集团物资贸易有限公司</v>
          </cell>
        </row>
        <row r="601">
          <cell r="A601" t="str">
            <v>186</v>
          </cell>
        </row>
        <row r="601">
          <cell r="C601" t="str">
            <v/>
          </cell>
        </row>
        <row r="601">
          <cell r="K601">
            <v>3800</v>
          </cell>
        </row>
        <row r="601">
          <cell r="Q601" t="str">
            <v>吉林亚泰（集团）股份有限公司物资经销分公司</v>
          </cell>
        </row>
        <row r="602">
          <cell r="A602" t="str">
            <v>185</v>
          </cell>
        </row>
        <row r="602">
          <cell r="C602" t="str">
            <v>2016-01-21</v>
          </cell>
        </row>
        <row r="602">
          <cell r="K602">
            <v>20000</v>
          </cell>
        </row>
        <row r="602">
          <cell r="Q602" t="str">
            <v>亚泰伊通</v>
          </cell>
        </row>
        <row r="603">
          <cell r="A603" t="str">
            <v>184</v>
          </cell>
        </row>
        <row r="603">
          <cell r="C603" t="str">
            <v/>
          </cell>
        </row>
        <row r="603">
          <cell r="K603">
            <v>3000</v>
          </cell>
        </row>
        <row r="603">
          <cell r="Q603" t="str">
            <v>淮北众城水泥有限责任公司</v>
          </cell>
        </row>
        <row r="604">
          <cell r="A604" t="str">
            <v>183</v>
          </cell>
        </row>
        <row r="604">
          <cell r="C604" t="str">
            <v/>
          </cell>
        </row>
        <row r="604">
          <cell r="K604">
            <v>50000</v>
          </cell>
        </row>
        <row r="604">
          <cell r="Q604" t="str">
            <v>云南西南水泥有限公司</v>
          </cell>
        </row>
        <row r="605">
          <cell r="A605" t="str">
            <v>182</v>
          </cell>
        </row>
        <row r="605">
          <cell r="C605" t="str">
            <v/>
          </cell>
        </row>
        <row r="605">
          <cell r="K605">
            <v>1000</v>
          </cell>
        </row>
        <row r="605">
          <cell r="Q605" t="str">
            <v>三门峡腾跃同力水泥有限公司</v>
          </cell>
        </row>
        <row r="606">
          <cell r="A606" t="str">
            <v>181</v>
          </cell>
        </row>
        <row r="606">
          <cell r="C606" t="str">
            <v>2022-06-21</v>
          </cell>
        </row>
        <row r="606">
          <cell r="K606">
            <v>50000</v>
          </cell>
        </row>
        <row r="606">
          <cell r="Q606" t="str">
            <v>青海发投碱业有限公司</v>
          </cell>
        </row>
        <row r="607">
          <cell r="A607" t="str">
            <v>180</v>
          </cell>
        </row>
        <row r="607">
          <cell r="C607" t="str">
            <v>2022-06-08</v>
          </cell>
        </row>
        <row r="607">
          <cell r="K607">
            <v>4300</v>
          </cell>
        </row>
        <row r="607">
          <cell r="Q607" t="str">
            <v>广安昌兴水泥有限公司</v>
          </cell>
        </row>
        <row r="608">
          <cell r="A608" t="str">
            <v>179</v>
          </cell>
        </row>
        <row r="608">
          <cell r="C608" t="str">
            <v>2022-06-06</v>
          </cell>
        </row>
        <row r="608">
          <cell r="K608">
            <v>10000</v>
          </cell>
        </row>
        <row r="608">
          <cell r="Q608" t="str">
            <v>南京中联水泥有限公司</v>
          </cell>
        </row>
        <row r="609">
          <cell r="A609" t="str">
            <v>178</v>
          </cell>
        </row>
        <row r="609">
          <cell r="C609" t="str">
            <v>2022-06-06</v>
          </cell>
        </row>
        <row r="609">
          <cell r="K609">
            <v>2000</v>
          </cell>
        </row>
        <row r="609">
          <cell r="Q609" t="str">
            <v>阳泉冀东水泥有限责任公司</v>
          </cell>
        </row>
        <row r="610">
          <cell r="A610" t="str">
            <v>177</v>
          </cell>
        </row>
        <row r="610">
          <cell r="C610" t="str">
            <v>2022-06-01</v>
          </cell>
        </row>
        <row r="610">
          <cell r="K610">
            <v>3600</v>
          </cell>
        </row>
        <row r="610">
          <cell r="Q610" t="str">
            <v>富民金锐水泥建材有限责任公司</v>
          </cell>
        </row>
        <row r="611">
          <cell r="A611" t="str">
            <v>176</v>
          </cell>
        </row>
        <row r="611">
          <cell r="C611" t="str">
            <v>2022-05-31</v>
          </cell>
        </row>
        <row r="611">
          <cell r="K611">
            <v>22000</v>
          </cell>
        </row>
        <row r="611">
          <cell r="Q611" t="str">
            <v>青海发投碱业有限公司</v>
          </cell>
        </row>
        <row r="612">
          <cell r="A612" t="str">
            <v>175</v>
          </cell>
        </row>
        <row r="612">
          <cell r="C612" t="str">
            <v>2022-05-31</v>
          </cell>
        </row>
        <row r="612">
          <cell r="K612">
            <v>12500</v>
          </cell>
        </row>
        <row r="612">
          <cell r="Q612" t="str">
            <v>青海发投碱业有限公司</v>
          </cell>
        </row>
        <row r="613">
          <cell r="A613" t="str">
            <v>174</v>
          </cell>
        </row>
        <row r="613">
          <cell r="C613" t="str">
            <v>2022-05-31</v>
          </cell>
        </row>
        <row r="613">
          <cell r="K613">
            <v>15500</v>
          </cell>
        </row>
        <row r="613">
          <cell r="Q613" t="str">
            <v>青海发投碱业有限公司</v>
          </cell>
        </row>
        <row r="614">
          <cell r="A614" t="str">
            <v>173</v>
          </cell>
        </row>
        <row r="614">
          <cell r="C614" t="str">
            <v>2022-05-27</v>
          </cell>
        </row>
        <row r="614">
          <cell r="K614">
            <v>3000</v>
          </cell>
        </row>
        <row r="614">
          <cell r="Q614" t="str">
            <v>亚泰集团哈尔滨水泥有限公司</v>
          </cell>
        </row>
        <row r="615">
          <cell r="A615" t="str">
            <v>172</v>
          </cell>
        </row>
        <row r="615">
          <cell r="C615" t="str">
            <v>2022-05-25</v>
          </cell>
        </row>
        <row r="615">
          <cell r="K615">
            <v>20000</v>
          </cell>
        </row>
        <row r="615">
          <cell r="Q615" t="str">
            <v>广西北港新材料有限公司</v>
          </cell>
        </row>
        <row r="616">
          <cell r="A616" t="str">
            <v>171</v>
          </cell>
        </row>
        <row r="616">
          <cell r="C616" t="str">
            <v>2022-04-20</v>
          </cell>
        </row>
        <row r="616">
          <cell r="K616">
            <v>600</v>
          </cell>
        </row>
        <row r="616">
          <cell r="Q616" t="str">
            <v>重庆铜梁西南水泥有限公司</v>
          </cell>
        </row>
        <row r="617">
          <cell r="A617" t="str">
            <v>170</v>
          </cell>
        </row>
        <row r="617">
          <cell r="C617" t="str">
            <v>2022-03-28</v>
          </cell>
        </row>
        <row r="617">
          <cell r="K617">
            <v>2000</v>
          </cell>
        </row>
        <row r="617">
          <cell r="Q617" t="str">
            <v>贵州梵净山金顶水泥有限公司</v>
          </cell>
        </row>
        <row r="618">
          <cell r="A618" t="str">
            <v>169</v>
          </cell>
        </row>
        <row r="618">
          <cell r="C618" t="str">
            <v>2022-03-28</v>
          </cell>
        </row>
        <row r="618">
          <cell r="K618">
            <v>2000</v>
          </cell>
        </row>
        <row r="618">
          <cell r="Q618" t="str">
            <v>重庆铜梁西南水泥有限公司</v>
          </cell>
        </row>
        <row r="619">
          <cell r="A619" t="str">
            <v>168</v>
          </cell>
        </row>
        <row r="619">
          <cell r="C619" t="str">
            <v>2022-03-28</v>
          </cell>
        </row>
        <row r="619">
          <cell r="K619">
            <v>2000</v>
          </cell>
        </row>
        <row r="619">
          <cell r="Q619" t="str">
            <v>平泉冀东水泥有限责任公司</v>
          </cell>
        </row>
        <row r="620">
          <cell r="A620" t="str">
            <v>167</v>
          </cell>
        </row>
        <row r="620">
          <cell r="C620" t="str">
            <v>2022-03-24</v>
          </cell>
        </row>
        <row r="620">
          <cell r="K620">
            <v>1000</v>
          </cell>
        </row>
        <row r="620">
          <cell r="Q620" t="str">
            <v>冀东水泥（烟台）有限责任公司</v>
          </cell>
        </row>
        <row r="621">
          <cell r="A621" t="str">
            <v>166</v>
          </cell>
        </row>
        <row r="621">
          <cell r="C621" t="str">
            <v>2022-03-23</v>
          </cell>
        </row>
        <row r="621">
          <cell r="K621">
            <v>3000</v>
          </cell>
        </row>
        <row r="621">
          <cell r="Q621" t="str">
            <v>冀东水泥（烟台）有限责任公司</v>
          </cell>
        </row>
        <row r="622">
          <cell r="A622" t="str">
            <v>165</v>
          </cell>
        </row>
        <row r="622">
          <cell r="C622" t="str">
            <v>2022-03-15</v>
          </cell>
        </row>
        <row r="622">
          <cell r="K622">
            <v>5000</v>
          </cell>
        </row>
        <row r="622">
          <cell r="Q622" t="str">
            <v>青州中联水泥有限公司</v>
          </cell>
        </row>
        <row r="623">
          <cell r="A623" t="str">
            <v>164</v>
          </cell>
        </row>
        <row r="623">
          <cell r="C623" t="str">
            <v>2022-03-16</v>
          </cell>
        </row>
        <row r="623">
          <cell r="K623">
            <v>9000</v>
          </cell>
        </row>
        <row r="623">
          <cell r="Q623" t="str">
            <v>山东鲁泰环保建材有限公司</v>
          </cell>
        </row>
        <row r="624">
          <cell r="A624" t="str">
            <v>163</v>
          </cell>
        </row>
        <row r="624">
          <cell r="C624" t="str">
            <v>2022-03-10</v>
          </cell>
        </row>
        <row r="624">
          <cell r="K624">
            <v>2000</v>
          </cell>
        </row>
        <row r="624">
          <cell r="Q624" t="str">
            <v>新洋丰农业科技股份有限公司</v>
          </cell>
        </row>
        <row r="625">
          <cell r="A625" t="str">
            <v>162</v>
          </cell>
        </row>
        <row r="625">
          <cell r="C625" t="str">
            <v>2022-03-03</v>
          </cell>
        </row>
        <row r="625">
          <cell r="K625">
            <v>3000</v>
          </cell>
        </row>
        <row r="625">
          <cell r="Q625" t="str">
            <v>重庆长寿西南水泥有限公司</v>
          </cell>
        </row>
        <row r="626">
          <cell r="A626" t="str">
            <v>161</v>
          </cell>
        </row>
        <row r="626">
          <cell r="C626" t="str">
            <v>2022-03-02</v>
          </cell>
        </row>
        <row r="626">
          <cell r="K626">
            <v>3000</v>
          </cell>
        </row>
        <row r="626">
          <cell r="Q626" t="str">
            <v>河南晋开化工投资控股集团有限责任公司</v>
          </cell>
        </row>
        <row r="627">
          <cell r="A627" t="str">
            <v>160</v>
          </cell>
        </row>
        <row r="627">
          <cell r="C627" t="str">
            <v>2022-02-28</v>
          </cell>
        </row>
        <row r="627">
          <cell r="K627">
            <v>2000</v>
          </cell>
        </row>
        <row r="627">
          <cell r="Q627" t="str">
            <v>会东利森水泥有限公司</v>
          </cell>
        </row>
        <row r="628">
          <cell r="A628" t="str">
            <v>159</v>
          </cell>
        </row>
        <row r="628">
          <cell r="C628" t="str">
            <v>2022-02-25</v>
          </cell>
        </row>
        <row r="628">
          <cell r="K628">
            <v>500000</v>
          </cell>
        </row>
        <row r="628">
          <cell r="Q628" t="str">
            <v>新兴铸管股份有限公司</v>
          </cell>
        </row>
        <row r="629">
          <cell r="A629" t="str">
            <v>158</v>
          </cell>
        </row>
        <row r="629">
          <cell r="C629" t="str">
            <v>2022-02-25</v>
          </cell>
        </row>
        <row r="629">
          <cell r="K629">
            <v>10000</v>
          </cell>
        </row>
        <row r="629">
          <cell r="Q629" t="str">
            <v>云南远东水泥有限公司</v>
          </cell>
        </row>
        <row r="630">
          <cell r="A630" t="str">
            <v>157</v>
          </cell>
        </row>
        <row r="630">
          <cell r="C630" t="str">
            <v>2022-02-17</v>
          </cell>
        </row>
        <row r="630">
          <cell r="K630">
            <v>5000</v>
          </cell>
        </row>
        <row r="630">
          <cell r="Q630" t="str">
            <v>曲阜中联水泥有限公司</v>
          </cell>
        </row>
        <row r="631">
          <cell r="A631" t="str">
            <v>156</v>
          </cell>
        </row>
        <row r="631">
          <cell r="C631" t="str">
            <v>2022-02-16</v>
          </cell>
        </row>
        <row r="631">
          <cell r="K631">
            <v>5000</v>
          </cell>
        </row>
        <row r="631">
          <cell r="Q631" t="str">
            <v>山东泰山钢铁集团有限公司</v>
          </cell>
        </row>
        <row r="632">
          <cell r="A632" t="str">
            <v>155</v>
          </cell>
        </row>
        <row r="632">
          <cell r="C632" t="str">
            <v>2022-02-17</v>
          </cell>
        </row>
        <row r="632">
          <cell r="K632">
            <v>5000</v>
          </cell>
        </row>
        <row r="632">
          <cell r="Q632" t="str">
            <v>山东泰山钢铁集团有限公司</v>
          </cell>
        </row>
        <row r="633">
          <cell r="A633" t="str">
            <v>154</v>
          </cell>
        </row>
        <row r="633">
          <cell r="C633" t="str">
            <v>2022-02-15</v>
          </cell>
        </row>
        <row r="633">
          <cell r="K633">
            <v>6000</v>
          </cell>
        </row>
        <row r="633">
          <cell r="Q633" t="str">
            <v>云南普洱西南水泥有限公司</v>
          </cell>
        </row>
        <row r="634">
          <cell r="A634" t="str">
            <v>153</v>
          </cell>
        </row>
        <row r="634">
          <cell r="C634" t="str">
            <v>2022-02-15</v>
          </cell>
        </row>
        <row r="634">
          <cell r="K634">
            <v>5000</v>
          </cell>
        </row>
        <row r="634">
          <cell r="Q634" t="str">
            <v>湖南骏泰新材料有限责任公司</v>
          </cell>
        </row>
        <row r="635">
          <cell r="A635" t="str">
            <v>152</v>
          </cell>
        </row>
        <row r="635">
          <cell r="C635" t="str">
            <v>2022-02-14</v>
          </cell>
        </row>
        <row r="635">
          <cell r="K635">
            <v>5000</v>
          </cell>
        </row>
        <row r="635">
          <cell r="Q635" t="str">
            <v>山东泰山钢铁集团有限公司</v>
          </cell>
        </row>
        <row r="636">
          <cell r="A636" t="str">
            <v>151</v>
          </cell>
        </row>
        <row r="636">
          <cell r="C636" t="str">
            <v>2022-01-29</v>
          </cell>
        </row>
        <row r="636">
          <cell r="K636">
            <v>8814</v>
          </cell>
        </row>
        <row r="636">
          <cell r="Q636" t="str">
            <v>云南远东亚鑫水泥有限责任公司</v>
          </cell>
        </row>
        <row r="637">
          <cell r="A637" t="str">
            <v>150</v>
          </cell>
        </row>
        <row r="637">
          <cell r="C637" t="str">
            <v>2022-01-17</v>
          </cell>
        </row>
        <row r="637">
          <cell r="K637">
            <v>1000</v>
          </cell>
        </row>
        <row r="637">
          <cell r="Q637" t="str">
            <v>湖南有色郴州氟化学有限公司</v>
          </cell>
        </row>
        <row r="638">
          <cell r="A638" t="str">
            <v>149</v>
          </cell>
        </row>
        <row r="638">
          <cell r="C638" t="str">
            <v>2022-01-17</v>
          </cell>
        </row>
        <row r="638">
          <cell r="K638">
            <v>5000</v>
          </cell>
        </row>
        <row r="638">
          <cell r="Q638" t="str">
            <v>喀什天山水泥有限责任公司</v>
          </cell>
        </row>
        <row r="639">
          <cell r="A639" t="str">
            <v>148</v>
          </cell>
        </row>
        <row r="639">
          <cell r="C639" t="str">
            <v>2022-01-14</v>
          </cell>
        </row>
        <row r="639">
          <cell r="K639">
            <v>3150</v>
          </cell>
        </row>
        <row r="639">
          <cell r="Q639" t="str">
            <v>台泥（安顺）水泥有限公司</v>
          </cell>
        </row>
        <row r="640">
          <cell r="A640" t="str">
            <v>147</v>
          </cell>
        </row>
        <row r="640">
          <cell r="C640" t="str">
            <v>2022-01-12</v>
          </cell>
        </row>
        <row r="640">
          <cell r="K640">
            <v>7500</v>
          </cell>
        </row>
        <row r="640">
          <cell r="Q640" t="str">
            <v>承德金隅水泥有限责任公司</v>
          </cell>
        </row>
        <row r="641">
          <cell r="A641" t="str">
            <v>146</v>
          </cell>
        </row>
        <row r="641">
          <cell r="C641" t="str">
            <v>2022-01-04</v>
          </cell>
        </row>
        <row r="641">
          <cell r="K641">
            <v>10000</v>
          </cell>
        </row>
        <row r="641">
          <cell r="Q641" t="str">
            <v>阿克苏天山多浪水泥有限责任公司</v>
          </cell>
        </row>
        <row r="642">
          <cell r="A642" t="str">
            <v>145</v>
          </cell>
        </row>
        <row r="642">
          <cell r="C642" t="str">
            <v>2021-12-28</v>
          </cell>
        </row>
        <row r="642">
          <cell r="K642">
            <v>10000</v>
          </cell>
        </row>
        <row r="642">
          <cell r="Q642" t="str">
            <v>汉中尧柏水泥有限公司</v>
          </cell>
        </row>
        <row r="643">
          <cell r="A643" t="str">
            <v>144</v>
          </cell>
        </row>
        <row r="643">
          <cell r="C643" t="str">
            <v>2021-12-18</v>
          </cell>
        </row>
        <row r="643">
          <cell r="K643">
            <v>5000</v>
          </cell>
        </row>
        <row r="643">
          <cell r="Q643" t="str">
            <v>涞水金隅冀东环保科技有限公司</v>
          </cell>
        </row>
        <row r="644">
          <cell r="A644" t="str">
            <v>143</v>
          </cell>
        </row>
        <row r="644">
          <cell r="C644" t="str">
            <v>2021-12-18</v>
          </cell>
        </row>
        <row r="644">
          <cell r="K644">
            <v>5000</v>
          </cell>
        </row>
        <row r="644">
          <cell r="Q644" t="str">
            <v>叶城天山水泥有限公司</v>
          </cell>
        </row>
        <row r="645">
          <cell r="A645" t="str">
            <v>142</v>
          </cell>
        </row>
        <row r="645">
          <cell r="C645" t="str">
            <v>2021-12-23</v>
          </cell>
        </row>
        <row r="645">
          <cell r="K645">
            <v>3000</v>
          </cell>
        </row>
        <row r="645">
          <cell r="Q645" t="str">
            <v>冀东海德堡（扶风）水泥有限公司</v>
          </cell>
        </row>
        <row r="646">
          <cell r="A646" t="str">
            <v>141</v>
          </cell>
        </row>
        <row r="646">
          <cell r="C646" t="str">
            <v>2021-12-16</v>
          </cell>
        </row>
        <row r="646">
          <cell r="K646">
            <v>2000</v>
          </cell>
        </row>
        <row r="646">
          <cell r="Q646" t="str">
            <v>涿鹿金隅水泥有限公司</v>
          </cell>
        </row>
        <row r="647">
          <cell r="A647" t="str">
            <v>140</v>
          </cell>
        </row>
        <row r="647">
          <cell r="C647" t="str">
            <v>2021-12-02</v>
          </cell>
        </row>
        <row r="647">
          <cell r="K647">
            <v>2000</v>
          </cell>
        </row>
        <row r="647">
          <cell r="Q647" t="str">
            <v>阳泉冀东水泥有限责任公司</v>
          </cell>
        </row>
        <row r="648">
          <cell r="A648" t="str">
            <v>139</v>
          </cell>
        </row>
        <row r="648">
          <cell r="C648" t="str">
            <v>2021-11-26</v>
          </cell>
        </row>
        <row r="648">
          <cell r="K648">
            <v>20000</v>
          </cell>
        </row>
        <row r="648">
          <cell r="Q648" t="str">
            <v>新疆伊犁钢铁有限责任公司</v>
          </cell>
        </row>
        <row r="649">
          <cell r="A649" t="str">
            <v>138</v>
          </cell>
        </row>
        <row r="649">
          <cell r="C649" t="str">
            <v>2021-11-17</v>
          </cell>
        </row>
        <row r="649">
          <cell r="K649">
            <v>10000</v>
          </cell>
        </row>
        <row r="649">
          <cell r="Q649" t="str">
            <v>河北金隅鼎鑫水泥有限公司</v>
          </cell>
        </row>
        <row r="650">
          <cell r="A650" t="str">
            <v>137</v>
          </cell>
        </row>
        <row r="650">
          <cell r="C650" t="str">
            <v>2021-11-15</v>
          </cell>
        </row>
        <row r="650">
          <cell r="K650">
            <v>2000</v>
          </cell>
        </row>
        <row r="650">
          <cell r="Q650" t="str">
            <v>新洋丰农业科技股份有限公司</v>
          </cell>
        </row>
        <row r="651">
          <cell r="A651" t="str">
            <v>136</v>
          </cell>
        </row>
        <row r="651">
          <cell r="C651" t="str">
            <v>2021-11-14</v>
          </cell>
        </row>
        <row r="651">
          <cell r="K651">
            <v>12500</v>
          </cell>
        </row>
        <row r="651">
          <cell r="Q651" t="str">
            <v>山东鲁泰环保建材有限公司</v>
          </cell>
        </row>
        <row r="652">
          <cell r="A652" t="str">
            <v>135</v>
          </cell>
        </row>
        <row r="652">
          <cell r="C652" t="str">
            <v>2021-11-14</v>
          </cell>
        </row>
        <row r="652">
          <cell r="K652">
            <v>9750</v>
          </cell>
        </row>
        <row r="652">
          <cell r="Q652" t="str">
            <v>山东鲁泰环保建材有限公司</v>
          </cell>
        </row>
        <row r="653">
          <cell r="A653" t="str">
            <v>134</v>
          </cell>
        </row>
        <row r="653">
          <cell r="C653" t="str">
            <v>2021-11-12</v>
          </cell>
        </row>
        <row r="653">
          <cell r="K653">
            <v>2500</v>
          </cell>
        </row>
        <row r="653">
          <cell r="Q653" t="str">
            <v>重庆铜梁西南水泥有限公司</v>
          </cell>
        </row>
        <row r="654">
          <cell r="A654" t="str">
            <v>133</v>
          </cell>
        </row>
        <row r="654">
          <cell r="C654" t="str">
            <v>2021-11-10</v>
          </cell>
        </row>
        <row r="654">
          <cell r="K654">
            <v>2000</v>
          </cell>
        </row>
        <row r="654">
          <cell r="Q654" t="str">
            <v>叶城天山水泥有限公司</v>
          </cell>
        </row>
        <row r="655">
          <cell r="A655" t="str">
            <v>132</v>
          </cell>
        </row>
        <row r="655">
          <cell r="C655" t="str">
            <v>2021-11-08</v>
          </cell>
        </row>
        <row r="655">
          <cell r="K655">
            <v>9500</v>
          </cell>
        </row>
        <row r="655">
          <cell r="Q655" t="str">
            <v>罗江利森水泥有限公司</v>
          </cell>
        </row>
        <row r="656">
          <cell r="A656" t="str">
            <v>131</v>
          </cell>
        </row>
        <row r="656">
          <cell r="C656" t="str">
            <v>2021-10-18</v>
          </cell>
        </row>
        <row r="656">
          <cell r="K656">
            <v>2000</v>
          </cell>
        </row>
        <row r="656">
          <cell r="Q656" t="str">
            <v>亚泰集团哈尔滨水泥（阿城）有限公司</v>
          </cell>
        </row>
        <row r="657">
          <cell r="A657" t="str">
            <v>130</v>
          </cell>
        </row>
        <row r="657">
          <cell r="C657" t="str">
            <v>2021-09-28</v>
          </cell>
        </row>
        <row r="657">
          <cell r="K657">
            <v>3000</v>
          </cell>
        </row>
        <row r="657">
          <cell r="Q657" t="str">
            <v>邯郸涉县金隅水泥有限公司</v>
          </cell>
        </row>
        <row r="658">
          <cell r="A658" t="str">
            <v>129</v>
          </cell>
        </row>
        <row r="658">
          <cell r="C658" t="str">
            <v>2021-09-10</v>
          </cell>
        </row>
        <row r="658">
          <cell r="K658">
            <v>2000</v>
          </cell>
        </row>
        <row r="658">
          <cell r="Q658" t="str">
            <v>会东利森水泥有限公司</v>
          </cell>
        </row>
        <row r="659">
          <cell r="A659" t="str">
            <v>128</v>
          </cell>
        </row>
        <row r="659">
          <cell r="C659" t="str">
            <v>2021-09-09</v>
          </cell>
        </row>
        <row r="659">
          <cell r="K659">
            <v>10000</v>
          </cell>
        </row>
        <row r="659">
          <cell r="Q659" t="str">
            <v>洛阳黄河同力水泥有限责任公司</v>
          </cell>
        </row>
        <row r="660">
          <cell r="A660" t="str">
            <v>127</v>
          </cell>
        </row>
        <row r="660">
          <cell r="C660" t="str">
            <v>2021-08-30</v>
          </cell>
        </row>
        <row r="660">
          <cell r="K660">
            <v>2000</v>
          </cell>
        </row>
        <row r="660">
          <cell r="Q660" t="str">
            <v>亚泰集团哈尔滨水泥（阿城）有限公司</v>
          </cell>
        </row>
        <row r="661">
          <cell r="A661" t="str">
            <v>126</v>
          </cell>
        </row>
        <row r="661">
          <cell r="C661" t="str">
            <v>2021-08-26</v>
          </cell>
        </row>
        <row r="661">
          <cell r="K661">
            <v>2000</v>
          </cell>
        </row>
        <row r="661">
          <cell r="Q661" t="str">
            <v>邯郸涉县金隅水泥有限公司</v>
          </cell>
        </row>
        <row r="662">
          <cell r="A662" t="str">
            <v>125</v>
          </cell>
        </row>
        <row r="662">
          <cell r="C662" t="str">
            <v>2021-08-20</v>
          </cell>
        </row>
        <row r="662">
          <cell r="K662">
            <v>2000</v>
          </cell>
        </row>
        <row r="662">
          <cell r="Q662" t="str">
            <v>吉林亚泰明城水泥有限公司</v>
          </cell>
        </row>
        <row r="663">
          <cell r="A663" t="str">
            <v>124</v>
          </cell>
        </row>
        <row r="663">
          <cell r="C663" t="str">
            <v>2021-08-11</v>
          </cell>
        </row>
        <row r="663">
          <cell r="K663">
            <v>2000</v>
          </cell>
        </row>
        <row r="663">
          <cell r="Q663" t="str">
            <v>唐山冀东水泥三友有限公司</v>
          </cell>
        </row>
        <row r="664">
          <cell r="A664" t="str">
            <v>123</v>
          </cell>
        </row>
        <row r="664">
          <cell r="C664" t="str">
            <v>2021-07-29</v>
          </cell>
        </row>
        <row r="664">
          <cell r="K664">
            <v>10000</v>
          </cell>
        </row>
        <row r="664">
          <cell r="Q664" t="str">
            <v>陕西实丰水泥股份有限公司</v>
          </cell>
        </row>
        <row r="665">
          <cell r="A665" t="str">
            <v>122</v>
          </cell>
        </row>
        <row r="665">
          <cell r="C665" t="str">
            <v>2021-07-26</v>
          </cell>
        </row>
        <row r="665">
          <cell r="K665">
            <v>10000</v>
          </cell>
        </row>
        <row r="665">
          <cell r="Q665" t="str">
            <v>河北新金钢铁有限公司</v>
          </cell>
        </row>
        <row r="666">
          <cell r="A666" t="str">
            <v>121</v>
          </cell>
        </row>
        <row r="666">
          <cell r="C666" t="str">
            <v>2021-07-14</v>
          </cell>
        </row>
        <row r="666">
          <cell r="K666">
            <v>7500</v>
          </cell>
        </row>
        <row r="666">
          <cell r="Q666" t="str">
            <v>云南普洱西南水泥有限公司</v>
          </cell>
        </row>
        <row r="667">
          <cell r="A667" t="str">
            <v>120</v>
          </cell>
        </row>
        <row r="667">
          <cell r="C667" t="str">
            <v>2021-06-28</v>
          </cell>
        </row>
        <row r="667">
          <cell r="K667">
            <v>5000</v>
          </cell>
        </row>
        <row r="667">
          <cell r="Q667" t="str">
            <v>青州中联水泥有限公司</v>
          </cell>
        </row>
        <row r="668">
          <cell r="A668" t="str">
            <v>119</v>
          </cell>
        </row>
        <row r="668">
          <cell r="C668" t="str">
            <v>2021-06-18</v>
          </cell>
        </row>
        <row r="668">
          <cell r="K668">
            <v>10000</v>
          </cell>
        </row>
        <row r="668">
          <cell r="Q668" t="str">
            <v>新疆和静天山水泥有限责任公司</v>
          </cell>
        </row>
        <row r="669">
          <cell r="A669" t="str">
            <v>118</v>
          </cell>
        </row>
        <row r="669">
          <cell r="C669" t="str">
            <v>2021-05-19</v>
          </cell>
        </row>
        <row r="669">
          <cell r="K669">
            <v>5400</v>
          </cell>
        </row>
        <row r="669">
          <cell r="Q669" t="str">
            <v>云南昆钢嘉华水泥建材有限公司</v>
          </cell>
        </row>
        <row r="670">
          <cell r="A670" t="str">
            <v>117</v>
          </cell>
        </row>
        <row r="670">
          <cell r="C670" t="str">
            <v>2021-05-17</v>
          </cell>
        </row>
        <row r="670">
          <cell r="K670">
            <v>2000</v>
          </cell>
        </row>
        <row r="670">
          <cell r="Q670" t="str">
            <v>冀东水泥璧山有限公司</v>
          </cell>
        </row>
        <row r="671">
          <cell r="A671" t="str">
            <v>116</v>
          </cell>
        </row>
        <row r="671">
          <cell r="C671" t="str">
            <v>2021-05-10</v>
          </cell>
        </row>
        <row r="671">
          <cell r="K671">
            <v>15000</v>
          </cell>
        </row>
        <row r="671">
          <cell r="Q671" t="str">
            <v>安徽华塑股份有限公司</v>
          </cell>
        </row>
        <row r="672">
          <cell r="A672" t="str">
            <v>115</v>
          </cell>
        </row>
        <row r="672">
          <cell r="C672" t="str">
            <v>2021-04-15</v>
          </cell>
        </row>
        <row r="672">
          <cell r="K672">
            <v>5000</v>
          </cell>
        </row>
        <row r="672">
          <cell r="Q672" t="str">
            <v>金昌水泥集团</v>
          </cell>
        </row>
        <row r="673">
          <cell r="A673" t="str">
            <v>114</v>
          </cell>
        </row>
        <row r="673">
          <cell r="C673" t="str">
            <v>2021-04-14</v>
          </cell>
        </row>
        <row r="673">
          <cell r="K673">
            <v>2000</v>
          </cell>
        </row>
        <row r="673">
          <cell r="Q673" t="str">
            <v>青海海西化工建材有限公司</v>
          </cell>
        </row>
        <row r="674">
          <cell r="A674" t="str">
            <v>113</v>
          </cell>
        </row>
        <row r="674">
          <cell r="C674" t="str">
            <v/>
          </cell>
        </row>
        <row r="674">
          <cell r="K674">
            <v>1500</v>
          </cell>
        </row>
        <row r="674">
          <cell r="Q674" t="str">
            <v>山东泰西水泥有限公司</v>
          </cell>
        </row>
        <row r="675">
          <cell r="A675" t="str">
            <v>112</v>
          </cell>
        </row>
        <row r="675">
          <cell r="C675" t="str">
            <v/>
          </cell>
        </row>
        <row r="675">
          <cell r="K675">
            <v>1500</v>
          </cell>
        </row>
        <row r="675">
          <cell r="Q675" t="str">
            <v>山东泰西水泥有限公司</v>
          </cell>
        </row>
        <row r="676">
          <cell r="A676" t="str">
            <v>111</v>
          </cell>
        </row>
        <row r="676">
          <cell r="C676" t="str">
            <v>2021-03-25</v>
          </cell>
        </row>
        <row r="676">
          <cell r="K676">
            <v>10000</v>
          </cell>
        </row>
        <row r="676">
          <cell r="Q676" t="str">
            <v>新疆圣雄水泥有限公司</v>
          </cell>
        </row>
        <row r="677">
          <cell r="A677" t="str">
            <v>110</v>
          </cell>
        </row>
        <row r="677">
          <cell r="C677" t="str">
            <v>2021-03-16</v>
          </cell>
        </row>
        <row r="677">
          <cell r="K677">
            <v>2000</v>
          </cell>
        </row>
        <row r="677">
          <cell r="Q677" t="str">
            <v>冀东水泥璧山有限公司</v>
          </cell>
        </row>
        <row r="678">
          <cell r="A678" t="str">
            <v>109</v>
          </cell>
        </row>
        <row r="678">
          <cell r="C678" t="str">
            <v>2021-03-15</v>
          </cell>
        </row>
        <row r="678">
          <cell r="K678">
            <v>5000</v>
          </cell>
        </row>
        <row r="678">
          <cell r="Q678" t="str">
            <v>重庆秀山西南水泥有限公司</v>
          </cell>
        </row>
        <row r="679">
          <cell r="A679" t="str">
            <v>108</v>
          </cell>
        </row>
        <row r="679">
          <cell r="C679" t="str">
            <v>2021-03-15</v>
          </cell>
        </row>
        <row r="679">
          <cell r="K679">
            <v>1000</v>
          </cell>
        </row>
        <row r="679">
          <cell r="Q679" t="str">
            <v>唐县冀东水泥有限责任公司</v>
          </cell>
        </row>
        <row r="680">
          <cell r="A680" t="str">
            <v>107</v>
          </cell>
        </row>
        <row r="680">
          <cell r="C680" t="str">
            <v>2021-03-10</v>
          </cell>
        </row>
        <row r="680">
          <cell r="K680">
            <v>2000</v>
          </cell>
        </row>
        <row r="680">
          <cell r="Q680" t="str">
            <v>昌黎冀东水泥有限公司</v>
          </cell>
        </row>
        <row r="681">
          <cell r="A681" t="str">
            <v>106</v>
          </cell>
        </row>
        <row r="681">
          <cell r="C681" t="str">
            <v>2021-03-04</v>
          </cell>
        </row>
        <row r="681">
          <cell r="K681">
            <v>2000</v>
          </cell>
        </row>
        <row r="681">
          <cell r="Q681" t="str">
            <v>山西双良鼎新水泥有限公司</v>
          </cell>
        </row>
        <row r="682">
          <cell r="A682" t="str">
            <v>105</v>
          </cell>
        </row>
        <row r="682">
          <cell r="C682" t="str">
            <v>2021-03-03</v>
          </cell>
        </row>
        <row r="682">
          <cell r="K682">
            <v>3000</v>
          </cell>
        </row>
        <row r="682">
          <cell r="Q682" t="str">
            <v>四川峨眉山西南水泥有限公司</v>
          </cell>
        </row>
        <row r="683">
          <cell r="A683" t="str">
            <v>104</v>
          </cell>
        </row>
        <row r="683">
          <cell r="C683" t="str">
            <v>2021-03-01</v>
          </cell>
        </row>
        <row r="683">
          <cell r="K683">
            <v>5000</v>
          </cell>
        </row>
        <row r="683">
          <cell r="Q683" t="str">
            <v>四川利万步森水泥有限公司</v>
          </cell>
        </row>
        <row r="684">
          <cell r="A684" t="str">
            <v>103</v>
          </cell>
        </row>
        <row r="684">
          <cell r="C684" t="str">
            <v>2021-02-18</v>
          </cell>
        </row>
        <row r="684">
          <cell r="K684">
            <v>3000</v>
          </cell>
        </row>
        <row r="684">
          <cell r="Q684" t="str">
            <v>天瑞集团郑州水泥有限公司</v>
          </cell>
        </row>
        <row r="685">
          <cell r="A685" t="str">
            <v>102</v>
          </cell>
        </row>
        <row r="685">
          <cell r="C685" t="str">
            <v>2021-02-25</v>
          </cell>
        </row>
        <row r="685">
          <cell r="K685">
            <v>10000</v>
          </cell>
        </row>
        <row r="685">
          <cell r="Q685" t="str">
            <v>陕西实丰水泥股份有限公司</v>
          </cell>
        </row>
        <row r="686">
          <cell r="A686" t="str">
            <v>101</v>
          </cell>
        </row>
        <row r="686">
          <cell r="C686" t="str">
            <v>2021-02-24</v>
          </cell>
        </row>
        <row r="686">
          <cell r="K686">
            <v>2000</v>
          </cell>
        </row>
        <row r="686">
          <cell r="Q686" t="str">
            <v>阳泉冀东水泥有限责任公司</v>
          </cell>
        </row>
        <row r="687">
          <cell r="A687" t="str">
            <v>100</v>
          </cell>
        </row>
        <row r="687">
          <cell r="C687" t="str">
            <v>2021-02-24</v>
          </cell>
        </row>
        <row r="687">
          <cell r="K687">
            <v>2500</v>
          </cell>
        </row>
        <row r="687">
          <cell r="Q687" t="str">
            <v>贵州黔西西南水泥有限公司</v>
          </cell>
        </row>
        <row r="688">
          <cell r="A688" t="str">
            <v>99</v>
          </cell>
        </row>
        <row r="688">
          <cell r="C688" t="str">
            <v>2021-02-19</v>
          </cell>
        </row>
        <row r="688">
          <cell r="K688">
            <v>2500</v>
          </cell>
        </row>
        <row r="688">
          <cell r="Q688" t="str">
            <v>台泥（安顺）水泥有限公司</v>
          </cell>
        </row>
        <row r="689">
          <cell r="A689" t="str">
            <v>98</v>
          </cell>
        </row>
        <row r="689">
          <cell r="C689" t="str">
            <v>2021-02-19</v>
          </cell>
        </row>
        <row r="689">
          <cell r="K689">
            <v>11800</v>
          </cell>
        </row>
        <row r="689">
          <cell r="Q689" t="str">
            <v>保山昆钢嘉华水泥建材有限公司</v>
          </cell>
        </row>
        <row r="690">
          <cell r="A690" t="str">
            <v>97</v>
          </cell>
        </row>
        <row r="690">
          <cell r="C690" t="str">
            <v>2021-02-19</v>
          </cell>
        </row>
        <row r="690">
          <cell r="K690">
            <v>1000</v>
          </cell>
        </row>
        <row r="690">
          <cell r="Q690" t="str">
            <v>四川泰昌建材集团有限公司</v>
          </cell>
        </row>
        <row r="691">
          <cell r="A691" t="str">
            <v>96</v>
          </cell>
        </row>
        <row r="691">
          <cell r="C691" t="str">
            <v>2021-02-01</v>
          </cell>
        </row>
        <row r="691">
          <cell r="K691">
            <v>10000</v>
          </cell>
        </row>
        <row r="691">
          <cell r="Q691" t="str">
            <v>峨山宏峰建材有限责任公司</v>
          </cell>
        </row>
        <row r="692">
          <cell r="A692" t="str">
            <v>95</v>
          </cell>
        </row>
        <row r="692">
          <cell r="C692" t="str">
            <v>2021-01-29</v>
          </cell>
        </row>
        <row r="692">
          <cell r="K692">
            <v>2000</v>
          </cell>
        </row>
        <row r="692">
          <cell r="Q692" t="str">
            <v>徐州中联水泥有限公司</v>
          </cell>
        </row>
        <row r="693">
          <cell r="A693" t="str">
            <v>94</v>
          </cell>
        </row>
        <row r="693">
          <cell r="C693" t="str">
            <v>2021-01-27</v>
          </cell>
        </row>
        <row r="693">
          <cell r="K693">
            <v>2000</v>
          </cell>
        </row>
        <row r="693">
          <cell r="Q693" t="str">
            <v>重庆綦江西南水泥有限公司</v>
          </cell>
        </row>
        <row r="694">
          <cell r="A694" t="str">
            <v>93</v>
          </cell>
        </row>
        <row r="694">
          <cell r="C694" t="str">
            <v>2021-01-22</v>
          </cell>
        </row>
        <row r="694">
          <cell r="K694">
            <v>3000</v>
          </cell>
        </row>
        <row r="694">
          <cell r="Q694" t="str">
            <v>山东泰西水泥有限公司</v>
          </cell>
        </row>
        <row r="695">
          <cell r="A695" t="str">
            <v>92</v>
          </cell>
        </row>
        <row r="695">
          <cell r="C695" t="str">
            <v>2021-01-18</v>
          </cell>
        </row>
        <row r="695">
          <cell r="K695">
            <v>2000</v>
          </cell>
        </row>
        <row r="695">
          <cell r="Q695" t="str">
            <v>康达（山东）水泥有限公司</v>
          </cell>
        </row>
        <row r="696">
          <cell r="A696" t="str">
            <v>91</v>
          </cell>
        </row>
        <row r="696">
          <cell r="C696" t="str">
            <v>2021-01-14</v>
          </cell>
        </row>
        <row r="696">
          <cell r="K696">
            <v>500</v>
          </cell>
        </row>
        <row r="696">
          <cell r="Q696" t="str">
            <v>陵川金隅冀东环保科技有限公司</v>
          </cell>
        </row>
        <row r="697">
          <cell r="A697" t="str">
            <v>90</v>
          </cell>
        </row>
        <row r="697">
          <cell r="C697" t="str">
            <v>2021-01-06</v>
          </cell>
        </row>
        <row r="697">
          <cell r="K697">
            <v>4000</v>
          </cell>
        </row>
        <row r="697">
          <cell r="Q697" t="str">
            <v>鲁南中联水泥有限公司</v>
          </cell>
        </row>
        <row r="698">
          <cell r="A698" t="str">
            <v>89</v>
          </cell>
        </row>
        <row r="698">
          <cell r="C698" t="str">
            <v>2021-01-04</v>
          </cell>
        </row>
        <row r="698">
          <cell r="K698">
            <v>5920</v>
          </cell>
        </row>
        <row r="698">
          <cell r="Q698" t="str">
            <v>安钢集团信阳钢铁有限责任公司</v>
          </cell>
        </row>
        <row r="699">
          <cell r="A699" t="str">
            <v>88</v>
          </cell>
        </row>
        <row r="699">
          <cell r="C699" t="str">
            <v>2020-12-28</v>
          </cell>
        </row>
        <row r="699">
          <cell r="K699">
            <v>2000</v>
          </cell>
        </row>
        <row r="699">
          <cell r="Q699" t="str">
            <v>河北金隅鼎鑫水泥有限公司</v>
          </cell>
        </row>
        <row r="700">
          <cell r="A700" t="str">
            <v>87</v>
          </cell>
        </row>
        <row r="700">
          <cell r="C700" t="str">
            <v>2020-12-25</v>
          </cell>
        </row>
        <row r="700">
          <cell r="K700">
            <v>10000</v>
          </cell>
        </row>
        <row r="700">
          <cell r="Q700" t="str">
            <v>西安蓝田尧柏水泥有限公司</v>
          </cell>
        </row>
        <row r="701">
          <cell r="A701" t="str">
            <v>86</v>
          </cell>
        </row>
        <row r="701">
          <cell r="C701" t="str">
            <v>2020-12-17</v>
          </cell>
        </row>
        <row r="701">
          <cell r="K701">
            <v>5000</v>
          </cell>
        </row>
        <row r="701">
          <cell r="Q701" t="str">
            <v>山东泰西水泥有限公司</v>
          </cell>
        </row>
        <row r="702">
          <cell r="A702" t="str">
            <v>85</v>
          </cell>
        </row>
        <row r="702">
          <cell r="C702" t="str">
            <v>2020-12-16</v>
          </cell>
        </row>
        <row r="702">
          <cell r="K702">
            <v>3000</v>
          </cell>
        </row>
        <row r="702">
          <cell r="Q702" t="str">
            <v>天瑞集团郑州水泥有限公司</v>
          </cell>
        </row>
        <row r="703">
          <cell r="A703" t="str">
            <v>84</v>
          </cell>
        </row>
        <row r="703">
          <cell r="C703" t="str">
            <v>2020-12-14</v>
          </cell>
        </row>
        <row r="703">
          <cell r="K703">
            <v>10000</v>
          </cell>
        </row>
        <row r="703">
          <cell r="Q703" t="str">
            <v>蒲城尧柏特种水泥有限公司</v>
          </cell>
        </row>
        <row r="704">
          <cell r="A704" t="str">
            <v>83</v>
          </cell>
        </row>
        <row r="704">
          <cell r="C704" t="str">
            <v>2020-12-07</v>
          </cell>
        </row>
        <row r="704">
          <cell r="K704">
            <v>2000</v>
          </cell>
        </row>
        <row r="704">
          <cell r="Q704" t="str">
            <v>湖南韶峰南方水泥有限公司</v>
          </cell>
        </row>
        <row r="705">
          <cell r="A705" t="str">
            <v>82</v>
          </cell>
        </row>
        <row r="705">
          <cell r="C705" t="str">
            <v>2020-12-07</v>
          </cell>
        </row>
        <row r="705">
          <cell r="K705">
            <v>2000</v>
          </cell>
        </row>
        <row r="705">
          <cell r="Q705" t="str">
            <v>临沂中联水泥有限公司</v>
          </cell>
        </row>
        <row r="706">
          <cell r="A706" t="str">
            <v>81</v>
          </cell>
        </row>
        <row r="706">
          <cell r="C706" t="str">
            <v>2020-11-27</v>
          </cell>
        </row>
        <row r="706">
          <cell r="K706">
            <v>3000</v>
          </cell>
        </row>
        <row r="706">
          <cell r="Q706" t="str">
            <v>天瑞新登郑州水泥有限公司</v>
          </cell>
        </row>
        <row r="707">
          <cell r="A707" t="str">
            <v>80</v>
          </cell>
        </row>
        <row r="707">
          <cell r="C707" t="str">
            <v>2020-11-13</v>
          </cell>
        </row>
        <row r="707">
          <cell r="K707">
            <v>10000</v>
          </cell>
        </row>
        <row r="707">
          <cell r="Q707" t="str">
            <v>韩城尧柏阳山庄水泥有限公司</v>
          </cell>
        </row>
        <row r="708">
          <cell r="A708" t="str">
            <v>79</v>
          </cell>
        </row>
        <row r="708">
          <cell r="C708" t="str">
            <v>2020-11-13</v>
          </cell>
        </row>
        <row r="708">
          <cell r="K708">
            <v>6000</v>
          </cell>
        </row>
        <row r="708">
          <cell r="Q708" t="str">
            <v>保山昆钢嘉华水泥建材有限公司</v>
          </cell>
        </row>
        <row r="709">
          <cell r="A709" t="str">
            <v>78</v>
          </cell>
        </row>
        <row r="709">
          <cell r="C709" t="str">
            <v>2020-08-20</v>
          </cell>
        </row>
        <row r="709">
          <cell r="K709">
            <v>5000</v>
          </cell>
        </row>
        <row r="709">
          <cell r="Q709" t="str">
            <v>华新水泥（红河）有限公司</v>
          </cell>
        </row>
        <row r="710">
          <cell r="A710" t="str">
            <v>77</v>
          </cell>
        </row>
        <row r="710">
          <cell r="C710" t="str">
            <v>2020-08-14</v>
          </cell>
        </row>
        <row r="710">
          <cell r="K710">
            <v>3000</v>
          </cell>
        </row>
        <row r="710">
          <cell r="Q710" t="str">
            <v>重庆长寿西南水泥有限公司</v>
          </cell>
        </row>
        <row r="711">
          <cell r="A711" t="str">
            <v>76</v>
          </cell>
        </row>
        <row r="711">
          <cell r="C711" t="str">
            <v>2020-08-10</v>
          </cell>
        </row>
        <row r="711">
          <cell r="K711">
            <v>3000</v>
          </cell>
        </row>
        <row r="711">
          <cell r="Q711" t="str">
            <v>旺苍川煤水泥有限责任公司</v>
          </cell>
        </row>
        <row r="712">
          <cell r="A712" t="str">
            <v>75</v>
          </cell>
        </row>
        <row r="712">
          <cell r="C712" t="str">
            <v>2020-08-07</v>
          </cell>
        </row>
        <row r="712">
          <cell r="K712">
            <v>10000</v>
          </cell>
        </row>
        <row r="712">
          <cell r="Q712" t="str">
            <v>商洛尧柏龙桥水泥有限公司</v>
          </cell>
        </row>
        <row r="713">
          <cell r="A713" t="str">
            <v>74</v>
          </cell>
        </row>
        <row r="713">
          <cell r="C713" t="str">
            <v>2020-08-05</v>
          </cell>
        </row>
        <row r="713">
          <cell r="K713">
            <v>2000</v>
          </cell>
        </row>
        <row r="713">
          <cell r="Q713" t="str">
            <v>冀东水泥重庆合川有限责任公司</v>
          </cell>
        </row>
        <row r="714">
          <cell r="A714" t="str">
            <v>73</v>
          </cell>
        </row>
        <row r="714">
          <cell r="C714" t="str">
            <v>2019-12-31</v>
          </cell>
        </row>
        <row r="714">
          <cell r="K714">
            <v>900</v>
          </cell>
        </row>
        <row r="714">
          <cell r="Q714" t="str">
            <v>江苏沙钢集团有限公司</v>
          </cell>
        </row>
        <row r="715">
          <cell r="A715" t="str">
            <v>72</v>
          </cell>
        </row>
        <row r="715">
          <cell r="C715" t="str">
            <v>2020-07-26</v>
          </cell>
        </row>
        <row r="715">
          <cell r="K715">
            <v>10000</v>
          </cell>
        </row>
        <row r="715">
          <cell r="Q715" t="str">
            <v>韩城尧柏阳山庄水泥有限公司</v>
          </cell>
        </row>
        <row r="716">
          <cell r="A716" t="str">
            <v>71</v>
          </cell>
        </row>
        <row r="716">
          <cell r="C716" t="str">
            <v>2020-07-22</v>
          </cell>
        </row>
        <row r="716">
          <cell r="K716">
            <v>3000</v>
          </cell>
        </row>
        <row r="716">
          <cell r="Q716" t="str">
            <v>四川德胜集团水泥有限公司</v>
          </cell>
        </row>
        <row r="717">
          <cell r="A717" t="str">
            <v>70</v>
          </cell>
        </row>
        <row r="717">
          <cell r="C717" t="str">
            <v>2020-07-22</v>
          </cell>
        </row>
        <row r="717">
          <cell r="K717">
            <v>3200</v>
          </cell>
        </row>
        <row r="717">
          <cell r="Q717" t="str">
            <v>赞皇金隅水泥有限公司</v>
          </cell>
        </row>
        <row r="718">
          <cell r="A718" t="str">
            <v>69</v>
          </cell>
        </row>
        <row r="718">
          <cell r="C718" t="str">
            <v>2020-07-22</v>
          </cell>
        </row>
        <row r="718">
          <cell r="K718">
            <v>3000</v>
          </cell>
        </row>
        <row r="718">
          <cell r="Q718" t="str">
            <v>达州利森水泥有限公司</v>
          </cell>
        </row>
        <row r="719">
          <cell r="A719" t="str">
            <v>68</v>
          </cell>
        </row>
        <row r="719">
          <cell r="C719" t="str">
            <v>2020-07-13</v>
          </cell>
        </row>
        <row r="719">
          <cell r="K719">
            <v>2000</v>
          </cell>
        </row>
        <row r="719">
          <cell r="Q719" t="str">
            <v>冀东水泥璧山有限公司</v>
          </cell>
        </row>
        <row r="720">
          <cell r="A720" t="str">
            <v>67</v>
          </cell>
        </row>
        <row r="720">
          <cell r="C720" t="str">
            <v>2020-07-15</v>
          </cell>
        </row>
        <row r="720">
          <cell r="K720">
            <v>1000</v>
          </cell>
        </row>
        <row r="720">
          <cell r="Q720" t="str">
            <v>贵州织金西南水泥有限公司</v>
          </cell>
        </row>
        <row r="721">
          <cell r="A721" t="str">
            <v>66</v>
          </cell>
        </row>
        <row r="721">
          <cell r="C721" t="str">
            <v>2020-07-09</v>
          </cell>
        </row>
        <row r="721">
          <cell r="K721">
            <v>1000</v>
          </cell>
        </row>
        <row r="721">
          <cell r="Q721" t="str">
            <v>贵州松桃高力水泥实业有限公司</v>
          </cell>
        </row>
        <row r="722">
          <cell r="A722" t="str">
            <v>65</v>
          </cell>
        </row>
        <row r="722">
          <cell r="C722" t="str">
            <v>2020-07-06</v>
          </cell>
        </row>
        <row r="722">
          <cell r="K722">
            <v>2000</v>
          </cell>
        </row>
        <row r="722">
          <cell r="Q722" t="str">
            <v>阳泉冀东水泥有限责任公司</v>
          </cell>
        </row>
        <row r="723">
          <cell r="A723" t="str">
            <v>64</v>
          </cell>
        </row>
        <row r="723">
          <cell r="C723" t="str">
            <v>2020-06-30</v>
          </cell>
        </row>
        <row r="723">
          <cell r="K723">
            <v>3000</v>
          </cell>
        </row>
        <row r="723">
          <cell r="Q723" t="str">
            <v>天瑞集团郑州水泥有限公司</v>
          </cell>
        </row>
        <row r="724">
          <cell r="A724" t="str">
            <v>63</v>
          </cell>
        </row>
        <row r="724">
          <cell r="C724" t="str">
            <v>2020-06-28</v>
          </cell>
        </row>
        <row r="724">
          <cell r="K724">
            <v>1500</v>
          </cell>
        </row>
        <row r="724">
          <cell r="Q724" t="str">
            <v>四川华蓥西南水泥有限公司</v>
          </cell>
        </row>
        <row r="725">
          <cell r="A725" t="str">
            <v>62</v>
          </cell>
        </row>
        <row r="725">
          <cell r="C725" t="str">
            <v>2020-06-10</v>
          </cell>
        </row>
        <row r="725">
          <cell r="K725">
            <v>2000</v>
          </cell>
        </row>
        <row r="725">
          <cell r="Q725" t="str">
            <v>阳泉冀东水泥有限责任公司</v>
          </cell>
        </row>
        <row r="726">
          <cell r="A726" t="str">
            <v>61</v>
          </cell>
        </row>
        <row r="726">
          <cell r="C726" t="str">
            <v>2020-05-26</v>
          </cell>
        </row>
        <row r="726">
          <cell r="K726">
            <v>5000</v>
          </cell>
        </row>
        <row r="726">
          <cell r="Q726" t="str">
            <v>冀东海天水泥闻喜有限公司</v>
          </cell>
        </row>
        <row r="727">
          <cell r="A727" t="str">
            <v>60</v>
          </cell>
        </row>
        <row r="727">
          <cell r="C727" t="str">
            <v>2020-05-18</v>
          </cell>
        </row>
        <row r="727">
          <cell r="K727">
            <v>3000</v>
          </cell>
        </row>
        <row r="727">
          <cell r="Q727" t="str">
            <v>四川峨眉山西南水泥有限公司</v>
          </cell>
        </row>
        <row r="728">
          <cell r="A728" t="str">
            <v>59</v>
          </cell>
        </row>
        <row r="728">
          <cell r="C728" t="str">
            <v>2020-05-18</v>
          </cell>
        </row>
        <row r="728">
          <cell r="K728">
            <v>2000</v>
          </cell>
        </row>
        <row r="728">
          <cell r="Q728" t="str">
            <v>四川达州钢铁有限公司</v>
          </cell>
        </row>
        <row r="729">
          <cell r="A729" t="str">
            <v>58</v>
          </cell>
        </row>
        <row r="729">
          <cell r="C729" t="str">
            <v>2020-05-16</v>
          </cell>
        </row>
        <row r="729">
          <cell r="K729">
            <v>5000</v>
          </cell>
        </row>
        <row r="729">
          <cell r="Q729" t="str">
            <v>贵州沿河西南水泥有限公司</v>
          </cell>
        </row>
        <row r="730">
          <cell r="A730" t="str">
            <v>57</v>
          </cell>
        </row>
        <row r="730">
          <cell r="C730" t="str">
            <v>2020-04-02</v>
          </cell>
        </row>
        <row r="730">
          <cell r="K730">
            <v>10000</v>
          </cell>
        </row>
        <row r="730">
          <cell r="Q730" t="str">
            <v>甘肃永固特种水泥有限公司</v>
          </cell>
        </row>
        <row r="731">
          <cell r="A731" t="str">
            <v>56</v>
          </cell>
        </row>
        <row r="731">
          <cell r="C731" t="str">
            <v>2020-03-30</v>
          </cell>
        </row>
        <row r="731">
          <cell r="K731">
            <v>5000</v>
          </cell>
        </row>
        <row r="731">
          <cell r="Q731" t="str">
            <v>青海海西化工建材有限公司</v>
          </cell>
        </row>
        <row r="732">
          <cell r="A732" t="str">
            <v>55</v>
          </cell>
        </row>
        <row r="732">
          <cell r="C732" t="str">
            <v>2020-01-13</v>
          </cell>
        </row>
        <row r="732">
          <cell r="K732">
            <v>3000</v>
          </cell>
        </row>
        <row r="732">
          <cell r="Q732" t="str">
            <v>渤海水泥（葫芦岛）有限公司</v>
          </cell>
        </row>
        <row r="733">
          <cell r="A733" t="str">
            <v>54</v>
          </cell>
        </row>
        <row r="733">
          <cell r="C733" t="str">
            <v>2020-01-10</v>
          </cell>
        </row>
        <row r="733">
          <cell r="K733">
            <v>2000</v>
          </cell>
        </row>
        <row r="733">
          <cell r="Q733" t="str">
            <v>承德金隅水泥有限责任公司</v>
          </cell>
        </row>
        <row r="734">
          <cell r="A734" t="str">
            <v>53</v>
          </cell>
        </row>
        <row r="734">
          <cell r="C734" t="str">
            <v>2020-01-10</v>
          </cell>
        </row>
        <row r="734">
          <cell r="K734">
            <v>3000</v>
          </cell>
        </row>
        <row r="734">
          <cell r="Q734" t="str">
            <v>安钢集团信阳钢铁有限责任公司</v>
          </cell>
        </row>
        <row r="735">
          <cell r="A735" t="str">
            <v>52</v>
          </cell>
        </row>
        <row r="735">
          <cell r="C735" t="str">
            <v>2019-12-26</v>
          </cell>
        </row>
        <row r="735">
          <cell r="K735">
            <v>5000</v>
          </cell>
        </row>
        <row r="735">
          <cell r="Q735" t="str">
            <v>酒钢（集团）宏达建材有限责任公司</v>
          </cell>
        </row>
        <row r="736">
          <cell r="A736" t="str">
            <v>51</v>
          </cell>
        </row>
        <row r="736">
          <cell r="C736" t="str">
            <v>2019-12-24</v>
          </cell>
        </row>
        <row r="736">
          <cell r="K736">
            <v>2000</v>
          </cell>
        </row>
        <row r="736">
          <cell r="Q736" t="str">
            <v>天瑞新登郑州水泥有限公司</v>
          </cell>
        </row>
        <row r="737">
          <cell r="A737" t="str">
            <v>50</v>
          </cell>
        </row>
        <row r="737">
          <cell r="C737" t="str">
            <v>2019-12-09</v>
          </cell>
        </row>
        <row r="737">
          <cell r="K737">
            <v>2000</v>
          </cell>
        </row>
        <row r="737">
          <cell r="Q737" t="str">
            <v>山东泰西水泥有限公司</v>
          </cell>
        </row>
        <row r="738">
          <cell r="A738" t="str">
            <v>49</v>
          </cell>
        </row>
        <row r="738">
          <cell r="C738" t="str">
            <v>2019-12-13</v>
          </cell>
        </row>
        <row r="738">
          <cell r="K738">
            <v>3000</v>
          </cell>
        </row>
        <row r="738">
          <cell r="Q738" t="str">
            <v>渤海水泥（葫芦岛）有限公司</v>
          </cell>
        </row>
        <row r="739">
          <cell r="A739" t="str">
            <v>48</v>
          </cell>
        </row>
        <row r="739">
          <cell r="C739" t="str">
            <v>2019-12-06</v>
          </cell>
        </row>
        <row r="739">
          <cell r="K739">
            <v>2700</v>
          </cell>
        </row>
        <row r="739">
          <cell r="Q739" t="str">
            <v>阳泉冀东水泥有限责任公司</v>
          </cell>
        </row>
        <row r="740">
          <cell r="A740" t="str">
            <v>47</v>
          </cell>
        </row>
        <row r="740">
          <cell r="C740" t="str">
            <v>2019-11-27</v>
          </cell>
        </row>
        <row r="740">
          <cell r="K740">
            <v>2000</v>
          </cell>
        </row>
        <row r="740">
          <cell r="Q740" t="str">
            <v>华新水泥（房县)有限公司</v>
          </cell>
        </row>
        <row r="741">
          <cell r="A741" t="str">
            <v>46</v>
          </cell>
        </row>
        <row r="741">
          <cell r="C741" t="str">
            <v>2019-11-06</v>
          </cell>
        </row>
        <row r="741">
          <cell r="K741">
            <v>2000</v>
          </cell>
        </row>
        <row r="741">
          <cell r="Q741" t="str">
            <v>华新水泥（恩施）有限公司</v>
          </cell>
        </row>
        <row r="742">
          <cell r="A742" t="str">
            <v>45</v>
          </cell>
        </row>
        <row r="742">
          <cell r="C742" t="str">
            <v>2019-11-05</v>
          </cell>
        </row>
        <row r="742">
          <cell r="K742">
            <v>10000</v>
          </cell>
        </row>
        <row r="742">
          <cell r="Q742" t="str">
            <v>安康市尧柏水泥有限公司</v>
          </cell>
        </row>
        <row r="743">
          <cell r="A743" t="str">
            <v>44</v>
          </cell>
        </row>
        <row r="743">
          <cell r="C743" t="str">
            <v>2019-10-23</v>
          </cell>
        </row>
        <row r="743">
          <cell r="K743">
            <v>3000</v>
          </cell>
        </row>
        <row r="743">
          <cell r="Q743" t="str">
            <v>华新水泥（恩施）有限公司</v>
          </cell>
        </row>
        <row r="744">
          <cell r="A744" t="str">
            <v>43</v>
          </cell>
        </row>
        <row r="744">
          <cell r="C744" t="str">
            <v>2019-10-21</v>
          </cell>
        </row>
        <row r="744">
          <cell r="K744">
            <v>3000</v>
          </cell>
        </row>
        <row r="744">
          <cell r="Q744" t="str">
            <v>贵州清镇西南水泥有限公司</v>
          </cell>
        </row>
        <row r="745">
          <cell r="A745" t="str">
            <v>42</v>
          </cell>
        </row>
        <row r="745">
          <cell r="C745" t="str">
            <v>2019-10-28</v>
          </cell>
        </row>
        <row r="745">
          <cell r="K745">
            <v>4000</v>
          </cell>
        </row>
        <row r="745">
          <cell r="Q745" t="str">
            <v>巴彦淖尔中联水泥有限公司</v>
          </cell>
        </row>
        <row r="746">
          <cell r="A746" t="str">
            <v>41</v>
          </cell>
        </row>
        <row r="746">
          <cell r="C746" t="str">
            <v>2019-10-11</v>
          </cell>
        </row>
        <row r="746">
          <cell r="K746">
            <v>1000</v>
          </cell>
        </row>
        <row r="746">
          <cell r="Q746" t="str">
            <v>冀东水泥铜川有限公司</v>
          </cell>
        </row>
        <row r="747">
          <cell r="A747" t="str">
            <v>40</v>
          </cell>
        </row>
        <row r="747">
          <cell r="C747" t="str">
            <v>2019-10-11</v>
          </cell>
        </row>
        <row r="747">
          <cell r="K747">
            <v>2600</v>
          </cell>
        </row>
        <row r="747">
          <cell r="Q747" t="str">
            <v>淮北众城水泥有限责任公司</v>
          </cell>
        </row>
        <row r="748">
          <cell r="A748" t="str">
            <v>39</v>
          </cell>
        </row>
        <row r="748">
          <cell r="C748" t="str">
            <v>2019-09-25</v>
          </cell>
        </row>
        <row r="748">
          <cell r="K748">
            <v>2000</v>
          </cell>
        </row>
        <row r="748">
          <cell r="Q748" t="str">
            <v>北京金隅琉水环保科技有限公司</v>
          </cell>
        </row>
        <row r="749">
          <cell r="A749" t="str">
            <v>38</v>
          </cell>
        </row>
        <row r="749">
          <cell r="C749" t="str">
            <v>2019-09-23</v>
          </cell>
        </row>
        <row r="749">
          <cell r="K749">
            <v>7160</v>
          </cell>
        </row>
        <row r="749">
          <cell r="Q749" t="str">
            <v>冀东水泥重庆江津有限公司</v>
          </cell>
        </row>
        <row r="750">
          <cell r="A750" t="str">
            <v>37</v>
          </cell>
        </row>
        <row r="750">
          <cell r="C750" t="str">
            <v>2019-09-23</v>
          </cell>
        </row>
        <row r="750">
          <cell r="K750">
            <v>2000</v>
          </cell>
        </row>
        <row r="750">
          <cell r="Q750" t="str">
            <v>云南普洱西南水泥有限公司</v>
          </cell>
        </row>
        <row r="751">
          <cell r="A751" t="str">
            <v>36</v>
          </cell>
        </row>
        <row r="751">
          <cell r="C751" t="str">
            <v>2019-09-19</v>
          </cell>
        </row>
        <row r="751">
          <cell r="K751">
            <v>3000</v>
          </cell>
        </row>
        <row r="751">
          <cell r="Q751" t="str">
            <v>华新水泥（房县)有限公司</v>
          </cell>
        </row>
        <row r="752">
          <cell r="A752" t="str">
            <v>35</v>
          </cell>
        </row>
        <row r="752">
          <cell r="C752" t="str">
            <v>2019-09-11</v>
          </cell>
        </row>
        <row r="752">
          <cell r="K752">
            <v>4000</v>
          </cell>
        </row>
        <row r="752">
          <cell r="Q752" t="str">
            <v>绥江县永固水泥有限责任公司</v>
          </cell>
        </row>
        <row r="753">
          <cell r="A753" t="str">
            <v>34</v>
          </cell>
        </row>
        <row r="753">
          <cell r="C753" t="str">
            <v>2019-09-02</v>
          </cell>
        </row>
        <row r="753">
          <cell r="K753">
            <v>25350</v>
          </cell>
        </row>
        <row r="753">
          <cell r="Q753" t="str">
            <v>涿鹿金隅水泥有限公司</v>
          </cell>
        </row>
        <row r="754">
          <cell r="A754" t="str">
            <v>33</v>
          </cell>
        </row>
        <row r="754">
          <cell r="C754" t="str">
            <v>2019-08-23</v>
          </cell>
        </row>
        <row r="754">
          <cell r="K754">
            <v>1000</v>
          </cell>
        </row>
        <row r="754">
          <cell r="Q754" t="str">
            <v>山东泰西水泥有限公司</v>
          </cell>
        </row>
        <row r="755">
          <cell r="A755" t="str">
            <v>32</v>
          </cell>
        </row>
        <row r="755">
          <cell r="C755" t="str">
            <v>2019-08-21</v>
          </cell>
        </row>
        <row r="755">
          <cell r="K755">
            <v>2000</v>
          </cell>
        </row>
        <row r="755">
          <cell r="Q755" t="str">
            <v>重庆秀山西南水泥有限公司</v>
          </cell>
        </row>
        <row r="756">
          <cell r="A756" t="str">
            <v>31</v>
          </cell>
        </row>
        <row r="756">
          <cell r="C756" t="str">
            <v>2019-08-19</v>
          </cell>
        </row>
        <row r="756">
          <cell r="K756">
            <v>2000</v>
          </cell>
        </row>
        <row r="756">
          <cell r="Q756" t="str">
            <v>贵州纳雍隆庆乌江水泥有限公司</v>
          </cell>
        </row>
        <row r="757">
          <cell r="A757" t="str">
            <v>30</v>
          </cell>
        </row>
        <row r="757">
          <cell r="C757" t="str">
            <v>2019-08-15</v>
          </cell>
        </row>
        <row r="757">
          <cell r="K757">
            <v>10000</v>
          </cell>
        </row>
        <row r="757">
          <cell r="Q757" t="str">
            <v>甘肃永固特种水泥有限公司</v>
          </cell>
        </row>
        <row r="758">
          <cell r="A758" t="str">
            <v>29</v>
          </cell>
        </row>
        <row r="758">
          <cell r="C758" t="str">
            <v>2019-08-08</v>
          </cell>
        </row>
        <row r="758">
          <cell r="K758">
            <v>10000</v>
          </cell>
        </row>
        <row r="758">
          <cell r="Q758" t="str">
            <v>山东鲁城水泥有限公司</v>
          </cell>
        </row>
        <row r="759">
          <cell r="A759" t="str">
            <v>28</v>
          </cell>
        </row>
        <row r="759">
          <cell r="C759" t="str">
            <v>2019-08-01</v>
          </cell>
        </row>
        <row r="759">
          <cell r="K759">
            <v>2000</v>
          </cell>
        </row>
        <row r="759">
          <cell r="Q759" t="str">
            <v>嘉华特种水泥股份有限公司嘉华水泥总厂</v>
          </cell>
        </row>
        <row r="760">
          <cell r="A760" t="str">
            <v>27</v>
          </cell>
        </row>
        <row r="760">
          <cell r="C760" t="str">
            <v>2019-07-11</v>
          </cell>
        </row>
        <row r="760">
          <cell r="K760">
            <v>1000</v>
          </cell>
        </row>
        <row r="760">
          <cell r="Q760" t="str">
            <v>冀东水泥铜川有限公司</v>
          </cell>
        </row>
        <row r="761">
          <cell r="A761" t="str">
            <v>26</v>
          </cell>
        </row>
        <row r="761">
          <cell r="C761" t="str">
            <v>2019-07-18</v>
          </cell>
        </row>
        <row r="761">
          <cell r="K761">
            <v>3000</v>
          </cell>
        </row>
        <row r="761">
          <cell r="Q761" t="str">
            <v>四川省绵竹澳东水泥有限责任公司</v>
          </cell>
        </row>
        <row r="762">
          <cell r="A762" t="str">
            <v>25</v>
          </cell>
        </row>
        <row r="762">
          <cell r="C762" t="str">
            <v>2019-07-11</v>
          </cell>
        </row>
        <row r="762">
          <cell r="K762">
            <v>3000</v>
          </cell>
        </row>
        <row r="762">
          <cell r="Q762" t="str">
            <v>会东利森水泥有限公司</v>
          </cell>
        </row>
        <row r="763">
          <cell r="A763" t="str">
            <v>24</v>
          </cell>
        </row>
        <row r="763">
          <cell r="C763" t="str">
            <v>2019-06-28</v>
          </cell>
        </row>
        <row r="763">
          <cell r="K763">
            <v>10000</v>
          </cell>
        </row>
        <row r="763">
          <cell r="Q763" t="str">
            <v>西安蓝田尧柏水泥有限公司</v>
          </cell>
        </row>
        <row r="764">
          <cell r="A764" t="str">
            <v>23</v>
          </cell>
        </row>
        <row r="764">
          <cell r="C764" t="str">
            <v>2019-06-19</v>
          </cell>
        </row>
        <row r="764">
          <cell r="K764">
            <v>2000</v>
          </cell>
        </row>
        <row r="764">
          <cell r="Q764" t="str">
            <v>贵州沿河西南水泥有限公司</v>
          </cell>
        </row>
        <row r="765">
          <cell r="A765" t="str">
            <v>22</v>
          </cell>
        </row>
        <row r="765">
          <cell r="C765" t="str">
            <v>2019-06-12</v>
          </cell>
        </row>
        <row r="765">
          <cell r="K765">
            <v>5000</v>
          </cell>
        </row>
        <row r="765">
          <cell r="Q765" t="str">
            <v>莒县中联水泥有限公司</v>
          </cell>
        </row>
        <row r="766">
          <cell r="A766" t="str">
            <v>21</v>
          </cell>
        </row>
        <row r="766">
          <cell r="C766" t="str">
            <v>2019-06-05</v>
          </cell>
        </row>
        <row r="766">
          <cell r="K766">
            <v>2000</v>
          </cell>
        </row>
        <row r="766">
          <cell r="Q766" t="str">
            <v>鲁南中联水泥有限公司</v>
          </cell>
        </row>
        <row r="767">
          <cell r="A767" t="str">
            <v>20</v>
          </cell>
        </row>
        <row r="767">
          <cell r="C767" t="str">
            <v>2019-05-16</v>
          </cell>
        </row>
        <row r="767">
          <cell r="K767">
            <v>10000</v>
          </cell>
        </row>
        <row r="767">
          <cell r="Q767" t="str">
            <v>汉中尧柏水泥有限公司</v>
          </cell>
        </row>
        <row r="768">
          <cell r="A768" t="str">
            <v>19</v>
          </cell>
        </row>
        <row r="768">
          <cell r="C768" t="str">
            <v>2018-10-31</v>
          </cell>
        </row>
        <row r="768">
          <cell r="K768">
            <v>7000</v>
          </cell>
        </row>
        <row r="768">
          <cell r="Q768" t="str">
            <v>逸盛大化石化有限公司</v>
          </cell>
        </row>
        <row r="769">
          <cell r="A769" t="str">
            <v>18</v>
          </cell>
        </row>
        <row r="769">
          <cell r="C769" t="str">
            <v>2019-05-16</v>
          </cell>
        </row>
        <row r="769">
          <cell r="K769">
            <v>3000</v>
          </cell>
        </row>
        <row r="769">
          <cell r="Q769" t="str">
            <v>云南昆钢嘉华水泥建材有限公司</v>
          </cell>
        </row>
        <row r="770">
          <cell r="A770" t="str">
            <v>17</v>
          </cell>
        </row>
        <row r="770">
          <cell r="C770" t="str">
            <v>2019-05-15</v>
          </cell>
        </row>
        <row r="770">
          <cell r="K770">
            <v>3000</v>
          </cell>
        </row>
        <row r="770">
          <cell r="Q770" t="str">
            <v>四川峨眉山西南水泥有限公司</v>
          </cell>
        </row>
        <row r="771">
          <cell r="A771" t="str">
            <v>16</v>
          </cell>
        </row>
        <row r="771">
          <cell r="C771" t="str">
            <v>2019-04-05</v>
          </cell>
        </row>
        <row r="771">
          <cell r="K771">
            <v>124500</v>
          </cell>
        </row>
        <row r="771">
          <cell r="Q771" t="str">
            <v>张家港宏昌钢板有限公司</v>
          </cell>
        </row>
        <row r="772">
          <cell r="A772" t="str">
            <v>15</v>
          </cell>
        </row>
        <row r="772">
          <cell r="C772" t="str">
            <v>2018-08-18</v>
          </cell>
        </row>
        <row r="772">
          <cell r="K772">
            <v>2000</v>
          </cell>
        </row>
        <row r="772">
          <cell r="Q772" t="str">
            <v>四川西南水泥有限公司</v>
          </cell>
        </row>
        <row r="773">
          <cell r="A773" t="str">
            <v>14</v>
          </cell>
        </row>
        <row r="773">
          <cell r="C773" t="str">
            <v>2019-03-02</v>
          </cell>
        </row>
        <row r="773">
          <cell r="K773">
            <v>2000</v>
          </cell>
        </row>
        <row r="773">
          <cell r="Q773" t="str">
            <v>邯郸涉县金隅水泥有限公司</v>
          </cell>
        </row>
        <row r="774">
          <cell r="A774" t="str">
            <v>13</v>
          </cell>
        </row>
        <row r="774">
          <cell r="C774" t="str">
            <v>2019-03-06</v>
          </cell>
        </row>
        <row r="774">
          <cell r="K774">
            <v>3000</v>
          </cell>
        </row>
        <row r="774">
          <cell r="Q774" t="str">
            <v>阳泉冀东水泥有限责任公司</v>
          </cell>
        </row>
        <row r="775">
          <cell r="A775" t="str">
            <v>12</v>
          </cell>
        </row>
        <row r="775">
          <cell r="C775" t="str">
            <v>2019-01-28</v>
          </cell>
        </row>
        <row r="775">
          <cell r="K775">
            <v>10000</v>
          </cell>
        </row>
        <row r="775">
          <cell r="Q775" t="str">
            <v>冀东海天水泥闻喜有限公司</v>
          </cell>
        </row>
        <row r="776">
          <cell r="A776" t="str">
            <v>11</v>
          </cell>
        </row>
        <row r="776">
          <cell r="C776" t="str">
            <v>2019-02-15</v>
          </cell>
        </row>
        <row r="776">
          <cell r="K776">
            <v>3000</v>
          </cell>
        </row>
        <row r="776">
          <cell r="Q776" t="str">
            <v>贵州中诚水泥有限公司</v>
          </cell>
        </row>
        <row r="777">
          <cell r="A777" t="str">
            <v>10</v>
          </cell>
        </row>
        <row r="777">
          <cell r="C777" t="str">
            <v>2018-06-04</v>
          </cell>
        </row>
        <row r="777">
          <cell r="K777">
            <v>15000</v>
          </cell>
        </row>
        <row r="777">
          <cell r="Q777" t="str">
            <v>德州中联大坝水泥有限公司</v>
          </cell>
        </row>
        <row r="778">
          <cell r="A778" t="str">
            <v>9</v>
          </cell>
        </row>
        <row r="778">
          <cell r="C778" t="str">
            <v>2019-03-15</v>
          </cell>
        </row>
        <row r="778">
          <cell r="K778">
            <v>10000</v>
          </cell>
        </row>
        <row r="778">
          <cell r="Q778" t="str">
            <v>河钢股份有限公司邯郸分公司</v>
          </cell>
        </row>
        <row r="779">
          <cell r="A779" t="str">
            <v>8</v>
          </cell>
        </row>
        <row r="779">
          <cell r="C779" t="str">
            <v>2019-02-20</v>
          </cell>
        </row>
        <row r="779">
          <cell r="K779">
            <v>1000</v>
          </cell>
        </row>
        <row r="779">
          <cell r="Q779" t="str">
            <v>云南丽江西南水泥有限公司</v>
          </cell>
        </row>
        <row r="780">
          <cell r="A780" t="str">
            <v>7</v>
          </cell>
        </row>
        <row r="780">
          <cell r="C780" t="str">
            <v>2019-04-02</v>
          </cell>
        </row>
        <row r="780">
          <cell r="K780">
            <v>5000</v>
          </cell>
        </row>
        <row r="780">
          <cell r="Q780" t="str">
            <v>达州利森水泥有限公司</v>
          </cell>
        </row>
        <row r="781">
          <cell r="A781" t="str">
            <v>6</v>
          </cell>
        </row>
        <row r="781">
          <cell r="C781" t="str">
            <v>2018-10-20</v>
          </cell>
        </row>
        <row r="781">
          <cell r="K781">
            <v>3000</v>
          </cell>
        </row>
        <row r="781">
          <cell r="Q781" t="str">
            <v>新安中联万基水泥有限公司</v>
          </cell>
        </row>
        <row r="782">
          <cell r="A782" t="str">
            <v>5</v>
          </cell>
        </row>
        <row r="782">
          <cell r="C782" t="str">
            <v>2018-01-13</v>
          </cell>
        </row>
        <row r="782">
          <cell r="K782">
            <v>2000</v>
          </cell>
        </row>
        <row r="782">
          <cell r="Q782" t="str">
            <v>永登祁连山水泥有限公司</v>
          </cell>
        </row>
        <row r="783">
          <cell r="A783" t="str">
            <v>4</v>
          </cell>
        </row>
        <row r="783">
          <cell r="C783" t="str">
            <v>2018-12-12</v>
          </cell>
        </row>
        <row r="783">
          <cell r="K783">
            <v>8000</v>
          </cell>
        </row>
        <row r="783">
          <cell r="Q783" t="str">
            <v>民和祁连山水泥有限公司</v>
          </cell>
        </row>
        <row r="784">
          <cell r="A784" t="str">
            <v>3</v>
          </cell>
        </row>
        <row r="784">
          <cell r="C784" t="str">
            <v>2018-11-10</v>
          </cell>
        </row>
        <row r="784">
          <cell r="K784">
            <v>20000</v>
          </cell>
        </row>
        <row r="784">
          <cell r="Q784" t="str">
            <v>韩城尧柏阳山庄水泥有限公司</v>
          </cell>
        </row>
        <row r="785">
          <cell r="A785" t="str">
            <v>2</v>
          </cell>
        </row>
        <row r="785">
          <cell r="C785" t="str">
            <v>2018-01-24</v>
          </cell>
        </row>
        <row r="785">
          <cell r="K785">
            <v>7000</v>
          </cell>
        </row>
        <row r="785">
          <cell r="Q785" t="str">
            <v>逸盛大化石化有限公司</v>
          </cell>
        </row>
        <row r="786">
          <cell r="A786" t="str">
            <v>1</v>
          </cell>
        </row>
        <row r="786">
          <cell r="C786" t="str">
            <v>2017-06-01</v>
          </cell>
        </row>
        <row r="786">
          <cell r="K786">
            <v>10000</v>
          </cell>
        </row>
        <row r="786">
          <cell r="Q786" t="str">
            <v>江苏沙钢集团有限公司</v>
          </cell>
        </row>
      </sheetData>
      <sheetData sheetId="1" refreshError="1"/>
      <sheetData sheetId="2"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5721.7219907407" refreshedBy="Administrator" recordCount="0">
  <cacheSource type="worksheet">
    <worksheetSource ref="A2:X948" sheet="保证金登记"/>
  </cacheSource>
  <cacheFields count="24">
    <cacheField name="序号" numFmtId="0">
      <sharedItems containsSemiMixedTypes="0" containsString="0" containsNumber="1" containsInteger="1" minValue="0" maxValue="947" count="946">
        <n v="182"/>
        <n v="183"/>
        <n v="184"/>
        <n v="186"/>
        <n v="187"/>
        <n v="188"/>
        <n v="185"/>
        <n v="189"/>
        <n v="1"/>
        <n v="190"/>
        <n v="5"/>
        <n v="2"/>
        <n v="10"/>
        <n v="15"/>
        <n v="6"/>
        <n v="19"/>
        <n v="3"/>
        <n v="4"/>
        <n v="12"/>
        <n v="11"/>
        <n v="8"/>
        <n v="14"/>
        <n v="13"/>
        <n v="9"/>
        <n v="7"/>
        <n v="16"/>
        <n v="194"/>
        <n v="343"/>
        <n v="17"/>
        <n v="18"/>
        <n v="20"/>
        <n v="21"/>
        <n v="22"/>
        <n v="23"/>
        <n v="24"/>
        <n v="25"/>
        <n v="27"/>
        <n v="26"/>
        <n v="28"/>
        <n v="29"/>
        <n v="30"/>
        <n v="31"/>
        <n v="342"/>
        <n v="32"/>
        <n v="33"/>
        <n v="34"/>
        <n v="35"/>
        <n v="36"/>
        <n v="37"/>
        <n v="38"/>
        <n v="39"/>
        <n v="40"/>
        <n v="41"/>
        <n v="43"/>
        <n v="44"/>
        <n v="42"/>
        <n v="45"/>
        <n v="191"/>
        <n v="46"/>
        <n v="47"/>
        <n v="193"/>
        <n v="48"/>
        <n v="50"/>
        <n v="49"/>
        <n v="51"/>
        <n v="52"/>
        <n v="73"/>
        <n v="53"/>
        <n v="54"/>
        <n v="195"/>
        <n v="55"/>
        <n v="344"/>
        <n v="56"/>
        <n v="57"/>
        <n v="196"/>
        <n v="58"/>
        <n v="59"/>
        <n v="60"/>
        <n v="61"/>
        <n v="62"/>
        <n v="63"/>
        <n v="197"/>
        <n v="64"/>
        <n v="65"/>
        <n v="66"/>
        <n v="68"/>
        <n v="67"/>
        <n v="69"/>
        <n v="70"/>
        <n v="71"/>
        <n v="72"/>
        <n v="74"/>
        <n v="75"/>
        <n v="76"/>
        <n v="77"/>
        <n v="78"/>
        <n v="198"/>
        <n v="199"/>
        <n v="200"/>
        <n v="201"/>
        <n v="202"/>
        <n v="203"/>
        <n v="204"/>
        <n v="205"/>
        <n v="79"/>
        <n v="80"/>
        <n v="81"/>
        <n v="192"/>
        <n v="82"/>
        <n v="83"/>
        <n v="345"/>
        <n v="84"/>
        <n v="85"/>
        <n v="206"/>
        <n v="86"/>
        <n v="113"/>
        <n v="207"/>
        <n v="208"/>
        <n v="209"/>
        <n v="87"/>
        <n v="88"/>
        <n v="210"/>
        <n v="89"/>
        <n v="90"/>
        <n v="211"/>
        <n v="91"/>
        <n v="92"/>
        <n v="212"/>
        <n v="93"/>
        <n v="346"/>
        <n v="94"/>
        <n v="95"/>
        <n v="96"/>
        <n v="213"/>
        <n v="103"/>
        <n v="97"/>
        <n v="98"/>
        <n v="99"/>
        <n v="214"/>
        <n v="100"/>
        <n v="101"/>
        <n v="102"/>
        <n v="347"/>
        <n v="112"/>
        <n v="104"/>
        <n v="105"/>
        <n v="106"/>
        <n v="107"/>
        <n v="108"/>
        <n v="109"/>
        <n v="110"/>
        <n v="111"/>
        <n v="215"/>
        <n v="114"/>
        <n v="115"/>
        <n v="348"/>
        <n v="116"/>
        <n v="117"/>
        <n v="118"/>
        <n v="216"/>
        <n v="217"/>
        <n v="119"/>
        <n v="120"/>
        <n v="218"/>
        <n v="219"/>
        <n v="121"/>
        <n v="220"/>
        <n v="122"/>
        <n v="123"/>
        <n v="221"/>
        <n v="349"/>
        <n v="124"/>
        <n v="222"/>
        <n v="223"/>
        <n v="224"/>
        <n v="125"/>
        <n v="350"/>
        <n v="225"/>
        <n v="126"/>
        <n v="361"/>
        <n v="127"/>
        <n v="226"/>
        <n v="128"/>
        <n v="129"/>
        <n v="227"/>
        <n v="362"/>
        <n v="228"/>
        <n v="229"/>
        <n v="230"/>
        <n v="231"/>
        <n v="232"/>
        <n v="233"/>
        <n v="363"/>
        <n v="364"/>
        <n v="365"/>
        <n v="130"/>
        <n v="366"/>
        <n v="367"/>
        <n v="234"/>
        <n v="235"/>
        <n v="368"/>
        <n v="369"/>
        <n v="370"/>
        <n v="237"/>
        <n v="371"/>
        <n v="236"/>
        <n v="131"/>
        <n v="238"/>
        <n v="239"/>
        <n v="240"/>
        <n v="341"/>
        <n v="241"/>
        <n v="242"/>
        <n v="372"/>
        <n v="373"/>
        <n v="243"/>
        <n v="351"/>
        <n v="374"/>
        <n v="132"/>
        <n v="244"/>
        <n v="133"/>
        <n v="134"/>
        <n v="245"/>
        <n v="135"/>
        <n v="136"/>
        <n v="137"/>
        <n v="246"/>
        <n v="247"/>
        <n v="248"/>
        <n v="375"/>
        <n v="376"/>
        <n v="138"/>
        <n v="249"/>
        <n v="250"/>
        <n v="251"/>
        <n v="377"/>
        <n v="378"/>
        <n v="379"/>
        <n v="252"/>
        <n v="253"/>
        <n v="254"/>
        <n v="380"/>
        <n v="381"/>
        <n v="255"/>
        <n v="256"/>
        <n v="257"/>
        <n v="258"/>
        <n v="259"/>
        <n v="260"/>
        <n v="261"/>
        <n v="262"/>
        <n v="263"/>
        <n v="382"/>
        <n v="139"/>
        <n v="264"/>
        <n v="265"/>
        <n v="266"/>
        <n v="267"/>
        <n v="268"/>
        <n v="383"/>
        <n v="384"/>
        <n v="385"/>
        <n v="269"/>
        <n v="140"/>
        <n v="270"/>
        <n v="271"/>
        <n v="272"/>
        <n v="386"/>
        <n v="387"/>
        <n v="273"/>
        <n v="274"/>
        <n v="275"/>
        <n v="276"/>
        <n v="277"/>
        <n v="278"/>
        <n v="279"/>
        <n v="141"/>
        <n v="280"/>
        <n v="281"/>
        <n v="388"/>
        <n v="143"/>
        <n v="144"/>
        <n v="282"/>
        <n v="283"/>
        <n v="389"/>
        <n v="284"/>
        <n v="285"/>
        <n v="142"/>
        <n v="286"/>
        <n v="287"/>
        <n v="288"/>
        <n v="289"/>
        <n v="290"/>
        <n v="291"/>
        <n v="145"/>
        <n v="352"/>
        <n v="146"/>
        <n v="292"/>
        <n v="293"/>
        <n v="294"/>
        <n v="295"/>
        <n v="316"/>
        <n v="390"/>
        <n v="147"/>
        <n v="296"/>
        <n v="148"/>
        <n v="297"/>
        <n v="298"/>
        <n v="149"/>
        <n v="150"/>
        <n v="299"/>
        <n v="300"/>
        <n v="301"/>
        <n v="353"/>
        <n v="302"/>
        <n v="303"/>
        <n v="151"/>
        <n v="354"/>
        <n v="304"/>
        <n v="152"/>
        <n v="391"/>
        <n v="153"/>
        <n v="154"/>
        <n v="156"/>
        <n v="155"/>
        <n v="157"/>
        <n v="305"/>
        <n v="392"/>
        <n v="393"/>
        <n v="306"/>
        <n v="307"/>
        <n v="158"/>
        <n v="159"/>
        <n v="308"/>
        <n v="394"/>
        <n v="160"/>
        <n v="161"/>
        <n v="162"/>
        <n v="309"/>
        <n v="310"/>
        <n v="408"/>
        <n v="163"/>
        <n v="395"/>
        <n v="311"/>
        <n v="396"/>
        <n v="165"/>
        <n v="312"/>
        <n v="164"/>
        <n v="166"/>
        <n v="313"/>
        <n v="167"/>
        <n v="397"/>
        <n v="168"/>
        <n v="169"/>
        <n v="170"/>
        <n v="355"/>
        <n v="356"/>
        <n v="314"/>
        <n v="315"/>
        <n v="317"/>
        <n v="398"/>
        <n v="399"/>
        <n v="171"/>
        <n v="318"/>
        <n v="400"/>
        <n v="319"/>
        <n v="320"/>
        <n v="321"/>
        <n v="323"/>
        <n v="324"/>
        <n v="325"/>
        <n v="326"/>
        <n v="401"/>
        <n v="327"/>
        <n v="328"/>
        <n v="402"/>
        <n v="403"/>
        <n v="329"/>
        <n v="404"/>
        <n v="330"/>
        <n v="331"/>
        <n v="332"/>
        <n v="357"/>
        <n v="405"/>
        <n v="406"/>
        <n v="333"/>
        <n v="334"/>
        <n v="407"/>
        <n v="335"/>
        <n v="172"/>
        <n v="336"/>
        <n v="337"/>
        <n v="173"/>
        <n v="358"/>
        <n v="359"/>
        <n v="360"/>
        <n v="338"/>
        <n v="174"/>
        <n v="175"/>
        <n v="176"/>
        <n v="177"/>
        <n v="409"/>
        <n v="178"/>
        <n v="179"/>
        <n v="322"/>
        <n v="410"/>
        <n v="339"/>
        <n v="180"/>
        <n v="340"/>
        <n v="411"/>
        <n v="181"/>
        <n v="412"/>
        <n v="413"/>
        <n v="414"/>
        <n v="415"/>
        <n v="416"/>
        <n v="417"/>
        <n v="418"/>
        <n v="419"/>
        <n v="420"/>
        <n v="421"/>
        <n v="422"/>
        <n v="423"/>
        <n v="424"/>
        <n v="425"/>
        <n v="427"/>
        <n v="426"/>
        <n v="428"/>
        <n v="429"/>
        <n v="430"/>
        <n v="433"/>
        <n v="431"/>
        <n v="432"/>
        <n v="434"/>
        <n v="435"/>
        <n v="436"/>
        <n v="437"/>
        <n v="438"/>
        <n v="439"/>
        <n v="440"/>
        <n v="441"/>
        <n v="442"/>
        <n v="443"/>
        <n v="444"/>
        <n v="445"/>
        <n v="446"/>
        <n v="447"/>
        <n v="448"/>
        <n v="449"/>
        <n v="450"/>
        <n v="451"/>
        <n v="452"/>
        <n v="453"/>
        <n v="454"/>
        <n v="455"/>
        <n v="456"/>
        <n v="457"/>
        <n v="458"/>
        <n v="459"/>
        <n v="461"/>
        <n v="462"/>
        <n v="463"/>
        <n v="464"/>
        <n v="465"/>
        <n v="460"/>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5"/>
        <n v="686"/>
        <n v="683"/>
        <n v="684"/>
        <n v="687"/>
        <n v="688"/>
        <n v="689"/>
        <n v="690"/>
        <n v="691"/>
        <n v="693"/>
        <n v="694"/>
        <n v="695"/>
        <n v="696"/>
        <n v="697"/>
        <n v="698"/>
        <n v="699"/>
        <n v="700"/>
        <n v="706"/>
        <n v="701"/>
        <n v="702"/>
        <n v="703"/>
        <n v="704"/>
        <n v="705"/>
        <n v="692"/>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sharedItems>
    </cacheField>
    <cacheField name="编号" numFmtId="0">
      <sharedItems count="945">
        <s v="BZJ-0001"/>
        <s v="BZJ-0002"/>
        <s v="BZJ-0003"/>
        <s v="BZJ-0004"/>
        <s v="BZJ-0005"/>
        <s v="BZJ-0006"/>
        <s v="BZJ-0007"/>
        <s v="BZJ-0008"/>
        <s v="BZJ-0009"/>
        <s v="BZJ-0010"/>
        <s v="BZJ-0011"/>
        <s v="BZJ-0012"/>
        <s v="BZJ-0013"/>
        <s v="BZJ-0014"/>
        <s v="BZJ-0015"/>
        <s v="BZJ-0016"/>
        <s v="BZJ-0017"/>
        <s v="BZJ-0018"/>
        <s v="BZJ-0019"/>
        <s v="BZJ-0020"/>
        <s v="BZJ-0021"/>
        <s v="BZJ-0022"/>
        <s v="BZJ-0023"/>
        <s v="BZJ-0024"/>
        <s v="BZJ-0025"/>
        <s v="BZJ-0026"/>
        <s v="BZJ-0027"/>
        <s v="BZJ-0028"/>
        <s v="BZJ-0029"/>
        <s v="BZJ-0030"/>
        <s v="BZJ-0031"/>
        <s v="BZJ-0032"/>
        <s v="BZJ-0033"/>
        <s v="BZJ-0034"/>
        <s v="BZJ-0035"/>
        <s v="BZJ-0036"/>
        <s v="BZJ-0037"/>
        <s v="BZJ-0038"/>
        <s v="BZJ-0039"/>
        <s v="BZJ-0040"/>
        <s v="BZJ-0041"/>
        <s v="BZJ-0042"/>
        <s v="BZJ-0043"/>
        <s v="BZJ-0044"/>
        <s v="BZJ-0045"/>
        <s v="BZJ-0046"/>
        <s v="BZJ-0047"/>
        <s v="BZJ-0048"/>
        <s v="BZJ-0049"/>
        <s v="BZJ-0050"/>
        <s v="BZJ-0051"/>
        <s v="BZJ-0052"/>
        <s v="BZJ-0053"/>
        <s v="BZJ-0054"/>
        <s v="BZJ-0055"/>
        <s v="BZJ-0056"/>
        <s v="BZJ-0057"/>
        <s v="BZJ-0058"/>
        <s v="BZJ-0059"/>
        <s v="BZJ-0060"/>
        <s v="BZJ-0061"/>
        <s v="BZJ-0062"/>
        <s v="BZJ-0063"/>
        <s v="BZJ-0064"/>
        <s v="BZJ-0065"/>
        <s v="BZJ-0066"/>
        <s v="BZJ-0067"/>
        <s v="BZJ-0068"/>
        <s v="BZJ-0069"/>
        <s v="BZJ-0070"/>
        <s v="BZJ-0071"/>
        <s v="BZJ-0072"/>
        <s v="BZJ-0073"/>
        <s v="BZJ-0074"/>
        <s v="BZJ-0075"/>
        <s v="BZJ-0076"/>
        <s v="BZJ-0077"/>
        <s v="BZJ-0078"/>
        <s v="BZJ-0079"/>
        <s v="BZJ-0080"/>
        <s v="BZJ-0081"/>
        <s v="BZJ-0082"/>
        <s v="BZJ-0083"/>
        <s v="BZJ-0084"/>
        <s v="BZJ-0085"/>
        <s v="BZJ-0086"/>
        <s v="BZJ-0087"/>
        <s v="BZJ-0088"/>
        <s v="BZJ-0089"/>
        <s v="BZJ-0090"/>
        <s v="BZJ-0091"/>
        <s v="BZJ-0092"/>
        <s v="BZJ-0093"/>
        <s v="BZJ-0094"/>
        <s v="BZJ-0095"/>
        <s v="BZJ-0096"/>
        <s v="BZJ-0097"/>
        <s v="BZJ-0098"/>
        <s v="BZJ-0099"/>
        <s v="BZJ-0100"/>
        <s v="BZJ-0101"/>
        <s v="BZJ-0102"/>
        <s v="BZJ-0103"/>
        <s v="BZJ-0104"/>
        <s v="BZJ-0105"/>
        <s v="BZJ-0106"/>
        <s v="BZJ-0107"/>
        <s v="BZJ-0108"/>
        <s v="BZJ-0109"/>
        <s v="BZJ-0110"/>
        <s v="BZJ-0111"/>
        <s v="BZJ-0112"/>
        <s v="BZJ-0113"/>
        <s v="BZJ-0114"/>
        <s v="BZJ-0115"/>
        <s v="BZJ-0116"/>
        <s v="BZJ-0117"/>
        <s v="BZJ-0118"/>
        <s v="BZJ-0119"/>
        <s v="BZJ-0120"/>
        <s v="BZJ-0121"/>
        <s v="BZJ-0122"/>
        <s v="BZJ-0123"/>
        <s v="BZJ-0124"/>
        <s v="BZJ-0125"/>
        <s v="BZJ-0126"/>
        <s v="BZJ-0127"/>
        <s v="BZJ-0128"/>
        <s v="BZJ-0129"/>
        <s v="BZJ-0130"/>
        <s v="BZJ-0131"/>
        <s v="BZJ-0132"/>
        <s v="BZJ-0133"/>
        <s v="BZJ-0134"/>
        <s v="BZJ-0135"/>
        <s v="BZJ-0136"/>
        <s v="BZJ-0137"/>
        <s v="BZJ-0138"/>
        <s v="BZJ-0139"/>
        <s v="BZJ-0140"/>
        <s v="BZJ-0141"/>
        <s v="BZJ-0142"/>
        <s v="BZJ-0143"/>
        <s v="BZJ-0144"/>
        <s v="BZJ-0145"/>
        <s v="BZJ-0146"/>
        <s v="BZJ-0147"/>
        <s v="BZJ-0148"/>
        <s v="BZJ-0149"/>
        <s v="BZJ-0150"/>
        <s v="BZJ-0151"/>
        <s v="BZJ-0152"/>
        <s v="BZJ-0153"/>
        <s v="BZJ-0154"/>
        <s v="BZJ-0155"/>
        <s v="BZJ-0156"/>
        <s v="BZJ-0157"/>
        <s v="BZJ-0158"/>
        <s v="BZJ-0159"/>
        <s v="BZJ-0160"/>
        <s v="BZJ-0161"/>
        <s v="BZJ-0162"/>
        <s v="BZJ-0163"/>
        <s v="BZJ-0164"/>
        <s v="BZJ-0165"/>
        <s v="BZJ-0166"/>
        <s v="BZJ-0167"/>
        <s v="BZJ-0168"/>
        <s v="BZJ-0169"/>
        <s v="BZJ-0170"/>
        <s v="BZJ-0171"/>
        <s v="BZJ-0172"/>
        <s v="BZJ-0173"/>
        <s v="BZJ-0174"/>
        <s v="BZJ-0175"/>
        <s v="BZJ-0176"/>
        <s v="BZJ-0177"/>
        <s v="BZJ-0178"/>
        <s v="BZJ-0179"/>
        <s v="BZJ-0180"/>
        <s v="BZJ-0181"/>
        <s v="BZJ-0182"/>
        <s v="BZJ-0183"/>
        <s v="BZJ-0184"/>
        <s v="BZJ-0185"/>
        <s v="BZJ-0186"/>
        <s v="BZJ-0187"/>
        <s v="BZJ-0188"/>
        <s v="BZJ-0189"/>
        <s v="BZJ-0190"/>
        <s v="BZJ-0191"/>
        <s v="BZJ-0192"/>
        <s v="BZJ-0193"/>
        <s v="BZJ-0194"/>
        <s v="BZJ-0195"/>
        <s v="BZJ-0196"/>
        <s v="BZJ-0197"/>
        <s v="BZJ-0198"/>
        <s v="BZJ-0199"/>
        <s v="BZJ-0200"/>
        <s v="BZJ-0201"/>
        <s v="BZJ-0202"/>
        <s v="BZJ-0203"/>
        <s v="BZJ-0204"/>
        <s v="BZJ-0205"/>
        <s v="BZJ-0206"/>
        <s v="BZJ-0207"/>
        <s v="BZJ-0208"/>
        <s v="BZJ-0209"/>
        <s v="BZJ-0210"/>
        <s v="BZJ-0211"/>
        <s v="BZJ-0212"/>
        <s v="BZJ-0213"/>
        <s v="BZJ-0214"/>
        <s v="BZJ-0215"/>
        <s v="BZJ-0216"/>
        <s v="BZJ-0217"/>
        <s v="BZJ-0218"/>
        <s v="BZJ-0219"/>
        <s v="BZJ-0220"/>
        <s v="BZJ-0221"/>
        <s v="BZJ-0222"/>
        <s v="BZJ-0223"/>
        <s v="BZJ-0224"/>
        <s v="BZJ-0225"/>
        <s v="BZJ-0226"/>
        <s v="BZJ-0227"/>
        <s v="BZJ-0228"/>
        <s v="BZJ-0229"/>
        <s v="BZJ-0230"/>
        <s v="BZJ-0231"/>
        <s v="BZJ-0232"/>
        <s v="BZJ-0233"/>
        <s v="BZJ-0234"/>
        <s v="BZJ-0235"/>
        <s v="BZJ-0236"/>
        <s v="BZJ-0237"/>
        <s v="BZJ-0238"/>
        <s v="BZJ-0239"/>
        <s v="BZJ-0240"/>
        <s v="BZJ-0241"/>
        <s v="BZJ-0242"/>
        <s v="BZJ-0243"/>
        <s v="BZJ-0244"/>
        <s v="BZJ-0245"/>
        <s v="BZJ-0246"/>
        <s v="BZJ-0247"/>
        <s v="BZJ-0248"/>
        <s v="BZJ-0249"/>
        <s v="BZJ-0250"/>
        <s v="BZJ-0251"/>
        <s v="BZJ-0252"/>
        <s v="BZJ-0253"/>
        <s v="BZJ-0254"/>
        <s v="BZJ-0255"/>
        <s v="BZJ-0256"/>
        <s v="BZJ-0257"/>
        <s v="BZJ-0258"/>
        <s v="BZJ-0259"/>
        <s v="BZJ-0260"/>
        <s v="BZJ-0261"/>
        <s v="BZJ-0262"/>
        <s v="BZJ-0263"/>
        <s v="BZJ-0264"/>
        <s v="BZJ-0265"/>
        <s v="BZJ-0266"/>
        <s v="BZJ-0267"/>
        <s v="BZJ-0268"/>
        <s v="BZJ-0269"/>
        <s v="BZJ-0270"/>
        <s v="BZJ-0271"/>
        <s v="BZJ-0272"/>
        <s v="BZJ-0273"/>
        <s v="BZJ-0274"/>
        <s v="BZJ-0275"/>
        <s v="BZJ-0276"/>
        <s v="BZJ-0277"/>
        <s v="BZJ-0278"/>
        <s v="BZJ-0279"/>
        <s v="BZJ-0280"/>
        <s v="BZJ-0281"/>
        <s v="BZJ-0282"/>
        <s v="BZJ-0283"/>
        <s v="BZJ-0284"/>
        <s v="BZJ-0285"/>
        <s v="BZJ-0286"/>
        <s v="BZJ-0287"/>
        <s v="BZJ-0288"/>
        <s v="BZJ-0289"/>
        <s v="BZJ-0290"/>
        <s v="BZJ-0291"/>
        <s v="BZJ-0292"/>
        <s v="BZJ-0293"/>
        <s v="BZJ-0294"/>
        <s v="BZJ-0295"/>
        <s v="BZJ-0296"/>
        <s v="BZJ-0297"/>
        <s v="BZJ-0298"/>
        <s v="BZJ-0299"/>
        <s v="BZJ-0300"/>
        <s v="BZJ-0301"/>
        <s v="BZJ-0302"/>
        <s v="BZJ-0303"/>
        <s v="BZJ-0304"/>
        <s v="BZJ-0305"/>
        <s v="BZJ-0306"/>
        <s v="BZJ-0307"/>
        <s v="BZJ-0308"/>
        <s v="BZJ-0309"/>
        <s v="BZJ-0310"/>
        <s v="BZJ-0311"/>
        <s v="BZJ-0312"/>
        <s v="BZJ-0313"/>
        <s v="BZJ-0314"/>
        <s v="BZJ-0315"/>
        <s v="BZJ-0316"/>
        <s v="BZJ-0317"/>
        <s v="BZJ-0318"/>
        <s v="BZJ-0319"/>
        <s v="BZJ-0320"/>
        <s v="BZJ-0321"/>
        <s v="BZJ-0322"/>
        <s v="BZJ-0323"/>
        <s v="BZJ-0324"/>
        <s v="BZJ-0325"/>
        <s v="BZJ-0326"/>
        <s v="BZJ-0327"/>
        <s v="BZJ-0328"/>
        <s v="BZJ-0329"/>
        <s v="BZJ-0330"/>
        <s v="BZJ-0331"/>
        <s v="BZJ-0332"/>
        <s v="BZJ-0333"/>
        <s v="BZJ-0334"/>
        <s v="BZJ-0335"/>
        <s v="BZJ-0336"/>
        <s v="BZJ-0337"/>
        <s v="BZJ-0338"/>
        <s v="BZJ-0339"/>
        <s v="BZJ-0340"/>
        <s v="BZJ-0341"/>
        <s v="BZJ-0342"/>
        <s v="BZJ-0343"/>
        <s v="BZJ-0344"/>
        <s v="BZJ-0345"/>
        <s v="BZJ-0346"/>
        <s v="BZJ-0347"/>
        <s v="BZJ-0348"/>
        <s v="BZJ-0349"/>
        <s v="BZJ-0350"/>
        <s v="BZJ-0351"/>
        <s v="BZJ-0352"/>
        <s v="BZJ-0353"/>
        <s v="BZJ-0354"/>
        <s v="BZJ-0355"/>
        <s v="BZJ-0356"/>
        <s v="BZJ-0357"/>
        <s v="BZJ-0358"/>
        <s v="BZJ-0359"/>
        <s v="BZJ-0360"/>
        <s v="BZJ-0361"/>
        <s v="BZJ-0362"/>
        <s v="BZJ-0363"/>
        <s v="BZJ-0364"/>
        <s v="BZJ-0365"/>
        <s v="BZJ-0366"/>
        <s v="BZJ-0367"/>
        <s v="BZJ-0368"/>
        <s v="BZJ-0369"/>
        <s v="BZJ-0370"/>
        <s v="BZJ-0371"/>
        <s v="BZJ-0372"/>
        <s v="BZJ-0373"/>
        <s v="BZJ-0374"/>
        <s v="BZJ-0375"/>
        <s v="BZJ-0376"/>
        <s v="BZJ-0377"/>
        <s v="BZJ-0378"/>
        <s v="BZJ-0379"/>
        <s v="BZJ-0380"/>
        <s v="BZJ-0381"/>
        <s v="BZJ-0382"/>
        <s v="BZJ-0383"/>
        <s v="BZJ-0384"/>
        <s v="BZJ-0385"/>
        <s v="BZJ-0386"/>
        <s v="BZJ-0387"/>
        <s v="BZJ-0388"/>
        <s v="BZJ-0389"/>
        <s v="BZJ-0390"/>
        <s v="BZJ-0391"/>
        <s v="BZJ-0392"/>
        <s v="BZJ-0393"/>
        <s v="BZJ-0394"/>
        <s v="BZJ-0395"/>
        <s v="BZJ-0396"/>
        <s v="BZJ-0397"/>
        <s v="BZJ-0398"/>
        <s v="BZJ-0399"/>
        <s v="BZJ-0400"/>
        <s v="BZJ-0401"/>
        <s v="BZJ-0402"/>
        <s v="BZJ-0403"/>
        <s v="BZJ-0404"/>
        <s v="BZJ-0405"/>
        <s v="BZJ-0406"/>
        <s v="BZJ-0407"/>
        <s v="BZJ-0408"/>
        <s v="BZJ-0409"/>
        <s v="BZJ-0410"/>
        <s v="BZJ-0411"/>
        <s v="BZJ-0412"/>
        <s v="BZJ-0413"/>
        <s v="BZJ-0414"/>
        <s v="BZJ-0415"/>
        <s v="BZJ-0416"/>
        <s v="BZJ-0417"/>
        <s v="BZJ-0418"/>
        <s v="BZJ-0419"/>
        <s v="BZJ-0420"/>
        <s v="BZJ-0421"/>
        <s v="BZJ-0422"/>
        <s v="BZJ-0423"/>
        <s v="BZJ-0424"/>
        <s v="BZJ-0425"/>
        <s v="BZJ-0426"/>
        <s v="BZJ-0427"/>
        <s v="BZJ-0428"/>
        <s v="BZJ-0429"/>
        <s v="BZJ-0430"/>
        <s v="BZJ-0431"/>
        <s v="BZJ-0432"/>
        <s v="BZJ-0433"/>
        <s v="BZJ-0434"/>
        <s v="BZJ-0435"/>
        <s v="BZJ-0436"/>
        <s v="BZJ-0437"/>
        <s v="BZJ-0438"/>
        <s v="BZJ-0439"/>
        <s v="BZJ-0440"/>
        <s v="BZJ-0441"/>
        <s v="BZJ-0442"/>
        <s v="BZJ-0443"/>
        <s v="BZJ-0444"/>
        <s v="BZJ-0445"/>
        <s v="BZJ-0446"/>
        <s v="BZJ-0447"/>
        <s v="BZJ-0448"/>
        <s v="BZJ-0449"/>
        <s v="BZJ-0450"/>
        <s v="BZJ-0451"/>
        <s v="BZJ-0452"/>
        <s v="BZJ-0453"/>
        <s v="BZJ-0454"/>
        <s v="BZJ-0455"/>
        <s v="BZJ-0456"/>
        <s v="BZJ-0457"/>
        <s v="BZJ-0458"/>
        <s v="BZJ-0459"/>
        <s v="BZJ-0460"/>
        <s v="BZJ-0461"/>
        <s v="BZJ-0462"/>
        <s v="BZJ-0463"/>
        <s v="BZJ-0464"/>
        <s v="BZJ-0465"/>
        <s v="BZJ-0466"/>
        <s v="BZJ-0467"/>
        <s v="BZJ-0468"/>
        <s v="BZJ-0469"/>
        <s v="BZJ-0470"/>
        <s v="BZJ-0471"/>
        <s v="BZJ-0472"/>
        <s v="BZJ-0473"/>
        <s v="BZJ-0474"/>
        <s v="BZJ-0475"/>
        <s v="BZJ-0476"/>
        <s v="BZJ-0477"/>
        <s v="BZJ-0478"/>
        <s v="BZJ-0479"/>
        <s v="BZJ-0480"/>
        <s v="BZJ-0481"/>
        <s v="BZJ-0482"/>
        <s v="BZJ-0483"/>
        <s v="BZJ-0484"/>
        <s v="BZJ-0485"/>
        <s v="BZJ-0486"/>
        <s v="BZJ-0487"/>
        <s v="BZJ-0488"/>
        <s v="BZJ-0489"/>
        <s v="BZJ-0490"/>
        <s v="BZJ-0491"/>
        <s v="BZJ-0492"/>
        <s v="BZJ-0493"/>
        <s v="BZJ-0494"/>
        <s v="BZJ-0495"/>
        <s v="BZJ-0496"/>
        <s v="BZJ-0497"/>
        <s v="BZJ-0498"/>
        <s v="BZJ-0499"/>
        <s v="BZJ-0500"/>
        <s v="BZJ-0501"/>
        <s v="BZJ-0502"/>
        <s v="BZJ-0503"/>
        <s v="BZJ-0504"/>
        <s v="BZJ-0505"/>
        <s v="BZJ-0506"/>
        <s v="BZJ-0507"/>
        <s v="BZJ-0508"/>
        <s v="BZJ-0509"/>
        <s v="BZJ-0510"/>
        <s v="BZJ-0511"/>
        <s v="BZJ-0512"/>
        <s v="BZJ-0513"/>
        <s v="BZJ-0514"/>
        <s v="BZJ-0515"/>
        <s v="BZJ-0516"/>
        <s v="BZJ-0517"/>
        <s v="BZJ-0518"/>
        <s v="BZJ-0519"/>
        <s v="BZJ-0520"/>
        <s v="BZJ-0521"/>
        <s v="BZJ-0522"/>
        <s v="BZJ-0523"/>
        <s v="BZJ-0524"/>
        <s v="BZJ-0525"/>
        <s v="BZJ-0526"/>
        <s v="BZJ-0527"/>
        <s v="BZJ-0528"/>
        <s v="BZJ-0529"/>
        <s v="BZJ-0530"/>
        <s v="BZJ-0531"/>
        <s v="BZJ-0532"/>
        <s v="BZJ-0533"/>
        <s v="BZJ-0534"/>
        <s v="BZJ-0535"/>
        <s v="BZJ-0536"/>
        <s v="BZJ-0537"/>
        <s v="BZJ-0538"/>
        <s v="BZJ-0539"/>
        <s v="BZJ-0540"/>
        <s v="BZJ-0541"/>
        <s v="BZJ-0542"/>
        <s v="BZJ-0543"/>
        <s v="BZJ-0544"/>
        <s v="BZJ-0545"/>
        <s v="BZJ-0546"/>
        <s v="BZJ-0547"/>
        <s v="BZJ-0548"/>
        <s v="BZJ-0549"/>
        <s v="BZJ-0550"/>
        <s v="BZJ-0551"/>
        <s v="BZJ-0552"/>
        <s v="BZJ-0553"/>
        <s v="BZJ-0554"/>
        <s v="BZJ-0555"/>
        <s v="BZJ-0556"/>
        <s v="BZJ-0557"/>
        <s v="BZJ-0558"/>
        <s v="BZJ-0559"/>
        <s v="BZJ-0560"/>
        <s v="BZJ-0561"/>
        <s v="BZJ-0562"/>
        <s v="BZJ-0563"/>
        <s v="BZJ-0564"/>
        <s v="BZJ-0565"/>
        <s v="BZJ-0566"/>
        <s v="BZJ-0567"/>
        <s v="BZJ-0568"/>
        <s v="BZJ-0569"/>
        <s v="BZJ-0570"/>
        <s v="BZJ-0571"/>
        <s v="BZJ-0572"/>
        <s v="BZJ-0573"/>
        <s v="BZJ-0574"/>
        <s v="BZJ-0575"/>
        <s v="BZJ-0576"/>
        <s v="BZJ-0577"/>
        <s v="BZJ-0578"/>
        <s v="BZJ-0579"/>
        <s v="BZJ-0580"/>
        <s v="BZJ-0581"/>
        <s v="BZJ-0582"/>
        <s v="BZJ-0583"/>
        <s v="BZJ-0584"/>
        <s v="BZJ-0585"/>
        <s v="BZJ-0586"/>
        <s v="BZJ-0587"/>
        <s v="BZJ-0588"/>
        <s v="BZJ-0589"/>
        <s v="BZJ-0590"/>
        <s v="BZJ-0591"/>
        <s v="BZJ-0592"/>
        <s v="BZJ-0593"/>
        <s v="BZJ-0594"/>
        <s v="BZJ-0595"/>
        <s v="BZJ-0596"/>
        <s v="BZJ-0597"/>
        <s v="BZJ-0598"/>
        <s v="BZJ-0599"/>
        <s v="BZJ-0600"/>
        <s v="BZJ-0601"/>
        <s v="BZJ-0602"/>
        <s v="BZJ-0603"/>
        <s v="BZJ-0604"/>
        <s v="BZJ-0605"/>
        <s v="BZJ-0606"/>
        <s v="BZJ-0607"/>
        <s v="BZJ-0608"/>
        <s v="BZJ-0609"/>
        <s v="BZJ-0610"/>
        <s v="BZJ-0611"/>
        <s v="BZJ-0612"/>
        <s v="BZJ-0613"/>
        <s v="BZJ-0614"/>
        <s v="BZJ-0615"/>
        <s v="BZJ-0616"/>
        <s v="BZJ-0617"/>
        <s v="BZJ-0618"/>
        <s v="BZJ-0619"/>
        <s v="BZJ-0620"/>
        <s v="BZJ-0621"/>
        <s v="BZJ-0622"/>
        <s v="BZJ-0623"/>
        <s v="BZJ-0624"/>
        <s v="BZJ-0625"/>
        <s v="BZJ-0626"/>
        <s v="BZJ-0627"/>
        <s v="BZJ-0628"/>
        <s v="BZJ-0629"/>
        <s v="BZJ-0630"/>
        <s v="BZJ-0631"/>
        <s v="BZJ-0632"/>
        <s v="BZJ-0633"/>
        <s v="BZJ-0634"/>
        <s v="BZJ-0635"/>
        <s v="BZJ-0636"/>
        <s v="BZJ-0637"/>
        <s v="BZJ-0638"/>
        <s v="BZJ-0639"/>
        <s v="BZJ-0640"/>
        <s v="BZJ-0641"/>
        <s v="BZJ-0642"/>
        <s v="BZJ-0643"/>
        <s v="BZJ-0644"/>
        <s v="BZJ-0645"/>
        <s v="BZJ-0646"/>
        <s v="BZJ-0647"/>
        <s v="BZJ-0648"/>
        <s v="BZJ-0649"/>
        <s v="BZJ-0650"/>
        <s v="BZJ-0651"/>
        <s v="BZJ-0652"/>
        <s v="BZJ-0653"/>
        <s v="BZJ-0654"/>
        <s v="BZJ-0655"/>
        <s v="BZJ-0656"/>
        <s v="BZJ-0657"/>
        <s v="BZJ-0658"/>
        <s v="BZJ-0659"/>
        <s v="BZJ-0660"/>
        <s v="BZJ-0661"/>
        <s v="BZJ-0662"/>
        <s v="BZJ-0663"/>
        <s v="BZJ-0664"/>
        <s v="BZJ-0665"/>
        <s v="BZJ-0666"/>
        <s v="BZJ-0667"/>
        <s v="BZJ-0668"/>
        <s v="BZJ-0669"/>
        <s v="BZJ-0670"/>
        <s v="BZJ-0671"/>
        <s v="BZJ-0672"/>
        <s v="BZJ-0673"/>
        <s v="BZJ-0674"/>
        <s v="BZJ-0675"/>
        <s v="BZJ-0676"/>
        <s v="BZJ-0677"/>
        <s v="BZJ-0678"/>
        <s v="BZJ-0679"/>
        <s v="BZJ-0680"/>
        <s v="BZJ-0681"/>
        <s v="BZJ-0682"/>
        <s v="BZJ-0683"/>
        <s v="BZJ-0684"/>
        <s v="BZJ-0685"/>
        <s v="BZJ-0686"/>
        <s v="BZJ-0687"/>
        <s v="BZJ-0688"/>
        <s v="BZJ-0689"/>
        <s v="BZJ-0690"/>
        <s v="BZJ-0691"/>
        <s v="BZJ-0692"/>
        <s v="BZJ-0693"/>
        <s v="BZJ-0694"/>
        <s v="BZJ-0695"/>
        <s v="BZJ-0696"/>
        <s v="BZJ-0697"/>
        <s v="BZJ-0698"/>
        <s v="BZJ-0699"/>
        <s v="BZJ-0700"/>
        <s v="BZJ-0701"/>
        <s v="BZJ-0702"/>
        <s v="BZJ-0703"/>
        <s v="BZJ-0704"/>
        <s v="BZJ-0705"/>
        <s v="BZJ-0706"/>
        <s v="BZJ-0707"/>
        <s v="BZJ-0708"/>
        <s v="BZJ-0709"/>
        <s v="BZJ-0710"/>
        <s v="BZJ-0711"/>
        <s v="BZJ-0712"/>
        <s v="BZJ-0713"/>
        <s v="BZJ-0714"/>
        <s v="BZJ-0715"/>
        <s v="BZJ-0716"/>
        <s v="BZJ-0717"/>
        <s v="BZJ-0718"/>
        <s v="BZJ-0719"/>
        <s v="BZJ-0720"/>
        <s v="BZJ-0721"/>
        <s v="BZJ-0722"/>
        <s v="BZJ-0723"/>
        <s v="BZJ-0724"/>
        <s v="BZJ-0725"/>
        <s v="BZJ-0726"/>
        <s v="BZJ-0727"/>
        <s v="BZJ-0728"/>
        <s v="BZJ-0729"/>
        <s v="BZJ-0730"/>
        <s v="BZJ-0731"/>
        <s v="BZJ-0732"/>
        <s v="BZJ-0733"/>
        <s v="BZJ-0734"/>
        <s v="BZJ-0735"/>
        <s v="BZJ-0736"/>
        <s v="BZJ-0737"/>
        <s v="BZJ-0738"/>
        <s v="BZJ-0739"/>
        <s v="BZJ-0740"/>
        <s v="BZJ-0741"/>
        <s v="BZJ-0742"/>
        <s v="BZJ-0743"/>
        <s v="BZJ-0744"/>
        <s v="BZJ-0745"/>
        <s v="BZJ-0746"/>
        <s v="BZJ-0747"/>
        <s v="BZJ-0748"/>
        <s v="BZJ-0749"/>
        <s v="BZJ-0750"/>
        <s v="BZJ-0751"/>
        <s v="BZJ-0752"/>
        <s v="BZJ-0753"/>
        <s v="BZJ-0754"/>
        <s v="BZJ-0755"/>
        <s v="BZJ-0756"/>
        <s v="BZJ-0757"/>
        <s v="BZJ-0758"/>
        <s v="BZJ-0759"/>
        <s v="BZJ-0760"/>
        <s v="BZJ-0761"/>
        <s v="BZJ-0762"/>
        <s v="BZJ-0763"/>
        <s v="BZJ-0764"/>
        <s v="BZJ-0765"/>
        <s v="BZJ-0766"/>
        <s v="BZJSQ-20231221-0785"/>
        <s v="BZJSQ-20231222-0786"/>
        <s v="BZJSQ-20231222-0787"/>
        <s v="BZJSQ-20231222-0788"/>
        <s v="20231222-0017"/>
        <s v="20231222-0033"/>
        <s v="BZJSQ-20231225-0789"/>
        <s v="BZJSQ-20240102-0001"/>
        <s v="BZJSQ-20240103-0002"/>
        <s v="BZJSQ-20240105-0003"/>
        <s v="BZJSQ-20240108-0004"/>
        <s v="BZJSQ-20240109-0005"/>
        <s v="BZJSQ-20240109-0006"/>
        <s v="BZJSQ-20240109-0007"/>
        <s v="BZJSQ-20240109-0008"/>
        <s v="BZJSQ-20240112-0009"/>
        <s v="BZJSQ-20240115-0010"/>
        <s v="BZJSQ-20240115-0011"/>
        <s v="BZJSQ-20240116-0012"/>
        <s v="BZJSQ-20240116-0013"/>
        <s v="BZJSQ-20240116-0014"/>
        <s v="BZJSQ-20240116-0015"/>
        <s v="BZJSQ-20240117-0016"/>
        <s v="BZJSQ-20240118-0017"/>
        <s v="BZJSQ-20240118-0018"/>
        <s v="BZJSQ-20240123-0019"/>
        <s v="BZJSQ-20240129-0020"/>
        <s v="BZJSQ-20240129-0021"/>
        <s v="BZJSQ-20240129-0022"/>
        <s v="BZJSQ-20240129-0023"/>
        <s v="BZJSQ-20240130-0024"/>
        <s v="BZJSQ-20240130-0025"/>
        <s v="20240105-0035"/>
        <s v="20240117-0036"/>
        <s v="20240118-0037"/>
        <s v="20240129-0038"/>
        <s v="20240202-0039"/>
        <s v="BZJSQ-20240130-0026"/>
        <s v="BZJSQ-20240130-0027"/>
        <s v="BZJSQ-20240217-0029"/>
        <s v="BZJSQ-20240218-0030"/>
        <s v="BZJSQ-20240218-0031"/>
        <s v="BZJSQ-20240218-0032"/>
        <s v="BZJSQ-20240220-0033"/>
        <s v="BZJSQ-20240220-0034"/>
        <s v="BZJSQ-20240220-0035"/>
        <s v="BZJSQ-20240220-0036"/>
        <s v="BZJSQ-20240223-0037"/>
        <s v="BZJSQ-20240227-0038"/>
        <s v="BZJSQ-20240228-0039"/>
        <s v="BZJSQ-20240228-0040"/>
        <s v="BZJSQ-20240229-0041"/>
        <s v="BZJSQ-20240229-0042"/>
        <s v="BZJSQ-20240302-0043"/>
        <s v="BZJSQ-20240305-0044"/>
        <s v="BZJSQ-20240305-0045"/>
        <s v="BZJSQ-20240305-0046"/>
        <s v="BZJSQ-20240307-0047"/>
        <s v="BZJSQ-20240307-0048"/>
        <s v="BZJSQ-20240307-0049"/>
        <s v="BZJSQ-20240313-0050"/>
        <s v="BZJSQ-20240313-0051"/>
        <s v="BZJSQ-20240313-0053"/>
        <s v="红圈无编号"/>
        <s v="BZJSQ-20240321-0054"/>
        <s v="BZJSQ-20240325-0055"/>
        <s v="BZJSQ-20240328-0056"/>
        <s v="20240304-0040"/>
        <s v="20240305-0041"/>
        <s v="20240319-0042"/>
        <s v="20240326-0043"/>
        <s v="BZJSQ-20240406-0057"/>
        <s v="20240407-0044"/>
        <s v="BZJSQ-20240408-0058"/>
        <s v="BZJSQ-20240408-0059"/>
        <s v="BZJSQ-20240408-0060"/>
        <s v="BZJSQ-20240409-0061"/>
        <s v="BZJSQ-20240409-0062"/>
        <s v="BZJSQ-20240409-0063"/>
        <s v="BZJSQ-20240412-0064"/>
        <s v="BZJSQ-20240412-0065"/>
        <s v="BZJSQ-20240412-0066"/>
        <s v="20240417-0046"/>
        <s v="20240417-0047"/>
        <s v="20240417-0048"/>
        <s v="BZJSQ-20240417-0067"/>
        <s v="BZJSQ-20240417-0068"/>
        <s v="BZJSQ-20240423-0069"/>
        <s v="BZJSQ-20240423-0070"/>
        <s v="BZJSQ-20240423-0071"/>
        <s v="BZJSQ-20240423-0072"/>
        <s v="BZJSQ-20240425-0073"/>
        <s v="BZJSQ-20240430-0074"/>
        <s v="BZJSQ-20240506-0075"/>
        <s v="BZJSQ-20240508-0076"/>
        <s v="BZJSQ-20240508-0077"/>
        <s v="BZJSQ-20240508-0078"/>
        <s v="BZJSQ-20240513-0079"/>
        <s v="BZJSQ-20240514-0080"/>
        <s v="BZJSQ-20240514-0081"/>
        <s v="BZJSQ-20240515-0082"/>
        <s v="BZJSQ-20240521-0083"/>
        <s v="BZJSQ-20240524-0084"/>
        <s v="BZJSQ-20240524-0085"/>
        <s v="BZJSQ-20240604-0086"/>
        <s v="BZJSQ-20240625-0087"/>
        <s v="BZJSQ-20240626-0088"/>
        <s v="BZJSQ-20240627-0089"/>
        <s v="BZJSQ-20240627-0090"/>
        <s v="BZJSQ-20240701-0091"/>
        <s v="BZJSQ-20240719-0092"/>
        <s v="BZJSQ-20240724-0093"/>
        <s v="BZJSQ-20240726-0094"/>
        <s v="BZJSQ-20240812-0095"/>
        <s v="BZJSQ-20240816-0096"/>
        <s v="BZJSQ-20240905-0097"/>
        <s v="BZJSQ-20240910-0099"/>
        <s v="BZJSQ-20240910-0100"/>
        <s v="BZJSQ-20240910-0098"/>
        <s v="BZJSQ-20240912-0101"/>
        <s v="BZJSQ-20240913-0102"/>
        <s v="BZJSQ-20240920-0103"/>
        <s v="BZJSQ-20240921-0104"/>
        <s v="BZJSQ-20240927-0107"/>
        <s v="BZJSQ-20240927-0108"/>
        <s v="BZJSQ-20240927-0109"/>
        <s v="BZJSQ-20240929-0110"/>
        <s v="BZJSQ-20240930-0111"/>
        <s v="BZJSQ-20241023-0113"/>
        <s v="BZJSQ-20241025-0114"/>
        <s v="BZJSQ-20241026-0115"/>
        <s v="BZJSQ-20241026-0116"/>
        <s v="BZJSQ-20241026-0117"/>
        <s v="BZJSQ-20241028-0121"/>
        <s v="BZJSQ-20241030-0122"/>
        <s v="BZJSQ-20241030-0123"/>
        <s v="BZJSQ-20241030-0124"/>
        <s v="BZJSQ-20241102-0125"/>
        <s v="BZJSQ-20241104-0126"/>
        <s v="BZJSQ-20241106-0127"/>
        <s v="BZJSQ-20241112-0128"/>
        <s v="BZJSQ-20241115-0129"/>
        <s v="BZJSQ-20241115-0130"/>
        <s v="BZJSQ-20241126-0131"/>
        <s v="BZJSQ-20241128-0133"/>
        <s v="BZJSQ-20241130-0134"/>
        <s v="BZJSQ-20241210-0135"/>
        <s v="BZJSQ-20241211-0136"/>
        <s v="BZJSQ-20241211-0137"/>
        <s v="BZJSQ-20241212-0138"/>
        <s v="BZJSQ-20241214-0140"/>
        <s v="BZJSQ-20241216-0141"/>
        <s v="BZJSQ-20241230-0142"/>
        <s v="BZJSQ-20241230-0143"/>
        <s v="BZJSQ-20241230-0146"/>
        <s v="BZJSQ-20241230-0148"/>
        <s v="BZJSQ-20250103-0002"/>
        <s v="BZJSQ-20250106-0003"/>
        <s v="BZJSQ-20250113-0004"/>
        <s v="BZJSQ-20250114-0005"/>
        <s v="BZJSQ-20250114-0006"/>
        <s v="BZJSQ-20250114-0007"/>
        <s v="BZJSQ-20250122-0011"/>
        <s v="BZJSQ-20250123-0012"/>
        <s v="BZJSQ-20250124-0013"/>
        <s v="BZJSQ-20250205-0014"/>
        <s v="BZJSQ-20250205-0015"/>
        <s v="BZJSQ-20250205-0016"/>
        <s v="BZJSQ-20250212-0017"/>
        <s v="BZJSQ-20250217-0018"/>
        <s v="BZJSQ-20250217-0019"/>
        <s v="BZJSQ-20250218-0020"/>
        <s v="BZJSQ-20250220-0021"/>
        <s v="BZJSQ-20250223-0022"/>
        <s v="BZJSQ-20250224-0023"/>
        <s v="BZJSQ-20250224-0024"/>
        <s v="BZJSQ-20250227-0025"/>
        <s v="BZJSQ-20250228-0027"/>
        <s v="BZJSQ-20250228-0028"/>
      </sharedItems>
    </cacheField>
    <cacheField name="月份" numFmtId="0">
      <sharedItems containsBlank="1" containsDate="1" containsMixedTypes="1" count="338">
        <d v="2016-01-01T00:00:00"/>
        <d v="2017-06-01T00:00:00"/>
        <d v="2019-01-01T00:00:00"/>
        <d v="2018-01-01T00:00:00"/>
        <d v="2018-06-01T00:00:00"/>
        <d v="2018-08-01T00:00:00"/>
        <d v="2018-10-01T00:00:00"/>
        <d v="2018-11-01T00:00:00"/>
        <d v="2018-12-01T00:00:00"/>
        <d v="2019-02-01T00:00:00"/>
        <d v="2019-03-01T00:00:00"/>
        <d v="2019-04-01T00:00:00"/>
        <d v="2019-05-01T00:00:00"/>
        <d v="2019-06-01T00:00:00"/>
        <d v="2019-07-01T00:00:00"/>
        <d v="2019-08-01T00:00:00"/>
        <d v="2019-09-01T00:00:00"/>
        <d v="2019-10-01T00:00:00"/>
        <d v="2019-11-01T00:00:00"/>
        <d v="2019-12-01T00:00:00"/>
        <d v="2020-01-01T00:00:00"/>
        <d v="2020-03-01T00:00:00"/>
        <d v="2020-04-01T00:00:00"/>
        <d v="2020-05-01T00:00:00"/>
        <d v="2020-06-01T00:00:00"/>
        <d v="2020-07-01T00:00:00"/>
        <d v="2020-08-01T00:00:00"/>
        <d v="2020-09-01T00:00:00"/>
        <d v="2020-10-01T00:00:00"/>
        <d v="2020-11-01T00:00:00"/>
        <d v="2020-12-01T00:00:00"/>
        <m/>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8-04T00:00:00"/>
        <d v="2022-08-05T00:00:00"/>
        <d v="2022-08-10T00:00:00"/>
        <d v="2022-08-11T00:00:00"/>
        <d v="2022-08-12T00:00:00"/>
        <d v="2022-08-19T00:00:00"/>
        <d v="2022-08-22T00:00:00"/>
        <d v="2022-08-23T00:00:00"/>
        <d v="2022-08-24T00:00:00"/>
        <d v="2022-08-29T00:00:00"/>
        <d v="2022-09-01T00:00:00"/>
        <d v="2022-09-02T00:00:00"/>
        <d v="2022-09-05T00:00:00"/>
        <d v="2022-09-08T00:00:00"/>
        <d v="2022-09-13T00:00:00"/>
        <d v="2022-09-15T00:00:00"/>
        <d v="2022-09-16T00:00:00"/>
        <d v="2022-09-20T00:00:00"/>
        <d v="2022-09-22T00:00:00"/>
        <d v="2022-09-23T00:00:00"/>
        <d v="2022-09-26T00:00:00"/>
        <d v="2022-09-27T00:00:00"/>
        <d v="2022-09-28T00:00:00"/>
        <d v="2022-09-29T00:00:00"/>
        <d v="2022-09-30T00:00:00"/>
        <d v="2022-10-07T00:00:00"/>
        <d v="2022-10-14T00:00:00"/>
        <d v="2022-10-17T00:00:00"/>
        <d v="2022-10-18T00:00:00"/>
        <d v="2022-10-20T00:00:00"/>
        <d v="2022-10-21T00:00:00"/>
        <d v="2022-10-24T00:00:00"/>
        <d v="2022-10-26T00:00:00"/>
        <d v="2022-10-27T00:00:00"/>
        <d v="2022-10-28T00:00:00"/>
        <d v="2022-10-31T00:00:00"/>
        <d v="2022-11-04T00:00:00"/>
        <d v="2022-11-07T00:00:00"/>
        <d v="2022-11-08T00:00:00"/>
        <d v="2022-11-09T00:00:00"/>
        <d v="2022-11-10T00:00:00"/>
        <d v="2022-11-14T00:00:00"/>
        <d v="2022-11-15T00:00:00"/>
        <d v="2022-11-21T00:00:00"/>
        <d v="2022-11-22T00:00:00"/>
        <d v="2022-11-25T00:00:00"/>
        <d v="2022-11-28T00:00:00"/>
        <d v="2022-11-29T00:00:00"/>
        <d v="2022-12-01T00:00:00"/>
        <d v="2022-12-05T00:00:00"/>
        <d v="2022-12-06T00:00:00"/>
        <d v="2022-12-07T00:00:00"/>
        <d v="2022-12-09T00:00:00"/>
        <d v="2022-12-12T00:00:00"/>
        <d v="2022-12-20T00:00:00"/>
        <d v="2022-12-21T00:00:00"/>
        <d v="2022-12-23T00:00:00"/>
        <d v="2022-12-27T00:00:00"/>
        <d v="2022-12-30T00:00:00"/>
        <d v="2023-01-09T00:00:00"/>
        <d v="2023-01-10T00:00:00"/>
        <d v="2023-01-11T00:00:00"/>
        <d v="2023-01-13T00:00:00"/>
        <d v="2023-01-17T00:00:00"/>
        <d v="2023-01-18T00:00:00"/>
        <d v="2023-01-19T00:00:00"/>
        <d v="2023-01-27T00:00:00"/>
        <d v="2023-01-28T00:00:00"/>
        <d v="2023-01-29T00:00:00"/>
        <d v="2023-01-30T00:00:00"/>
        <d v="2023-02-01T00:00:00"/>
        <d v="2023-02-02T00:00:00"/>
        <d v="2023-02-03T00:00:00"/>
        <d v="2023-02-06T00:00:00"/>
        <d v="2023-02-07T00:00:00"/>
        <d v="2023-02-10T00:00:00"/>
        <d v="2023-02-16T00:00:00"/>
        <d v="2023-02-17T00:00:00"/>
        <d v="2023-02-21T00:00:00"/>
        <d v="2023-02-22T00:00:00"/>
        <d v="2023-02-23T00:00:00"/>
        <d v="2023-02-27T00:00:00"/>
        <d v="2023-02-28T00:00:00"/>
        <d v="2023-03-02T00:00:00"/>
        <d v="2023-03-03T00:00:00"/>
        <d v="2023-03-04T00:00:00"/>
        <d v="2023-03-06T00:00:00"/>
        <d v="2023-03-07T00:00:00"/>
        <d v="2023-03-09T00:00:00"/>
        <d v="2023-03-11T00:00:00"/>
        <d v="2023-03-13T00:00:00"/>
        <d v="2023-03-14T00:00:00"/>
        <d v="2023-03-17T00:00:00"/>
        <d v="2023-03-21T00:00:00"/>
        <d v="2023-03-24T00:00:00"/>
        <d v="2023-03-27T00:00:00"/>
        <d v="2023-03-28T00:00:00"/>
        <d v="2023-03-29T00:00:00"/>
        <d v="2023-03-31T00:00:00"/>
        <d v="2023-04-03T00:00:00"/>
        <d v="2023-04-07T00:00:00"/>
        <d v="2023-04-12T00:00:00"/>
        <d v="2023-04-14T00:00:00"/>
        <d v="2023-04-17T00:00:00"/>
        <d v="2023-04-18T00:00:00"/>
        <d v="2023-04-19T00:00:00"/>
        <d v="2023-04-24T00:00:00"/>
        <d v="2023-05-06T00:00:00"/>
        <d v="2023-05-10T00:00:00"/>
        <d v="2023-05-11T00:00:00"/>
        <d v="2023-05-12T00:00:00"/>
        <d v="2023-05-16T00:00:00"/>
        <d v="2023-05-19T00:00:00"/>
        <d v="2023-05-22T00:00:00"/>
        <d v="2023-05-24T00:00:00"/>
        <d v="2023-05-01T00:00:00"/>
        <d v="2023-06-09T00:00:00"/>
        <d v="2023-06-10T00:00:00"/>
        <d v="2023-06-13T00:00:00"/>
        <d v="2023-06-15T00:00:00"/>
        <d v="2023-06-21T00:00:00"/>
        <d v="2023-06-26T00:00:00"/>
        <d v="2023-06-01T00:00:00"/>
        <d v="2023-06-28T00:00:00"/>
        <d v="2023-07-05T00:00:00"/>
        <d v="2023-07-07T00:00:00"/>
        <d v="2023-07-17T00:00:00"/>
        <d v="2023-07-19T00:00:00"/>
        <d v="2023-07-27T00:00:00"/>
        <d v="2023-08-04T00:00:00"/>
        <d v="2023-08-07T00:00:00"/>
        <d v="2023-08-10T00:00:00"/>
        <d v="2023-08-15T00:00:00"/>
        <d v="2023-08-28T00:00:00"/>
        <d v="2023-08-29T00:00:00"/>
        <d v="2023-09-03T00:00:00"/>
        <d v="2023-09-04T00:00:00"/>
        <d v="2023-09-05T00:00:00"/>
        <d v="2023-09-08T00:00:00"/>
        <d v="2023-09-12T00:00:00"/>
        <d v="2023-09-13T00:00:00"/>
        <d v="2023-09-17T00:00:00"/>
        <d v="2023-09-20T00:00:00"/>
        <d v="2023-09-21T00:00:00"/>
        <d v="2023-09-25T00:00:00"/>
        <d v="2023-09-26T00:00:00"/>
        <d v="2023-09-27T00:00:00"/>
        <d v="2023-10-12T00:00:00"/>
        <d v="2023-10-18T00:00:00"/>
        <d v="2023-10-27T00:00:00"/>
        <d v="2023-11-05T00:00:00"/>
        <d v="2023-11-08T00:00:00"/>
        <d v="2023-11-11T00:00:00"/>
        <d v="2023-11-13T00:00:00"/>
        <d v="2023-11-15T00:00:00"/>
        <d v="2023-11-16T00:00:00"/>
        <d v="2023-11-17T00:00:00"/>
        <d v="2023-11-20T00:00:00"/>
        <d v="2023-11-21T00:00:00"/>
        <d v="2023-11-22T00:00:00"/>
        <d v="2023-11-24T00:00:00"/>
        <d v="2023-11-28T00:00:00"/>
        <d v="2023-12-01T00:00:00"/>
        <d v="2023-11-30T00:00:00"/>
        <d v="2023-12-04T00:00:00"/>
        <d v="2023-12-06T00:00:00"/>
        <d v="2023-12-08T00:00:00"/>
        <d v="2023-12-12T00:00:00"/>
        <d v="2023-12-14T00:00:00"/>
        <d v="2023-12-22T00:00:00"/>
        <d v="2023-12-25T00:00:00"/>
        <d v="2024-01-09T00:00:00"/>
        <d v="2024-01-04T00:00:00"/>
        <d v="2024-01-05T00:00:00"/>
        <d v="2024-01-08T00:00:00"/>
        <d v="2024-01-11T00:00:00"/>
        <d v="2024-01-15T00:00:00"/>
        <d v="1899-12-30T00:00:00"/>
        <d v="2024-01-16T00:00:00"/>
        <d v="2024-01-17T00:00:00"/>
        <d v="2024-01-18T00:00:00"/>
        <d v="2024-01-19T00:00:00"/>
        <d v="2024-01-23T00:00:00"/>
        <d v="2024-01-29T00:00:00"/>
        <d v="2024-01-30T00:00:00"/>
        <d v="2024-01-22T00:00:00"/>
        <d v="2024-01-31T00:00:00"/>
        <d v="2024-02-05T00:00:00"/>
        <d v="2024-02-18T00:00:00"/>
        <d v="2024-02-19T00:00:00"/>
        <d v="2024-03-04T00:00:00"/>
        <d v="2024-02-20T00:00:00"/>
        <d v="2024-02-21T00:00:00"/>
        <d v="2024-02-23T00:00:00"/>
        <d v="2024-02-28T00:00:00"/>
        <d v="2024-02-29T00:00:00"/>
        <d v="2024-03-05T00:00:00"/>
        <d v="2024-03-07T00:00:00"/>
        <d v="2024-03-11T00:00:00"/>
        <d v="2024-03-15T00:00:00"/>
        <d v="2024-03-08T00:00:00"/>
        <d v="2024-03-20T00:00:00"/>
        <d v="2024-03-14T00:00:00"/>
        <d v="2024-03-18T00:00:00"/>
        <d v="2024-03-22T00:00:00"/>
        <d v="2024-03-27T00:00:00"/>
        <d v="2024-03-29T00:00:00"/>
        <d v="2024-03-06T00:00:00"/>
        <d v="2024-03-19T00:00:00"/>
        <d v="2024-03-26T00:00:00"/>
        <d v="2024-04-07T00:00:00"/>
        <d v="2024-04-08T00:00:00"/>
        <d v="2024-04-09T00:00:00"/>
        <d v="2024-04-10T00:00:00"/>
        <d v="2024-04-11T00:00:00"/>
        <d v="2024-04-12T00:00:00"/>
        <d v="2024-04-13T00:00:00"/>
        <d v="2024-04-18T00:00:00"/>
        <d v="2024-04-16T00:00:00"/>
        <d v="2024-04-17T00:00:00"/>
        <d v="2024-04-30T00:00:00"/>
        <d v="2024-04-27T00:00:00"/>
        <d v="2024-04-25T00:00:00"/>
        <d v="2024-04-29T00:00:00"/>
        <d v="2024-05-05T00:00:00"/>
        <d v="2024-05-06T00:00:00"/>
        <d v="2024-05-08T00:00:00"/>
        <d v="2024-05-11T00:00:00"/>
        <d v="2024-05-20T00:00:00"/>
        <d v="2024-05-17T00:00:00"/>
        <d v="2024-05-15T00:00:00"/>
        <d v="2024-05-21T00:00:00"/>
        <d v="2024-05-31T00:00:00"/>
        <s v="2024-06-25"/>
        <s v="2024-06-26"/>
        <s v="2024-06-27"/>
        <s v="2024-07-01"/>
        <s v="2024-07-19"/>
        <s v="2024-07-24"/>
        <s v="2024-07-26"/>
        <d v="2024-08-12T00:00:00"/>
        <d v="2024-08-16T00:00:00"/>
        <d v="2024-09-05T00:00:00"/>
        <d v="2024-09-10T00:00:00"/>
        <d v="2024-09-12T00:00:00"/>
        <d v="2024-09-14T00:00:00"/>
        <d v="2024-09-20T00:00:00"/>
        <d v="2024-09-21T00:00:00"/>
        <d v="2024-09-27T00:00:00"/>
        <d v="2024-09-29T00:00:00"/>
        <d v="2024-09-30T00:00:00"/>
        <d v="2024-10-23T00:00:00"/>
        <d v="2024-10-25T00:00:00"/>
        <d v="2024-10-26T00:00:00"/>
        <d v="2024-10-28T00:00:00"/>
        <d v="2024-10-30T00:00:00"/>
        <d v="2024-11-02T00:00:00"/>
        <d v="2024-11-04T00:00:00"/>
        <d v="2024-11-06T00:00:00"/>
        <d v="2024-11-12T00:00:00"/>
        <d v="2024-11-15T00:00:00"/>
        <d v="2024-11-26T00:00:00"/>
        <d v="2024-11-28T00:00:00"/>
        <d v="2024-11-30T00:00:00"/>
        <d v="2024-12-10T00:00:00"/>
        <d v="2024-12-11T00:00:00"/>
        <d v="2024-12-12T00:00:00"/>
        <d v="2024-12-14T00:00:00"/>
        <d v="2024-12-16T00:00:00"/>
        <d v="2024-12-30T00:00:00"/>
        <d v="2025-01-03T00:00:00"/>
        <d v="2025-01-06T00:00:00"/>
        <d v="2025-01-13T00:00:00"/>
        <d v="2025-01-14T00:00:00"/>
        <d v="2025-01-22T00:00:00"/>
        <d v="2025-01-23T00:00:00"/>
        <d v="2025-01-24T00:00:00"/>
        <d v="2025-02-05T00:00:00"/>
        <d v="2025-02-12T00:00:00"/>
        <d v="2025-02-17T00:00:00"/>
        <d v="2025-02-18T00:00:00"/>
        <d v="2025-02-20T00:00:00"/>
        <d v="2025-02-23T00:00:00"/>
        <d v="2025-02-24T00:00:00"/>
        <d v="2025-02-27T00:00:00"/>
        <d v="2025-02-28T00:00:00"/>
      </sharedItems>
    </cacheField>
    <cacheField name="账龄" numFmtId="0">
      <sharedItems containsBlank="1" count="5">
        <s v="一年以上"/>
        <s v="2个月内"/>
        <m/>
        <s v="6个月-1年"/>
        <s v="3-6个月"/>
      </sharedItems>
    </cacheField>
    <cacheField name="支付日期" numFmtId="0">
      <sharedItems containsBlank="1" containsDate="1" containsMixedTypes="1" count="556">
        <m/>
        <d v="2016-01-21T00:00:00"/>
        <d v="2016-01-31T00:00:00"/>
        <d v="2017-06-01T00:00:00"/>
        <d v="2019-01-10T00:00:00"/>
        <d v="2018-01-13T00:00:00"/>
        <d v="2018-01-24T00:00:00"/>
        <d v="2018-06-04T00:00:00"/>
        <d v="2018-08-18T00:00:00"/>
        <d v="2018-10-20T00:00:00"/>
        <d v="2018-10-31T00:00:00"/>
        <d v="2018-11-10T00:00:00"/>
        <d v="2018-12-12T00:00:00"/>
        <d v="2019-01-28T00:00:00"/>
        <d v="2019-02-15T00:00:00"/>
        <d v="2019-02-20T00:00:00"/>
        <d v="2019-03-02T00:00:00"/>
        <d v="2019-03-06T00:00:00"/>
        <d v="2019-03-15T00:00:00"/>
        <d v="2019-04-02T00:00:00"/>
        <d v="2019-04-05T00:00:00"/>
        <d v="2019-04-15T00:00:00"/>
        <d v="2019-04-30T00:00:00"/>
        <d v="2019-05-15T00:00:00"/>
        <d v="2019-05-16T00:00:00"/>
        <d v="2019-06-05T00:00:00"/>
        <d v="2019-06-12T00:00:00"/>
        <d v="2019-06-19T00:00:00"/>
        <d v="2019-06-28T00:00:00"/>
        <d v="2019-07-11T00:00:00"/>
        <d v="2019-07-18T00:00:00"/>
        <d v="2019-08-01T00:00:00"/>
        <d v="2019-08-08T00:00:00"/>
        <d v="2019-08-15T00:00:00"/>
        <d v="2019-08-19T00:00:00"/>
        <d v="2019-08-21T00:00:00"/>
        <d v="2019-08-23T00:00:00"/>
        <d v="2019-09-02T00:00:00"/>
        <d v="2019-09-11T00:00:00"/>
        <d v="2019-09-19T00:00:00"/>
        <d v="2019-09-23T00:00:00"/>
        <d v="2019-09-25T00:00:00"/>
        <d v="2019-10-11T00:00:00"/>
        <d v="2019-10-21T00:00:00"/>
        <d v="2019-10-23T00:00:00"/>
        <d v="2019-10-28T00:00:00"/>
        <d v="2019-11-05T00:00:00"/>
        <d v="2019-11-06T00:00:00"/>
        <d v="2019-11-27T00:00:00"/>
        <d v="2019-12-05T00:00:00"/>
        <d v="2019-12-06T00:00:00"/>
        <d v="2019-12-09T00:00:00"/>
        <d v="2019-12-13T00:00:00"/>
        <d v="2019-12-24T00:00:00"/>
        <d v="2019-12-26T00:00:00"/>
        <d v="2019-12-31T00:00:00"/>
        <d v="2020-01-10T00:00:00"/>
        <d v="2020-01-13T00:00:00"/>
        <d v="2020-03-30T00:00:00"/>
        <d v="2020-04-02T00:00:00"/>
        <d v="2020-04-15T00:00:00"/>
        <d v="2020-05-16T00:00:00"/>
        <d v="2020-05-18T00:00:00"/>
        <d v="2020-05-26T00:00:00"/>
        <d v="2020-06-10T00:00:00"/>
        <d v="2020-06-28T00:00:00"/>
        <d v="2020-06-29T00:00:00"/>
        <d v="2020-06-30T00:00:00"/>
        <d v="2020-07-06T00:00:00"/>
        <d v="2020-07-09T00:00:00"/>
        <d v="2020-07-13T00:00:00"/>
        <d v="2020-07-15T00:00:00"/>
        <d v="2020-07-22T00:00:00"/>
        <d v="2020-07-26T00:00:00"/>
        <d v="2020-08-05T00:00:00"/>
        <d v="2020-08-07T00:00:00"/>
        <d v="2020-08-10T00:00:00"/>
        <d v="2020-08-14T00:00:00"/>
        <d v="2020-08-20T00:00:00"/>
        <d v="2020-09-04T00:00:00"/>
        <d v="2020-09-11T00:00:00"/>
        <d v="2020-09-18T00:00:00"/>
        <d v="2020-10-09T00:00:00"/>
        <d v="2020-10-19T00:00:00"/>
        <d v="2020-10-26T00:00:00"/>
        <d v="2020-10-28T00:00:00"/>
        <d v="2020-11-06T00:00:00"/>
        <d v="2020-11-13T00:00:00"/>
        <d v="2020-11-27T00:00:00"/>
        <d v="2020-11-30T00:00:00"/>
        <d v="2020-12-07T00:00:00"/>
        <d v="2020-12-11T00:00:00"/>
        <d v="2020-12-14T00:00:00"/>
        <d v="2020-12-16T00:00:00"/>
        <d v="2020-12-17T00:00:00"/>
        <d v="2020-12-21T00:00:00"/>
        <d v="2020-12-23T00:00:00"/>
        <d v="2020-12-25T00:00:00"/>
        <d v="2020-12-28T00:00:00"/>
        <d v="2020-12-30T00:00:00"/>
        <d v="2021-01-04T00:00:00"/>
        <d v="2021-01-06T00:00:00"/>
        <d v="2021-01-14T00:00:00"/>
        <d v="2021-01-18T00:00:00"/>
        <d v="2021-01-20T00:00:00"/>
        <d v="2021-01-22T00:00:00"/>
        <d v="2021-01-25T00:00:00"/>
        <d v="2021-01-27T00:00:00"/>
        <d v="2021-01-29T00:00:00"/>
        <d v="2021-02-01T00:00:00"/>
        <d v="2021-02-18T00:00:00"/>
        <d v="2021-02-19T00:00:00"/>
        <d v="2021-02-24T00:00:00"/>
        <d v="2021-02-25T00:00:00"/>
        <d v="2021-02-28T00:00:00"/>
        <d v="2021-03-01T00:00:00"/>
        <d v="2021-03-03T00:00:00"/>
        <d v="2021-03-04T00:00:00"/>
        <d v="2021-03-10T00:00:00"/>
        <d v="2021-03-15T00:00:00"/>
        <d v="2021-03-16T00:00:00"/>
        <d v="2021-03-25T00:00:00"/>
        <d v="2021-03-28T00:00:00"/>
        <d v="2021-04-14T00:00:00"/>
        <d v="2021-04-15T00:00:00"/>
        <d v="2021-04-28T00:00:00"/>
        <d v="2021-05-10T00:00:00"/>
        <d v="2021-05-17T00:00:00"/>
        <d v="2021-05-19T00:00:00"/>
        <d v="2021-05-24T00:00:00"/>
        <d v="2021-06-10T00:00:00"/>
        <d v="2021-06-18T00:00:00"/>
        <d v="2021-06-28T00:00:00"/>
        <d v="2021-07-07T00:00:00"/>
        <d v="2021-07-14T00:00:00"/>
        <d v="2021-07-23T00:00:00"/>
        <d v="2021-07-26T00:00:00"/>
        <d v="2021-07-29T00:00:00"/>
        <d v="2021-08-09T00:00:00"/>
        <d v="2021-08-11T00:00:00"/>
        <d v="2021-08-16T00:00:00"/>
        <d v="2021-08-20T00:00:00"/>
        <d v="2021-08-25T00:00:00"/>
        <d v="2021-08-26T00:00:00"/>
        <d v="2021-08-30T00:00:00"/>
        <d v="2021-09-01T00:00:00"/>
        <d v="2021-09-09T00:00:00"/>
        <d v="2021-09-10T00:00:00"/>
        <d v="2021-09-15T00:00:00"/>
        <d v="2021-09-16T00:00:00"/>
        <d v="2021-09-17T00:00:00"/>
        <d v="2021-09-18T00:00:00"/>
        <d v="2021-09-22T00:00:00"/>
        <d v="2021-09-27T00:00:00"/>
        <d v="2021-09-28T00:00:00"/>
        <d v="2021-09-30T00:00:00"/>
        <d v="2021-10-11T00:00:00"/>
        <d v="2021-10-12T00:00:00"/>
        <d v="2021-10-18T00:00:00"/>
        <d v="2021-10-25T00:00:00"/>
        <d v="2021-10-26T00:00:00"/>
        <d v="2021-10-29T00:00:00"/>
        <d v="2021-11-01T00:00:00"/>
        <d v="2021-11-03T00:00:00"/>
        <d v="2021-11-08T00:00:00"/>
        <d v="2021-11-10T00:00:00"/>
        <d v="2021-11-12T00:00:00"/>
        <d v="2021-11-14T00:00:00"/>
        <d v="2021-11-15T00:00:00"/>
        <d v="2021-11-17T00:00:00"/>
        <d v="2021-11-18T00:00:00"/>
        <d v="2021-11-19T00:00:00"/>
        <d v="2021-11-22T00:00:00"/>
        <d v="2021-11-23T00:00:00"/>
        <d v="2021-11-24T00:00:00"/>
        <d v="2021-11-25T00:00:00"/>
        <d v="2021-11-26T00:00:00"/>
        <d v="2021-11-29T00:00:00"/>
        <d v="2021-12-01T00:00:00"/>
        <d v="2021-12-02T00:00:00"/>
        <d v="2021-12-03T00:00:00"/>
        <d v="2021-12-06T00:00:00"/>
        <d v="2021-12-08T00:00:00"/>
        <d v="2021-12-09T00:00:00"/>
        <d v="2021-12-10T00:00:00"/>
        <d v="2021-12-16T00:00:00"/>
        <d v="2021-12-17T00:00:00"/>
        <d v="2021-12-18T00:00:00"/>
        <d v="2021-12-20T00:00:00"/>
        <d v="2021-12-22T00:00:00"/>
        <d v="2021-12-23T00:00:00"/>
        <d v="2021-12-27T00:00:00"/>
        <d v="2021-12-28T00:00:00"/>
        <d v="2021-12-29T00:00:00"/>
        <d v="2022-01-04T00:00:00"/>
        <d v="2022-01-06T00:00:00"/>
        <d v="2022-01-10T00:00:00"/>
        <d v="2022-01-11T00:00:00"/>
        <d v="2022-01-12T00:00:00"/>
        <d v="2022-01-14T00:00:00"/>
        <d v="2022-01-15T00:00:00"/>
        <d v="2022-01-17T00:00:00"/>
        <d v="2022-01-20T00:00:00"/>
        <d v="2022-01-24T00:00:00"/>
        <d v="2022-01-27T00:00:00"/>
        <d v="2022-01-29T00:00:00"/>
        <d v="2022-02-09T00:00:00"/>
        <d v="2022-02-10T00:00:00"/>
        <d v="2022-02-14T00:00:00"/>
        <d v="2022-02-15T00:00:00"/>
        <d v="2022-02-16T00:00:00"/>
        <d v="2022-02-17T00:00:00"/>
        <d v="2022-02-23T00:00:00"/>
        <d v="2022-02-25T00:00:00"/>
        <d v="2022-02-28T00:00:00"/>
        <d v="2022-03-02T00:00:00"/>
        <d v="2022-03-03T00:00:00"/>
        <d v="2022-03-04T00:00:00"/>
        <d v="2022-03-07T00:00:00"/>
        <d v="2022-03-08T00:00:00"/>
        <d v="2022-03-10T00:00:00"/>
        <d v="2022-03-11T00:00:00"/>
        <d v="2022-03-15T00:00:00"/>
        <d v="2022-03-16T00:00:00"/>
        <d v="2022-03-23T00:00:00"/>
        <d v="2022-03-24T00:00:00"/>
        <d v="2022-03-28T00:00:00"/>
        <d v="2022-03-29T00:00:00"/>
        <d v="2022-03-31T00:00:00"/>
        <d v="2022-04-06T00:00:00"/>
        <d v="2022-04-07T00:00:00"/>
        <d v="2022-04-13T00:00:00"/>
        <d v="2022-04-20T00:00:00"/>
        <d v="2022-04-21T00:00:00"/>
        <d v="2022-04-22T00:00:00"/>
        <d v="2022-04-26T00:00:00"/>
        <d v="2022-04-27T00:00:00"/>
        <d v="2022-04-28T00:00:00"/>
        <d v="2022-05-06T00:00:00"/>
        <d v="2022-05-09T00:00:00"/>
        <d v="2022-05-10T00:00:00"/>
        <d v="2022-05-13T00:00:00"/>
        <d v="2022-05-17T00:00:00"/>
        <d v="2022-05-18T00:00:00"/>
        <d v="2022-05-24T00:00:00"/>
        <d v="2022-05-25T00:00:00"/>
        <d v="2022-05-26T00:00:00"/>
        <d v="2022-05-27T00:00:00"/>
        <d v="2022-05-30T00:00:00"/>
        <d v="2022-05-31T00:00:00"/>
        <d v="2022-06-01T00:00:00"/>
        <d v="2022-06-02T00:00:00"/>
        <d v="2022-06-06T00:00:00"/>
        <d v="2022-06-07T00:00:00"/>
        <d v="2022-06-08T00:00:00"/>
        <d v="2022-06-13T00:00:00"/>
        <d v="2022-06-15T00:00:00"/>
        <d v="2022-06-21T00:00:00"/>
        <d v="2022-06-27T00:00:00"/>
        <d v="2022-06-28T00:00:00"/>
        <d v="2022-07-01T00:00:00"/>
        <d v="2022-07-05T00:00:00"/>
        <d v="2022-07-07T00:00:00"/>
        <d v="2022-07-15T00:00:00"/>
        <d v="2022-07-18T00:00:00"/>
        <d v="2022-07-19T00:00:00"/>
        <d v="2022-07-21T00:00:00"/>
        <d v="2022-07-22T00:00:00"/>
        <d v="2022-07-28T00:00:00"/>
        <d v="2022-07-29T00:00:00"/>
        <d v="2022-08-01T00:00:00"/>
        <d v="2022-08-04T00:00:00"/>
        <d v="2022-08-05T00:00:00"/>
        <d v="2022-08-10T00:00:00"/>
        <d v="2022-08-11T00:00:00"/>
        <d v="2022-08-12T00:00:00"/>
        <d v="2022-08-19T00:00:00"/>
        <d v="2022-08-22T00:00:00"/>
        <d v="2022-08-23T00:00:00"/>
        <d v="2022-08-24T00:00:00"/>
        <d v="2022-08-29T00:00:00"/>
        <d v="2022-09-01T00:00:00"/>
        <d v="2022-09-02T00:00:00"/>
        <d v="2022-09-05T00:00:00"/>
        <d v="2022-09-08T00:00:00"/>
        <d v="2022-09-13T00:00:00"/>
        <d v="2022-09-15T00:00:00"/>
        <d v="2022-09-16T00:00:00"/>
        <d v="2022-09-20T00:00:00"/>
        <d v="2022-09-22T00:00:00"/>
        <d v="2022-09-23T00:00:00"/>
        <d v="2022-09-26T00:00:00"/>
        <d v="2022-09-27T00:00:00"/>
        <d v="2022-09-28T00:00:00"/>
        <d v="2022-09-29T00:00:00"/>
        <d v="2022-09-30T00:00:00"/>
        <d v="2022-10-07T00:00:00"/>
        <d v="2022-10-14T00:00:00"/>
        <d v="2022-10-17T00:00:00"/>
        <d v="2022-10-18T00:00:00"/>
        <d v="2022-10-20T00:00:00"/>
        <d v="2022-10-21T00:00:00"/>
        <d v="2022-10-24T00:00:00"/>
        <d v="2022-10-26T00:00:00"/>
        <d v="2022-10-27T00:00:00"/>
        <d v="2022-10-28T00:00:00"/>
        <d v="2022-10-31T00:00:00"/>
        <d v="2022-11-04T00:00:00"/>
        <d v="2022-11-07T00:00:00"/>
        <d v="2022-11-08T00:00:00"/>
        <d v="2022-11-09T00:00:00"/>
        <d v="2022-11-10T00:00:00"/>
        <d v="2022-11-14T00:00:00"/>
        <d v="2022-11-15T00:00:00"/>
        <d v="2022-11-21T00:00:00"/>
        <d v="2022-11-22T00:00:00"/>
        <d v="2022-11-25T00:00:00"/>
        <d v="2022-11-28T00:00:00"/>
        <d v="2022-11-29T00:00:00"/>
        <d v="2022-12-01T00:00:00"/>
        <d v="2022-12-05T00:00:00"/>
        <d v="2022-12-06T00:00:00"/>
        <d v="2022-12-07T00:00:00"/>
        <d v="2022-12-09T00:00:00"/>
        <d v="2022-12-12T00:00:00"/>
        <d v="2022-12-20T00:00:00"/>
        <d v="2022-12-21T00:00:00"/>
        <d v="2022-12-23T00:00:00"/>
        <d v="2022-12-27T00:00:00"/>
        <d v="2022-12-30T00:00:00"/>
        <d v="2023-01-09T00:00:00"/>
        <d v="2023-01-10T00:00:00"/>
        <d v="2023-01-11T00:00:00"/>
        <d v="2023-01-13T00:00:00"/>
        <d v="2023-01-17T00:00:00"/>
        <d v="2023-01-18T00:00:00"/>
        <d v="2023-01-19T00:00:00"/>
        <d v="2023-01-27T00:00:00"/>
        <d v="2023-01-28T00:00:00"/>
        <d v="2023-01-29T00:00:00"/>
        <d v="2023-01-30T00:00:00"/>
        <d v="2023-02-01T00:00:00"/>
        <d v="2023-02-02T00:00:00"/>
        <d v="2023-02-03T00:00:00"/>
        <d v="2023-02-06T00:00:00"/>
        <d v="2023-02-07T00:00:00"/>
        <d v="2023-02-10T00:00:00"/>
        <d v="2023-02-16T00:00:00"/>
        <d v="2023-02-17T00:00:00"/>
        <d v="2023-02-21T00:00:00"/>
        <d v="2023-02-22T00:00:00"/>
        <d v="2023-02-23T00:00:00"/>
        <d v="2023-02-27T00:00:00"/>
        <d v="2023-02-28T00:00:00"/>
        <d v="2023-03-02T00:00:00"/>
        <d v="2023-03-03T00:00:00"/>
        <d v="2023-03-04T00:00:00"/>
        <d v="2023-03-06T00:00:00"/>
        <d v="2023-03-07T00:00:00"/>
        <d v="2023-03-09T00:00:00"/>
        <d v="2023-03-11T00:00:00"/>
        <d v="2023-03-13T00:00:00"/>
        <d v="2023-03-14T00:00:00"/>
        <d v="2023-03-17T00:00:00"/>
        <d v="2023-03-21T00:00:00"/>
        <d v="2023-03-24T00:00:00"/>
        <d v="2023-03-27T00:00:00"/>
        <d v="2023-03-28T00:00:00"/>
        <d v="2023-03-29T00:00:00"/>
        <d v="2023-03-31T00:00:00"/>
        <d v="2023-04-03T00:00:00"/>
        <d v="2023-04-07T00:00:00"/>
        <d v="2023-04-12T00:00:00"/>
        <d v="2023-04-14T00:00:00"/>
        <d v="2023-04-17T00:00:00"/>
        <d v="2023-04-18T00:00:00"/>
        <d v="2023-04-19T00:00:00"/>
        <d v="2023-04-24T00:00:00"/>
        <d v="2023-05-06T00:00:00"/>
        <d v="2023-05-10T00:00:00"/>
        <d v="2023-05-11T00:00:00"/>
        <d v="2023-05-12T00:00:00"/>
        <d v="2023-05-16T00:00:00"/>
        <d v="2023-05-19T00:00:00"/>
        <d v="2023-05-22T00:00:00"/>
        <d v="2023-05-24T00:00:00"/>
        <d v="2023-05-31T00:00:00"/>
        <d v="2023-06-09T00:00:00"/>
        <d v="2023-06-10T00:00:00"/>
        <d v="2023-06-13T00:00:00"/>
        <d v="2023-06-15T00:00:00"/>
        <d v="2023-06-21T00:00:00"/>
        <d v="2023-06-26T00:00:00"/>
        <d v="2023-06-28T00:00:00"/>
        <d v="2023-07-02T00:00:00"/>
        <d v="2023-07-05T00:00:00"/>
        <d v="2023-07-07T00:00:00"/>
        <d v="2023-07-17T00:00:00"/>
        <d v="2023-07-19T00:00:00"/>
        <d v="2023-07-27T00:00:00"/>
        <d v="2023-08-04T00:00:00"/>
        <d v="2023-08-07T00:00:00"/>
        <d v="2023-08-10T00:00:00"/>
        <d v="2023-08-15T00:00:00"/>
        <d v="2023-08-28T00:00:00"/>
        <d v="2023-08-29T00:00:00"/>
        <d v="2023-09-03T00:00:00"/>
        <d v="2023-09-04T00:00:00"/>
        <d v="2023-09-05T00:00:00"/>
        <d v="2023-09-08T00:00:00"/>
        <d v="2023-09-12T00:00:00"/>
        <d v="2023-09-13T00:00:00"/>
        <d v="2023-09-17T00:00:00"/>
        <d v="2023-09-20T00:00:00"/>
        <d v="2023-09-21T00:00:00"/>
        <d v="2023-09-25T00:00:00"/>
        <d v="2023-09-26T00:00:00"/>
        <d v="2023-09-27T00:00:00"/>
        <d v="2023-10-12T00:00:00"/>
        <d v="2023-10-18T00:00:00"/>
        <d v="2023-10-27T00:00:00"/>
        <d v="2023-11-05T00:00:00"/>
        <d v="2023-11-08T00:00:00"/>
        <d v="2023-11-11T00:00:00"/>
        <d v="2023-11-13T00:00:00"/>
        <d v="2023-11-15T00:00:00"/>
        <d v="2023-11-16T00:00:00"/>
        <d v="2023-11-17T00:00:00"/>
        <d v="2023-11-20T00:00:00"/>
        <d v="2023-11-21T00:00:00"/>
        <d v="2023-11-22T00:00:00"/>
        <d v="2023-11-24T00:00:00"/>
        <d v="2023-11-28T00:00:00"/>
        <d v="2023-11-30T00:00:00"/>
        <d v="2023-12-01T00:00:00"/>
        <d v="2023-12-04T00:00:00"/>
        <d v="2023-12-06T00:00:00"/>
        <d v="2023-12-08T00:00:00"/>
        <d v="2023-12-12T00:00:00"/>
        <d v="2023-12-14T00:00:00"/>
        <d v="2023-12-22T00:00:00"/>
        <d v="2023-12-25T00:00:00"/>
        <d v="2024-01-09T00:00:00"/>
        <d v="2024-01-04T00:00:00"/>
        <d v="2024-01-05T00:00:00"/>
        <d v="2024-01-08T00:00:00"/>
        <d v="2024-01-11T00:00:00"/>
        <d v="2024-01-15T00:00:00"/>
        <d v="2024-01-16T00:00:00"/>
        <d v="2024-01-17T00:00:00"/>
        <d v="2024-01-18T00:00:00"/>
        <d v="2024-01-19T00:00:00"/>
        <d v="2024-01-23T00:00:00"/>
        <d v="2024-01-29T00:00:00"/>
        <d v="2024-01-30T00:00:00"/>
        <d v="2024-01-22T00:00:00"/>
        <d v="2024-01-31T00:00:00"/>
        <d v="2024-02-05T00:00:00"/>
        <d v="2024-02-18T00:00:00"/>
        <d v="2024-02-19T00:00:00"/>
        <d v="2024-03-04T00:00:00"/>
        <d v="2024-02-20T00:00:00"/>
        <d v="2024-02-21T00:00:00"/>
        <d v="2024-02-23T00:00:00"/>
        <d v="2024-02-28T00:00:00"/>
        <d v="2024-02-29T00:00:00"/>
        <d v="2024-03-05T00:00:00"/>
        <d v="2024-03-07T00:00:00"/>
        <d v="2024-03-11T00:00:00"/>
        <d v="2024-03-15T00:00:00"/>
        <d v="2024-03-08T00:00:00"/>
        <d v="2024-03-20T00:00:00"/>
        <d v="2024-03-14T00:00:00"/>
        <d v="2024-03-18T00:00:00"/>
        <d v="2024-03-22T00:00:00"/>
        <d v="2024-03-27T00:00:00"/>
        <d v="2024-03-29T00:00:00"/>
        <d v="2024-03-06T00:00:00"/>
        <d v="2024-03-19T00:00:00"/>
        <d v="2024-03-26T00:00:00"/>
        <d v="2024-04-07T00:00:00"/>
        <d v="2024-04-08T00:00:00"/>
        <d v="2024-04-09T00:00:00"/>
        <d v="2024-04-10T00:00:00"/>
        <d v="2024-04-11T00:00:00"/>
        <d v="2024-04-12T00:00:00"/>
        <d v="2024-04-13T00:00:00"/>
        <d v="2024-04-18T00:00:00"/>
        <d v="2024-04-16T00:00:00"/>
        <d v="2024-04-17T00:00:00"/>
        <d v="2024-04-30T00:00:00"/>
        <d v="2024-04-27T00:00:00"/>
        <d v="2024-04-25T00:00:00"/>
        <d v="2024-04-29T00:00:00"/>
        <d v="2024-05-05T00:00:00"/>
        <d v="2024-05-06T00:00:00"/>
        <d v="2024-05-08T00:00:00"/>
        <d v="2024-05-11T00:00:00"/>
        <d v="2024-05-20T00:00:00"/>
        <d v="2024-05-17T00:00:00"/>
        <d v="2024-05-15T00:00:00"/>
        <d v="2024-05-21T00:00:00"/>
        <d v="2024-05-31T00:00:00"/>
        <s v="2024-06-25"/>
        <s v="2024-06-26"/>
        <s v="2024-06-27"/>
        <s v="2024-07-01"/>
        <s v="2024-07-19"/>
        <s v="2024-07-24"/>
        <s v="2024-07-26"/>
        <d v="2024-08-12T00:00:00"/>
        <d v="2024-08-16T00:00:00"/>
        <d v="2024-09-05T00:00:00"/>
        <d v="2024-09-10T00:00:00"/>
        <d v="2024-09-12T00:00:00"/>
        <d v="2024-09-14T00:00:00"/>
        <d v="2024-09-20T00:00:00"/>
        <d v="2024-09-21T00:00:00"/>
        <d v="2024-09-27T00:00:00"/>
        <d v="2024-09-29T00:00:00"/>
        <d v="2024-09-30T00:00:00"/>
        <d v="2024-10-23T00:00:00"/>
        <d v="2024-10-25T00:00:00"/>
        <d v="2024-10-26T00:00:00"/>
        <d v="2024-10-28T00:00:00"/>
        <d v="2024-10-30T00:00:00"/>
        <d v="2024-11-02T00:00:00"/>
        <d v="2024-11-04T00:00:00"/>
        <d v="2024-11-06T00:00:00"/>
        <d v="2024-11-12T00:00:00"/>
        <d v="2024-11-15T00:00:00"/>
        <d v="2024-11-26T00:00:00"/>
        <d v="2024-11-28T00:00:00"/>
        <d v="2024-11-30T00:00:00"/>
        <d v="2024-12-10T00:00:00"/>
        <d v="2024-12-11T00:00:00"/>
        <d v="2024-12-12T00:00:00"/>
        <d v="2024-12-14T00:00:00"/>
        <d v="2024-12-16T00:00:00"/>
        <d v="2024-12-30T00:00:00"/>
        <d v="2025-01-03T00:00:00"/>
        <d v="2025-01-06T00:00:00"/>
        <d v="2025-01-13T00:00:00"/>
        <d v="2025-01-14T00:00:00"/>
        <d v="2025-01-22T00:00:00"/>
        <d v="2025-01-23T00:00:00"/>
        <d v="2025-01-24T00:00:00"/>
        <d v="2025-02-05T00:00:00"/>
        <d v="2025-02-12T00:00:00"/>
        <d v="2025-02-17T00:00:00"/>
        <d v="2025-02-18T00:00:00"/>
        <d v="2025-02-20T00:00:00"/>
        <d v="2025-02-23T00:00:00"/>
        <d v="2025-02-24T00:00:00"/>
        <d v="2025-02-27T00:00:00"/>
        <d v="2025-02-28T00:00:00"/>
      </sharedItems>
    </cacheField>
    <cacheField name="部门" numFmtId="0">
      <sharedItems containsBlank="1" count="11">
        <m/>
        <s v="生产部"/>
        <s v="生产一部"/>
        <s v="总经办"/>
        <s v="销售部"/>
        <s v="生产二部"/>
        <s v="安装部"/>
        <s v="商务部"/>
        <s v="财务部"/>
        <s v="工程部"/>
        <s v="内勤组"/>
      </sharedItems>
    </cacheField>
    <cacheField name="经办人" numFmtId="0">
      <sharedItems containsBlank="1" count="117">
        <m/>
        <s v="吴海波"/>
        <s v="汤勇华"/>
        <s v="姜兵"/>
        <s v="丁俊"/>
        <s v="汪勇刚"/>
        <s v="张子仪"/>
        <s v="刘西"/>
        <s v="冯海雄"/>
        <s v="吴昌松"/>
        <s v="覃延吉"/>
        <s v="詹年喜"/>
        <s v="石靖"/>
        <s v="夏锋泽"/>
        <s v="李辉"/>
        <s v="李文池"/>
        <s v="余茶林"/>
        <s v="房延云"/>
        <s v="王小勇"/>
        <s v="程时勇"/>
        <s v="熊军"/>
        <s v="熊军、左汉军"/>
        <s v="刘思佳"/>
        <s v="刘靖"/>
        <s v="刘佳"/>
        <s v="祝威"/>
        <s v="田学军"/>
        <s v="杨春龙"/>
        <s v="王延军"/>
        <s v="何煜军"/>
        <s v="祝发权"/>
        <s v="黄庭兴"/>
        <s v="殷坤鹏"/>
        <s v="雍佳强"/>
        <s v="吕海洲"/>
        <s v="黄国恩"/>
        <s v="陈冲"/>
        <s v="瞿新虎"/>
        <s v="朱利勇"/>
        <s v="张寅"/>
        <s v="牛国庆"/>
        <s v="周成新"/>
        <s v="汪攀"/>
        <s v="王怀青"/>
        <s v="张继红"/>
        <s v="饶凯"/>
        <s v="郭都"/>
        <s v="余俊进"/>
        <s v="李敬东"/>
        <s v="杨兴家"/>
        <s v="周英柱"/>
        <s v="周奇"/>
        <s v="胡加顺"/>
        <s v="饶亚龙"/>
        <s v="杨秋风"/>
        <s v="饶平恒"/>
        <s v="陈运雄"/>
        <s v="许衷齐"/>
        <s v="谈文才"/>
        <s v="刘涛"/>
        <s v="陈晓飞"/>
        <s v="林柱生"/>
        <s v="李松林"/>
        <s v="陈涛"/>
        <s v="方渊"/>
        <s v="陈远志"/>
        <s v="李洪刚"/>
        <s v="余慧晶"/>
        <s v="罗锐"/>
        <s v="吴结"/>
        <s v="杨江"/>
        <s v="冯建"/>
        <s v="武喜斌"/>
        <s v="张霖泽"/>
        <s v="张红玉"/>
        <s v="潘磊明"/>
        <s v="王小兵"/>
        <s v="肖辉军"/>
        <s v="范升建"/>
        <s v="罗强"/>
        <s v="董文涵"/>
        <s v="周长玉"/>
        <s v="赵丽超"/>
        <s v="喻志明"/>
        <s v="余永昕"/>
        <s v="牛得元"/>
        <s v="董虎"/>
        <s v="熊伟"/>
        <s v="倪柱"/>
        <s v="李红英"/>
        <s v="金琳"/>
        <s v="张月"/>
        <s v="卢北友"/>
        <s v="林家祥"/>
        <s v="胡超雄"/>
        <s v="周阿龙"/>
        <s v="尹玉山"/>
        <s v="吴皓"/>
        <s v="汪钻"/>
        <s v="汪道兵"/>
        <s v="曾江利"/>
        <s v="周凯迪"/>
        <s v="张满满"/>
        <s v="江浩"/>
        <s v="何志琴"/>
        <s v="杨琦"/>
        <s v="汪余欢"/>
        <s v="胡燕"/>
        <s v="王金平"/>
        <s v="伍芳芳"/>
        <s v="李国莲"/>
        <s v="柳汉琴"/>
        <s v="陈纤"/>
        <s v="陈云"/>
        <s v="王寅力"/>
        <s v="熊艳"/>
        <s v="李权智"/>
      </sharedItems>
    </cacheField>
    <cacheField name="公司名称" numFmtId="0">
      <sharedItems containsBlank="1" count="343">
        <s v="三门峡腾跃同力水泥有限公司"/>
        <s v="云南西南水泥有限公司"/>
        <s v="淮北众城水泥有限责任公司"/>
        <s v="吉林亚泰（集团）股份有限公司物资经销分公司"/>
        <s v="江苏永钢集团物资贸易有限公司"/>
        <s v="酒泉钢铁（集团）有限公司"/>
        <s v="亚泰伊通"/>
        <s v="江苏沙钢集团有限公司"/>
        <s v="永登祁连山水泥有限公司"/>
        <s v="逸盛大化石化有限公司"/>
        <s v="德州中联大坝水泥有限公司"/>
        <s v="四川西南水泥有限公司"/>
        <s v="新安中联万基水泥有限公司"/>
        <s v="韩城尧柏阳山庄水泥有限公司"/>
        <s v="民和祁连山水泥有限公司"/>
        <s v="冀东海天水泥闻喜有限公司"/>
        <s v="贵州中诚水泥有限公司"/>
        <s v="云南丽江西南水泥有限公司"/>
        <s v="邯郸涉县金隅水泥有限公司"/>
        <s v="阳泉冀东水泥有限责任公司"/>
        <s v="河钢股份有限公司邯郸分公司"/>
        <s v="达州利森水泥有限公司"/>
        <s v="张家港宏昌钢板有限公司"/>
        <s v="葛洲坝钟祥水泥有限公司"/>
        <s v="四川峨眉山西南水泥有限公司"/>
        <s v="云南昆钢嘉华水泥建材有限公司"/>
        <s v="汉中尧柏水泥有限公司"/>
        <s v="鲁南中联水泥有限公司"/>
        <s v="莒县中联水泥有限公司"/>
        <s v="贵州沿河西南水泥有限公司"/>
        <s v="西安蓝田尧柏水泥有限公司"/>
        <s v="会东利森水泥有限公司"/>
        <s v="冀东水泥铜川有限公司"/>
        <s v="四川省绵竹澳东水泥有限责任公司"/>
        <s v="嘉华特种水泥股份有限公司嘉华水泥总厂"/>
        <s v="山东鲁城水泥有限公司"/>
        <s v="甘肃永固特种水泥有限公司"/>
        <s v="贵州纳雍隆庆乌江水泥有限公司"/>
        <s v="涿鹿金隅水泥有限公司"/>
        <s v="重庆秀山西南水泥有限公司"/>
        <s v="山东泰西水泥有限公司"/>
        <s v="绥江县永固水泥有限责任公司"/>
        <s v="华新水泥（房县)有限公司"/>
        <s v="云南普洱西南水泥有限公司"/>
        <s v="冀东水泥重庆江津有限公司"/>
        <s v="北京金隅琉水环保科技有限公司"/>
        <s v="贵州清镇西南水泥有限公司"/>
        <s v="华新水泥（恩施）有限公司"/>
        <s v="巴彦淖尔中联水泥有限公司"/>
        <s v="安康市尧柏水泥有限公司"/>
        <s v="贵州西南水泥有限公司"/>
        <s v="江苏永钢集团有限公司"/>
        <s v="渤海水泥（葫芦岛）有限公司"/>
        <s v="天瑞新登郑州水泥有限公司"/>
        <s v="酒钢（集团）宏达建材有限责任公司"/>
        <s v="安钢集团信阳钢铁有限责任公司"/>
        <s v="承德金隅水泥有限责任公司"/>
        <s v="鄂尔多斯市君正能源化工有限公司水泥分公司"/>
        <s v="四川金宏通实业有限公司"/>
        <s v="青海海西化工建材股份有限公司"/>
        <s v="河北新金轧材有限公司"/>
        <s v="四川达州钢铁有限公司"/>
        <s v="四川华蓥西南水泥有限公司"/>
        <s v="四川西南水泥有限公司（川渝西南）"/>
        <s v="天瑞集团郑州水泥有限公司"/>
        <s v="贵州松桃高力水泥实业有限公司"/>
        <s v="冀东水泥璧山有限公司"/>
        <s v="贵州织金西南水泥有限公司"/>
        <s v="赞皇金隅水泥有限公司"/>
        <s v="四川德胜集团水泥有限公司"/>
        <s v="冀东水泥重庆合川有限责任公司"/>
        <s v="商洛尧柏龙桥水泥有限公司"/>
        <s v="旺苍川煤水泥有限责任公司"/>
        <s v="重庆长寿西南水泥有限公司"/>
        <s v="华新水泥（红河）有限公司"/>
        <s v="昌黎冀东水泥有限公司"/>
        <s v="宁夏建材集团股份有限公司"/>
        <s v="驻马店市豫龙同力水泥有限公司"/>
        <s v="双鸭山新时代水泥有限公司"/>
        <s v="福建福海创石油化工有限公司"/>
        <s v="鞍山冀东水泥有限责任公司"/>
        <s v="江西南方水泥有限公司"/>
        <s v="保山昆钢嘉华水泥建材有限公司"/>
        <s v="临沂中联水泥有限公司"/>
        <s v="湖南韶峰南方水泥有限公司"/>
        <s v="葛洲坝嘉鱼水泥有限公司"/>
        <s v="蒲城尧柏特种水泥有限公司"/>
        <s v="甘肃祁连山水泥集团股份有限公司"/>
        <s v="金隅冀东水泥（唐山）有限责任公司唐山分公司"/>
        <s v="吐鲁番天山水泥有限责任公司"/>
        <s v="河北金隅鼎鑫水泥有限公司"/>
        <s v="九江萍钢钢铁有限公司"/>
        <s v="陵川金隅冀东环保科技有限公司"/>
        <s v="康达（山东）水泥有限公司"/>
        <s v="内蒙古鄂尔多斯电力冶金集团股份有限公司"/>
        <s v="重庆綦江西南水泥有限公司"/>
        <s v="徐州中联水泥有限公司"/>
        <s v="峨山宏峰建材有限责任公司"/>
        <s v="安徽华塑股份有限公司"/>
        <s v="四川泰昌建材集团有限公司"/>
        <s v="台泥（安顺）水泥有限公司"/>
        <s v="葛洲坝荆门水泥有限公司"/>
        <s v="贵州黔西西南水泥有限公司"/>
        <s v="陕西实丰水泥股份有限公司"/>
        <s v="芜湖新兴铸管有限责任公司"/>
        <s v="四川利万步森水泥有限公司"/>
        <s v="山西双良鼎新水泥有限公司"/>
        <s v="唐县冀东水泥有限责任公司"/>
        <s v="新疆圣雄水泥有限公司"/>
        <s v="金昌水泥集团"/>
        <s v="葛洲坝石门特种水泥公司"/>
        <s v="新疆和静天山水泥有限责任公司"/>
        <s v="青州中联水泥有限公司"/>
        <s v="内蒙古宜化化工有限公司"/>
        <s v="河北新金钢铁有限公司"/>
        <s v="洛阳黄河同力水泥有限责任公司"/>
        <s v="唐山冀东水泥三友有限公司"/>
        <s v="吉林亚泰明城水泥有限公司"/>
        <s v="河南洛阳黄河同力"/>
        <s v="鞍钢钢铁"/>
        <s v="亚泰集团哈尔滨水泥（阿城）有限公司"/>
        <s v="台泥（辽宁）水泥有限公司"/>
        <s v="川渝西南投标保证金"/>
        <s v="川渝西南标书费"/>
        <s v="华沃枣庄水泥"/>
        <s v="华沃（枣庄）水泥有限公司"/>
        <s v="冀东水泥滦州有限公司"/>
        <s v="中材甘肃水泥有限公司"/>
        <s v="石门海螺水泥有限责任公司"/>
        <s v="叶城天山水泥有限公司"/>
        <s v="湖北天银"/>
        <s v="安徽华塑股份有限公司水泥分公司"/>
        <s v="罗江利森水泥有限公司"/>
        <s v="阿克苏天山（阿克苏天山公司回转窑外协项目）"/>
        <s v="重庆铜梁西南水泥有限公司"/>
        <s v="蚌埠中联水泥有限公司"/>
        <s v="山东鲁泰环保建材有限公司"/>
        <s v="新洋丰农业科技股份有限公司"/>
        <s v="唐山曹妃甸盾石新型建材有限公司"/>
        <s v="阿克苏天山"/>
        <s v="蒙阴广汇建材有限公司"/>
        <s v="河南兴豫电子商务有限公司"/>
        <s v="山东嘉信建设管理咨询有限公司"/>
        <s v="山东合标项目管理有限公司"/>
        <s v="洛阳万基炭素有限公司"/>
        <s v="塔什店天山"/>
        <s v="冀东海德堡（扶风）水泥有限公司"/>
        <s v="长沙瑞财信息科技有限公司"/>
        <s v="新疆伊犁钢铁有限责任公司"/>
        <s v="曲阳金隅水泥有限公司"/>
        <s v="冀东水泥（烟台）有限责任公司"/>
        <s v="湘潭电机股份有限公司"/>
        <s v="喀什店天山"/>
        <s v="克州天山"/>
        <s v="新兴铸管股份有限公司"/>
        <s v="汪清北方水泥有限公司"/>
        <s v="重庆正阳新材料有限公司"/>
        <s v="平泉冀东水泥有限责任公司"/>
        <s v="武汉阳训科技有限公司"/>
        <s v="平原冀东水泥有限责任公司"/>
        <s v="涞水金隅冀东环保科技有限公司"/>
        <s v="冀东水泥磐石有限责任公司"/>
        <s v="四川省星船城水泥有限公司"/>
        <s v="中材常德水泥有限责任公司"/>
        <s v="安钢集团附属企业有限公司"/>
        <s v="葛洲坝当阳水泥有限公司"/>
        <s v="阿克苏天山多浪水泥有限责任公司"/>
        <s v="其他"/>
        <s v="新疆千益工程项目咨询管理有限公司"/>
        <s v="喀什天山水泥有限责任公司"/>
        <s v="湖南有色郴州氟化学有限公司"/>
        <s v="冀东水泥阿巴嘎旗有限责任公司"/>
        <s v="河源市金杰环保建材有限公司"/>
        <s v="鄂钢嘉华减速机更换线上支付"/>
        <s v="线上支付鄂钢主辊更换线上支付"/>
        <s v="云南远东亚鑫水泥有限责任公司"/>
        <s v="广东塔牌集团股份有限公司"/>
        <s v="山东泰山钢铁集团有限公司"/>
        <s v="湖南骏泰新材料有限责任公司"/>
        <s v="曲阜中联水泥有限公司"/>
        <s v="广东清新水泥有限公司"/>
        <s v="山西省中条山新型建材有限公司"/>
        <s v="云南远东水泥有限公司"/>
        <s v="河南省兴豫电子商务有限公司"/>
        <s v="河南省豫鹤同力水泥有限公司"/>
        <s v="河南晋开化工投资控股集团有限责任公司"/>
        <s v="江苏磊达股份有限公司"/>
        <s v="仁寿县汪洋建宝水泥有限公司广石分公司"/>
        <s v="鹤岗鑫塔水泥有限责任公司"/>
        <s v="张家港玖隆电子商务有限公司"/>
        <s v="阿坝铝厂"/>
        <s v="日照钢铁有限公司"/>
        <s v="贵州梵净山金顶水泥有限公司"/>
        <s v="日照京华新型建材有限公司"/>
        <s v="青海发投碱业有限公司"/>
        <s v="邢台金隅冀东水泥有限公司"/>
        <s v="陕西华龙工程造价咨询有限公司"/>
        <s v="贵州红星发展大龙锰业有限责任公司"/>
        <s v="新疆天山"/>
        <s v="新疆堆焊项目"/>
        <s v="商务部周奇用款阜康天山标书费--对公"/>
        <s v="商务部周奇用款米东天山标书费--对公"/>
        <s v="米东天山"/>
        <s v="商务部周奇用款阜康天山投标保证金--对公"/>
        <s v="广西北港新材料有限公司"/>
        <s v="奎山水泥有限公司"/>
        <s v="亚泰集团哈尔滨水泥有限公司"/>
        <s v="兰州铝业有限公司"/>
        <s v="富民金锐水泥建材有限责任公司"/>
        <s v="华电和祥工程咨询有限公司（忻州电力标书费）"/>
        <s v="南京中联水泥有限公司"/>
        <s v="广安昌兴水泥有限公司"/>
        <s v="电能易购（北京）科技有限公司"/>
        <s v="新疆天山招标平台"/>
        <s v="吉林金隅冀东环保科技有限公司"/>
        <s v="邯郸钢铁集团有限责任公司"/>
        <s v="山西金隅冀东环保科技有限公司"/>
        <s v="鞍钢招标有限公司"/>
        <s v="河南龙宇煤化工有限公司"/>
        <s v="河北寰宇工程咨询有限责任公司（邯郸钢铁）"/>
        <s v="大方永贵建材有限责任公司"/>
        <s v="泰州杨湾海螺水泥有限责任公司"/>
        <s v="兴业葵阳海螺水泥有限责任公司"/>
        <s v="新疆天伟水泥有限公司"/>
        <s v="宁海强蛟海螺水泥有限责任公司"/>
        <s v="邢台金隅咏宁水泥有限公司"/>
        <s v="湖北省黄麦岭磷化工有限责任公司"/>
        <s v="唐山冀东水泥股份有限公司唐山分公司"/>
        <s v="黑龙江建龙钢铁有限公司（建龙钒业）"/>
        <s v="新疆千益工程项目咨询管理有限公司（天伟水泥有限公司）"/>
        <s v="安徽海螺水泥股份有限公司"/>
        <s v="辛集市澳森钢铁有限公司"/>
        <s v="湖南区域2022年水泥设备维修标书费"/>
        <s v="黔西电厂齿轮修复项目 (两次)平台服务费"/>
        <s v="包头冀东水泥有限公司"/>
        <s v="洛阳万基发电有限公司"/>
        <s v="山东韶华项目管理有限公司"/>
        <s v="安徽省优质采科技发展有限责任公司"/>
        <s v="山东韶华项目管理有限公司_x000a_（山东泉兴水泥有限公司）"/>
        <s v="山东韶华项目管理有限公司_x000a_（山东申丰水泥集团有限公司）"/>
        <s v="中技兴安工程项目管理有限公司（枣庄沃丰水泥有限公司）"/>
        <s v="湖南骏泰新材料科技有限责任公司"/>
        <s v="山东合标项目管理有限公司_x000a_华沃（枣庄）水泥有限公司"/>
        <s v="江阴兴澄特种钢铁有限公司"/>
        <s v="四川兴恒晟商贸有限公司_x000a_（四川省星船城水泥有限公司）"/>
        <s v="东方希望重庆水泥有限公司"/>
        <s v="中联水泥（山东）研发中心有限公司（沂南中联水泥有限公司）"/>
        <s v="洛浦天山水泥有限公司"/>
        <s v="北京千里马网信科技有限公司"/>
        <s v="山东申丰水泥有限公司"/>
        <s v="江西上高南方水泥有限公司"/>
        <s v="沂南中联水泥有限公司"/>
        <s v="山东滕国项目管理有限公司（山东申丰水泥集团有限公司）"/>
        <s v="能建平台CA年费（葛州坝集团）"/>
        <s v="中联水泥（山东）研发中心有限公司（泰安中联水泥有限公司）"/>
        <s v="湖南华菱湘潭钢铁有限公司"/>
        <s v="天瑞集团汝州水泥有限公司"/>
        <s v="宁波钢铁CA费用"/>
        <s v="西昌航天水泥有限责任公司"/>
        <s v="中联水泥（山东）研发中心有限公司（莒县中联水泥有限公司）"/>
        <s v="黔西电厂1-4磨煤机大修预计90根齿"/>
        <s v="元江县永发水泥有限公司"/>
        <s v="中国电能成套设备有限公司（黔西电厂）"/>
        <s v="辽源渭津金刚水泥有限公司（北方水泥龙东片区）"/>
        <s v="枣庄中联水泥有限公司"/>
        <s v="安徽省优质采科技发展有限责任公司（六国化工）"/>
        <s v="福建安砂建福水泥有限公司"/>
        <s v="泰安中联水泥有限公司"/>
        <s v="内蒙古霍宁碳素有限责任公司"/>
        <s v="内蒙古冀东水泥有限责任公司"/>
        <s v="祁连山平台单位印章-云印章办理续费"/>
        <s v="四川永祥新材料有限公司"/>
        <s v="忂州元立金属制品有限公司"/>
        <s v="甘肃上峰水泥股份有限公司"/>
        <s v="国家能源E购"/>
        <s v="中国华电集团"/>
        <s v="河南能源中原云商电子商务平台"/>
        <s v="宁夏滨河海利建材有限公司"/>
        <s v="中机国际招标有限公司（青海发投碱业有限公司）"/>
        <s v="内蒙古亿利冀东水泥有限公司"/>
        <s v="伊犁天山水泥有限公司"/>
        <s v="阜康天山"/>
        <s v="湖北双环科技股份有限公司"/>
        <s v="隆道平台服务费"/>
        <s v="鄂尔多斯市君正能源化工有限公司"/>
        <s v="布尔津天山"/>
        <s v="重庆大朗冶金新材料有限公司"/>
        <s v="冀东海德堡（泾阳）水泥有限公司"/>
        <s v="红河州紫燕水泥有限责任公司"/>
        <s v="湖北宜化松滋肥业有限公司"/>
        <s v="秦皇岛博荐工程项目管理有限公司"/>
        <s v="新疆水泥各成员企业-新疆天山总部"/>
        <s v="湖北宜化化工股份有限公司"/>
        <s v="鞍钢集团炼钢部"/>
        <s v="中原招采网"/>
        <s v="湖北联投电子采购平台"/>
        <s v="新疆八一钢铁股份有限公司"/>
        <s v="黑龙江建龙钢铁有限公司"/>
        <s v="山东新南铝材科技开发有限公司"/>
        <s v="南通尊荣机械有限公司"/>
        <s v="新疆阜康天山水泥有限责任公司"/>
        <s v="金隅台泥（代县）环保科技有限公司"/>
        <s v="成都云图生活电子商务有限公司（嘉施利（荆州）化肥有限公司）"/>
        <s v="新疆米东天山水泥有限责任公司"/>
        <s v="叶城天山水泥有限责任公司"/>
        <s v="中国电能成套设备有限公司（国家电投集团山西铝业有限公司）"/>
        <s v="福建永安建福水泥有限公司"/>
        <s v="福建三钢闽光股份有限公司"/>
        <s v="安钢集团信阳有限公司"/>
        <s v="内蒙古晟雄科技有限责任公司"/>
        <s v="唐山市诚峻设备修理有限公司"/>
        <s v="江西玉山万年青水泥有限公司"/>
        <s v="中联水泥（山东）研发中心有限公司（徐州中联水泥有限公司）"/>
        <s v="仁寿县汪洋建宝水泥有限公司"/>
        <s v="北方水泥有限公司（总部）"/>
        <s v="博爱金隅水泥有限公司"/>
        <s v="山西强伟纸业有限公司"/>
        <s v="成都云图控股股份有限公司（应城市新都化工有限责任公司）"/>
        <s v="上海宝华国际招标有限公司(伊犁钢铁)"/>
        <s v="新疆天山水泥股份有限公司库尔勒分公司"/>
        <s v="中铸新兴企业管理有限公司"/>
        <s v="四川省星船城水泥股份有限公司"/>
        <s v="中建西部建设新疆有限公司"/>
        <s v="山东钢铁集团日照有限公司"/>
        <s v="宝华智慧平台CA"/>
        <s v="广联达科技股份有限公司青海分公司"/>
        <s v="富蕴天山水泥有限责任公司"/>
        <s v="徐州小俏网络科技服务有限公司"/>
        <s v="安徽省招标集团股份有限公司（安徽华塑）"/>
        <s v="应城市新都化工有限责任公司"/>
        <s v="萍乡萍钢安源钢铁有限公司"/>
        <s v="布尔津天山水泥有限责任公司"/>
        <s v="日钢营口中板有限公司"/>
        <s v="新疆宜化化工有限公司"/>
        <s v="蕉岭县龙腾旋窑水泥有限公司"/>
        <s v="青海发投碱业有限公司_x000a_武汉开明高新科技有限公司"/>
        <s v="冀东水泥重庆江津有限责任公司"/>
        <s v="中盐青海昆仑碱业有限公司"/>
        <s v="中盐吉兰泰氯碱化工有限公司"/>
        <s v="湖北岚丹建设工程有限公司用于青海发投碱业有限公司"/>
        <s v="青海盐湖镁业有限公司"/>
        <s v="安徽恒泰新材料有限公司"/>
        <m/>
      </sharedItems>
    </cacheField>
    <cacheField name="公司名称2" numFmtId="0">
      <sharedItems containsBlank="1" containsNumber="1" containsInteger="1" containsMixedTypes="1" count="365">
        <s v="三门峡腾跃同力水泥有限公司"/>
        <s v="云南西南水泥有限公司"/>
        <s v="淮北众城水泥有限责任公司"/>
        <s v="吉林亚泰集团物资贸易有限公司"/>
        <s v="江苏永钢集团物资贸易有限公司"/>
        <s v="酒泉钢铁（集团）有限公司"/>
        <s v="亚泰集团伊通水泥有限公司"/>
        <s v="江苏沙钢集团有限公司"/>
        <s v="永登祁连山水泥有限公司"/>
        <s v="逸盛大化石化有限公司"/>
        <s v="德州中联大坝水泥有限公司"/>
        <s v="四川西南水泥有限公司"/>
        <s v="新安中联万基水泥有限公司"/>
        <s v="韩城尧柏阳山庄水泥有限公司"/>
        <s v="民和祁连山水泥有限公司"/>
        <s v="冀东海天水泥闻喜有限公司"/>
        <s v="贵州中诚水泥有限公司"/>
        <s v="云南丽江西南水泥有限公司"/>
        <s v="邯郸涉县金隅水泥有限公司"/>
        <s v="阳泉冀东水泥有限责任公司"/>
        <s v="河钢股份有限公司邯郸分公司"/>
        <s v="达州利森水泥有限公司"/>
        <s v="张家港宏昌钢板有限公司"/>
        <s v="葛洲坝钟祥水泥有限公司"/>
        <s v="四川峨眉山西南水泥有限公司"/>
        <s v="云南昆钢嘉华水泥建材有限公司"/>
        <s v="汉中尧柏水泥有限公司"/>
        <s v="鲁南中联水泥有限公司"/>
        <s v="莒县中联水泥有限公司"/>
        <s v="贵州沿河西南水泥有限公司"/>
        <s v="西安蓝田尧柏水泥有限公司"/>
        <s v="会东利森水泥有限公司"/>
        <s v="冀东水泥铜川有限公司"/>
        <s v="四川省绵竹澳东水泥有限责任公司"/>
        <s v="嘉华特种水泥股份有限公司嘉华水泥总厂"/>
        <s v="山东鲁城水泥有限公司"/>
        <s v="甘肃永固特种水泥有限公司"/>
        <s v="贵州纳雍隆庆乌江水泥有限公司"/>
        <s v="涿鹿金隅水泥有限公司"/>
        <s v="重庆秀山西南水泥有限公司"/>
        <s v="山东泰西水泥有限公司"/>
        <s v="绥江县永固水泥有限责任公司"/>
        <s v="华新水泥（房县)有限公司"/>
        <s v="云南普洱西南水泥有限公司"/>
        <s v="冀东水泥重庆江津有限公司"/>
        <s v="北京金隅琉水环保科技有限公司"/>
        <s v="贵州清镇西南水泥有限公司"/>
        <s v="华新水泥（恩施）有限公司"/>
        <s v="巴彦淖尔中联水泥有限公司"/>
        <s v="安康市尧柏水泥有限公司"/>
        <s v="贵州西南水泥有限公司"/>
        <s v="江苏永钢集团有限公司"/>
        <s v="渤海水泥（葫芦岛）有限公司"/>
        <s v="天瑞新登郑州水泥有限公司"/>
        <s v="酒钢（集团）宏达建材有限责任公司"/>
        <s v="安钢集团信阳钢铁有限责任公司"/>
        <s v="承德金隅水泥有限责任公司"/>
        <s v="鄂尔多斯市君正能源化工有限公司水泥分公司"/>
        <s v="四川金宏通实业有限公司"/>
        <s v="青海海西化工建材股份有限公司"/>
        <s v="河北新金轧材有限公司"/>
        <s v="四川达州钢铁有限公司"/>
        <s v="四川华蓥西南水泥有限公司"/>
        <s v="天瑞集团郑州水泥有限公司"/>
        <s v="贵州松桃高力水泥实业有限公司"/>
        <s v="冀东水泥璧山有限公司"/>
        <s v="贵州织金西南水泥有限公司"/>
        <s v="赞皇金隅水泥有限公司"/>
        <s v="四川德胜集团水泥有限公司"/>
        <s v="冀东水泥重庆合川有限责任公司"/>
        <s v="商洛尧柏龙桥水泥有限公司"/>
        <s v="旺苍川煤水泥有限责任公司"/>
        <s v="重庆长寿西南水泥有限公司"/>
        <s v="华新水泥（红河）有限公司"/>
        <s v="昌黎冀东水泥有限公司"/>
        <s v="宁夏建材集团股份有限公司"/>
        <s v="驻马店市豫龙同力水泥有限公司"/>
        <s v="双鸭山新时代水泥有限公司"/>
        <s v="福建福海创石油化工有限公司"/>
        <s v="鞍山冀东水泥有限责任公司"/>
        <s v="江西南方水泥有限公司"/>
        <s v="保山昆钢嘉华水泥建材有限公司"/>
        <s v="临沂中联水泥有限公司"/>
        <s v="湖南韶峰南方水泥有限公司"/>
        <s v="葛洲坝嘉鱼水泥有限公司"/>
        <s v="蒲城尧柏特种水泥有限公司"/>
        <s v="甘肃祁连山水泥集团股份有限公司"/>
        <s v="金隅冀东水泥（唐山）有限责任公司唐山分公司"/>
        <s v="吐鲁番天山水泥有限责任公司"/>
        <s v="河北金隅鼎鑫水泥有限公司"/>
        <s v="九江萍钢钢铁有限公司"/>
        <s v="陵川金隅冀东环保科技有限公司"/>
        <s v="康达（山东）水泥有限公司"/>
        <s v="内蒙古鄂尔多斯电力冶金集团股份有限公司资源综合利用分公司"/>
        <s v="重庆綦江西南水泥有限公司"/>
        <s v="江苏徐州中联水泥有限公司"/>
        <s v="峨山宏峰建材有限责任公司"/>
        <s v="安徽华塑股份有限公司"/>
        <s v="四川泰昌建材集团有限公司"/>
        <s v="台泥（安顺）水泥有限公司"/>
        <s v="葛洲坝荆门水泥有限公司"/>
        <s v="贵州黔西西南水泥有限公司"/>
        <s v="陕西实丰水泥股份有限公司"/>
        <s v="芜湖新兴铸管有限责任公司"/>
        <s v="四川利万步森水泥有限公司"/>
        <s v="山西双良鼎新水泥有限公司"/>
        <s v="唐县冀东水泥有限责任公司"/>
        <s v="新疆圣雄水泥有限公司"/>
        <s v="金昌水泥集团"/>
        <s v="葛洲坝石门特种水泥公司"/>
        <s v="新疆和静天山水泥有限责任公司"/>
        <s v="青州中联水泥有限公司"/>
        <s v="内蒙古宜化化工有限公司"/>
        <s v="吉林亚泰（集团）股份有限公司物资经销分公司"/>
        <s v="河北新金钢铁有限公司"/>
        <s v="洛阳黄河同力水泥有限责任公司"/>
        <s v="唐山冀东水泥三友有限公司"/>
        <s v="吉林亚泰明城水泥有限公司"/>
        <s v="河南洛阳黄河同力"/>
        <s v="鞍钢钢铁"/>
        <s v="亚泰集团哈尔滨水泥（阿城）有限公司"/>
        <s v="台泥（辽宁）水泥有限公司"/>
        <s v="川渝西南投标保证金"/>
        <s v="川渝西南标书费"/>
        <s v="华沃枣庄水泥"/>
        <s v="华沃（枣庄）水泥有限公司"/>
        <s v="冀东水泥滦州有限公司"/>
        <s v="中材甘肃水泥有限公司"/>
        <s v="石门海螺水泥有限责任公司"/>
        <s v="叶城天山水泥有限责任公司"/>
        <s v="湖北天银"/>
        <s v="安徽华塑股份有限公司水泥分公司"/>
        <s v="罗江利森水泥有限公司"/>
        <s v="阿克苏天山（阿克苏天山公司回转窑外协项目）"/>
        <s v="重庆铜梁西南水泥有限公司"/>
        <s v="蚌埠中联水泥有限公司"/>
        <s v="山东鲁泰环保建材有限公司"/>
        <s v="新洋丰农业科技股份有限公司"/>
        <s v="唐山曹妃甸盾石新型建材有限公司"/>
        <s v="阿克苏天山"/>
        <s v="蒙阴广汇建材有限公司"/>
        <s v="河南兴豫电子商务有限公司"/>
        <s v="山东嘉信建设管理咨询有限公司"/>
        <s v="山东合标项目管理有限公司"/>
        <s v="洛阳万基炭素有限公司"/>
        <s v="新疆天山水泥股份有限公司塔什店分公司"/>
        <s v="冀东海德堡（扶风）水泥有限公司"/>
        <s v="塔什店天山"/>
        <s v="长沙瑞财信息科技有限公司"/>
        <s v="新疆伊犁钢铁有限责任公司"/>
        <s v="曲阳金隅水泥有限公司"/>
        <s v="冀东水泥（烟台）有限责任公司"/>
        <s v="湘潭电机股份有限公司"/>
        <s v="喀什店天山"/>
        <s v="克州天山"/>
        <s v="新兴铸管股份有限公司"/>
        <s v="汪清北方水泥有限公司"/>
        <s v="重庆正阳新材料有限公司"/>
        <s v="平泉冀东水泥有限责任公司"/>
        <s v="武汉阳训科技有限公司"/>
        <s v="平原冀东水泥有限责任公司"/>
        <s v="涞水金隅冀东环保科技有限公司"/>
        <s v="冀东水泥磐石有限责任公司"/>
        <s v="四川省星船城水泥有限公司"/>
        <s v="中材常德水泥有限责任公司"/>
        <s v="安钢集团附属企业有限责任公司"/>
        <s v="葛洲坝当阳水泥有限公司"/>
        <s v="阿克苏天山多浪水泥有限责任公司"/>
        <s v="其他"/>
        <s v="新疆千益工程项目咨询管理有限公司"/>
        <s v="喀什天山水泥有限责任公司"/>
        <s v="湖南有色郴州氟化学有限公司"/>
        <s v="冀东水泥阿巴嘎旗有限责任公司"/>
        <s v="河源市金杰环保建材有限公司"/>
        <s v="鄂钢嘉华减速机更换线上支付"/>
        <s v="线上支付鄂钢主辊更换线上支付"/>
        <s v="云南远东亚鑫水泥有限责任公司"/>
        <s v="广东塔牌集团股份有限公司"/>
        <s v="山东泰山钢铁集团有限公司"/>
        <s v="湖南骏泰新材料有限责任公司"/>
        <s v="曲阜中联水泥有限公司"/>
        <s v="广东清新水泥有限公司"/>
        <n v="0"/>
        <s v="山西省中条山新型建材有限公司"/>
        <s v="云南远东水泥有限公司"/>
        <s v="河南省兴豫电子商务有限公司"/>
        <s v="河南省豫鹤同力水泥有限公司"/>
        <s v="河南晋开化工投资控股集团有限责任公司"/>
        <s v="江苏磊达股份有限公司"/>
        <s v="仁寿县汪洋建宝水泥有限公司广石分公司"/>
        <s v="鹤岗鑫塔水泥有限责任公司"/>
        <s v="张家港玖隆电子商务有限公司"/>
        <s v="阿坝铝厂"/>
        <s v="日照钢铁有限公司"/>
        <s v="贵州梵净山金顶水泥有限公司"/>
        <s v="日照京华新型建材有限公司"/>
        <s v="青海发投碱业有限公司"/>
        <s v="邢台金隅冀东水泥有限公司"/>
        <s v="陕西华龙工程造价咨询有限公司"/>
        <s v="贵州红星发展大龙锰业有限责任公司"/>
        <s v="新疆天山"/>
        <s v="新疆堆焊项目"/>
        <s v="商务部周奇用款阜康天山标书费--对公"/>
        <s v="新疆米东天山水泥有限责任公司"/>
        <s v="商务部周奇用款阜康天山投标保证金--对公"/>
        <s v="广西北港新材料有限公司"/>
        <s v="奎山水泥有限公司"/>
        <s v="亚泰集团哈尔滨水泥有限公司"/>
        <s v="兰州铝业有限公司"/>
        <s v="富民金锐水泥建材有限责任公司"/>
        <s v="华电和祥工程咨询有限公司（忻州电力标书费）"/>
        <s v="南京中联水泥有限公司"/>
        <s v="广安昌兴水泥有限公司"/>
        <s v="电能易购（北京）科技有限公司"/>
        <s v="新疆天山招标平台"/>
        <s v="吉林金隅冀东环保科技有限公司"/>
        <s v="邯郸钢铁集团有限责任公司"/>
        <s v="山西金隅冀东环保科技有限公司"/>
        <s v="鞍钢招标有限公司"/>
        <s v="河南龙宇煤化工有限公司"/>
        <s v="河北寰宇工程咨询有限责任公司（邯郸钢铁）"/>
        <s v="大方永贵建材有限责任公司"/>
        <s v="泰州杨湾海螺水泥有限责任公司"/>
        <s v="兴业葵阳海螺水泥有限责任公司"/>
        <s v="新疆天伟水泥有限公司"/>
        <s v="宁海强蛟海螺水泥有限责任公司"/>
        <s v="邢台金隅咏宁水泥有限公司"/>
        <s v="湖北省黄麦岭磷化工有限责任公司"/>
        <s v="唐山冀东水泥股份有限公司唐山分公司"/>
        <s v="黑龙江建龙钢铁有限公司（建龙钒业）"/>
        <s v="新疆千益工程项目咨询管理有限公司（天伟水泥有限公司）"/>
        <s v="安徽海螺水泥股份有限公司"/>
        <s v="辛集市澳森钢铁有限公司"/>
        <s v="湖南区域2022年水泥设备维修标书费"/>
        <s v="黔西电厂齿轮修复项目 (两次)平台服务费"/>
        <s v="包头冀东水泥有限公司"/>
        <s v="洛阳万基发电有限公司"/>
        <s v="山东韶华项目管理有限公司"/>
        <s v="安徽省优质采科技发展有限责任公司"/>
        <s v="山东韶华项目管理有限公司_x000a_（山东泉兴水泥有限公司）"/>
        <s v="山东韶华项目管理有限公司_x000a_（山东申丰水泥集团有限公司）"/>
        <s v="中技兴安工程项目管理有限公司（枣庄沃丰水泥有限公司）"/>
        <s v="湖南骏泰新材料科技有限责任公司"/>
        <s v="山东合标项目管理有限公司_x000a_华沃（枣庄）水泥有限公司"/>
        <s v="江阴兴澄特种钢铁有限公司"/>
        <s v="四川兴恒晟商贸有限公司_x000a_（四川省星船城水泥有限公司）"/>
        <s v="东方希望重庆水泥有限公司"/>
        <s v="中联水泥（山东）研发中心有限公司（沂南中联水泥有限公司）"/>
        <s v="洛浦天山水泥有限公司"/>
        <s v="克州天山水泥有限责任公司"/>
        <s v="北京千里马网信科技有限公司"/>
        <s v="山东申丰水泥有限公司"/>
        <s v="江西上高南方水泥有限公司"/>
        <s v="沂南中联水泥有限公司"/>
        <s v="山东滕国项目管理有限公司（山东申丰水泥集团有限公司）"/>
        <s v="能建平台CA年费（葛州坝集团）"/>
        <s v="中联水泥（山东）研发中心有限公司（泰安中联水泥有限公司）"/>
        <s v="湖南华菱湘潭钢铁有限公司"/>
        <s v="天瑞集团汝州水泥有限公司"/>
        <s v="宁波钢铁CA费用"/>
        <s v="西昌航天水泥有限责任公司"/>
        <s v="中联水泥（山东）研发中心有限公司（莒县中联水泥有限公司）"/>
        <s v="黔西电厂1-4磨煤机大修预计90根齿"/>
        <s v="元江县永发水泥有限公司"/>
        <s v="中国电能成套设备有限公司（黔西电厂）"/>
        <s v="辽源渭津金刚水泥有限公司（北方水泥龙东片区）"/>
        <s v="枣庄中联水泥有限公司"/>
        <s v="安徽省优质采科技发展有限责任公司（六国化工）"/>
        <s v="福建安砂建福水泥有限公司"/>
        <s v="泰安中联水泥有限公司"/>
        <s v="内蒙古霍宁碳素有限责任公司"/>
        <s v="内蒙古冀东水泥有限责任公司"/>
        <s v="祁连山平台单位印章-云印章办理续费"/>
        <s v="四川永祥新材料有限公司"/>
        <s v="衢州元立金属制品有限公司"/>
        <s v="忂州元立金属制品有限公司"/>
        <s v="甘肃上峰水泥股份有限公司"/>
        <s v="葛洲坝石门特种水泥有限公司"/>
        <s v="国家能源E购"/>
        <s v="中国华电集团"/>
        <s v="河南能源中原云商电子商务平台"/>
        <s v="宁夏滨河海利建材有限公司"/>
        <s v="中机国际招标有限公司（青海发投碱业有限公司）"/>
        <s v="内蒙古亿利冀东水泥有限责任公司"/>
        <s v="伊犁天山水泥有限公司"/>
        <s v="阜康天山"/>
        <s v="湖北双环科技股份有限公司"/>
        <s v="隆道平台服务费"/>
        <s v="鄂尔多斯市君正能源化工有限公司"/>
        <s v="布尔津天山"/>
        <s v="重庆大朗冶金新材料有限公司"/>
        <s v="冀东海德堡（泾阳）水泥有限公司"/>
        <s v="红河州紫燕水泥有限责任公司"/>
        <s v="湖北宜化松滋肥业有限公司"/>
        <s v="秦皇岛博荐工程项目管理有限公司"/>
        <s v="新疆水泥各成员企业-新疆天山总部"/>
        <s v="湖北宜化化工股份有限公司"/>
        <s v="鞍钢集团炼钢部"/>
        <s v="中原招采网"/>
        <s v="湖北联投电子采购平台"/>
        <s v="新疆八一钢铁股份有限公司"/>
        <s v="黑龙江建龙钢铁有限公司"/>
        <s v="山东新南铝材科技开发有限公司"/>
        <s v="南通尊荣机械有限公司"/>
        <s v="新疆阜康天山水泥有限责任公司"/>
        <s v="金隅台泥（代县）环保科技有限公司"/>
        <s v="成都云图生活电子商务有限公司（嘉施利（荆州）化肥有限公司）"/>
        <s v="国家电投集团山西铝业有限公司"/>
        <s v="福建永安建福水泥有限公司"/>
        <s v="福建三钢闽光股份有限公司"/>
        <s v="安钢集团信阳有限公司"/>
        <s v="内蒙古晟雄科技有限责任公司"/>
        <s v="唐山市诚峻设备修理有限公司"/>
        <s v="江西玉山万年青水泥有限公司"/>
        <s v="中联水泥（山东）研发中心有限公司（徐州中联水泥有限公司）"/>
        <s v="徐州中联水泥有限公司"/>
        <s v="仁寿县汪洋建宝水泥有限公司"/>
        <s v="北方水泥有限公司（总部）"/>
        <s v="博爱金隅水泥有限公司"/>
        <s v="山西强伟纸业有限公司"/>
        <s v="成都云图控股股份有限公司（应城市新都化工有限责任公司）"/>
        <s v="上海宝华国际招标有限公司(伊犁钢铁)"/>
        <s v="新疆天山水泥股份有限公司库尔勒分公司"/>
        <s v="中铸新兴企业管理有限公司"/>
        <s v="中建西部建设新疆有限公司"/>
        <s v="山东钢铁集团日照有限公司"/>
        <s v="宝华智慧平台CA"/>
        <s v="广联达科技股份有限公司青海分公司"/>
        <s v="富蕴天山水泥有限责任公司"/>
        <s v="徐州小俏网络科技服务有限公司"/>
        <s v="应城市新都化工有限责任公司"/>
        <s v="萍乡萍钢安源钢铁有限公司"/>
        <s v="布尔津天山水泥有限责任公司"/>
        <s v="日钢营口中板有限公司"/>
        <s v="新疆宜化化工有限公司"/>
        <m/>
        <s v="蕉岭县龙腾旋窑水泥有限公司"/>
        <s v="青海发投碱业有限公司_x000a_武汉开明高新科技有限公司"/>
        <s v="冀东水泥重庆江津有限责任公司"/>
        <s v="中盐青海昆仑碱业有限公司"/>
        <s v="中盐吉兰泰氯碱化工有限公司"/>
        <s v="湖北岚丹建设工程有限公司用于青海发投碱业有限公司"/>
        <s v="青海盐湖镁业有限公司"/>
        <s v="内蒙古亿利冀东水泥有责任限公司"/>
        <s v="安徽恒泰新材料有限公司"/>
        <s v="上海宝华国际招标有限公司"/>
        <s v="云图新能源材料（荆州）有限公司"/>
        <s v="中国电能成套设备有限公司（山西铝业）"/>
        <s v="唐山中厚板材有限公司"/>
        <s v="中盐内蒙古化工股份有限公司"/>
        <s v="邵玉海（闫玲）"/>
        <s v="上海宝华国际招标有限公司（新疆伊犁钢铁）"/>
        <s v="中盐内蒙古化工股份有限公司盐碱分公司"/>
        <s v="湘潭瑞通球团有限公司"/>
        <s v="淄博飞源化工有限公司（厦工(三明)重型机器有限公司）"/>
        <s v="湖北岚丹建设工程有限公司用于青海发投碱业有限公司农民工工资保证金"/>
        <s v="武汉开明高新科技有限公司"/>
        <s v="山东招标股份有限公司"/>
        <s v="安徽金岩高岭土新材料股份有限公司"/>
        <s v="台泥（英德）水泥有限公司"/>
        <s v="光大环保危废处置（淄博）有限公司"/>
        <s v="池州恒鑫材料科技有限公司"/>
        <s v="亚太森博（山东）浆纸有限公司"/>
        <s v="洛阳中联水泥有限公司"/>
        <s v="宝武集团鄂城钢铁有限公司"/>
      </sharedItems>
    </cacheField>
    <cacheField name="支付金额" numFmtId="0">
      <sharedItems containsString="0" containsBlank="1" containsNumber="1" minValue="0" maxValue="500000" count="169">
        <n v="1000"/>
        <n v="50000"/>
        <n v="3000"/>
        <n v="3800"/>
        <n v="20000"/>
        <n v="300"/>
        <n v="10000"/>
        <n v="2000"/>
        <n v="7000"/>
        <n v="15000"/>
        <n v="8000"/>
        <n v="5000"/>
        <n v="124500"/>
        <n v="25350"/>
        <n v="4000"/>
        <n v="7160"/>
        <n v="2600"/>
        <n v="2700"/>
        <n v="900"/>
        <n v="24000"/>
        <n v="1500"/>
        <n v="3200"/>
        <n v="100000"/>
        <n v="6000"/>
        <n v="10800"/>
        <n v="5920"/>
        <n v="36000"/>
        <n v="500"/>
        <n v="11800"/>
        <n v="40000"/>
        <n v="2500"/>
        <n v="4400"/>
        <n v="7100"/>
        <n v="14400"/>
        <n v="5400"/>
        <n v="7500"/>
        <n v="13000"/>
        <n v="100"/>
        <n v="12000"/>
        <n v="3400"/>
        <n v="7400"/>
        <n v="200"/>
        <n v="9500"/>
        <n v="9750"/>
        <n v="12500"/>
        <n v="11600"/>
        <n v="600"/>
        <n v="400"/>
        <n v="860"/>
        <n v="18000"/>
        <n v="9800"/>
        <n v="30000"/>
        <n v="3150"/>
        <n v="8814"/>
        <n v="800"/>
        <n v="500000"/>
        <n v="17000"/>
        <n v="80000"/>
        <n v="9000"/>
        <n v="12736"/>
        <n v="30900"/>
        <n v="15500"/>
        <n v="22000"/>
        <n v="3600"/>
        <n v="4300"/>
        <n v="11200"/>
        <n v="7750"/>
        <n v="38000"/>
        <n v="10013"/>
        <n v="2100"/>
        <n v="28000"/>
        <n v="9450"/>
        <n v="10500"/>
        <n v="20063.75"/>
        <n v="60"/>
        <n v="4136"/>
        <n v="4800"/>
        <n v="4600"/>
        <n v="52088"/>
        <n v="4200"/>
        <n v="190"/>
        <n v="50"/>
        <n v="30328"/>
        <n v="6650"/>
        <n v="2800"/>
        <n v="21560"/>
        <n v="14000"/>
        <n v="2650"/>
        <n v="54479.6"/>
        <n v="6400"/>
        <n v="3100"/>
        <n v="4500"/>
        <n v="15800"/>
        <n v="20100"/>
        <n v="22400"/>
        <n v="7550"/>
        <n v="31000"/>
        <n v="27800"/>
        <n v="34600"/>
        <n v="3840"/>
        <n v="320"/>
        <n v="940"/>
        <n v="14900"/>
        <n v="11500"/>
        <n v="30"/>
        <n v="3760"/>
        <n v="7800"/>
        <n v="32300"/>
        <n v="220"/>
        <n v="2750"/>
        <n v="15490"/>
        <n v="46000"/>
        <n v="26000"/>
        <n v="3340"/>
        <n v="6300"/>
        <n v="70000"/>
        <n v="13300"/>
        <n v="218"/>
        <n v="25000"/>
        <n v="1300"/>
        <n v="12800"/>
        <n v="59000"/>
        <n v="44802"/>
        <n v="32400"/>
        <n v="650"/>
        <n v="3900"/>
        <n v="17100"/>
        <n v="39390"/>
        <n v="27999"/>
        <n v="0"/>
        <n v="47850"/>
        <n v="3050"/>
        <m/>
        <n v="89000"/>
        <n v="32000"/>
        <n v="4450"/>
        <n v="15975"/>
        <n v="88500"/>
        <n v="29000"/>
        <n v="13500"/>
        <n v="9250"/>
        <n v="20500"/>
        <n v="27200"/>
        <n v="3500"/>
        <n v="65500"/>
        <n v="66000"/>
        <n v="48000"/>
        <n v="21000"/>
        <n v="180044"/>
        <n v="180000"/>
        <n v="1200"/>
        <n v="14300"/>
        <n v="6950"/>
        <n v="28875"/>
        <n v="74200"/>
        <n v="35000"/>
        <n v="120875"/>
        <n v="25536.9"/>
        <n v="4644.08"/>
        <n v="20838.39"/>
        <n v="5200"/>
        <n v="69500"/>
        <n v="85100"/>
        <n v="47100"/>
        <n v="94500"/>
        <n v="8500"/>
        <n v="57000"/>
        <n v="6500"/>
        <n v="3675"/>
      </sharedItems>
    </cacheField>
    <cacheField name="公司" numFmtId="0">
      <sharedItems containsBlank="1" count="5">
        <s v="武汉"/>
        <m/>
        <s v="彤烨"/>
        <s v="湖北"/>
        <s v="岚丹"/>
      </sharedItems>
    </cacheField>
    <cacheField name="支付方式" numFmtId="0">
      <sharedItems containsBlank="1" count="29">
        <s v="期初余额"/>
        <s v="武汉对公"/>
        <s v="平台上共8万"/>
        <s v="对公"/>
        <m/>
        <s v="个人"/>
        <s v="对公农商"/>
        <s v="湖北对公"/>
        <s v="对公汉口"/>
        <s v="对公浦发"/>
        <s v="湖北农商行对公"/>
        <s v="对公工行交通"/>
        <s v="对公中行"/>
        <s v="对公武汉中行"/>
        <s v="对公湖北农信"/>
        <s v="对公湖北工行交通支行"/>
        <s v="彤烨工行"/>
        <s v="湖北对公工行"/>
        <s v="武汉对公汉口"/>
        <s v="武汉汉口"/>
        <s v="彤烨对公"/>
        <s v="湖北工行对公"/>
        <s v="武汉汉口对公"/>
        <s v="武汉浦发对公"/>
        <s v="个体工商户"/>
        <s v="武汉对私"/>
        <s v="对公付个人"/>
        <s v="未支付"/>
        <s v="终止支付"/>
      </sharedItems>
    </cacheField>
    <cacheField name="支付类型" numFmtId="0">
      <sharedItems count="11">
        <s v="投标保证金"/>
        <s v="安全保证金"/>
        <s v="履约保证金"/>
        <s v="标书费"/>
        <s v="农民工工资保证金"/>
        <s v="平台服务费"/>
        <s v="中标服务费"/>
        <s v="罚款"/>
        <s v="其他"/>
        <s v="押金"/>
        <s v="农民工保证金" u="1"/>
      </sharedItems>
    </cacheField>
    <cacheField name="退款金额/_x000a_发票冲账" numFmtId="0">
      <sharedItems containsString="0" containsBlank="1" containsNumber="1" minValue="0" maxValue="498000" count="129">
        <m/>
        <n v="50000"/>
        <n v="300"/>
        <n v="2000"/>
        <n v="15000"/>
        <n v="3000"/>
        <n v="7000"/>
        <n v="20000"/>
        <n v="8000"/>
        <n v="10000"/>
        <n v="1000"/>
        <n v="5000"/>
        <n v="124500"/>
        <n v="25350"/>
        <n v="4000"/>
        <n v="7160"/>
        <n v="2600"/>
        <n v="2700"/>
        <n v="2900"/>
        <n v="24000"/>
        <n v="1500"/>
        <n v="3200"/>
        <n v="100000"/>
        <n v="6000"/>
        <n v="10800"/>
        <n v="9800"/>
        <n v="5920"/>
        <n v="36000"/>
        <n v="11800"/>
        <n v="40000"/>
        <n v="2500"/>
        <n v="4400"/>
        <n v="7100"/>
        <n v="14400"/>
        <n v="14000"/>
        <n v="5400"/>
        <n v="7500"/>
        <n v="13000"/>
        <n v="100"/>
        <n v="12000"/>
        <n v="500"/>
        <n v="3400"/>
        <n v="7400"/>
        <n v="200"/>
        <n v="9500"/>
        <n v="9750"/>
        <n v="12500"/>
        <n v="11600"/>
        <n v="600"/>
        <n v="400"/>
        <n v="860"/>
        <n v="18000"/>
        <n v="30000"/>
        <n v="3150"/>
        <n v="3800"/>
        <n v="8814"/>
        <n v="800"/>
        <n v="498000"/>
        <n v="17000"/>
        <n v="80000"/>
        <n v="9000"/>
        <n v="12736"/>
        <n v="30900"/>
        <n v="15500"/>
        <n v="22000"/>
        <n v="3600"/>
        <n v="4300"/>
        <n v="11200"/>
        <n v="7750"/>
        <n v="38000"/>
        <n v="10013"/>
        <n v="2100"/>
        <n v="28000"/>
        <n v="9450"/>
        <n v="10500"/>
        <n v="20063.75"/>
        <n v="60"/>
        <n v="4136"/>
        <n v="4800"/>
        <n v="4600"/>
        <n v="52088"/>
        <n v="4200"/>
        <n v="190"/>
        <n v="50"/>
        <n v="30328"/>
        <n v="6650"/>
        <n v="2800"/>
        <n v="21560"/>
        <n v="2650"/>
        <n v="54479.6"/>
        <n v="6400"/>
        <n v="3100"/>
        <n v="4500"/>
        <n v="20100"/>
        <n v="22400"/>
        <n v="7550"/>
        <n v="31000"/>
        <n v="27780"/>
        <n v="34600"/>
        <n v="940"/>
        <n v="14900"/>
        <n v="11500"/>
        <n v="3760"/>
        <n v="7800"/>
        <n v="2750"/>
        <n v="15490"/>
        <n v="46000"/>
        <n v="26000"/>
        <n v="3340"/>
        <n v="6300"/>
        <n v="70000"/>
        <n v="13300"/>
        <n v="25000"/>
        <n v="1300"/>
        <n v="650"/>
        <n v="3900"/>
        <n v="47850"/>
        <n v="3050"/>
        <n v="4450"/>
        <n v="29000"/>
        <n v="13500"/>
        <n v="9250"/>
        <n v="20500"/>
        <n v="3500"/>
        <n v="180000"/>
        <n v="13175"/>
        <n v="74200"/>
        <n v="26838.31"/>
        <n v="94500"/>
      </sharedItems>
    </cacheField>
    <cacheField name="未退余额" numFmtId="0">
      <sharedItems containsSemiMixedTypes="0" containsString="0" containsNumber="1" minValue="0" maxValue="180044" count="78">
        <n v="1000"/>
        <n v="0"/>
        <n v="3000"/>
        <n v="3800"/>
        <n v="20000"/>
        <n v="10000"/>
        <n v="50000"/>
        <n v="7000"/>
        <n v="900"/>
        <n v="100"/>
        <n v="200"/>
        <n v="500"/>
        <n v="5000"/>
        <n v="1500"/>
        <n v="2000"/>
        <n v="400"/>
        <n v="9000"/>
        <n v="300"/>
        <n v="4000"/>
        <n v="15800"/>
        <n v="2500"/>
        <n v="20"/>
        <n v="3840"/>
        <n v="320"/>
        <n v="30"/>
        <n v="32300"/>
        <n v="220"/>
        <n v="218"/>
        <n v="600"/>
        <n v="3600"/>
        <n v="6000"/>
        <n v="12800"/>
        <n v="59000"/>
        <n v="44802"/>
        <n v="32400"/>
        <n v="12000"/>
        <n v="11500"/>
        <n v="17100"/>
        <n v="39390"/>
        <n v="27999"/>
        <n v="30000"/>
        <n v="47850"/>
        <n v="3050"/>
        <n v="89000"/>
        <n v="32000"/>
        <n v="15975"/>
        <n v="88500"/>
        <n v="17000"/>
        <n v="13500"/>
        <n v="27200"/>
        <n v="29000"/>
        <n v="13000"/>
        <n v="65500"/>
        <n v="66000"/>
        <n v="48000"/>
        <n v="21000"/>
        <n v="180044"/>
        <n v="180000"/>
        <n v="1200"/>
        <n v="8000"/>
        <n v="14300"/>
        <n v="15000"/>
        <n v="6950"/>
        <n v="13161.69"/>
        <n v="35000"/>
        <n v="120875"/>
        <n v="25536.9"/>
        <n v="4644.08"/>
        <n v="20838.39"/>
        <n v="5200"/>
        <n v="15500"/>
        <n v="69500"/>
        <n v="85100"/>
        <n v="47100"/>
        <n v="14000"/>
        <n v="57000"/>
        <n v="6500"/>
        <n v="3675"/>
      </sharedItems>
    </cacheField>
    <cacheField name="退款时间" numFmtId="0">
      <sharedItems containsBlank="1" containsDate="1" containsMixedTypes="1" count="441">
        <m/>
        <d v="2020-11-20T00:00:00"/>
        <d v="2022-06-16T00:00:00"/>
        <d v="2020-09-25T00:00:00"/>
        <d v="2023-01-10T00:00:00"/>
        <d v="2019-08-30T00:00:00"/>
        <d v="2020-10-22T00:00:00"/>
        <d v="2019-01-15T00:00:00"/>
        <d v="2019-05-24T00:00:00"/>
        <d v="2019-07-18T00:00:00"/>
        <d v="2019-06-30T00:00:00"/>
        <d v="2019-08-15T00:00:00"/>
        <d v="2019-08-21T00:00:00"/>
        <d v="2019-08-23T00:00:00"/>
        <d v="2019-05-28T00:00:00"/>
        <d v="2019-06-17T00:00:00"/>
        <d v="2022-11-25T00:00:00"/>
        <d v="2020-08-21T00:00:00"/>
        <d v="2020-04-17T00:00:00"/>
        <d v="2019-12-25T00:00:00"/>
        <d v="2021-10-15T00:00:00"/>
        <d v="2020-05-22T00:00:00"/>
        <d v="2019-07-30T00:00:00"/>
        <d v="2019-06-25T00:00:00"/>
        <d v="2019-06-28T00:00:00"/>
        <d v="2019-08-26T00:00:00"/>
        <d v="2019-07-15T00:00:00"/>
        <d v="2019-11-25T00:00:00"/>
        <d v="2021-07-26T00:00:00"/>
        <d v="2019-08-24T00:00:00"/>
        <d v="2023-03-27T00:00:00"/>
        <d v="2022-04-22T00:00:00"/>
        <d v="2019-12-30T00:00:00"/>
        <d v="2019-09-10T00:00:00"/>
        <d v="2019-09-15T00:00:00"/>
        <d v="2019-10-23T00:00:00"/>
        <d v="2020-01-17T00:00:00"/>
        <d v="2019-10-17T00:00:00"/>
        <d v="2019-11-07T00:00:00"/>
        <d v="2019-09-17T00:00:00"/>
        <d v="2019-11-20T00:00:00"/>
        <d v="2019-10-30T00:00:00"/>
        <d v="2021-09-26T00:00:00"/>
        <d v="2020-05-25T00:00:00"/>
        <d v="2022-12-13T00:00:00"/>
        <d v="2019-11-18T00:00:00"/>
        <d v="2019-12-02T00:00:00"/>
        <d v="2020-07-06T00:00:00"/>
        <d v="2020-06-03T00:00:00"/>
        <d v="2019-12-20T00:00:00"/>
        <d v="2020-12-24T00:00:00"/>
        <d v="2020-01-04T00:00:00"/>
        <d v="2020-03-30T00:00:00"/>
        <d v="2023-04-19T00:00:00"/>
        <d v="2020-03-23T00:00:00"/>
        <d v="2020-12-28T00:00:00"/>
        <d v="2020-07-27T00:00:00"/>
        <d v="2021-09-24T00:00:00"/>
        <d v="2020-07-22T00:00:00"/>
        <d v="2020-07-23T00:00:00"/>
        <d v="2021-10-22T00:00:00"/>
        <d v="2020-09-09T00:00:00"/>
        <d v="2020-10-26T00:00:00"/>
        <d v="2024-09-19T00:00:00"/>
        <d v="2020-12-31T00:00:00"/>
        <d v="2020-08-26T00:00:00"/>
        <d v="2021-01-27T00:00:00"/>
        <d v="2021-12-17T00:00:00"/>
        <d v="2020-08-28T00:00:00"/>
        <d v="2022-04-27T00:00:00"/>
        <d v="2021-01-25T00:00:00"/>
        <d v="2020-08-30T00:00:00"/>
        <d v="2022-05-26T00:00:00"/>
        <d v="2023-05-24T00:00:00"/>
        <d v="2020-09-20T00:00:00"/>
        <d v="2021-05-19T00:00:00"/>
        <d v="2020-08-25T00:00:00"/>
        <d v="2023-11-27T00:00:00"/>
        <d v="2021-12-29T00:00:00"/>
        <d v="2021-01-12T00:00:00"/>
        <d v="2020-11-27T00:00:00"/>
        <d v="2021-01-13T00:00:00"/>
        <d v="2020-12-21T00:00:00"/>
        <d v="2021-01-21T00:00:00"/>
        <d v="2020-12-16T00:00:00"/>
        <d v="2021-12-25T00:00:00"/>
        <d v="2023-01-17T00:00:00"/>
        <d v="2021-12-02T00:00:00"/>
        <d v="2021-05-14T00:00:00"/>
        <d v="2021-02-23T00:00:00"/>
        <d v="2021-02-22T00:00:00"/>
        <d v="2021-01-31T00:00:00"/>
        <d v="2021-01-20T00:00:00"/>
        <d v="2021-01-15T00:00:00"/>
        <d v="2021-02-10T00:00:00"/>
        <d v="2021-02-24T00:00:00"/>
        <d v="2021-01-05T00:00:00"/>
        <d v="2021-02-06T00:00:00"/>
        <d v="2023-05-23T00:00:00"/>
        <d v="2021-03-25T00:00:00"/>
        <d v="2022-02-22T00:00:00"/>
        <d v="2023-09-12T00:00:00"/>
        <d v="2021-08-25T00:00:00"/>
        <d v="2021-03-22T00:00:00"/>
        <d v="2021-07-28T00:00:00"/>
        <d v="2022-06-06T00:00:00"/>
        <d v="2022-06-27T00:00:00"/>
        <d v="2021-02-18T00:00:00"/>
        <d v="2023-12-25T00:00:00"/>
        <d v="2021-04-20T00:00:00"/>
        <d v="2022-10-16T00:00:00"/>
        <d v="2021-10-27T00:00:00"/>
        <d v="2022-05-30T00:00:00"/>
        <d v="2021-10-18T00:00:00"/>
        <d v="2021-09-10T00:00:00"/>
        <d v="2021-12-09T00:00:00"/>
        <d v="2021-03-12T00:00:00"/>
        <d v="2021-05-25T00:00:00"/>
        <d v="2021-09-27T00:00:00"/>
        <d v="2021-05-20T00:00:00"/>
        <d v="2023-03-21T00:00:00"/>
        <d v="2021-10-21T00:00:00"/>
        <d v="2023-03-23T00:00:00"/>
        <d v="2021-05-26T00:00:00"/>
        <d v="2021-04-30T00:00:00"/>
        <d v="2021-10-07T00:00:00"/>
        <d v="2021-04-29T00:00:00"/>
        <d v="2022-01-14T00:00:00"/>
        <d v="2024-05-27T00:00:00"/>
        <d v="2012-12-07T00:00:00"/>
        <d v="2022-12-02T00:00:00"/>
        <d v="2021-10-28T00:00:00"/>
        <d v="2021-10-14T00:00:00"/>
        <d v="2021-09-15T00:00:00"/>
        <d v="2021-08-24T00:00:00"/>
        <d v="2021-08-16T00:00:00"/>
        <d v="2022-06-20T00:00:00"/>
        <d v="2023-05-25T00:00:00"/>
        <d v="2021-09-14T00:00:00"/>
        <d v="2023-12-21T00:00:00"/>
        <d v="2021-08-20T00:00:00"/>
        <d v="2022-01-20T00:00:00"/>
        <d v="2022-09-22T00:00:00"/>
        <d v="2021-08-31T00:00:00"/>
        <d v="2021-08-26T00:00:00"/>
        <d v="2021-09-02T00:00:00"/>
        <d v="2022-03-18T00:00:00"/>
        <d v="2021-11-12T00:00:00"/>
        <d v="2021-09-16T00:00:00"/>
        <d v="2022-03-07T00:00:00"/>
        <d v="2021-11-23T00:00:00"/>
        <d v="2022-11-30T00:00:00"/>
        <d v="2021-11-17T00:00:00"/>
        <d v="2021-09-22T00:00:00"/>
        <d v="2021-10-26T00:00:00"/>
        <d v="2021-09-28T00:00:00"/>
        <d v="2021-09-30T00:00:00"/>
        <d v="2022-06-23T00:00:00"/>
        <d v="2021-10-11T00:00:00"/>
        <d v="2022-01-28T00:00:00"/>
        <d v="2023-05-05T00:00:00"/>
        <d v="2021-12-20T00:00:00"/>
        <d v="2022-03-30T00:00:00"/>
        <d v="2021-11-01T00:00:00"/>
        <d v="2022-01-12T00:00:00"/>
        <d v="2022-03-25T00:00:00"/>
        <d v="2022-08-18T00:00:00"/>
        <d v="2021-11-03T00:00:00"/>
        <d v="2022-07-18T00:00:00"/>
        <d v="2022-07-14T00:00:00"/>
        <d v="2023-10-18T00:00:00"/>
        <d v="2022-04-01T00:00:00"/>
        <d v="2021-11-25T00:00:00"/>
        <d v="2021-12-30T00:00:00"/>
        <d v="2021-11-15T00:00:00"/>
        <d v="2022-12-26T00:00:00"/>
        <d v="2021-01-11T00:00:00"/>
        <d v="2022-07-29T00:00:00"/>
        <d v="2021-11-19T00:00:00"/>
        <d v="2022-01-18T00:00:00"/>
        <d v="2021-11-22T00:00:00"/>
        <d v="2012-12-04T00:00:00"/>
        <d v="2021-12-22T00:00:00"/>
        <d v="2022-01-06T00:00:00"/>
        <d v="2022-01-25T00:00:00"/>
        <d v="2021-11-24T00:00:00"/>
        <d v="2022-12-29T00:00:00"/>
        <d v="2022-01-21T00:00:00"/>
        <d v="2021-12-15T00:00:00"/>
        <d v="2022-04-13T00:00:00"/>
        <d v="2022-06-24T00:00:00"/>
        <d v="2021-12-06T00:00:00"/>
        <d v="2021-11-29T00:00:00"/>
        <d v="2022-09-14T00:00:00"/>
        <d v="2021-12-23T00:00:00"/>
        <d v="2022-03-29T00:00:00"/>
        <d v="2024-01-08T00:00:00"/>
        <d v="2021-12-03T00:00:00"/>
        <d v="2021-12-16T00:00:00"/>
        <d v="2022-02-24T00:00:00"/>
        <d v="2022-05-31T00:00:00"/>
        <d v="2022-02-25T00:00:00"/>
        <d v="2022-04-06T00:00:00"/>
        <d v="2022-01-11T00:00:00"/>
        <d v="2024-06-21T00:00:00"/>
        <d v="2022-03-15T00:00:00"/>
        <d v="2022-02-21T00:00:00"/>
        <d v="2022-06-15T00:00:00"/>
        <d v="2022-02-17T00:00:00"/>
        <d v="2022-03-01T00:00:00"/>
        <d v="2022-02-19T00:00:00"/>
        <d v="2023-12-05T00:00:00"/>
        <d v="2022-05-19T00:00:00"/>
        <d v="2022-02-18T00:00:00"/>
        <d v="2023-03-17T00:00:00"/>
        <d v="2022-04-07T00:00:00"/>
        <d v="2022-03-23T00:00:00"/>
        <d v="2022-09-20T00:00:00"/>
        <d v="2022-06-07T00:00:00"/>
        <d v="2022-04-08T00:00:00"/>
        <d v="2022-05-28T00:00:00"/>
        <d v="2022-05-23T00:00:00"/>
        <d v="2022-03-10T00:00:00"/>
        <d v="2022-04-21T00:00:00"/>
        <d v="2022-03-11T00:00:00"/>
        <d v="2022-05-13T00:00:00"/>
        <d v="2022-06-09T00:00:00"/>
        <d v="2022-08-24T00:00:00"/>
        <d v="2023-04-10T00:00:00"/>
        <d v="2022-12-30T00:00:00"/>
        <d v="2022-07-12T00:00:00"/>
        <d v="2022-05-24T00:00:00"/>
        <d v="2022-05-20T00:00:00"/>
        <d v="2022-05-11T00:00:00"/>
        <d v="2022-06-22T00:00:00"/>
        <d v="2022-12-01T00:00:00"/>
        <d v="2022-05-27T00:00:00"/>
        <d v="2023-03-31T00:00:00"/>
        <d v="2023-03-28T00:00:00"/>
        <d v="2023-09-22T00:00:00"/>
        <d v="2022-10-28T00:00:00"/>
        <d v="2022-11-22T00:00:00"/>
        <d v="2022-07-28T00:00:00"/>
        <d v="2022-11-15T00:00:00"/>
        <d v="2023-04-14T00:00:00"/>
        <d v="2023-09-17T00:00:00"/>
        <d v="2022-06-21T00:00:00"/>
        <d v="2022-09-13T00:00:00"/>
        <d v="2023-12-26T00:00:00"/>
        <d v="2022-06-30T00:00:00"/>
        <d v="2022-06-29T00:00:00"/>
        <d v="2022-07-06T00:00:00"/>
        <d v="2022-10-21T00:00:00"/>
        <d v="2024-08-28T00:00:00"/>
        <d v="2022-07-25T00:00:00"/>
        <d v="2022-11-21T00:00:00"/>
        <d v="2022-11-14T00:00:00"/>
        <d v="2022-11-08T00:00:00"/>
        <d v="2022-10-24T00:00:00"/>
        <d v="2022-08-17T00:00:00"/>
        <d v="2023-02-21T00:00:00"/>
        <d v="2022-09-26T00:00:00"/>
        <d v="2022-09-28T00:00:00"/>
        <d v="2023-03-14T00:00:00"/>
        <d v="2022-09-23T00:00:00"/>
        <d v="2023-01-06T00:00:00"/>
        <d v="2022-12-08T00:00:00"/>
        <d v="2022-10-19T00:00:00"/>
        <d v="2022-10-12T00:00:00"/>
        <d v="2022-11-23T00:00:00"/>
        <d v="2022-11-18T00:00:00"/>
        <d v="2023-03-29T00:00:00"/>
        <d v="2022-09-09T00:00:00"/>
        <d v="2024-02-27T00:00:00"/>
        <d v="2022-11-12T00:00:00"/>
        <d v="2023-10-31T00:00:00"/>
        <s v="2024.7.26"/>
        <d v="2022-11-16T00:00:00"/>
        <d v="2022-12-28T00:00:00"/>
        <d v="2023-01-16T00:00:00"/>
        <d v="2022-10-25T00:00:00"/>
        <d v="2023-11-23T00:00:00"/>
        <d v="2023-12-22T00:00:00"/>
        <d v="2022-11-17T00:00:00"/>
        <d v="2023-11-28T00:00:00"/>
        <d v="2023-01-19T00:00:00"/>
        <d v="2023-04-22T00:00:00"/>
        <d v="2023-01-01T00:00:00"/>
        <d v="2022-11-04T00:00:00"/>
        <d v="2024-12-23T00:00:00"/>
        <d v="2022-11-07T00:00:00"/>
        <d v="2023-06-25T00:00:00"/>
        <d v="2023-12-20T00:00:00"/>
        <d v="2023-05-13T00:00:00"/>
        <d v="2023-12-27T00:00:00"/>
        <d v="2023-02-03T00:00:00"/>
        <d v="2023-10-16T00:00:00"/>
        <d v="2023-10-27T00:00:00"/>
        <d v="2024-01-22T00:00:00"/>
        <d v="2023-02-16T00:00:00"/>
        <d v="2023-04-24T00:00:00"/>
        <d v="2022-12-05T00:00:00"/>
        <d v="2023-01-30T00:00:00"/>
        <d v="2023-07-11T00:00:00"/>
        <d v="2022-12-07T00:00:00"/>
        <d v="2022-12-06T00:00:00"/>
        <d v="2023-01-13T00:00:00"/>
        <d v="2023-05-14T00:00:00"/>
        <d v="2023-01-11T00:00:00"/>
        <d v="2023-05-12T00:00:00"/>
        <d v="2022-12-23T00:00:00"/>
        <d v="2023-02-01T00:00:00"/>
        <d v="2023-02-20T00:00:00"/>
        <d v="2023-02-09T00:00:00"/>
        <d v="2023-05-26T00:00:00"/>
        <d v="2023-01-31T00:00:00"/>
        <d v="2023-02-18T00:00:00"/>
        <d v="2024-01-17T00:00:00"/>
        <d v="2023-03-04T00:00:00"/>
        <d v="2024-01-24T00:00:00"/>
        <d v="2023-04-23T00:00:00"/>
        <d v="2023-02-17T00:00:00"/>
        <d v="2023-04-28T00:00:00"/>
        <d v="2023-02-25T00:00:00"/>
        <d v="2023-05-29T00:00:00"/>
        <d v="2023-02-10T00:00:00"/>
        <d v="2023-03-22T00:00:00"/>
        <d v="2023-02-19T00:00:00"/>
        <d v="2024-05-28T00:00:00"/>
        <d v="2023-03-06T00:00:00"/>
        <d v="2023-04-07T00:00:00"/>
        <d v="2023-02-28T00:00:00"/>
        <d v="2023-03-02T00:00:00"/>
        <d v="2023-08-23T00:00:00"/>
        <d v="2023-03-13T00:00:00"/>
        <d v="2023-09-21T00:00:00"/>
        <d v="2023-04-05T00:00:00"/>
        <d v="2023-03-20T00:00:00"/>
        <d v="2023-12-15T00:00:00"/>
        <d v="2023-04-06T00:00:00"/>
        <d v="2023-04-26T00:00:00"/>
        <d v="2023-04-13T00:00:00"/>
        <d v="2023-07-13T00:00:00"/>
        <d v="2023-06-08T00:00:00"/>
        <d v="2023-12-28T00:00:00"/>
        <d v="2023-05-19T00:00:00"/>
        <d v="2023-06-26T00:00:00"/>
        <d v="2023-06-27T00:00:00"/>
        <d v="2023-05-18T00:00:00"/>
        <d v="2023-06-21T00:00:00"/>
        <d v="2023-05-11T00:00:00"/>
        <d v="2023-05-30T00:00:00"/>
        <d v="2023-04-27T00:00:00"/>
        <d v="2023-05-10T00:00:00"/>
        <d v="2024-01-29T00:00:00"/>
        <d v="2023-07-21T00:00:00"/>
        <d v="2023-06-30T00:00:00"/>
        <d v="2023-11-29T00:00:00"/>
        <d v="2023-06-07T00:00:00"/>
        <d v="2023-07-26T00:00:00"/>
        <d v="2023-05-31T00:00:00"/>
        <d v="2023-12-08T00:00:00"/>
        <d v="2024-01-25T00:00:00"/>
        <d v="2023-06-28T00:00:00"/>
        <s v="转履约、林维跟进"/>
        <d v="2023-07-07T00:00:00"/>
        <d v="2023-06-29T00:00:00"/>
        <d v="2023-07-12T00:00:00"/>
        <d v="2023-09-07T00:00:00"/>
        <d v="2023-08-18T00:00:00"/>
        <d v="2023-08-31T00:00:00"/>
        <d v="2023-07-31T00:00:00"/>
        <d v="2023-11-08T00:00:00"/>
        <d v="2024-04-23T00:00:00"/>
        <d v="2023-10-23T00:00:00"/>
        <d v="2024-02-23T00:00:00"/>
        <d v="2023-09-25T00:00:00"/>
        <d v="2023-09-15T00:00:00"/>
        <d v="2023-10-26T00:00:00"/>
        <d v="2024-09-25T00:00:00"/>
        <d v="2023-11-01T00:00:00"/>
        <d v="2023-11-22T00:00:00"/>
        <d v="2023-12-11T00:00:00"/>
        <d v="2024-09-05T00:00:00"/>
        <d v="2023-11-16T00:00:00"/>
        <d v="2024-01-26T00:00:00"/>
        <d v="2023-11-24T00:00:00"/>
        <d v="2023-12-07T00:00:00"/>
        <d v="2023-11-30T00:00:00"/>
        <d v="2024-01-04T00:00:00"/>
        <d v="2024-06-03T00:00:00"/>
        <d v="2023-12-06T00:00:00"/>
        <d v="2024-04-12T00:00:00"/>
        <d v="2023-12-14T00:00:00"/>
        <d v="2024-02-22T00:00:00"/>
        <d v="2024-08-26T00:00:00"/>
        <d v="2024-03-26T00:00:00"/>
        <d v="2024-11-27T00:00:00"/>
        <d v="2024-08-21T00:00:00"/>
        <d v="2024-03-29T00:00:00"/>
        <d v="2024-03-14T00:00:00"/>
        <d v="2024-11-28T00:00:00"/>
        <d v="2024-02-21T00:00:00"/>
        <d v="2024-03-28T00:00:00"/>
        <d v="2024-04-13T00:00:00"/>
        <d v="2024-04-19T00:00:00"/>
        <d v="2024-05-23T00:00:00"/>
        <d v="2024-05-31T00:00:00"/>
        <d v="2024-04-16T00:00:00"/>
        <d v="2024-04-06T00:00:00"/>
        <d v="2024-04-10T00:00:00"/>
        <d v="2024-12-24T00:00:00"/>
        <d v="2024-04-22T00:00:00"/>
        <s v="2024.7.11"/>
        <d v="2024-05-29T00:00:00"/>
        <d v="2024-06-25T00:00:00"/>
        <d v="2024-07-09T00:00:00"/>
        <d v="2024-09-13T00:00:00"/>
        <d v="2024-06-17T00:00:00"/>
        <d v="2024-08-19T00:00:00"/>
        <d v="2024-09-14T00:00:00"/>
        <d v="2024-09-11T00:00:00"/>
        <d v="2024-09-27T00:00:00"/>
        <d v="2024-09-04T00:00:00"/>
        <d v="2024-10-25T00:00:00"/>
        <d v="2025-01-24T00:00:00"/>
        <d v="2024-11-25T00:00:00"/>
        <d v="2024-09-26T00:00:00"/>
        <d v="2024-11-21T00:00:00"/>
        <d v="2024-10-27T00:00:00"/>
        <d v="2024-10-09T00:00:00"/>
        <d v="2024-10-14T00:00:00"/>
        <d v="2024-11-19T00:00:00"/>
        <d v="2024-12-18T00:00:00"/>
        <d v="2024-12-12T00:00:00"/>
        <d v="2024-12-03T00:00:00"/>
        <d v="2024-12-19T00:00:00"/>
        <d v="2024-01-03T00:00:00"/>
        <d v="2024-12-27T00:00:00"/>
        <d v="2025-02-28T00:00:00"/>
        <d v="2025-03-04T00:00:00"/>
      </sharedItems>
    </cacheField>
    <cacheField name="退回月份" numFmtId="0">
      <sharedItems containsBlank="1" containsDate="1" containsMixedTypes="1" count="438">
        <d v="1899-12-30T00:00:00"/>
        <d v="2020-11-20T00:00:00"/>
        <d v="2022-06-16T00:00:00"/>
        <d v="2020-09-25T00:00:00"/>
        <d v="2023-01-10T00:00:00"/>
        <d v="2019-08-30T00:00:00"/>
        <d v="2020-10-22T00:00:00"/>
        <d v="2019-01-15T00:00:00"/>
        <d v="2019-05-24T00:00:00"/>
        <d v="2019-07-18T00:00:00"/>
        <d v="2019-06-30T00:00:00"/>
        <d v="2019-08-15T00:00:00"/>
        <d v="2019-08-21T00:00:00"/>
        <d v="2019-08-23T00:00:00"/>
        <d v="2019-05-28T00:00:00"/>
        <d v="2019-06-17T00:00:00"/>
        <d v="2022-11-25T00:00:00"/>
        <d v="2020-08-21T00:00:00"/>
        <d v="2020-04-17T00:00:00"/>
        <d v="2019-12-25T00:00:00"/>
        <d v="2021-10-15T00:00:00"/>
        <d v="2020-05-22T00:00:00"/>
        <d v="2019-07-30T00:00:00"/>
        <d v="2019-06-25T00:00:00"/>
        <d v="2019-06-28T00:00:00"/>
        <d v="2019-08-26T00:00:00"/>
        <d v="2019-07-15T00:00:00"/>
        <d v="2019-11-25T00:00:00"/>
        <d v="2021-07-26T00:00:00"/>
        <d v="2019-08-24T00:00:00"/>
        <d v="2023-03-27T00:00:00"/>
        <d v="2022-04-22T00:00:00"/>
        <d v="2019-12-30T00:00:00"/>
        <d v="2019-09-10T00:00:00"/>
        <d v="2019-09-15T00:00:00"/>
        <d v="2019-10-23T00:00:00"/>
        <d v="2020-01-17T00:00:00"/>
        <d v="2019-10-17T00:00:00"/>
        <d v="2019-11-07T00:00:00"/>
        <d v="2019-09-17T00:00:00"/>
        <d v="2019-11-20T00:00:00"/>
        <d v="2019-10-30T00:00:00"/>
        <d v="2021-09-26T00:00:00"/>
        <d v="2020-05-25T00:00:00"/>
        <d v="2022-12-13T00:00:00"/>
        <d v="2019-11-18T00:00:00"/>
        <d v="2019-12-02T00:00:00"/>
        <d v="2020-07-06T00:00:00"/>
        <d v="2020-06-03T00:00:00"/>
        <d v="2019-12-20T00:00:00"/>
        <d v="2020-12-24T00:00:00"/>
        <d v="2020-01-04T00:00:00"/>
        <d v="2020-03-30T00:00:00"/>
        <d v="2023-04-19T00:00:00"/>
        <d v="2020-03-23T00:00:00"/>
        <d v="2020-12-28T00:00:00"/>
        <d v="2020-07-27T00:00:00"/>
        <d v="2021-09-24T00:00:00"/>
        <d v="2020-07-22T00:00:00"/>
        <d v="2020-07-23T00:00:00"/>
        <d v="2021-10-22T00:00:00"/>
        <d v="2020-09-09T00:00:00"/>
        <d v="2020-10-26T00:00:00"/>
        <d v="2024-09-19T00:00:00"/>
        <d v="2020-12-31T00:00:00"/>
        <d v="2020-08-26T00:00:00"/>
        <d v="2021-01-27T00:00:00"/>
        <d v="2021-12-17T00:00:00"/>
        <d v="2020-08-28T00:00:00"/>
        <d v="2022-04-27T00:00:00"/>
        <d v="2021-01-25T00:00:00"/>
        <d v="2020-08-30T00:00:00"/>
        <d v="2022-05-26T00:00:00"/>
        <d v="2023-05-24T00:00:00"/>
        <d v="2020-09-20T00:00:00"/>
        <d v="2021-05-19T00:00:00"/>
        <d v="2020-08-25T00:00:00"/>
        <d v="2023-11-27T00:00:00"/>
        <d v="2021-12-29T00:00:00"/>
        <d v="2021-01-12T00:00:00"/>
        <d v="2020-11-27T00:00:00"/>
        <d v="2021-01-13T00:00:00"/>
        <d v="2020-12-21T00:00:00"/>
        <d v="2021-01-21T00:00:00"/>
        <d v="2020-12-16T00:00:00"/>
        <d v="2021-12-25T00:00:00"/>
        <d v="2023-01-17T00:00:00"/>
        <d v="2021-12-02T00:00:00"/>
        <d v="2021-05-14T00:00:00"/>
        <d v="2021-02-23T00:00:00"/>
        <d v="2021-02-22T00:00:00"/>
        <d v="2021-01-31T00:00:00"/>
        <d v="2021-01-20T00:00:00"/>
        <d v="2021-01-15T00:00:00"/>
        <d v="2021-02-10T00:00:00"/>
        <d v="2021-02-24T00:00:00"/>
        <d v="2021-01-05T00:00:00"/>
        <d v="2021-02-06T00:00:00"/>
        <d v="2023-05-23T00:00:00"/>
        <d v="2021-03-25T00:00:00"/>
        <d v="2022-02-22T00:00:00"/>
        <d v="2023-09-12T00:00:00"/>
        <d v="2021-08-25T00:00:00"/>
        <d v="2021-03-22T00:00:00"/>
        <d v="2021-07-28T00:00:00"/>
        <d v="2022-06-06T00:00:00"/>
        <d v="2022-06-27T00:00:00"/>
        <d v="2021-02-18T00:00:00"/>
        <d v="2023-12-25T00:00:00"/>
        <d v="2021-04-20T00:00:00"/>
        <d v="2022-10-16T00:00:00"/>
        <d v="2021-10-27T00:00:00"/>
        <d v="2022-05-30T00:00:00"/>
        <d v="2021-10-18T00:00:00"/>
        <d v="2021-09-10T00:00:00"/>
        <d v="2021-12-09T00:00:00"/>
        <d v="2021-03-12T00:00:00"/>
        <d v="2021-05-25T00:00:00"/>
        <d v="2021-09-27T00:00:00"/>
        <d v="2021-05-20T00:00:00"/>
        <d v="2023-03-21T00:00:00"/>
        <d v="2021-10-21T00:00:00"/>
        <d v="2023-03-23T00:00:00"/>
        <d v="2021-05-26T00:00:00"/>
        <d v="2021-04-30T00:00:00"/>
        <d v="2021-10-07T00:00:00"/>
        <d v="2021-04-29T00:00:00"/>
        <d v="2022-01-14T00:00:00"/>
        <d v="2024-05-27T00:00:00"/>
        <d v="2012-12-07T00:00:00"/>
        <d v="2022-12-02T00:00:00"/>
        <d v="2021-10-28T00:00:00"/>
        <d v="2021-10-14T00:00:00"/>
        <d v="2021-09-15T00:00:00"/>
        <d v="2021-08-24T00:00:00"/>
        <d v="2021-08-16T00:00:00"/>
        <d v="2022-06-20T00:00:00"/>
        <d v="2023-05-25T00:00:00"/>
        <d v="2021-09-14T00:00:00"/>
        <d v="2023-12-21T00:00:00"/>
        <d v="2021-08-20T00:00:00"/>
        <d v="2022-01-20T00:00:00"/>
        <d v="2022-09-22T00:00:00"/>
        <d v="2021-08-31T00:00:00"/>
        <d v="2021-08-26T00:00:00"/>
        <d v="2021-09-02T00:00:00"/>
        <d v="2022-03-18T00:00:00"/>
        <d v="2021-11-12T00:00:00"/>
        <d v="2021-09-16T00:00:00"/>
        <d v="2022-03-07T00:00:00"/>
        <d v="2021-11-23T00:00:00"/>
        <d v="2022-11-30T00:00:00"/>
        <d v="2021-11-17T00:00:00"/>
        <d v="2021-09-22T00:00:00"/>
        <d v="2021-10-26T00:00:00"/>
        <d v="2021-09-28T00:00:00"/>
        <d v="2021-09-30T00:00:00"/>
        <d v="2022-06-23T00:00:00"/>
        <d v="2021-10-11T00:00:00"/>
        <d v="2022-01-28T00:00:00"/>
        <d v="2023-05-05T00:00:00"/>
        <d v="2021-12-20T00:00:00"/>
        <d v="2022-03-30T00:00:00"/>
        <d v="2021-11-01T00:00:00"/>
        <d v="2022-01-12T00:00:00"/>
        <d v="2022-03-25T00:00:00"/>
        <d v="2022-08-18T00:00:00"/>
        <d v="2021-11-03T00:00:00"/>
        <d v="2022-07-18T00:00:00"/>
        <d v="2022-07-14T00:00:00"/>
        <d v="2023-10-18T00:00:00"/>
        <d v="2022-04-01T00:00:00"/>
        <d v="2021-11-25T00:00:00"/>
        <d v="2021-12-30T00:00:00"/>
        <d v="2021-11-15T00:00:00"/>
        <d v="2022-12-26T00:00:00"/>
        <d v="2021-01-11T00:00:00"/>
        <d v="2022-07-29T00:00:00"/>
        <d v="2021-11-19T00:00:00"/>
        <d v="2022-01-18T00:00:00"/>
        <d v="2021-11-22T00:00:00"/>
        <d v="2012-12-04T00:00:00"/>
        <d v="2021-12-22T00:00:00"/>
        <d v="2022-01-06T00:00:00"/>
        <d v="2022-01-25T00:00:00"/>
        <d v="2021-11-24T00:00:00"/>
        <d v="2022-12-29T00:00:00"/>
        <d v="2022-01-21T00:00:00"/>
        <d v="2021-12-15T00:00:00"/>
        <d v="2022-04-13T00:00:00"/>
        <d v="2022-06-24T00:00:00"/>
        <d v="2021-12-06T00:00:00"/>
        <d v="2021-11-29T00:00:00"/>
        <d v="2022-09-14T00:00:00"/>
        <d v="2021-12-23T00:00:00"/>
        <d v="2022-03-29T00:00:00"/>
        <d v="2024-01-08T00:00:00"/>
        <d v="2021-12-03T00:00:00"/>
        <d v="2021-12-16T00:00:00"/>
        <d v="2022-02-24T00:00:00"/>
        <d v="2022-05-31T00:00:00"/>
        <d v="2022-02-25T00:00:00"/>
        <d v="2022-04-06T00:00:00"/>
        <d v="2022-01-11T00:00:00"/>
        <d v="2024-06-21T00:00:00"/>
        <d v="2022-03-15T00:00:00"/>
        <d v="2022-02-21T00:00:00"/>
        <d v="2022-06-15T00:00:00"/>
        <d v="2022-02-17T00:00:00"/>
        <d v="2022-03-01T00:00:00"/>
        <d v="2022-02-19T00:00:00"/>
        <d v="2023-12-05T00:00:00"/>
        <d v="2022-05-19T00:00:00"/>
        <d v="2022-02-18T00:00:00"/>
        <d v="2023-03-17T00:00:00"/>
        <d v="2022-04-07T00:00:00"/>
        <d v="2022-03-23T00:00:00"/>
        <d v="2022-09-20T00:00:00"/>
        <d v="2022-06-07T00:00:00"/>
        <d v="2022-04-08T00:00:00"/>
        <d v="2022-05-28T00:00:00"/>
        <d v="2022-05-23T00:00:00"/>
        <d v="2022-03-10T00:00:00"/>
        <d v="2022-04-21T00:00:00"/>
        <d v="2022-03-11T00:00:00"/>
        <d v="2022-05-13T00:00:00"/>
        <d v="2022-06-09T00:00:00"/>
        <d v="2022-08-24T00:00:00"/>
        <d v="2023-04-10T00:00:00"/>
        <d v="2022-12-30T00:00:00"/>
        <d v="2022-07-12T00:00:00"/>
        <d v="2022-05-24T00:00:00"/>
        <d v="2022-05-20T00:00:00"/>
        <d v="2022-05-11T00:00:00"/>
        <d v="2022-06-22T00:00:00"/>
        <d v="2022-12-01T00:00:00"/>
        <d v="2022-05-27T00:00:00"/>
        <d v="2023-03-31T00:00:00"/>
        <d v="2023-03-28T00:00:00"/>
        <d v="2023-09-22T00:00:00"/>
        <d v="2022-10-28T00:00:00"/>
        <d v="2022-11-22T00:00:00"/>
        <d v="2022-07-28T00:00:00"/>
        <d v="2022-11-15T00:00:00"/>
        <d v="2023-04-14T00:00:00"/>
        <d v="2023-09-17T00:00:00"/>
        <d v="2022-06-21T00:00:00"/>
        <d v="2022-09-13T00:00:00"/>
        <d v="2023-12-26T00:00:00"/>
        <d v="2022-06-30T00:00:00"/>
        <d v="2022-06-29T00:00:00"/>
        <d v="2022-07-06T00:00:00"/>
        <d v="2022-10-21T00:00:00"/>
        <d v="2024-08-28T00:00:00"/>
        <d v="2022-07-25T00:00:00"/>
        <d v="2022-11-21T00:00:00"/>
        <d v="2022-11-14T00:00:00"/>
        <d v="2022-11-08T00:00:00"/>
        <d v="2022-10-24T00:00:00"/>
        <d v="2022-08-17T00:00:00"/>
        <d v="2023-02-21T00:00:00"/>
        <d v="2022-09-26T00:00:00"/>
        <d v="2022-09-28T00:00:00"/>
        <d v="2023-03-14T00:00:00"/>
        <d v="2022-09-23T00:00:00"/>
        <d v="2023-01-06T00:00:00"/>
        <d v="2022-12-08T00:00:00"/>
        <d v="2022-10-19T00:00:00"/>
        <d v="2022-10-12T00:00:00"/>
        <d v="2022-11-23T00:00:00"/>
        <d v="2022-11-18T00:00:00"/>
        <d v="2023-03-29T00:00:00"/>
        <d v="2022-09-09T00:00:00"/>
        <d v="2024-02-27T00:00:00"/>
        <d v="2022-11-12T00:00:00"/>
        <d v="2023-10-31T00:00:00"/>
        <s v="2024.7.26"/>
        <d v="2022-11-16T00:00:00"/>
        <d v="2022-12-28T00:00:00"/>
        <d v="2023-01-16T00:00:00"/>
        <d v="2022-10-25T00:00:00"/>
        <d v="2023-11-23T00:00:00"/>
        <d v="2023-12-22T00:00:00"/>
        <d v="2022-11-17T00:00:00"/>
        <d v="2023-11-28T00:00:00"/>
        <d v="2023-01-19T00:00:00"/>
        <d v="2023-04-22T00:00:00"/>
        <d v="2023-01-01T00:00:00"/>
        <d v="2022-11-04T00:00:00"/>
        <d v="2024-12-23T00:00:00"/>
        <d v="2022-11-07T00:00:00"/>
        <d v="2023-06-25T00:00:00"/>
        <d v="2023-12-20T00:00:00"/>
        <d v="2023-05-13T00:00:00"/>
        <d v="2023-12-27T00:00:00"/>
        <d v="2023-02-03T00:00:00"/>
        <d v="2023-10-16T00:00:00"/>
        <d v="2023-10-27T00:00:00"/>
        <d v="2024-01-22T00:00:00"/>
        <d v="2023-02-16T00:00:00"/>
        <d v="2023-04-24T00:00:00"/>
        <d v="2022-12-05T00:00:00"/>
        <d v="2023-01-30T00:00:00"/>
        <d v="2023-07-11T00:00:00"/>
        <d v="2022-12-07T00:00:00"/>
        <d v="2022-12-06T00:00:00"/>
        <d v="2023-01-13T00:00:00"/>
        <d v="2023-05-14T00:00:00"/>
        <d v="2023-01-11T00:00:00"/>
        <d v="2023-05-12T00:00:00"/>
        <d v="2022-12-23T00:00:00"/>
        <d v="2023-02-01T00:00:00"/>
        <d v="2023-02-20T00:00:00"/>
        <d v="2023-02-09T00:00:00"/>
        <d v="2023-05-26T00:00:00"/>
        <d v="2023-01-31T00:00:00"/>
        <d v="2023-02-18T00:00:00"/>
        <d v="2024-01-17T00:00:00"/>
        <d v="2023-03-04T00:00:00"/>
        <d v="2024-01-24T00:00:00"/>
        <d v="2023-04-23T00:00:00"/>
        <d v="2023-02-17T00:00:00"/>
        <d v="2023-04-28T00:00:00"/>
        <d v="2023-02-25T00:00:00"/>
        <d v="2023-05-29T00:00:00"/>
        <d v="2023-02-10T00:00:00"/>
        <d v="2023-03-22T00:00:00"/>
        <d v="2023-02-19T00:00:00"/>
        <d v="2024-05-28T00:00:00"/>
        <d v="2023-03-06T00:00:00"/>
        <d v="2023-04-07T00:00:00"/>
        <d v="2023-02-28T00:00:00"/>
        <d v="2023-03-02T00:00:00"/>
        <d v="2023-08-23T00:00:00"/>
        <d v="2023-03-13T00:00:00"/>
        <d v="2023-09-21T00:00:00"/>
        <d v="2023-04-05T00:00:00"/>
        <d v="2023-03-20T00:00:00"/>
        <d v="2023-12-15T00:00:00"/>
        <d v="2023-04-06T00:00:00"/>
        <d v="2023-04-26T00:00:00"/>
        <d v="2023-04-13T00:00:00"/>
        <d v="2023-07-13T00:00:00"/>
        <d v="2023-06-08T00:00:00"/>
        <d v="2023-12-28T00:00:00"/>
        <d v="2023-05-19T00:00:00"/>
        <d v="2023-06-26T00:00:00"/>
        <d v="2023-06-27T00:00:00"/>
        <d v="2023-05-18T00:00:00"/>
        <d v="2023-06-21T00:00:00"/>
        <d v="2023-05-11T00:00:00"/>
        <d v="2023-05-30T00:00:00"/>
        <d v="2023-04-27T00:00:00"/>
        <d v="2023-05-10T00:00:00"/>
        <d v="2024-01-29T00:00:00"/>
        <d v="2023-07-21T00:00:00"/>
        <d v="2023-06-30T00:00:00"/>
        <d v="2023-11-29T00:00:00"/>
        <d v="2023-06-07T00:00:00"/>
        <d v="2023-07-26T00:00:00"/>
        <d v="2023-05-31T00:00:00"/>
        <d v="2023-12-08T00:00:00"/>
        <d v="2024-01-25T00:00:00"/>
        <d v="2023-06-28T00:00:00"/>
        <s v="转履约、林维跟进"/>
        <d v="2023-07-07T00:00:00"/>
        <d v="2023-06-29T00:00:00"/>
        <d v="2023-07-12T00:00:00"/>
        <d v="2023-09-07T00:00:00"/>
        <d v="2023-08-18T00:00:00"/>
        <d v="2023-08-31T00:00:00"/>
        <d v="2023-07-31T00:00:00"/>
        <d v="2023-11-08T00:00:00"/>
        <d v="2024-04-23T00:00:00"/>
        <d v="2023-10-23T00:00:00"/>
        <d v="2024-02-23T00:00:00"/>
        <d v="2023-09-25T00:00:00"/>
        <d v="2023-09-15T00:00:00"/>
        <d v="2023-10-26T00:00:00"/>
        <d v="2024-09-25T00:00:00"/>
        <d v="2023-11-01T00:00:00"/>
        <d v="2023-11-22T00:00:00"/>
        <d v="2023-12-11T00:00:00"/>
        <d v="2024-09-05T00:00:00"/>
        <d v="2023-11-16T00:00:00"/>
        <d v="2024-01-26T00:00:00"/>
        <d v="2023-11-24T00:00:00"/>
        <d v="2023-12-07T00:00:00"/>
        <d v="2023-11-30T00:00:00"/>
        <d v="2024-01-04T00:00:00"/>
        <d v="2024-06-03T00:00:00"/>
        <d v="2023-12-06T00:00:00"/>
        <d v="2024-04-12T00:00:00"/>
        <d v="2023-12-14T00:00:00"/>
        <d v="2024-02-22T00:00:00"/>
        <d v="2024-08-26T00:00:00"/>
        <d v="2024-03-26T00:00:00"/>
        <d v="2024-11-27T00:00:00"/>
        <d v="2024-08-21T00:00:00"/>
        <d v="2024-03-29T00:00:00"/>
        <d v="2024-03-14T00:00:00"/>
        <d v="2024-11-28T00:00:00"/>
        <d v="2024-02-21T00:00:00"/>
        <d v="2024-03-28T00:00:00"/>
        <d v="2024-04-13T00:00:00"/>
        <d v="2024-04-19T00:00:00"/>
        <d v="2024-05-23T00:00:00"/>
        <d v="2024-05-31T00:00:00"/>
        <d v="2024-04-16T00:00:00"/>
        <d v="2024-04-06T00:00:00"/>
        <d v="2024-04-10T00:00:00"/>
        <d v="2024-12-24T00:00:00"/>
        <m/>
        <d v="2024-04-22T00:00:00"/>
        <d v="2024-05-29T00:00:00"/>
        <d v="2024-07-09T00:00:00"/>
        <d v="2024-09-13T00:00:00"/>
        <d v="2024-08-19T00:00:00"/>
        <d v="2024-09-14T00:00:00"/>
        <d v="2024-09-27T00:00:00"/>
        <d v="2024-09-04T00:00:00"/>
        <d v="2024-10-25T00:00:00"/>
        <d v="2025-01-24T00:00:00"/>
        <d v="2024-11-25T00:00:00"/>
        <d v="2024-09-26T00:00:00"/>
        <d v="2024-11-21T00:00:00"/>
        <d v="2024-10-27T00:00:00"/>
        <d v="2024-10-09T00:00:00"/>
        <d v="2024-10-14T00:00:00"/>
        <d v="2024-11-19T00:00:00"/>
        <d v="2024-12-18T00:00:00"/>
        <d v="2024-12-12T00:00:00"/>
        <d v="2024-12-03T00:00:00"/>
        <d v="2024-12-19T00:00:00"/>
        <d v="2024-01-03T00:00:00"/>
        <d v="2024-12-27T00:00:00"/>
        <d v="2025-02-28T00:00:00"/>
        <d v="2025-03-04T00:00:00"/>
      </sharedItems>
    </cacheField>
    <cacheField name="未退原因" numFmtId="0">
      <sharedItems containsBlank="1" containsNumber="1" containsInteger="1" containsMixedTypes="1" count="88">
        <s v="找付款凭证"/>
        <m/>
        <s v="预计2023.04或2023.05月退还，熊伟跟进中.客人无此笔,我司资料为期初数据有23800"/>
        <s v="对方财务查询并无此款"/>
        <s v="长期投标不退"/>
        <s v="2023.03月殷总说之前做的质量有重大问题暂时不催"/>
        <s v="2022/12/31前退回，年标，转履约"/>
        <s v="门禁卡押金"/>
        <s v="预计2023.03月退款"/>
        <s v="2021/3/24实际退款2900元"/>
        <s v="已提供对账单，与货款一起请方渊在跟进。起诉调解，第一批25万已支付"/>
        <s v="需要上门办理牛国庆处理，预计5月"/>
        <s v="3.2023.4月林维现场跟进，退款手续办理中，预计5月退回"/>
        <s v="年标，转履约"/>
        <s v="年标，转履约，对账"/>
        <s v="实际退款9800元，剩余200"/>
        <s v="多次电话王新钢不接，林维处理中。2023.10.11"/>
        <s v="10月已出对账函,办理中,预计12月退回"/>
        <s v="2023.8.16：需客户开具的收据原件寄回去办理_x000a_8.25：牛国庆去现场处理"/>
        <s v="因疫情原因一直款去办理，5月过去办。"/>
        <s v="需要上门办理牛国庆处理"/>
        <s v="正在办理中，预计6月退"/>
        <s v="受影响影响，待上门办理，预计5月"/>
        <s v="需去现场办理"/>
        <s v="中标单位按中标金额的5%缴纳合同履约金，_x000a_在保证金的基础上多退少补，100元标书费只开收据，待合同履行完"/>
        <s v="2023.5月杨春龙：裂纹修的有问题，返修后才能退"/>
        <s v="2023.03月杨春龙处理中，与投标保证金一起退"/>
        <s v="正在追"/>
        <s v="2022/12/31前退回，_x000a_2022年标，暂未开标"/>
        <s v="转履约"/>
        <s v="叶城天山陪标被发现,退不了"/>
        <s v="400元为罚款，待生产提交处理结果"/>
        <s v="转这是一个堆焊年标，不退。履约"/>
        <s v="12.31转安全保证金施工完退"/>
        <s v="未验收，需办理验收后一年与质保金一起退。杨总说质量问题办不了验收，他再与对方联系看如何处理"/>
        <s v="找不到人"/>
        <s v="2022/1/21退9500"/>
        <s v="2023.03月安全保证金未退，殷总说有质量问题需返修，他跟进处理"/>
        <s v="马上要施工，暂不退"/>
        <s v="武汉退回,湖北未退,资料已提交"/>
        <s v="留在欧冶平台继续投标"/>
        <s v="7314元为宣威退，账未下；1500元安全罚款"/>
        <s v="2022-3-2在合同里面转为了质保金"/>
        <s v="2022.7.13号退回498000元,还有2000元是安全罚款,待生单拿单子消账"/>
        <s v="发票冲销"/>
        <s v="彤烨中信转彤烨工行收"/>
        <s v="施工中,已联系方渊请客人退回"/>
        <s v="2023.03月投标转履约"/>
        <s v="电子发票2022/10/20"/>
        <s v="10/21提供发票给何志琴，已冲账"/>
        <s v="2023.10.31电汇101150，含保证金99680+货款1470"/>
        <s v="320元年后开票冲，2023.03月开票320"/>
        <s v="2022.12中标，中标60天内退回（2023.1.31前）"/>
        <s v="12月发票冲1680"/>
        <s v="12月发票冲6450"/>
        <s v="转履约、活没干完，杨春龙跟进"/>
        <s v="12/30号电话提醒他们查下账确认是否付了安全保证金！_x000a_记得电话确认，并回复牛经理"/>
        <s v="2023.11月开收据,殷总处理"/>
        <s v="履约、林维跟进"/>
        <s v="2023.03月已完工，未签验收单，暂缓"/>
        <s v="殷坤鹏借支信息费4万，实付3万，冲围标费"/>
        <s v="收据冲销"/>
        <s v="田学军转武汉农商行"/>
        <s v="周奇办理手续中,抵中标服务费20925后退差额"/>
        <s v="电子发票 49291004"/>
        <s v="验收后二十个工作日退还"/>
        <s v="周奇办理手续中,抵中标服务费后退差额"/>
        <s v="吕海洲不会操作转王蕾，王蕾代退回公司户"/>
        <s v="投标转履约共32800"/>
        <s v="电子发票 64633561"/>
        <s v="退3000，共两笔1000+2000"/>
        <s v="方渊现金退回3000，2000转安全保证金，施工完退款"/>
        <s v="周奇跟催内蒙古晟雄科技有限责任公司陪标，保证金我们出"/>
        <s v="陪标客户"/>
        <s v="转履约、杨春龙维修打官司"/>
        <s v="标书费"/>
        <s v="周奇支付宝扫码付，公司付周奇个人"/>
        <s v="转履约保证金，工期未达标甲方扣款不退"/>
        <s v="与商务部确认,按付款日期先后下账"/>
        <s v="3.5重新打入农民工工资保证金专户"/>
        <s v="河南祥光电力集团有限公司 帮陪标，甲方已缴纳报名费用，费用打款给周奇，由周奇微信转给该单位。"/>
        <s v="李权智代退款"/>
        <n v="0"/>
        <s v="7月已中标两个月之后退还"/>
        <s v="8.21打电话催款"/>
        <s v="15700支付了投标服务费"/>
        <s v="未中标8.24内退款"/>
        <s v="中标转履约保证金"/>
      </sharedItems>
    </cacheField>
    <cacheField name="备注" numFmtId="0">
      <sharedItems containsBlank="1" count="488">
        <m/>
        <s v="已被收购"/>
        <s v="有凭证才可查询"/>
        <s v="对方财务查询并无此款"/>
        <s v="可能是标书费"/>
        <s v="2016年1月42#凭证"/>
        <s v="投标保证金（前期借支2万元   后期借支5万元）   销售部查询系统里面有8万元保证金，长期投标不退"/>
        <s v="近期要施工"/>
        <s v="2019年12月从丁俊个人转公司账7000元"/>
        <s v="武汉2018.06-40"/>
        <s v="施工质量问题无法办理"/>
        <s v="2019/12/24退19800"/>
        <s v="武汉2019.4-50"/>
        <s v="长期投标不退"/>
        <s v="履约保证金"/>
        <s v="武汉2019.08-102"/>
        <s v="是投标保证金转为了履约，履约又_x000a_转为了质保，质保刚刚到期。大约9月底回"/>
        <s v="武汉2019.9-105"/>
        <s v="窑磨专业测窑调窑及整形，窑磨裂纹：长期投标不退"/>
        <s v="门禁卡"/>
        <s v="武汉2020.1-136"/>
        <s v="武汉2020.04-07"/>
        <s v="投标保证金"/>
        <s v="测窑及维修，长期投标不退"/>
        <s v="对公退款800元和交现金200元"/>
        <s v="2021年1月27日收2000冀东水泥璧山有限公司退安全保证金"/>
        <s v="2020-8-27程时勇退3000达州利森水泥安全保证金（款打给达州利森水泥有限公司）"/>
        <s v="安全保证金"/>
        <s v="2021年1月25日收四川德胜集团水泥有限公司退安全保证金"/>
        <s v="2020-8-31程时勇退10000韩城尧柏水泥安全保证金（款打给韩城尧柏阳山庄水泥有限公司）"/>
        <s v="打款单位：河南兴豫电子商务有限公司"/>
        <s v="所有车削、焊补项目，长期投标不退"/>
        <s v="前期客户打款时和货款一起支付，已写情况说明冲账"/>
        <s v="后期冲个人借支已扣除"/>
        <s v="2021/1/15实际退款4985，扣手续费15元"/>
        <s v="2021年2月6日收10000西安蓝田尧柏水泥有限公司退安全保证金"/>
        <s v="武汉2020.12-191"/>
        <s v="武汉2021.01-11"/>
        <s v="武汉2021.01-14"/>
        <s v="等殷总2022-2月过去，再落实一下"/>
        <s v="武汉2021.01-170"/>
        <s v="2022-1月联系，2月份帮忙退。"/>
        <s v="武汉2021.02-126"/>
        <s v="武汉2021.02-130"/>
        <s v="改履约"/>
        <s v="武汉2021.03-18"/>
        <s v="武汉2021.03-19"/>
        <s v="转履约"/>
        <s v="湖北2021.07-236"/>
        <s v="付款给：河南兴豫电子商务有限公司"/>
        <s v="(投标保证金)已中标，转履约，付款给：河南兴豫电子商务有限公司"/>
        <s v="武汉2021.08-76"/>
        <s v="付款给：河南兴豫电子商务有限公司，长期投标不退"/>
        <s v="投标保证金：款付给河南兴豫电子商务有限公司"/>
        <s v="标书费"/>
        <s v="5月再次与李洪刚核实，这笔款包含在2022.2.22号回款66200元中。当月全部算到回款里了，其中实际有5000元是投标保证金，附2022.5.24号情况说明"/>
        <s v="标书费：款付给张家港玖隆电子商务有限公司"/>
        <s v="2022-2月杨春龙在现场亲自跟进中，预计2月不打3月打。"/>
        <s v="投标保证金，款付四川西南水泥有限公司"/>
        <s v="标书费，款付四川西南水泥有限公司"/>
        <s v="标书费，山东轩泽招投标代理有限公司"/>
        <s v="投标保证金，山东轩泽招投标代理有限公司"/>
        <s v="2022-2月李洪刚正在查，活还没有做，暂时不能退。"/>
        <s v="拉黑退不了，三年解封后可以去要"/>
        <s v="标书费，款付给中招国际招标有限公司"/>
        <s v="受疫情影响，原3月退，未退，4月追仍未退，预计5月退，李松林跟货款一起跟进中。"/>
        <s v="中标转履约"/>
        <s v="湖北2021.11-128"/>
        <s v="塔什店公司4213磨筒体焊接外协维修项目，转履约"/>
        <s v="CA锁"/>
        <s v="2022-2-17追正在_x000a_办手续。"/>
        <s v="转安全保证金"/>
        <s v="湖北2021.12-168"/>
        <s v="2022-2-16查预计_x000a_20号退。"/>
        <s v="标书费做到了投标保证金里了202112月188#凭证"/>
        <s v="2022-2-16号问正在办退款手续，预计2月或3月退。"/>
        <s v="2022-2-16号问正_x000a_在办退款手续，预计2月或3月退。"/>
        <s v="2022-2-16等业务_x000a_经理去现场办理。"/>
        <s v="2022-2-16甲方的_x000a_手续没有时间办，正在跟进中。"/>
        <s v="4-30查活未做完，暂时不能退。预计7月"/>
        <s v="2022-2-16正在追，甲方太忙，没_x000a_时间办理退款手续。"/>
        <s v="（2022-3-2甲方回复活还未做，合同未签，暂时办不了，此家还有预付款，一起催）标书费"/>
        <s v="。已中标，合同刚下来，正在跟进中合_x000a_同双方盖章后退。"/>
        <s v="2022-2-16正在追_x000a_款。"/>
        <s v="2022-2-16正在追款。"/>
        <s v="之前流标，2-15再_x000a_出来，继续投标。"/>
        <s v="（2022-3-2业务经理在跟进）履约保证金款付李秀云"/>
        <s v="2022-2-17号请示_x000a_领导后决定退"/>
        <s v="（一直作为投标保证金和履约保证鑫，一年后再退）履约保证金"/>
        <s v="转质保金不退，开票后一年才能跟质保金一起退回。"/>
        <s v="（2022-3-2 10个工作日可以开电子发票）标书费"/>
        <s v="安全保证金，9/20退彤烨16000，其中6000为彤烨老业务"/>
        <s v="（2022-3-2查，已填开票信息，本月能开发票）标书费"/>
        <s v="中标服务费"/>
        <s v="3.24号实际支付200元，5.16号魏姐反映金额记录有误，已核实改为200元。25号统一寄发票来。"/>
        <s v="4-30查还未完工，等开完票再追退。"/>
        <s v="4-30查是三个离线修复托轮的履约保证金，货还没有从甲方处拖回，交完货才能退。"/>
        <s v="5.24号收到收据"/>
        <s v="未定标，标公布后退。"/>
        <s v="5.26号收到普通发票"/>
        <s v="浦发总行13号退回"/>
        <s v="5.24号贴平台收据"/>
        <s v="董文涵24号个人退回"/>
        <s v="5.24号贴发票"/>
        <s v="山东金日招标有限公司"/>
        <s v="2022.5.17号总合同交30900元（23300+7600）；2022.6.17号退回23300元：2023.3.31退回7600"/>
        <s v="5.26号周奇拿平台收据附凭证后"/>
        <s v="7.12号魏雪芹普通发票报销冲账"/>
        <s v="6台磨煤机大修"/>
        <s v="煅烧车间重灰5#水合机整体更换"/>
        <s v="煅烧车间重灰2#煅烧炉维修"/>
        <s v="煅烧车间轻灰7#煅烧炉维修"/>
        <s v="煅烧车间重灰2#煅烧炉维修农民工工资保证金"/>
        <s v="煅烧车间轻灰7#煅烧炉维修农民工工资保证金"/>
        <s v="2022.6.21号周奇拿发票到财务冲账"/>
        <s v="电能易购（北京）科技有限公司B类会员续费"/>
        <s v="煅烧车间重灰2#煅烧炉/煅烧车间轻灰7#煅烧炉/煅烧车间重灰5#水合机整体更换安全保证金"/>
        <s v="标书费收款单"/>
        <s v="安全保证金设备部：熊安荣_x000a_联系方式：13759029110_x000a_完工退保证金款项"/>
        <s v="退回安全保证金联系方式：宋部长_x000a_138 3985 8770_x000a_施工完工退回公司"/>
        <s v="退保证金人何金来15614566855"/>
        <s v="KMX220722-290-XF,投标转履约"/>
        <s v="徐海波13455582266"/>
        <s v="2022.10.26朱利勇回复客人正在申请中"/>
        <s v="鞍钢股份有限公司鲅鱼圈钢铁分公司-炼钢部白灰回转窑托轮修复项目"/>
        <s v="江苏沙钢恒昌制粉堆焊项目"/>
        <s v="18285710066杨厂"/>
        <s v="18723285522王建业"/>
        <s v="建龙钒业1.2号回转窑检修项目"/>
        <s v="天伟水泥有限公司2022年回转窑筒体冷却风机改造项目"/>
        <s v="罗业飞 13871938696"/>
        <s v="水气车间渣声钙液管线更换未中标5个工作日退回"/>
        <s v="周成新2023.3.29扫码退农商行"/>
        <s v="回转窑三热水轮带侧斜面及液压挡轮圆锥接触面车削外协维修项目"/>
        <s v="11/12收到熊伟收据原件冲账"/>
        <s v="农民工工资保证金-石灰车间1#出灰头提机大修"/>
        <s v="石灰车间1#出灰头提机大修"/>
        <s v="农民工工资保证金-锻烧炉拖轮维修项目"/>
        <s v="农民工工资保证金-石灰车间1#2#化灰机托轮"/>
        <s v="石灰车间1#2#化灰机托轮"/>
        <s v="分两笔退"/>
        <s v="水泥线生产窑机械设备维修（年标）"/>
        <s v="水泥线生产窑磨设备裂纹及挖补修复项目（年标）"/>
        <s v="4.8*72回转窑一档托轮更换施工保证金"/>
        <s v="回转窑轮带维修"/>
        <s v="磨煤机大小齿轮维修"/>
        <s v="3#回转窑大修项目招标"/>
        <s v="熟料水泥全能生产线窑磨专业外委维修工程"/>
        <s v="ZPLF齿辊维修"/>
        <s v="2022年颚破维修项目陪标"/>
        <s v="2022年重碱车间6#蒸氨塔大修"/>
        <s v="平台服务费"/>
        <s v="四标段三线高温风机叶轮堆焊,两侧进风口软连接更换,修复轴两侧密封"/>
        <s v="三标段三线入窑入库提升机更换钢丝胶带"/>
        <s v="二标段三线回粉料饼提升机更换链条/料斗/头尾轴承.尾部轴承座/尾轮轴及尾部密封"/>
        <s v="一标段窑动态检测"/>
        <s v="烧成系统维修"/>
        <s v="二线生料系统维修"/>
        <s v="沃丰水泥外委窑口筒体更换、维修余热锅炉烟气管道及阀门项目"/>
        <s v="2#吸氨塔塔圈及水箱更换安装项目招标书"/>
        <s v="2#吸氨塔塔圈及水箱更换安装项目投标保证金"/>
        <s v="NXJC2022-238托轮球面瓦刮研及辊压机整机拆卸并回装项目"/>
        <s v="KMX221012-373-XF-Z01退保证金联系人安环部孙胆13807454834 0745-2836905"/>
        <s v="原料磨、煤磨磨辊及磨盘衬板堆焊耐磨层"/>
        <s v="1#石灰窑修理施工"/>
        <s v="回转窑外协维修项目"/>
        <s v="资中公司二线立磨摇臂委外修复"/>
        <s v="丰都水泥5号磨尾选粉机整机更换项目 -春节大修标保证金"/>
        <s v="沂南中联2022年底检修项目"/>
        <s v="4.2*13M球磨机进料端滑履焊接维修项目"/>
        <s v="回转窑大小齿轮更换、制作密封及调整托轮外协维修项目"/>
        <s v="4.0*13 1#水泥磨磨尾更换磨机端板一件检修项目"/>
        <s v="退保证金联系人：_x000a_毛伟 19942271803"/>
        <s v="破碎机转机耐磨堆焊外协维修"/>
        <s v="矿山设备维修项目"/>
        <s v="回转窑维修项目"/>
        <s v="烧成大修重点设备维修"/>
        <s v="秦皇岛科荣特种焊接有限公司围标费"/>
        <s v="回转窑直线度检测及调整技术报务"/>
        <s v="水泥磨大齿圈小齿轮倒面等改进项目"/>
        <s v="宫建格 15130646454 KMX221111-404-XF-Z01"/>
        <s v="2022年重碱车间6#蒸氨塔大修KMX221108-399-Z01-XF"/>
        <s v="板喂机维修项目"/>
        <s v="回转窑筒体及大齿圈弹簧板投标项目"/>
        <s v="2023-2024年度堆焊焊丝项目"/>
        <s v="退款联系人：张希鹏部长15020325298"/>
        <s v="A包回转窑液压挡轮维修项目"/>
        <s v="B包2号辊压机辊子堆焊，采用仅堆焊花纹层工艺项目"/>
        <s v="C包3#.6#水泥磨刮瓦维修项目"/>
        <s v="CA费用"/>
        <s v="窑垫板、齿顶隙调整招标项目"/>
        <s v="4.2*13M球磨机进料端滑履焊接外协维修二次招标项目"/>
        <s v="炼铁厂三烧混合机修复项目"/>
        <s v="4213水泥磨出料锥外协维修"/>
        <s v="4213水泥磨出料锥外协维修围标费1000"/>
        <s v="2022.12-2023.03外委项目维修投标，打田学军付客人"/>
        <s v="CA"/>
        <s v="回转窑筒体更换项目"/>
        <s v="退安全保证金销售部林维处理17771835607，龚经理与林维确认无客户联系方式"/>
        <s v="ZB-2212-4432机械检修项目"/>
        <s v="熟料、水泥生产线窑磨专业维修GZXN-SC20221011"/>
        <s v="炼铁厂三烧混合机修复项目中标服务费"/>
        <s v="窑前窑口筒体、护板更换及窑找正外协维修"/>
        <s v="生料辊压机辊面在线焊接外协维修项目"/>
        <s v="2022年度辊压机/窑轮带/拖轮/大小齿轮/端盖/筒体等在线离线堆焊耐磨材料及挖补项目投标保证金"/>
        <s v="二线回转窑运行监测及调整项目"/>
        <s v="陈湘明13973260048"/>
        <s v="陈宾18932998349"/>
        <s v="托轮瓦刮研及分解炉煤粉管道更换维修"/>
        <s v="2023-2024年度1-4号炉磨煤机大齿轮修复"/>
        <s v="龙东片区伊春北方、南分公司设备外委维修集中采购项目4.2米筒体更换"/>
        <s v="石灰车间1#小返石斗提机更新"/>
        <s v="六国化工磷肥厂磷安二车间干燥机托轮修复"/>
        <s v="1#水泥磨磨头端盖裂纹修复项目投标保证金"/>
        <s v="GN-ZX-WX-2022-0019"/>
        <s v="2023年轻、重灰锻烧炉托轮修复项目"/>
        <s v="电石分公司炭干回转窑维修"/>
        <s v="秦勇18553801100"/>
        <s v="款打周阿龙,金蝶挂个人借支"/>
        <s v="煅烧车间1#煅烧炉大修技改项目"/>
        <s v="电能易购（北京）科技有限公司A类会员"/>
        <s v="李能飞 13848615705"/>
        <s v="1#水泥磨磨头滑环变形修复及滑履瓦更换项目投标保证金"/>
        <s v="煤立磨检修项目"/>
        <s v="云印章办理续费"/>
        <s v="2023年年度设备维修项目"/>
        <s v="回转窑动态测量、一档二档轮带车削、三档轮带侧斜面及液压挡轮圆锥接触面车削、窑中心找正调整外协维修项目"/>
        <s v="烧结滚圈修复项目"/>
        <s v="2023年平台服务费"/>
        <s v="1#-12#压缩机出口平台阀更换、重碱至压缩中段气三通处弯头及管线更换"/>
        <s v="重碱车间热母液桶出口总管更换、冷母液支管及冷母液泵出品管线更换、四组中和水管线加装甩头及1#碳化塔中和水管线项目"/>
        <s v="石灰车间出灰机维修项目"/>
        <s v="锻烧车间轻灰3#、5#洗涤冷凝塔内壁修复项目"/>
        <s v="1#号生产线托轮、轮带修复"/>
        <s v="单个物料组服务费"/>
        <s v="平台服务费1年"/>
        <s v="平台CA费用"/>
        <s v="煅烧车间1#煅烧炉大修技改项目结构件拆除、制作、安装工程"/>
        <s v="在线招标采购平台办理续费"/>
        <s v="黔西电厂磨煤机大齿轮修复"/>
        <s v="付汪道兵个人"/>
        <s v="重碱车间吸氨塔、蒸氨塔 、真空吸收塔塔器水箱清洗项目"/>
        <s v="重碱车间碳化塔水箱及中和水、冷氨盐水、热气水管线清洗项目"/>
        <s v="设备维修项目"/>
        <s v="回转窑检测、调整及车削项止外协维修项目"/>
        <s v="一期窑轮带修复外协维修"/>
        <s v="1#凉碱炉、8#锻烧炉大修"/>
        <s v="煅烧车间轻灰2#4#5#煅烧炉加热管更换项目"/>
        <s v="平台服务费-5年"/>
        <s v="窑轮带裂纹维修项目 "/>
        <s v="回转窑更换筒体项目"/>
        <s v="KMX220722-290-XF"/>
        <s v="回转窑托轮轴瓦及三档托轮更换外协维修"/>
        <s v="上半年年修项目 "/>
        <s v="水气车间3#4#循环水凉水塔塔内布水管维修"/>
        <s v="2023年轻重灰煅烧托轮修项目"/>
        <s v="原料锰矿烘干窑大修项目"/>
        <s v="窑轮带裂纹维修项目 （前项目客户废标，重新投）"/>
        <s v="石灰车间2#石灰窑大修项目"/>
        <s v="煅烧车间2#4#5#煅烧炉加热管更换"/>
        <s v="煅烧车间轻灰6#煅烧炉大修项目"/>
        <s v="一二线回转窑探伤检测"/>
        <s v="宁夏建材成员企业回转窑检测及在线监测招标项目"/>
        <s v="贵州西能电力磨煤机大齿轮修复、12根齿项目"/>
        <s v="贵州黔西中水发机2.3号炉磨机大齿项目"/>
        <s v="回转窑检测及维修项目"/>
        <s v="2023年干燥机、换热器检修项目"/>
        <s v="球磨机大修施工队伍比选项目"/>
        <s v="代南通荣尊围标中国阿拉伯裹料机采购，已收到南通荣尊12000元"/>
        <s v="能源事业部2023年5月苛化石灰窑大修"/>
        <s v="渣场二、三、四级泵站出口母管更换项目"/>
        <s v="重碱车间蒸氨塔进汽阀门及按气管线蝶阀、二闪出汽总管及阀门更换项目"/>
        <s v="干燥机大修队伍比选采购项目"/>
        <s v="2023年度新疆水泥各成员企业设备探伤检测外协维修项目 "/>
        <s v="江家墩矿业公司宜昌猇亭分公司选矿2#球磨机维修比选项目"/>
        <s v="炼钢部托轮等非标件修复项目标书费"/>
        <s v="平台年费"/>
        <s v="重碱车间碳化工段阀门更换项目"/>
        <s v="付周奇"/>
        <s v="4%，烧结分厂A制料机筒体修复"/>
        <s v="KMX230510-137-XF，宋军13451182360"/>
        <s v="制粒机检修项目"/>
        <s v="联峰钢铁(张家港)有限公司石灰车间托轮轴承组总成、石灰车间液压挡轮装置总成项目"/>
        <s v="2023年度大修"/>
        <s v="2023年设备检修施工定额年度合同"/>
        <s v="3685球磨机系统大修。中标干完活退，不中标一周内退"/>
        <s v="南通尊荣机械有限公司裹料机项目."/>
        <s v="江家墩矿业公司宜昌猇亭分公司选矿3#球磨机维修采购项目"/>
        <s v="阜康天山2#窑轮带垫铁更换托轮轴瓦抽瓦外协维修"/>
        <s v="水泥车间稳流仓锥体及耐磨溜子外委维修"/>
        <s v="回转窑一档西侧托轮工作面发生掉块问题维修"/>
        <s v="荆州基地嘉施利公司造粒机轮带维修项目"/>
        <s v="米东天山二号窑大齿翻面、小齿更换、窑系统动态测量调整外协维修项目"/>
        <s v="叶城天山回转窑检修项目"/>
        <s v="宜化肥业磷酸减速机修复框架采购项目"/>
        <s v="山西铝业烧结3#回转窑垫铁大修项目"/>
        <s v="云南普洱西南水泥有限公司回转窑窑尾三档轮带更换项目"/>
        <s v="2#回转窑更换轮带及拖轮瓦刮研、拖轮轮带现场车削、挖补大修外委施工工程"/>
        <s v="保定区域回转窑轮带现场修磨招标"/>
        <s v="回转窑轮带、托轮接触面凹陷，剥落等缺陷问题的维修服务招标"/>
        <s v="2023年7月份设备维修外委项目"/>
        <s v="打款给王小勇"/>
        <s v="永安建福回转窑托轮调整项目"/>
        <s v="曹磊13468172972"/>
        <s v="电汇4.7万（应收4.5万+安全保证金2000）"/>
        <s v="KMX230414-117-XF"/>
        <s v="KMX230729-191-XF青海发投碱业水气车间真空机、压缩机管线、阀门更换项目_x000a_李建岗13897570930"/>
        <s v="KMX230725-185-XF青海发投碱业石灰车间系统停车1#—7#洗涤塔弯头、管线更换项目_x000a_李建岗13897570930"/>
        <s v="1 重碱车间热母液桶出口总管更换、冷母液支管及冷母液泵出品管线更换、四组中和水管线加装甩头及1#碳化塔中和水管线项目6400_x000a_2渣场二、三、四级泵站出口母管更换项目14900_x000a_3.重碱车间碳化工段阀门更换项目7800_x000a_4.重碱车间蒸氨塔进汽阀门及按气管线蝶阀、二闪出汽总管及阀门更换项目11500_x000a_5. 1#-12#压缩机出口平台阀更换、重碱至压缩中段气三通处弯头及管线更换5400"/>
        <s v="回转窑托轮等安装项目"/>
        <s v="1.青海发投碱业水气车间真空机、压缩机管线、阀门更换项目15490_x000a_2.青海发投碱业石灰车间系统停车1#—7#洗涤塔弯头、管线更换项目6000_x000a_3.锻烧车间轻灰3#、5#洗涤冷凝塔内壁修复项目4500"/>
        <s v="青海发投碱业煅烧车间轻灰6#煅烧炉大修项目_x000a_王可芳13897370857"/>
        <s v="烧结厂200m2烧结机余热循环风机叶轮修复及动平衡检测池燕敏15280718965"/>
        <s v="热电车间5台空压机返厂维修"/>
        <s v="烧结熔剂回转窑托轮项目（离线）"/>
        <s v="青海发投重碱车间4#吸氨塔水箱消漏项目"/>
        <s v="水气车间厂区至二级泵站钙液管线部分严重腐蚀处更换项目"/>
        <s v="循环经济部2023-2024年度微粉工场磨机堆焊项目"/>
        <s v="KMX220301-121-XF，牛国庆办理验收后退还"/>
        <s v="青海发投碱业盐水车间1#、2#、3#卸盐机及轨道拆除项目"/>
        <s v="包头冀东水泥有限公司回转窑托轮等安装项目"/>
        <s v="江西玉山万年青二档轮带裂纹包年"/>
        <s v="云南水泥2024年度窑磨设备挖补修复项目招标"/>
        <s v="六国化工二铵车间干燥机维修改造"/>
        <s v="青海发投碱业厂区至二级泵站钙液管线部分严重腐蚀处更换项目"/>
        <s v="保山昆钢嘉华一线托轮、轮带掉块修复"/>
        <s v="喂料装置竞价"/>
        <s v="张家港联泰科技球团车间烘干机区域检修工程"/>
        <s v="徐州中联万吨线二档轮带贯穿性裂纹修复"/>
        <s v="1#回转窑二档轮带开裂补焊修复"/>
        <s v="回转窑动静态检测和调整"/>
        <s v="北方水泥工艺、设备、电气维修单位备选库公开招标项目"/>
        <s v="回转窑液压挡轮、轮带斜面在线车削，托轮挖补维修"/>
        <s v="转鼓轮带补焊"/>
        <s v="联碱厂煅烧炉大修工程施工"/>
        <s v="伊犁钢铁炼铁厂烧结漏风治理年修维修工程项目"/>
        <s v="二线回转窑大齿圈维修"/>
        <s v="水泥分公司2024年度设备检修"/>
        <s v="线上中金支付"/>
        <s v="水泥磨前、后滑履瓦刮研维修项目"/>
        <s v="重碱车间氨盐水A桶桶底更换项目"/>
        <s v="回转窑托轮、轮带补焊项目"/>
        <s v="高温风机叶片修复"/>
        <s v="炼铁厂球团回转窑托轮备件修复"/>
        <s v="2023年新增离心机节能增效技术改造项目（设备、电气、仪表、管道安装）比价"/>
        <s v="周奇支付报销"/>
        <s v="周奇支付报销，伊犁钢件炼铁石烧漏风治理年修"/>
        <s v="水气车间液氨站安装尾气回收装置土建有设备安装项目"/>
        <s v="高炉年修维修工程"/>
        <s v="炼钢厂转炉炉体年修"/>
        <s v="炼钢厂年修维修工程 "/>
        <s v="回转窑检测、维修及调整施工外协项目"/>
        <s v="2023 年伊犁钢铁炼铁厂烧结年修维修工程项目- 投标"/>
        <s v="青海发投2023年新增离心机节能增效技术改造项目（设备、电气、仪表、管道安装）比价"/>
        <s v="伊犁钢铁设备环保部转炉煤气电除尘检修项目- 投标"/>
        <s v="应城市新都化工联碱厂4#、5#、6#煅烧炉大修工程"/>
        <s v="应城市新都化工联碱厂煅烧炉大修工程"/>
        <s v="108m2烧结制粒机进出口轮带堆焊修复项目"/>
        <s v="选粉机外协维修"/>
        <s v="煤立磨外协"/>
        <s v="外放熟料扬尘治理改造项目"/>
        <s v="盐水车间1#-4#化盐桶北侧地埋进水管线更换项目"/>
        <s v="青海发投盐水车间1#-4#化盐桶北侧地埋进水管线更换项目"/>
        <s v="新疆伊犁钢铁2023年伊犁钢铁炼铁厂烧结年修维修工程项目"/>
        <s v="行政楼A、B区卫生间装修项目"/>
        <s v="轻灰煅烧炉托轮维修"/>
        <s v="青海发投碱业有限公司废液管线更换项目"/>
        <s v="青海发投碱业有限公司5#石灰窑大修项目"/>
        <s v="青海发投碱业有限公司5#石灰窑大修项目 - 投标"/>
        <s v="青海发投碱业有限公司石灰车间3#、5#、6#洗涤塔更换项目"/>
        <s v="2号立磨磨辊在线堆焊项目"/>
        <s v="烧结厂2024年600㎡烧结二次混合机辊圈车削外委施工"/>
        <s v="窑筒体短节更换"/>
        <s v="青海发投石灰车间出灰机维修项目"/>
        <s v="青海发投碱业有限公司炉气冷凝洗涤塔至炉气横管短接及三通更换项目- 投标"/>
        <s v="烧成装置系统检修项目"/>
        <s v="煅烧车间炉气冷凝洗涤塔至炉气横管短接及三通更换项目"/>
        <s v="热电车间引风机烟道更换项目"/>
        <s v="青海发投碱业有限公司蒸吸工段管线及阀门更换项目- 投标"/>
        <s v="石灰车间1#、3#、5#、7#窑气旋风分离器更换项目"/>
        <s v="轻灰煅烧炉托轮维修项目（离线回厂）Φ1350mm外返碱煅烧炉托轮1件；Φ1300mm外返碱煅烧炉托轮4件"/>
        <s v="煅烧车间轻灰3#煅烧炉加热管更换项目"/>
        <s v="热电车间引风机出口烟道更换项目 5台"/>
        <s v="石灰车间5#石灰窑大修项目"/>
        <s v="重碱车间蒸吸工段管线及阀门更换项目"/>
        <s v="煅烧轻灰炉气系统节能节水减排改造项目（设备管道安装）"/>
        <s v="热电车间脱硫塔入口烟道更换项目"/>
        <s v="2#窑1#墩东侧托轮剥落掉块修复（尺寸约高300mm宽130mm)"/>
        <s v="钛材管线及阀门更换项目"/>
        <s v="煅烧车间轻灰运碱系统刮板更换项目"/>
        <s v="伊犁钢铁炼铁厂产能提升项目"/>
        <s v="回转窑检测及托轮调整项目"/>
        <s v="重碱车间钛材管线及阀门更换项目"/>
        <s v="重碱车间碳化工段管线及阀门更换"/>
        <s v="3挡轮带裂纹修复（400*200），1档托轮剥落缺陷修复（200*100）"/>
        <s v="球磨机型号Ф3.8×13m1#水泥磨前、后滑履滑面（两条）磨削"/>
        <s v="盐水车间精盐水罐面及杂水罐花架平台更换项目"/>
        <s v="一线二线窑检测调整"/>
        <s v="煅烧车间重灰2#煅烧炉大修项目"/>
        <s v="厂区至排放口2#钙液管线更换项目"/>
        <s v="碳化塔安装工程比价"/>
        <s v="回转窑轮带托轮挖补修复外协维修"/>
        <s v="烧结制造部14#烧结机星轮轴在线修复项目（加急）"/>
        <s v="蒸吸厂房加固、修缮项目"/>
        <s v="青海发投碱业有限公司煅烧车间轻灰运碱系统刮板更换项目- 投标"/>
        <s v="碳化工段中和水泵出口短接阀门及总管部分更换项目"/>
        <s v="青海发投碱业有限公司轻灰煅烧炉托轮维修"/>
        <s v="山东泰山钢铁回转窑、烘干筒轮带维修"/>
        <s v="青海发投碱业厂区至排放口2#钙液管线更换项目"/>
        <s v="天瑞新登郑州水泥 三档轮带裂纹修复"/>
        <s v="石灰车间更换除尘器项目"/>
        <s v="纯碱厂3# 、4#吸氨塔水箱更换维修项目_x000a_收款单位"/>
        <s v="吉西片区辽源北方2#窑托轮及轮带修复项目"/>
        <s v="青海发投煅烧车间炉气冷凝洗涤塔至炉气横管短接及三通更换项目"/>
        <s v="青海发投碱业重碱车间钛材管线及阀门更换项目"/>
        <s v="青海发投碱业重碱车间碳化工段阀门更换项目"/>
        <s v="青海发投碱业重碱车间蒸吸工段管线及阀门更换项目"/>
        <s v="青海发投碱业有限公司轻灰6#煅烧炉大修项目- 投标"/>
        <s v="循环经济部石灰工场回转窑在线维修项目"/>
        <s v="制碱车间重碱工序1#吸收塔更新项目拆除安装项目"/>
        <s v="水气车间阀门、管线、伸缩节更换项目"/>
        <s v="循环经济部除尘灰处理工场提锌窑维修项目"/>
        <s v="回转窑三挡轮带更换、液压挡轮更换、三挡轮带垫板更换"/>
        <s v="制碱车间重碱工序4#、5#碳化塔更新安装工程比价"/>
        <s v="球磨机及破碎系统检修项目"/>
        <s v=""/>
        <s v="2024—2025年度托轮轮带筒体专业维修项目"/>
        <s v="2024—2025年度回转窑检测及专业维修项目"/>
        <s v="轻灰2#煅烧炉滚圈及托轮在线车削与调整项目"/>
        <s v="球磨机大小齿轮翻面"/>
        <s v="建材回转窑运维项目"/>
        <s v="烧结车间回转窑机械大修"/>
        <s v="青海发投轻、重灰汽轴修复项目- 投标"/>
        <s v="回转窑轮带、托轮接触面凹陷，剥落等缺陷问题维修"/>
        <s v="重碱车间新增碳化塔（设备、电气、仪表、工艺管道）安装项目"/>
        <s v="石灰车间除尘器更换项目（材料采购、安装施工）"/>
        <s v="24091318青海盐湖镁业有限公司纯碱厂1#吸氨塔水箱、27圈塔圈更换维修项目"/>
        <s v="24091110石灰回转窑拖轮挡轮修理- 投标"/>
        <s v="24091314投标+云图新能源材料（荆州）有限公司选矿厂球磨机维修工程"/>
        <s v="24091810投标+伊犁钢铁2024年炼铁厂设备功能精度恢复项目- 投标"/>
        <s v="24092610投标+伊犁钢铁瑞祥焦化2024年设备功能精度恢复项目"/>
        <s v="24092514投标+日照钢铁烧结制造部制粒机轮带修复项目- 投标"/>
        <s v="24092009投标+（二次）湖北岚丹+青海发投碱业有限公司石灰车间除尘器更换项目（材料采购、安装施工）"/>
        <s v="24100814投标+湖北六国造粒机及破碎机维修工程询比价文件"/>
        <s v="240101509投标+山西铝业烧结一台回转窑收尘器大修项目"/>
        <s v="24102510投标--青海发投碱业有限公司电仪设备安装维修项目限公司"/>
        <s v="唐山中厚板材有限公司-厂容管理安全押金"/>
        <s v="伊犁钢铁炼铁厂高炉、烧 结 2024 年设备功能精度恢复项目"/>
        <s v="伊犁钢铁炼铁厂捞渣机、高炉主垄沟 2024 年设备功能精度恢复项目"/>
        <s v="伊犁钢铁炼铁厂竖 炉2024 年设备功能精度恢复项目"/>
        <s v="唐山中厚板材有限公司2024年轧钢部二线大修补焊（主电机）"/>
        <s v="W-2024-0360伊犁钢铁炼铁厂捞渣机、高炉主垄沟 2024年设备功能精度恢复项目"/>
        <s v="W-2024-0361伊犁钢铁炼铁厂竖炉2024年设备功能精度恢复项目"/>
        <s v="W-2024-0362伊犁钢铁炼铁厂高炉、烧结2024 年设备功能精度恢复项目"/>
        <s v="巴彦淖尔中联水泥有限公司回转窑大齿圈两面堆焊项目"/>
        <s v="国家电投集团山西铝业烧结车间一台回转窑机械大修项目"/>
        <s v="24110109投标--（二次）青海发投碱业有限公司热电、煅烧、水气车间压力管道缺陷消除项目"/>
        <s v="24111910投标+（二次）山西铝业烧结一台回转窑收尘器大修项目"/>
        <s v="24111811投标+怀宁上峰年底外委检修项目"/>
        <s v="24111815投标+宁夏上峰回转窑托轮检修项目"/>
        <s v="24120210投标+盐碱分公司制碱车间2#、3#碳化塔更新项目拆除、安装"/>
        <s v="24120210投标+江苏永钢石灰车间二窑回转窑调整项目"/>
        <s v="24121610投标+伊犁钢铁炼铁厂竖炉1#、2#电除尘周期大修项目施工"/>
        <s v="24111515投标+中盐内蒙古化工股份有限公司盐碱分公司制碱车间2#、3#碳化塔更新-拆解工程"/>
        <s v="回转窑驱动检修"/>
        <s v="24121616投标+石家庄区域金隅鼎鑫公司一分公司磨机端板裂纹修复"/>
        <s v="厦工(三明)重型机器有限公司前滚圈加工费用"/>
        <s v="25010210投标+江苏永钢石灰二窑托轮轴承组总成（修理）"/>
        <s v="24122010投标+青海发投碱业有限公司上清液节水减排改造（安装施工）项目"/>
        <s v="青海发投碱业有限公司上清液节水减排改造(安装施工)项目"/>
        <s v="25011314投标+福建安砂建福水泥有限公司一线回转窑头部筒体更换项目"/>
        <s v="湘潭瑞通回转窑上轮带车削、磨削"/>
        <s v="河南晋开化工投资控股集团有限责任公司二分公司硝铵车间干燥转筒滚圈断裂维修项目"/>
        <s v="青海发投碱业有限公司2025 年零星设备维修、安装、更换项目"/>
        <s v="25021409投标+山东黄金矿业（莱州）有限公司三山岛金矿新立选矿MQY5.58.5球磨机衬板更换"/>
        <s v="25020709投标+萍乡萍钢安源钢铁108m2烧结混合机、制粒机进出口轮带堆焊修复项目"/>
        <s v="25020614投标+安徽金岩高岭土新材料股份有限公司焦宝石厂3#回转窑技术服务"/>
        <s v="25011515投标+（二次）青海发投碱业有限公司煅烧车间重灰4#煅烧炉大、小齿更换项目"/>
        <s v="光大环保危废处置（淄博）有限公司二期焚烧项目回转窑托轮更换工程施工"/>
        <s v="铜化集团池州恒鑫材料科技有限公司回转窑托轮维修招标公告"/>
        <s v="25012715报名+亚太森博（山东）浆纸有限公司PL12苛化石灰窑轮带、大齿圈更换及轮带加垫板服务"/>
        <s v="青海发投碱业有限公司重灰2#、3#、5#重灰炉炉头总成技改项目竞价比选公告"/>
        <s v="烧结分厂（300烧结）混料机圈带修理委外工程"/>
        <s v="洛阳中联水泥有限公司回转窑检测调整、托轮刮瓦竞争性谈判"/>
        <s v="青海发投碱业有限公司4#石灰窑改造项目（机械部分）竞价比选公告"/>
        <s v="中盐青海昆仑碱业有限公司重碱车间1#、3#吸氨塔更新（热氨盐水管线更新钛管采购、安装）竞价比选公告"/>
        <s v="宝武集团鄂城钢铁有限公司2025年焦化东区化产2台冷却塔检修项目公开招标[招标公告]"/>
        <s v="青海发投碱业有限公司重碱车间加氯化镁系统自动化升级改造项目（土建施工）竞价比选公告"/>
      </sharedItems>
    </cacheField>
    <cacheField name="省份" numFmtId="0">
      <sharedItems containsBlank="1" count="32">
        <s v="河南省"/>
        <m/>
        <s v="安徽省"/>
        <s v="吉林省"/>
        <s v="江苏省"/>
        <s v="辽宁省"/>
        <s v="山东省"/>
        <s v=" "/>
        <s v="贵州省"/>
        <s v="河北省"/>
        <s v="甘肃省"/>
        <s v="四川省"/>
        <s v="重庆"/>
        <s v="陕西省"/>
        <s v="云南省"/>
        <s v="江西省"/>
        <s v="山西省"/>
        <s v="内蒙古"/>
        <s v="重庆市"/>
        <s v="黑龙江"/>
        <s v="新疆"/>
        <s v="北京市"/>
        <s v="湖北省"/>
        <s v="广东省"/>
        <s v="广西省"/>
        <s v="青海省"/>
        <s v="湖南省"/>
        <s v="福建省"/>
        <s v="浙江省"/>
        <s v="黑龙江省"/>
        <s v="全部支付"/>
        <s v="未支付"/>
      </sharedItems>
    </cacheField>
    <cacheField name="业务经理" numFmtId="0">
      <sharedItems containsBlank="1" count="22">
        <s v="方渊"/>
        <m/>
        <s v="殷坤鹏"/>
        <s v="龚运谱"/>
        <s v="李松林"/>
        <s v="杨春龙"/>
        <s v="陈涛"/>
        <s v="曾江利"/>
        <s v="牛国庆"/>
        <s v="朱利勇"/>
        <s v="伍平"/>
        <s v="林维"/>
        <s v="陈远志"/>
        <s v="余俊进"/>
        <s v="汪瑞青"/>
        <s v="李洪刚"/>
        <s v="新疆"/>
        <s v="宋旭东"/>
        <s v="饶亚龙"/>
        <e v="#N/A"/>
        <s v="林柱生"/>
        <s v="待退还"/>
      </sharedItems>
    </cacheField>
    <cacheField name="联系人" numFmtId="0">
      <sharedItems containsBlank="1" count="38">
        <m/>
        <s v="张玉鹏13634307383"/>
        <s v="预计2022.10月，收完全款后退回"/>
        <s v="安环部詹工"/>
        <s v="武汉2020.7-147"/>
        <s v="武汉2020.08-07"/>
        <s v="胡平15196563818"/>
        <s v="武汉2021.11-92"/>
        <s v="武汉2021.11-98"/>
        <s v="武汉2021.11-97"/>
        <s v=""/>
        <s v="叶明勇 18579976541 设备工程部工程师"/>
        <s v="退回安全保证金联系方式：陈光明13952022128_x000a_林总通知过二.三个月看有没有任务单再退。"/>
        <s v="姓名:郭健_x000a_手机:187 4222 9677_x000a_预计7月10日退回公司"/>
        <s v="退回安全保证金联系方式：桂甲文15683172927_x000a_施工完工退回公司"/>
        <s v="退回安全保证金联系方式：王克芳_x000a_138 9737 0857_x000a_施工完工退回公司"/>
        <s v="设备部：熊安荣_x000a_联系方式：13759029110_x000a_完工退保证金款项"/>
        <s v="退保证金人何金来15614566855"/>
        <s v="徐海波13455582266"/>
        <s v="18285710066杨厂"/>
        <s v="18723285522王建业"/>
        <s v="李红英经理写单"/>
        <s v="待生产提供"/>
        <s v="中国电能成套设备有限公司 崔天依13521415979"/>
        <s v="中国电能成套设备有限公司,转中标服务费"/>
        <s v="刘雅13934468348"/>
        <s v="蔡总13184911391最后联系5.15"/>
        <s v="吕工13626162529"/>
        <s v="平台支付"/>
        <s v="刘强15160880982"/>
        <s v="许声涛16699179906"/>
        <s v="何彪：15172170136"/>
        <s v="陈汝佳15720603967"/>
        <s v="汤工，18870993555"/>
        <s v="李久业: 13709708731"/>
        <s v="王可芳13897370857"/>
        <s v="李久业，13709708731"/>
        <s v="邵总河南祥光集团围标2024.8.20联系说退周奇微信"/>
      </sharedItems>
    </cacheField>
    <cacheField name="中标结果" numFmtId="0">
      <sharedItems containsBlank="1" count="2">
        <m/>
        <s v="中"/>
      </sharedItems>
    </cacheField>
    <cacheField name="业务员" numFmtId="0">
      <sharedItems containsBlank="1" count="2">
        <m/>
        <s v="林维"/>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createdVersion="5" refreshedVersion="5" minRefreshableVersion="3" refreshedDate="45721.7219907407" refreshedBy="Administrator" recordCount="0">
  <cacheSource type="worksheet">
    <worksheetSource ref="A1:F1048576" sheet="Sheet4-婷"/>
  </cacheSource>
  <cacheFields count="6">
    <cacheField name="支付日期" numFmtId="0">
      <sharedItems containsBlank="1" containsDate="1" containsMixedTypes="1" count="141">
        <d v="2024-06-25T00:00:00"/>
        <d v="2024-06-26T00:00:00"/>
        <d v="2024-06-27T00:00:00"/>
        <d v="2016-01-21T00:00:00"/>
        <d v="2016-01-31T00:00:00"/>
        <d v="2017-06-01T00:00:00"/>
        <d v="2018-01-24T00:00:00"/>
        <d v="2019-01-10T00:00:00"/>
        <d v="2019-12-31T00:00:00"/>
        <d v="2020-01-13T00:00:00"/>
        <d v="2020-04-02T00:00:00"/>
        <d v="2020-11-06T00:00:00"/>
        <d v="2020-12-14T00:00:00"/>
        <d v="2021-01-14T00:00:00"/>
        <d v="2021-01-20T00:00:00"/>
        <d v="2021-05-10T00:00:00"/>
        <d v="2021-10-29T00:00:00"/>
        <d v="2021-11-23T00:00:00"/>
        <d v="2021-12-01T00:00:00"/>
        <d v="2021-12-10T00:00:00"/>
        <d v="2021-12-16T00:00:00"/>
        <d v="2021-12-22T00:00:00"/>
        <d v="2021-12-23T00:00:00"/>
        <d v="2021-12-28T00:00:00"/>
        <d v="2022-01-04T00:00:00"/>
        <d v="2022-02-10T00:00:00"/>
        <d v="2022-02-25T00:00:00"/>
        <d v="2022-05-24T00:00:00"/>
        <d v="2022-09-08T00:00:00"/>
        <d v="2022-09-26T00:00:00"/>
        <d v="2022-11-09T00:00:00"/>
        <d v="2022-11-29T00:00:00"/>
        <d v="2022-12-06T00:00:00"/>
        <d v="2022-12-07T00:00:00"/>
        <d v="2022-12-27T00:00:00"/>
        <d v="2023-01-19T00:00:00"/>
        <d v="2023-02-07T00:00:00"/>
        <d v="2023-02-22T00:00:00"/>
        <d v="2023-02-23T00:00:00"/>
        <d v="2023-03-02T00:00:00"/>
        <d v="2023-03-06T00:00:00"/>
        <d v="2023-03-09T00:00:00"/>
        <d v="2023-03-31T00:00:00"/>
        <d v="2023-04-12T00:00:00"/>
        <d v="2023-04-24T00:00:00"/>
        <d v="2023-05-12T00:00:00"/>
        <d v="2023-06-10T00:00:00"/>
        <d v="2023-06-15T00:00:00"/>
        <d v="2023-06-21T00:00:00"/>
        <d v="2023-07-05T00:00:00"/>
        <d v="2023-07-07T00:00:00"/>
        <d v="2023-08-07T00:00:00"/>
        <d v="2023-08-28T00:00:00"/>
        <d v="2023-09-03T00:00:00"/>
        <d v="2023-09-17T00:00:00"/>
        <d v="2023-10-18T00:00:00"/>
        <d v="2023-10-27T00:00:00"/>
        <d v="2023-11-08T00:00:00"/>
        <d v="2023-11-16T00:00:00"/>
        <d v="2023-11-17T00:00:00"/>
        <d v="2023-11-20T00:00:00"/>
        <d v="2023-11-22T00:00:00"/>
        <d v="2023-11-28T00:00:00"/>
        <d v="2023-11-30T00:00:00"/>
        <d v="2023-12-01T00:00:00"/>
        <d v="2023-12-04T00:00:00"/>
        <d v="2023-12-06T00:00:00"/>
        <d v="2023-12-08T00:00:00"/>
        <d v="2023-12-12T00:00:00"/>
        <d v="2023-12-14T00:00:00"/>
        <d v="2023-12-22T00:00:00"/>
        <d v="2024-01-04T00:00:00"/>
        <d v="2024-01-05T00:00:00"/>
        <d v="2024-01-08T00:00:00"/>
        <d v="2024-01-09T00:00:00"/>
        <d v="2024-01-11T00:00:00"/>
        <d v="2024-01-16T00:00:00"/>
        <d v="2024-01-17T00:00:00"/>
        <d v="2024-01-18T00:00:00"/>
        <d v="2024-01-22T00:00:00"/>
        <d v="2024-01-29T00:00:00"/>
        <d v="2024-01-31T00:00:00"/>
        <d v="2024-02-05T00:00:00"/>
        <d v="2024-02-20T00:00:00"/>
        <d v="2024-02-23T00:00:00"/>
        <d v="2024-02-29T00:00:00"/>
        <d v="2024-03-05T00:00:00"/>
        <d v="2024-03-06T00:00:00"/>
        <d v="2024-03-07T00:00:00"/>
        <d v="2024-03-08T00:00:00"/>
        <d v="2024-03-14T00:00:00"/>
        <d v="2024-03-15T00:00:00"/>
        <d v="2024-03-18T00:00:00"/>
        <d v="2024-03-19T00:00:00"/>
        <d v="2024-03-26T00:00:00"/>
        <d v="2024-03-27T00:00:00"/>
        <d v="2024-04-08T00:00:00"/>
        <d v="2024-04-09T00:00:00"/>
        <d v="2024-04-10T00:00:00"/>
        <d v="2024-04-11T00:00:00"/>
        <d v="2024-04-12T00:00:00"/>
        <d v="2024-04-13T00:00:00"/>
        <d v="2024-04-16T00:00:00"/>
        <d v="2024-04-17T00:00:00"/>
        <d v="2024-04-18T00:00:00"/>
        <d v="2024-04-25T00:00:00"/>
        <d v="2024-05-08T00:00:00"/>
        <d v="2024-05-11T00:00:00"/>
        <d v="2024-05-21T00:00:00"/>
        <d v="2024-05-31T00:00:00"/>
        <d v="2024-09-14T00:00:00"/>
        <d v="2024-09-27T00:00:00"/>
        <d v="2024-09-30T00:00:00"/>
        <d v="2024-10-25T00:00:00"/>
        <d v="2024-10-26T00:00:00"/>
        <d v="2024-10-28T00:00:00"/>
        <d v="2024-10-30T00:00:00"/>
        <d v="2024-11-02T00:00:00"/>
        <d v="2024-11-04T00:00:00"/>
        <d v="2024-11-28T00:00:00"/>
        <d v="2024-11-30T00:00:00"/>
        <d v="2024-12-11T00:00:00"/>
        <d v="2024-12-12T00:00:00"/>
        <d v="2024-12-14T00:00:00"/>
        <d v="2024-12-30T00:00:00"/>
        <d v="2025-01-03T00:00:00"/>
        <d v="2025-01-06T00:00:00"/>
        <d v="2025-01-13T00:00:00"/>
        <d v="2025-01-14T00:00:00"/>
        <d v="2025-01-22T00:00:00"/>
        <d v="2025-01-23T00:00:00"/>
        <d v="2025-02-05T00:00:00"/>
        <d v="2025-02-17T00:00:00"/>
        <d v="2025-02-18T00:00:00"/>
        <d v="2025-02-20T00:00:00"/>
        <d v="2025-02-23T00:00:00"/>
        <d v="2025-02-24T00:00:00"/>
        <d v="2025-02-27T00:00:00"/>
        <d v="2025-02-28T00:00:00"/>
        <s v="(空白)"/>
        <m/>
      </sharedItems>
    </cacheField>
    <cacheField name="公司名称2" numFmtId="0">
      <sharedItems containsBlank="1" count="95">
        <s v="青海发投碱业有限公司"/>
        <s v="安徽恒泰新材料有限公司"/>
        <s v="亚泰集团伊通水泥有限公司"/>
        <s v="江苏沙钢集团有限公司"/>
        <s v="逸盛大化石化有限公司"/>
        <s v="渤海水泥（葫芦岛）有限公司"/>
        <s v="甘肃永固特种水泥有限公司"/>
        <s v="江西南方水泥有限公司"/>
        <s v="蒲城尧柏特种水泥有限公司"/>
        <s v="陵川金隅冀东环保科技有限公司"/>
        <s v="内蒙古鄂尔多斯电力冶金集团股份有限公司资源综合利用分公司"/>
        <s v="安徽华塑股份有限公司"/>
        <s v="叶城天山水泥有限责任公司"/>
        <s v="新疆天山水泥股份有限公司塔什店分公司"/>
        <s v="吐鲁番天山水泥有限责任公司"/>
        <s v="北京金隅琉水环保科技有限公司"/>
        <s v="涿鹿金隅水泥有限公司"/>
        <s v="武汉阳训科技有限公司"/>
        <s v="安钢集团附属企业有限责任公司"/>
        <s v="汉中尧柏水泥有限公司"/>
        <s v="阿克苏天山多浪水泥有限责任公司"/>
        <s v="新兴铸管股份有限公司"/>
        <s v="河南龙宇煤化工有限公司"/>
        <s v="贵州西南水泥有限公司"/>
        <s v="包头冀东水泥有限公司"/>
        <s v="山东滕国项目管理有限公司（山东申丰水泥集团有限公司）"/>
        <s v="湖南华菱湘潭钢铁有限公司"/>
        <s v="汪清北方水泥有限公司"/>
        <s v="葛洲坝石门特种水泥有限公司"/>
        <s v="河南能源中原云商电子商务平台"/>
        <s v="电能易购（北京）科技有限公司"/>
        <s v="中机国际招标有限公司（青海发投碱业有限公司）"/>
        <s v="湖北双环科技股份有限公司"/>
        <s v="鞍钢集团炼钢部"/>
        <s v="新疆水泥各成员企业-新疆天山总部"/>
        <s v="中原招采网"/>
        <s v="新疆八一钢铁股份有限公司"/>
        <s v="新疆阜康天山水泥有限责任公司"/>
        <s v="鞍山冀东水泥有限责任公司"/>
        <s v="成都云图生活电子商务有限公司（嘉施利（荆州）化肥有限公司）"/>
        <s v="新疆米东天山水泥有限责任公司"/>
        <s v="元江县永发水泥有限公司"/>
        <s v="天瑞集团汝州水泥有限公司"/>
        <s v="安钢集团信阳有限公司"/>
        <s v="内蒙古晟雄科技有限责任公司"/>
        <s v="徐州中联水泥有限公司"/>
        <s v="中联水泥（山东）研发中心有限公司（徐州中联水泥有限公司）"/>
        <s v="北方水泥有限公司（总部）"/>
        <s v="成都云图控股股份有限公司（应城市新都化工有限责任公司）"/>
        <s v="广联达科技股份有限公司青海分公司"/>
        <s v="山西强伟纸业有限公司"/>
        <s v="安徽华塑股份有限公司水泥分公司"/>
        <s v="中铸新兴企业管理有限公司"/>
        <s v="山东钢铁集团日照有限公司"/>
        <s v="中建西部建设新疆有限公司"/>
        <s v="新疆伊犁钢铁有限责任公司"/>
        <s v="富蕴天山水泥有限责任公司"/>
        <s v="应城市新都化工有限责任公司"/>
        <s v="徐州小俏网络科技服务有限公司"/>
        <s v="(空白)"/>
        <s v="日钢营口中板有限公司"/>
        <s v="青海发投碱业有限公司_x000a_武汉开明高新科技有限公司"/>
        <s v="湖北岚丹建设工程有限公司用于青海发投碱业有限公司"/>
        <s v="中盐青海昆仑碱业有限公司"/>
        <s v="中盐吉兰泰氯碱化工有限公司"/>
        <s v="山东泰山钢铁集团有限公司"/>
        <s v="天瑞新登郑州水泥有限公司"/>
        <s v="青海盐湖镁业有限公司"/>
        <s v="福建三钢闽光股份有限公司"/>
        <s v="四川西南水泥有限公司"/>
        <s v="上海宝华国际招标有限公司(伊犁钢铁)"/>
        <s v="中国电能成套设备有限公司（山西铝业）"/>
        <s v="唐山中厚板材有限公司"/>
        <s v="巴彦淖尔中联水泥有限公司"/>
        <s v="国家电投集团山西铝业有限公司"/>
        <s v="邵玉海（闫玲）"/>
        <s v="江苏永钢集团有限公司"/>
        <s v="中盐内蒙古化工股份有限公司盐碱分公司"/>
        <s v="湘潭瑞通球团有限公司"/>
        <s v="河北金隅鼎鑫水泥有限公司"/>
        <s v="湖北岚丹建设工程有限公司用于青海发投碱业有限公司农民工工资保证金"/>
        <s v="福建安砂建福水泥有限公司"/>
        <s v="河南晋开化工投资控股集团有限责任公司"/>
        <s v="武汉开明高新科技有限公司"/>
        <s v="山东招标股份有限公司"/>
        <s v="萍乡萍钢安源钢铁有限公司"/>
        <s v="光大环保危废处置（淄博）有限公司"/>
        <s v="亚太森博（山东）浆纸有限公司"/>
        <s v="洛阳中联水泥有限公司"/>
        <s v="宝武集团鄂城钢铁有限公司"/>
        <s v="淮北众城水泥有限责任公司"/>
        <s v="吉林亚泰集团物资贸易有限公司"/>
        <s v="江苏永钢集团物资贸易有限公司"/>
        <s v="三门峡腾跃同力水泥有限公司"/>
        <m/>
      </sharedItems>
    </cacheField>
    <cacheField name="支付类型" numFmtId="0">
      <sharedItems containsBlank="1" count="11">
        <s v="履约保证金"/>
        <s v="投标保证金"/>
        <s v="安全保证金"/>
        <s v="农民工保证金"/>
        <s v="标书费"/>
        <s v="平台服务费"/>
        <s v="中标服务费"/>
        <s v="农民工工资保证金"/>
        <s v="其他"/>
        <s v="押金"/>
        <m/>
      </sharedItems>
    </cacheField>
    <cacheField name="部门" numFmtId="0">
      <sharedItems containsBlank="1" count="9">
        <s v="销售部"/>
        <s v="商务部"/>
        <s v="内勤组"/>
        <s v="(空白)"/>
        <s v="生产部"/>
        <s v="生产二部"/>
        <s v="财务部"/>
        <s v="工程部"/>
        <m/>
      </sharedItems>
    </cacheField>
    <cacheField name="经办人" numFmtId="0">
      <sharedItems containsBlank="1" count="38">
        <s v="陈纤"/>
        <s v="周奇"/>
        <s v="陈云"/>
        <s v="吴海波"/>
        <s v="(空白)"/>
        <s v="丁俊"/>
        <s v="汤勇华"/>
        <s v="杨春龙"/>
        <s v="王小勇"/>
        <s v="祝威"/>
        <s v="牛国庆"/>
        <s v="汪攀"/>
        <s v="张继红"/>
        <s v="殷坤鹏"/>
        <s v="杨秋风"/>
        <s v="朱利勇"/>
        <s v="杨江"/>
        <s v="覃延吉"/>
        <s v="周英柱"/>
        <s v="石靖"/>
        <s v="陈远志"/>
        <s v="熊伟"/>
        <s v="张月"/>
        <s v="卢北友"/>
        <s v="饶亚龙"/>
        <s v="曾江利"/>
        <s v="张满满"/>
        <s v="吴皓"/>
        <s v="杨琦"/>
        <s v="何志琴"/>
        <s v="汪余欢"/>
        <s v="胡燕"/>
        <s v="王金平"/>
        <s v="伍芳芳"/>
        <s v="柳汉琴"/>
        <s v="熊艳"/>
        <s v="李权智"/>
        <m/>
      </sharedItems>
    </cacheField>
    <cacheField name="求和项:未退余额" numFmtId="0">
      <sharedItems containsString="0" containsBlank="1" containsNumber="1" minValue="0" maxValue="180044" count="68">
        <n v="6950"/>
        <n v="2000"/>
        <n v="7000"/>
        <n v="20000"/>
        <n v="10000"/>
        <n v="50000"/>
        <n v="900"/>
        <n v="100"/>
        <n v="200"/>
        <n v="500"/>
        <n v="5000"/>
        <n v="1000"/>
        <n v="1500"/>
        <n v="400"/>
        <n v="9000"/>
        <n v="4000"/>
        <n v="15800"/>
        <n v="3400"/>
        <n v="20"/>
        <n v="4160"/>
        <n v="30"/>
        <n v="3500"/>
        <n v="32300"/>
        <n v="220"/>
        <n v="218"/>
        <n v="12800"/>
        <n v="600"/>
        <n v="3600"/>
        <n v="6000"/>
        <n v="136202"/>
        <n v="12000"/>
        <n v="11500"/>
        <n v="17100"/>
        <n v="39390"/>
        <n v="27999"/>
        <n v="47850"/>
        <n v="30000"/>
        <n v="92050"/>
        <n v="32000"/>
        <n v="121475"/>
        <n v="13500"/>
        <n v="88500"/>
        <n v="27200"/>
        <n v="29000"/>
        <n v="13000"/>
        <n v="65500"/>
        <n v="66000"/>
        <n v="48000"/>
        <n v="3000"/>
        <n v="21000"/>
        <n v="180044"/>
        <n v="1200"/>
        <n v="180000"/>
        <n v="23000"/>
        <n v="14300"/>
        <n v="15000"/>
        <n v="13161.69"/>
        <n v="35000"/>
        <n v="120875"/>
        <n v="51019.37"/>
        <n v="5200"/>
        <n v="170100"/>
        <n v="47100"/>
        <n v="71000"/>
        <n v="6500"/>
        <n v="3675"/>
        <n v="3800"/>
        <m/>
      </sharedItems>
    </cacheField>
  </cacheFields>
</pivotCacheDefinition>
</file>

<file path=xl/pivotCache/pivotCacheRecords1.xml><?xml version="1.0" encoding="utf-8"?>
<pivotCacheRecords xmlns="http://schemas.openxmlformats.org/spreadsheetml/2006/main" xmlns:r="http://schemas.openxmlformats.org/officeDocument/2006/relationships" count="0"/>
</file>

<file path=xl/pivotCache/pivotCacheRecords2.xml><?xml version="1.0" encoding="utf-8"?>
<pivotCacheRecords xmlns="http://schemas.openxmlformats.org/spreadsheetml/2006/main" xmlns:r="http://schemas.openxmlformats.org/officeDocument/2006/relationships" count="0"/>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数据透视表2" cacheId="0" autoFormatId="1" applyNumberFormats="0" applyBorderFormats="0" applyFontFormats="0" applyPatternFormats="0" applyAlignmentFormats="0" applyWidthHeightFormats="1" dataCaption="值" updatedVersion="5" minRefreshableVersion="3" createdVersion="5" useAutoFormatting="1" compact="0" indent="0" compactData="0" showDrill="1" multipleFieldFilters="0">
  <location ref="A1:F872" firstHeaderRow="1" firstDataRow="1" firstDataCol="5"/>
  <pivotFields count="24">
    <pivotField compact="0" defaultSubtotal="0" outline="0" showAll="0">
      <items count="946">
        <item x="8"/>
        <item x="11"/>
        <item x="16"/>
        <item x="17"/>
        <item x="10"/>
        <item x="14"/>
        <item x="24"/>
        <item x="20"/>
        <item x="23"/>
        <item x="12"/>
        <item x="19"/>
        <item x="18"/>
        <item x="22"/>
        <item x="21"/>
        <item x="13"/>
        <item x="25"/>
        <item x="28"/>
        <item x="29"/>
        <item x="15"/>
        <item x="30"/>
        <item x="31"/>
        <item x="32"/>
        <item x="33"/>
        <item x="34"/>
        <item x="35"/>
        <item x="37"/>
        <item x="36"/>
        <item x="38"/>
        <item x="39"/>
        <item x="40"/>
        <item x="41"/>
        <item x="43"/>
        <item x="44"/>
        <item x="45"/>
        <item x="46"/>
        <item x="47"/>
        <item x="48"/>
        <item x="49"/>
        <item x="50"/>
        <item x="51"/>
        <item x="52"/>
        <item x="55"/>
        <item x="53"/>
        <item x="54"/>
        <item x="56"/>
        <item x="58"/>
        <item x="59"/>
        <item x="61"/>
        <item x="63"/>
        <item x="62"/>
        <item x="64"/>
        <item x="65"/>
        <item x="67"/>
        <item x="68"/>
        <item x="70"/>
        <item x="72"/>
        <item x="73"/>
        <item x="75"/>
        <item x="76"/>
        <item x="77"/>
        <item x="78"/>
        <item x="79"/>
        <item x="80"/>
        <item x="82"/>
        <item x="83"/>
        <item x="84"/>
        <item x="86"/>
        <item x="85"/>
        <item x="87"/>
        <item x="88"/>
        <item x="89"/>
        <item x="90"/>
        <item x="66"/>
        <item x="91"/>
        <item x="92"/>
        <item x="93"/>
        <item x="94"/>
        <item x="95"/>
        <item x="104"/>
        <item x="105"/>
        <item x="106"/>
        <item x="108"/>
        <item x="109"/>
        <item x="111"/>
        <item x="112"/>
        <item x="114"/>
        <item x="119"/>
        <item x="120"/>
        <item x="122"/>
        <item x="123"/>
        <item x="125"/>
        <item x="126"/>
        <item x="128"/>
        <item x="130"/>
        <item x="131"/>
        <item x="132"/>
        <item x="135"/>
        <item x="136"/>
        <item x="137"/>
        <item x="139"/>
        <item x="140"/>
        <item x="141"/>
        <item x="134"/>
        <item x="144"/>
        <item x="145"/>
        <item x="146"/>
        <item x="147"/>
        <item x="148"/>
        <item x="149"/>
        <item x="150"/>
        <item x="151"/>
        <item x="143"/>
        <item x="115"/>
        <item x="153"/>
        <item x="154"/>
        <item x="156"/>
        <item x="157"/>
        <item x="158"/>
        <item x="161"/>
        <item x="162"/>
        <item x="165"/>
        <item x="167"/>
        <item x="168"/>
        <item x="171"/>
        <item x="175"/>
        <item x="178"/>
        <item x="180"/>
        <item x="182"/>
        <item x="183"/>
        <item x="195"/>
        <item x="206"/>
        <item x="218"/>
        <item x="220"/>
        <item x="221"/>
        <item x="223"/>
        <item x="224"/>
        <item x="225"/>
        <item x="231"/>
        <item x="253"/>
        <item x="263"/>
        <item x="276"/>
        <item x="287"/>
        <item x="280"/>
        <item x="281"/>
        <item x="294"/>
        <item x="296"/>
        <item x="303"/>
        <item x="305"/>
        <item x="308"/>
        <item x="309"/>
        <item x="316"/>
        <item x="319"/>
        <item x="321"/>
        <item x="322"/>
        <item x="324"/>
        <item x="323"/>
        <item x="325"/>
        <item x="331"/>
        <item x="332"/>
        <item x="335"/>
        <item x="336"/>
        <item x="337"/>
        <item x="341"/>
        <item x="347"/>
        <item x="345"/>
        <item x="348"/>
        <item x="350"/>
        <item x="352"/>
        <item x="353"/>
        <item x="354"/>
        <item x="362"/>
        <item x="389"/>
        <item x="392"/>
        <item x="397"/>
        <item x="398"/>
        <item x="399"/>
        <item x="400"/>
        <item x="402"/>
        <item x="403"/>
        <item x="407"/>
        <item x="410"/>
        <item x="0"/>
        <item x="1"/>
        <item x="2"/>
        <item x="6"/>
        <item x="3"/>
        <item x="4"/>
        <item x="5"/>
        <item x="7"/>
        <item x="9"/>
        <item x="57"/>
        <item x="107"/>
        <item x="60"/>
        <item x="26"/>
        <item x="69"/>
        <item x="74"/>
        <item x="81"/>
        <item x="96"/>
        <item x="97"/>
        <item x="98"/>
        <item x="99"/>
        <item x="100"/>
        <item x="101"/>
        <item x="102"/>
        <item x="103"/>
        <item x="113"/>
        <item x="116"/>
        <item x="117"/>
        <item x="118"/>
        <item x="121"/>
        <item x="124"/>
        <item x="127"/>
        <item x="133"/>
        <item x="138"/>
        <item x="152"/>
        <item x="159"/>
        <item x="160"/>
        <item x="163"/>
        <item x="164"/>
        <item x="166"/>
        <item x="169"/>
        <item x="172"/>
        <item x="173"/>
        <item x="174"/>
        <item x="177"/>
        <item x="181"/>
        <item x="184"/>
        <item x="186"/>
        <item x="187"/>
        <item x="188"/>
        <item x="189"/>
        <item x="190"/>
        <item x="191"/>
        <item x="198"/>
        <item x="199"/>
        <item x="205"/>
        <item x="203"/>
        <item x="207"/>
        <item x="208"/>
        <item x="209"/>
        <item x="211"/>
        <item x="212"/>
        <item x="215"/>
        <item x="219"/>
        <item x="222"/>
        <item x="226"/>
        <item x="227"/>
        <item x="228"/>
        <item x="232"/>
        <item x="233"/>
        <item x="234"/>
        <item x="238"/>
        <item x="239"/>
        <item x="240"/>
        <item x="243"/>
        <item x="244"/>
        <item x="245"/>
        <item x="246"/>
        <item x="247"/>
        <item x="248"/>
        <item x="249"/>
        <item x="250"/>
        <item x="251"/>
        <item x="254"/>
        <item x="255"/>
        <item x="256"/>
        <item x="257"/>
        <item x="258"/>
        <item x="262"/>
        <item x="264"/>
        <item x="265"/>
        <item x="266"/>
        <item x="269"/>
        <item x="270"/>
        <item x="271"/>
        <item x="272"/>
        <item x="273"/>
        <item x="274"/>
        <item x="275"/>
        <item x="277"/>
        <item x="278"/>
        <item x="282"/>
        <item x="283"/>
        <item x="285"/>
        <item x="286"/>
        <item x="288"/>
        <item x="289"/>
        <item x="290"/>
        <item x="291"/>
        <item x="292"/>
        <item x="293"/>
        <item x="297"/>
        <item x="298"/>
        <item x="299"/>
        <item x="300"/>
        <item x="304"/>
        <item x="306"/>
        <item x="307"/>
        <item x="310"/>
        <item x="311"/>
        <item x="312"/>
        <item x="314"/>
        <item x="315"/>
        <item x="318"/>
        <item x="326"/>
        <item x="329"/>
        <item x="330"/>
        <item x="333"/>
        <item x="338"/>
        <item x="339"/>
        <item x="343"/>
        <item x="346"/>
        <item x="349"/>
        <item x="357"/>
        <item x="358"/>
        <item x="301"/>
        <item x="359"/>
        <item x="363"/>
        <item x="365"/>
        <item x="366"/>
        <item x="367"/>
        <item x="404"/>
        <item x="368"/>
        <item x="369"/>
        <item x="370"/>
        <item x="371"/>
        <item x="373"/>
        <item x="374"/>
        <item x="377"/>
        <item x="379"/>
        <item x="380"/>
        <item x="381"/>
        <item x="385"/>
        <item x="386"/>
        <item x="388"/>
        <item x="390"/>
        <item x="391"/>
        <item x="396"/>
        <item x="406"/>
        <item x="408"/>
        <item x="210"/>
        <item x="42"/>
        <item x="27"/>
        <item x="71"/>
        <item x="110"/>
        <item x="129"/>
        <item x="142"/>
        <item x="155"/>
        <item x="170"/>
        <item x="176"/>
        <item x="216"/>
        <item x="295"/>
        <item x="313"/>
        <item x="317"/>
        <item x="355"/>
        <item x="356"/>
        <item x="382"/>
        <item x="393"/>
        <item x="394"/>
        <item x="395"/>
        <item x="179"/>
        <item x="185"/>
        <item x="192"/>
        <item x="193"/>
        <item x="194"/>
        <item x="196"/>
        <item x="197"/>
        <item x="200"/>
        <item x="201"/>
        <item x="202"/>
        <item x="204"/>
        <item x="213"/>
        <item x="214"/>
        <item x="217"/>
        <item x="229"/>
        <item x="230"/>
        <item x="235"/>
        <item x="236"/>
        <item x="237"/>
        <item x="241"/>
        <item x="242"/>
        <item x="252"/>
        <item x="259"/>
        <item x="260"/>
        <item x="261"/>
        <item x="267"/>
        <item x="268"/>
        <item x="279"/>
        <item x="284"/>
        <item x="302"/>
        <item x="320"/>
        <item x="327"/>
        <item x="328"/>
        <item x="334"/>
        <item x="342"/>
        <item x="344"/>
        <item x="351"/>
        <item x="360"/>
        <item x="361"/>
        <item x="364"/>
        <item x="372"/>
        <item x="375"/>
        <item x="376"/>
        <item x="378"/>
        <item x="383"/>
        <item x="384"/>
        <item x="387"/>
        <item x="340"/>
        <item x="401"/>
        <item x="405"/>
        <item x="409"/>
        <item x="411"/>
        <item x="412"/>
        <item x="413"/>
        <item x="414"/>
        <item x="415"/>
        <item x="416"/>
        <item x="417"/>
        <item x="418"/>
        <item x="419"/>
        <item x="420"/>
        <item x="421"/>
        <item x="422"/>
        <item x="423"/>
        <item x="424"/>
        <item x="426"/>
        <item x="425"/>
        <item x="427"/>
        <item x="428"/>
        <item x="429"/>
        <item x="431"/>
        <item x="432"/>
        <item x="430"/>
        <item x="433"/>
        <item x="434"/>
        <item x="435"/>
        <item x="436"/>
        <item x="437"/>
        <item x="438"/>
        <item x="439"/>
        <item x="440"/>
        <item x="441"/>
        <item x="442"/>
        <item x="443"/>
        <item x="444"/>
        <item x="445"/>
        <item x="446"/>
        <item x="447"/>
        <item x="448"/>
        <item x="449"/>
        <item x="450"/>
        <item x="451"/>
        <item x="452"/>
        <item x="453"/>
        <item x="454"/>
        <item x="455"/>
        <item x="456"/>
        <item x="457"/>
        <item x="458"/>
        <item x="464"/>
        <item x="459"/>
        <item x="460"/>
        <item x="461"/>
        <item x="462"/>
        <item x="463"/>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4"/>
        <item x="685"/>
        <item x="682"/>
        <item x="683"/>
        <item x="686"/>
        <item x="687"/>
        <item x="688"/>
        <item x="689"/>
        <item x="690"/>
        <item x="705"/>
        <item x="691"/>
        <item x="692"/>
        <item x="693"/>
        <item x="694"/>
        <item x="695"/>
        <item x="696"/>
        <item x="697"/>
        <item x="698"/>
        <item x="700"/>
        <item x="701"/>
        <item x="702"/>
        <item x="703"/>
        <item x="704"/>
        <item x="699"/>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s>
      <extLst>
        <ext xmlns:x14="http://schemas.microsoft.com/office/spreadsheetml/2009/9/main" uri="{2946ED86-A175-432a-8AC1-64E0C546D7DE}">
          <x14:pivotField fillDownLabels="1"/>
        </ext>
      </extLst>
    </pivotField>
    <pivotField compact="0" defaultSubtotal="0" outline="0" showAll="0">
      <items count="945">
        <item x="770"/>
        <item x="771"/>
        <item x="798"/>
        <item x="799"/>
        <item x="800"/>
        <item x="801"/>
        <item x="802"/>
        <item x="833"/>
        <item x="834"/>
        <item x="835"/>
        <item x="836"/>
        <item x="838"/>
        <item x="848"/>
        <item x="849"/>
        <item x="8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2"/>
        <item x="773"/>
        <item x="774"/>
        <item x="775"/>
        <item x="776"/>
        <item x="777"/>
        <item x="778"/>
        <item x="779"/>
        <item x="780"/>
        <item x="781"/>
        <item x="782"/>
        <item x="783"/>
        <item x="784"/>
        <item x="785"/>
        <item x="786"/>
        <item x="787"/>
        <item x="788"/>
        <item x="789"/>
        <item x="790"/>
        <item x="791"/>
        <item x="792"/>
        <item x="793"/>
        <item x="794"/>
        <item x="795"/>
        <item x="796"/>
        <item x="797"/>
        <item x="803"/>
        <item x="804"/>
        <item x="805"/>
        <item x="806"/>
        <item x="807"/>
        <item x="808"/>
        <item x="809"/>
        <item x="810"/>
        <item x="811"/>
        <item x="812"/>
        <item x="813"/>
        <item x="814"/>
        <item x="815"/>
        <item x="816"/>
        <item x="817"/>
        <item x="818"/>
        <item x="819"/>
        <item x="820"/>
        <item x="821"/>
        <item x="822"/>
        <item x="823"/>
        <item x="824"/>
        <item x="825"/>
        <item x="826"/>
        <item x="827"/>
        <item x="828"/>
        <item x="830"/>
        <item x="831"/>
        <item x="832"/>
        <item x="837"/>
        <item x="839"/>
        <item x="840"/>
        <item x="841"/>
        <item x="842"/>
        <item x="843"/>
        <item x="844"/>
        <item x="845"/>
        <item x="846"/>
        <item x="847"/>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4"/>
        <item x="882"/>
        <item x="883"/>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829"/>
      </items>
      <extLst>
        <ext xmlns:x14="http://schemas.microsoft.com/office/spreadsheetml/2009/9/main" uri="{2946ED86-A175-432a-8AC1-64E0C546D7DE}">
          <x14:pivotField fillDownLabels="1"/>
        </ext>
      </extLst>
    </pivotField>
    <pivotField compact="0" defaultSubtotal="0" outline="0" showAll="0">
      <items count="338">
        <item x="285"/>
        <item x="286"/>
        <item x="287"/>
        <item x="288"/>
        <item x="289"/>
        <item x="290"/>
        <item x="291"/>
        <item x="229"/>
        <item x="0"/>
        <item x="1"/>
        <item x="3"/>
        <item x="4"/>
        <item x="5"/>
        <item x="6"/>
        <item x="7"/>
        <item x="8"/>
        <item x="2"/>
        <item x="9"/>
        <item x="10"/>
        <item x="11"/>
        <item x="12"/>
        <item x="13"/>
        <item x="14"/>
        <item x="15"/>
        <item x="16"/>
        <item x="17"/>
        <item x="18"/>
        <item x="19"/>
        <item x="20"/>
        <item x="21"/>
        <item x="22"/>
        <item x="23"/>
        <item x="24"/>
        <item x="25"/>
        <item x="26"/>
        <item x="27"/>
        <item x="28"/>
        <item x="29"/>
        <item x="30"/>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67"/>
        <item x="159"/>
        <item x="160"/>
        <item x="161"/>
        <item x="162"/>
        <item x="163"/>
        <item x="164"/>
        <item x="165"/>
        <item x="166"/>
        <item x="174"/>
        <item x="168"/>
        <item x="169"/>
        <item x="170"/>
        <item x="171"/>
        <item x="172"/>
        <item x="173"/>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5"/>
        <item x="214"/>
        <item x="216"/>
        <item x="217"/>
        <item x="218"/>
        <item x="219"/>
        <item x="220"/>
        <item x="221"/>
        <item x="222"/>
        <item x="224"/>
        <item x="225"/>
        <item x="226"/>
        <item x="223"/>
        <item x="227"/>
        <item x="228"/>
        <item x="230"/>
        <item x="231"/>
        <item x="232"/>
        <item x="233"/>
        <item x="237"/>
        <item x="234"/>
        <item x="235"/>
        <item x="236"/>
        <item x="238"/>
        <item x="239"/>
        <item x="240"/>
        <item x="241"/>
        <item x="243"/>
        <item x="244"/>
        <item x="245"/>
        <item x="246"/>
        <item x="247"/>
        <item x="242"/>
        <item x="248"/>
        <item x="259"/>
        <item x="249"/>
        <item x="252"/>
        <item x="250"/>
        <item x="254"/>
        <item x="251"/>
        <item x="255"/>
        <item x="260"/>
        <item x="253"/>
        <item x="256"/>
        <item x="261"/>
        <item x="257"/>
        <item x="258"/>
        <item x="262"/>
        <item x="263"/>
        <item x="264"/>
        <item x="265"/>
        <item x="266"/>
        <item x="267"/>
        <item x="268"/>
        <item x="270"/>
        <item x="271"/>
        <item x="269"/>
        <item x="274"/>
        <item x="273"/>
        <item x="275"/>
        <item x="272"/>
        <item x="276"/>
        <item x="277"/>
        <item x="278"/>
        <item x="279"/>
        <item x="282"/>
        <item x="281"/>
        <item x="280"/>
        <item x="283"/>
        <item x="284"/>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1"/>
      </items>
      <extLst>
        <ext xmlns:x14="http://schemas.microsoft.com/office/spreadsheetml/2009/9/main" uri="{2946ED86-A175-432a-8AC1-64E0C546D7DE}">
          <x14:pivotField fillDownLabels="1"/>
        </ext>
      </extLst>
    </pivotField>
    <pivotField compact="0" defaultSubtotal="0" outline="0" showAll="0">
      <items count="5">
        <item x="1"/>
        <item x="4"/>
        <item x="3"/>
        <item x="0"/>
        <item x="2"/>
      </items>
      <extLst>
        <ext xmlns:x14="http://schemas.microsoft.com/office/spreadsheetml/2009/9/main" uri="{2946ED86-A175-432a-8AC1-64E0C546D7DE}">
          <x14:pivotField fillDownLabels="1"/>
        </ext>
      </extLst>
    </pivotField>
    <pivotField axis="axisRow" compact="0" defaultSubtotal="0" outline="0" showAll="0">
      <items count="556">
        <item x="503"/>
        <item x="504"/>
        <item x="505"/>
        <item x="506"/>
        <item x="507"/>
        <item x="508"/>
        <item x="509"/>
        <item x="1"/>
        <item x="2"/>
        <item x="3"/>
        <item x="5"/>
        <item x="6"/>
        <item x="7"/>
        <item x="8"/>
        <item x="9"/>
        <item x="10"/>
        <item x="11"/>
        <item x="12"/>
        <item x="4"/>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3"/>
        <item x="444"/>
        <item x="445"/>
        <item x="442"/>
        <item x="446"/>
        <item x="447"/>
        <item x="448"/>
        <item x="449"/>
        <item x="450"/>
        <item x="451"/>
        <item x="455"/>
        <item x="452"/>
        <item x="453"/>
        <item x="454"/>
        <item x="456"/>
        <item x="457"/>
        <item x="458"/>
        <item x="459"/>
        <item x="461"/>
        <item x="462"/>
        <item x="463"/>
        <item x="464"/>
        <item x="465"/>
        <item x="460"/>
        <item x="466"/>
        <item x="477"/>
        <item x="467"/>
        <item x="470"/>
        <item x="468"/>
        <item x="472"/>
        <item x="469"/>
        <item x="473"/>
        <item x="478"/>
        <item x="471"/>
        <item x="474"/>
        <item x="479"/>
        <item x="475"/>
        <item x="476"/>
        <item x="480"/>
        <item x="481"/>
        <item x="482"/>
        <item x="483"/>
        <item x="484"/>
        <item x="485"/>
        <item x="486"/>
        <item x="488"/>
        <item x="489"/>
        <item x="487"/>
        <item x="492"/>
        <item x="491"/>
        <item x="493"/>
        <item x="490"/>
        <item x="494"/>
        <item x="495"/>
        <item x="496"/>
        <item x="497"/>
        <item x="500"/>
        <item x="499"/>
        <item x="498"/>
        <item x="501"/>
        <item x="502"/>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0"/>
      </items>
      <extLst>
        <ext xmlns:x14="http://schemas.microsoft.com/office/spreadsheetml/2009/9/main" uri="{2946ED86-A175-432a-8AC1-64E0C546D7DE}">
          <x14:pivotField fillDownLabels="1"/>
        </ext>
      </extLst>
    </pivotField>
    <pivotField axis="axisRow" compact="0" defaultSubtotal="0" outline="0" showAll="0">
      <items count="11">
        <item x="6"/>
        <item x="8"/>
        <item x="9"/>
        <item x="10"/>
        <item x="7"/>
        <item x="1"/>
        <item x="5"/>
        <item x="2"/>
        <item x="4"/>
        <item x="3"/>
        <item x="0"/>
      </items>
      <extLst>
        <ext xmlns:x14="http://schemas.microsoft.com/office/spreadsheetml/2009/9/main" uri="{2946ED86-A175-432a-8AC1-64E0C546D7DE}">
          <x14:pivotField fillDownLabels="1"/>
        </ext>
      </extLst>
    </pivotField>
    <pivotField axis="axisRow" compact="0" defaultSubtotal="0" outline="0" showAll="0">
      <items count="117">
        <item x="100"/>
        <item x="36"/>
        <item x="63"/>
        <item x="112"/>
        <item x="60"/>
        <item x="65"/>
        <item x="113"/>
        <item x="56"/>
        <item x="19"/>
        <item x="4"/>
        <item x="86"/>
        <item x="80"/>
        <item x="78"/>
        <item x="64"/>
        <item x="17"/>
        <item x="8"/>
        <item x="71"/>
        <item x="46"/>
        <item x="29"/>
        <item x="104"/>
        <item x="94"/>
        <item x="52"/>
        <item x="107"/>
        <item x="35"/>
        <item x="31"/>
        <item x="103"/>
        <item x="3"/>
        <item x="90"/>
        <item x="110"/>
        <item x="89"/>
        <item x="66"/>
        <item x="14"/>
        <item x="48"/>
        <item x="116"/>
        <item x="62"/>
        <item x="15"/>
        <item x="93"/>
        <item x="61"/>
        <item x="24"/>
        <item x="23"/>
        <item x="22"/>
        <item x="59"/>
        <item x="7"/>
        <item x="111"/>
        <item x="92"/>
        <item x="79"/>
        <item x="68"/>
        <item x="34"/>
        <item x="88"/>
        <item x="85"/>
        <item x="40"/>
        <item x="75"/>
        <item x="37"/>
        <item x="45"/>
        <item x="55"/>
        <item x="53"/>
        <item x="12"/>
        <item x="58"/>
        <item x="10"/>
        <item x="2"/>
        <item x="26"/>
        <item x="99"/>
        <item x="42"/>
        <item x="5"/>
        <item x="106"/>
        <item x="98"/>
        <item x="43"/>
        <item x="108"/>
        <item x="76"/>
        <item x="18"/>
        <item x="28"/>
        <item x="114"/>
        <item x="9"/>
        <item x="1"/>
        <item x="97"/>
        <item x="69"/>
        <item x="109"/>
        <item x="72"/>
        <item x="13"/>
        <item x="77"/>
        <item x="20"/>
        <item x="21"/>
        <item x="87"/>
        <item x="115"/>
        <item x="57"/>
        <item x="27"/>
        <item x="70"/>
        <item x="105"/>
        <item x="54"/>
        <item x="49"/>
        <item x="32"/>
        <item x="96"/>
        <item x="33"/>
        <item x="16"/>
        <item x="67"/>
        <item x="47"/>
        <item x="84"/>
        <item x="83"/>
        <item x="11"/>
        <item x="74"/>
        <item x="44"/>
        <item x="73"/>
        <item x="102"/>
        <item x="39"/>
        <item x="91"/>
        <item x="6"/>
        <item x="82"/>
        <item x="95"/>
        <item x="41"/>
        <item x="101"/>
        <item x="51"/>
        <item x="50"/>
        <item x="81"/>
        <item x="38"/>
        <item x="30"/>
        <item x="25"/>
        <item x="0"/>
      </items>
      <extLst>
        <ext xmlns:x14="http://schemas.microsoft.com/office/spreadsheetml/2009/9/main" uri="{2946ED86-A175-432a-8AC1-64E0C546D7DE}">
          <x14:pivotField fillDownLabels="1"/>
        </ext>
      </extLst>
    </pivotField>
    <pivotField compact="0" defaultSubtotal="0" outline="0" showAll="0">
      <items count="343">
        <item x="190"/>
        <item x="139"/>
        <item x="133"/>
        <item x="166"/>
        <item x="164"/>
        <item x="55"/>
        <item x="308"/>
        <item x="230"/>
        <item x="341"/>
        <item x="98"/>
        <item x="131"/>
        <item x="237"/>
        <item x="265"/>
        <item x="328"/>
        <item x="49"/>
        <item x="119"/>
        <item x="293"/>
        <item x="217"/>
        <item x="80"/>
        <item x="48"/>
        <item x="135"/>
        <item x="234"/>
        <item x="324"/>
        <item x="82"/>
        <item x="314"/>
        <item x="45"/>
        <item x="248"/>
        <item x="315"/>
        <item x="52"/>
        <item x="285"/>
        <item x="331"/>
        <item x="75"/>
        <item x="317"/>
        <item x="302"/>
        <item x="56"/>
        <item x="123"/>
        <item x="122"/>
        <item x="21"/>
        <item x="220"/>
        <item x="10"/>
        <item x="212"/>
        <item x="245"/>
        <item x="97"/>
        <item x="284"/>
        <item x="57"/>
        <item x="173"/>
        <item x="266"/>
        <item x="79"/>
        <item x="307"/>
        <item x="306"/>
        <item x="281"/>
        <item x="208"/>
        <item x="326"/>
        <item x="87"/>
        <item x="273"/>
        <item x="36"/>
        <item x="165"/>
        <item x="85"/>
        <item x="101"/>
        <item x="110"/>
        <item x="23"/>
        <item x="211"/>
        <item x="180"/>
        <item x="176"/>
        <item x="325"/>
        <item x="204"/>
        <item x="192"/>
        <item x="197"/>
        <item x="37"/>
        <item x="102"/>
        <item x="46"/>
        <item x="65"/>
        <item x="50"/>
        <item x="29"/>
        <item x="67"/>
        <item x="16"/>
        <item x="274"/>
        <item x="215"/>
        <item x="18"/>
        <item x="13"/>
        <item x="26"/>
        <item x="219"/>
        <item x="90"/>
        <item x="114"/>
        <item x="60"/>
        <item x="20"/>
        <item x="185"/>
        <item x="218"/>
        <item x="118"/>
        <item x="276"/>
        <item x="183"/>
        <item x="184"/>
        <item x="141"/>
        <item x="172"/>
        <item x="188"/>
        <item x="297"/>
        <item x="228"/>
        <item x="288"/>
        <item x="339"/>
        <item x="295"/>
        <item x="226"/>
        <item x="282"/>
        <item x="130"/>
        <item x="292"/>
        <item x="289"/>
        <item x="255"/>
        <item x="241"/>
        <item x="178"/>
        <item x="232"/>
        <item x="84"/>
        <item x="170"/>
        <item x="209"/>
        <item x="125"/>
        <item x="124"/>
        <item x="47"/>
        <item x="42"/>
        <item x="74"/>
        <item x="2"/>
        <item x="31"/>
        <item x="214"/>
        <item x="3"/>
        <item x="117"/>
        <item x="146"/>
        <item x="287"/>
        <item x="15"/>
        <item x="150"/>
        <item x="171"/>
        <item x="66"/>
        <item x="126"/>
        <item x="161"/>
        <item x="32"/>
        <item x="70"/>
        <item x="44"/>
        <item x="336"/>
        <item x="34"/>
        <item x="186"/>
        <item x="7"/>
        <item x="4"/>
        <item x="51"/>
        <item x="81"/>
        <item x="250"/>
        <item x="311"/>
        <item x="243"/>
        <item x="334"/>
        <item x="109"/>
        <item x="88"/>
        <item x="301"/>
        <item x="91"/>
        <item x="54"/>
        <item x="5"/>
        <item x="28"/>
        <item x="152"/>
        <item x="169"/>
        <item x="93"/>
        <item x="153"/>
        <item x="205"/>
        <item x="160"/>
        <item x="207"/>
        <item x="263"/>
        <item x="83"/>
        <item x="92"/>
        <item x="283"/>
        <item x="27"/>
        <item x="132"/>
        <item x="247"/>
        <item x="115"/>
        <item x="235"/>
        <item x="144"/>
        <item x="140"/>
        <item x="202"/>
        <item x="14"/>
        <item x="210"/>
        <item x="299"/>
        <item x="309"/>
        <item x="94"/>
        <item x="268"/>
        <item x="269"/>
        <item x="113"/>
        <item x="279"/>
        <item x="253"/>
        <item x="257"/>
        <item x="224"/>
        <item x="277"/>
        <item x="76"/>
        <item x="157"/>
        <item x="159"/>
        <item x="330"/>
        <item x="86"/>
        <item x="270"/>
        <item x="167"/>
        <item x="260"/>
        <item x="233"/>
        <item x="290"/>
        <item x="194"/>
        <item x="335"/>
        <item x="59"/>
        <item x="340"/>
        <item x="112"/>
        <item x="179"/>
        <item x="149"/>
        <item x="272"/>
        <item x="313"/>
        <item x="187"/>
        <item x="332"/>
        <item x="191"/>
        <item x="193"/>
        <item x="0"/>
        <item x="323"/>
        <item x="143"/>
        <item x="242"/>
        <item x="142"/>
        <item x="35"/>
        <item x="136"/>
        <item x="236"/>
        <item x="238"/>
        <item x="239"/>
        <item x="249"/>
        <item x="177"/>
        <item x="40"/>
        <item x="252"/>
        <item x="298"/>
        <item x="216"/>
        <item x="316"/>
        <item x="181"/>
        <item x="106"/>
        <item x="196"/>
        <item x="103"/>
        <item x="71"/>
        <item x="200"/>
        <item x="203"/>
        <item x="201"/>
        <item x="318"/>
        <item x="128"/>
        <item x="78"/>
        <item x="61"/>
        <item x="69"/>
        <item x="24"/>
        <item x="62"/>
        <item x="58"/>
        <item x="105"/>
        <item x="33"/>
        <item x="321"/>
        <item x="162"/>
        <item x="99"/>
        <item x="11"/>
        <item x="63"/>
        <item x="244"/>
        <item x="271"/>
        <item x="41"/>
        <item x="145"/>
        <item x="100"/>
        <item x="121"/>
        <item x="267"/>
        <item x="221"/>
        <item x="138"/>
        <item x="227"/>
        <item x="116"/>
        <item x="310"/>
        <item x="107"/>
        <item x="256"/>
        <item x="64"/>
        <item x="53"/>
        <item x="89"/>
        <item x="155"/>
        <item x="72"/>
        <item x="104"/>
        <item x="158"/>
        <item x="30"/>
        <item x="258"/>
        <item x="174"/>
        <item x="151"/>
        <item x="231"/>
        <item x="12"/>
        <item x="296"/>
        <item x="199"/>
        <item x="300"/>
        <item x="111"/>
        <item x="303"/>
        <item x="168"/>
        <item x="229"/>
        <item x="108"/>
        <item x="291"/>
        <item x="198"/>
        <item x="319"/>
        <item x="213"/>
        <item x="223"/>
        <item x="148"/>
        <item x="333"/>
        <item x="154"/>
        <item x="137"/>
        <item x="195"/>
        <item x="225"/>
        <item x="222"/>
        <item x="327"/>
        <item x="96"/>
        <item x="120"/>
        <item x="206"/>
        <item x="6"/>
        <item x="19"/>
        <item x="129"/>
        <item x="304"/>
        <item x="280"/>
        <item x="251"/>
        <item x="9"/>
        <item x="329"/>
        <item x="8"/>
        <item x="261"/>
        <item x="25"/>
        <item x="17"/>
        <item x="43"/>
        <item x="1"/>
        <item x="182"/>
        <item x="175"/>
        <item x="68"/>
        <item x="264"/>
        <item x="22"/>
        <item x="189"/>
        <item x="147"/>
        <item x="163"/>
        <item x="127"/>
        <item x="305"/>
        <item x="262"/>
        <item x="275"/>
        <item x="278"/>
        <item x="240"/>
        <item x="322"/>
        <item x="259"/>
        <item x="254"/>
        <item x="312"/>
        <item x="246"/>
        <item x="338"/>
        <item x="337"/>
        <item x="294"/>
        <item x="320"/>
        <item x="286"/>
        <item x="95"/>
        <item x="134"/>
        <item x="39"/>
        <item x="73"/>
        <item x="156"/>
        <item x="77"/>
        <item x="38"/>
        <item x="342"/>
      </items>
      <extLst>
        <ext xmlns:x14="http://schemas.microsoft.com/office/spreadsheetml/2009/9/main" uri="{2946ED86-A175-432a-8AC1-64E0C546D7DE}">
          <x14:pivotField fillDownLabels="1"/>
        </ext>
      </extLst>
    </pivotField>
    <pivotField axis="axisRow" compact="0" defaultSubtotal="0" outline="0" showAll="0">
      <items count="365">
        <item x="182"/>
        <item x="192"/>
        <item x="139"/>
        <item x="133"/>
        <item x="167"/>
        <item x="165"/>
        <item x="55"/>
        <item x="310"/>
        <item x="231"/>
        <item x="344"/>
        <item x="97"/>
        <item x="131"/>
        <item x="358"/>
        <item x="238"/>
        <item x="267"/>
        <item x="49"/>
        <item x="119"/>
        <item x="297"/>
        <item x="218"/>
        <item x="79"/>
        <item x="48"/>
        <item x="135"/>
        <item x="235"/>
        <item x="326"/>
        <item x="364"/>
        <item x="81"/>
        <item x="317"/>
        <item x="45"/>
        <item x="250"/>
        <item x="318"/>
        <item x="52"/>
        <item x="289"/>
        <item x="332"/>
        <item x="74"/>
        <item x="320"/>
        <item x="306"/>
        <item x="56"/>
        <item x="361"/>
        <item x="123"/>
        <item x="122"/>
        <item x="21"/>
        <item x="221"/>
        <item x="10"/>
        <item x="213"/>
        <item x="246"/>
        <item x="96"/>
        <item x="288"/>
        <item x="57"/>
        <item x="174"/>
        <item x="268"/>
        <item x="78"/>
        <item x="309"/>
        <item x="308"/>
        <item x="285"/>
        <item x="209"/>
        <item x="328"/>
        <item x="86"/>
        <item x="276"/>
        <item x="36"/>
        <item x="166"/>
        <item x="84"/>
        <item x="100"/>
        <item x="109"/>
        <item x="277"/>
        <item x="23"/>
        <item x="360"/>
        <item x="212"/>
        <item x="181"/>
        <item x="177"/>
        <item x="327"/>
        <item x="205"/>
        <item x="194"/>
        <item x="199"/>
        <item x="37"/>
        <item x="101"/>
        <item x="46"/>
        <item x="64"/>
        <item x="50"/>
        <item x="29"/>
        <item x="66"/>
        <item x="16"/>
        <item x="307"/>
        <item x="278"/>
        <item x="216"/>
        <item x="18"/>
        <item x="13"/>
        <item x="26"/>
        <item x="220"/>
        <item x="89"/>
        <item x="114"/>
        <item x="60"/>
        <item x="20"/>
        <item x="187"/>
        <item x="219"/>
        <item x="118"/>
        <item x="280"/>
        <item x="185"/>
        <item x="186"/>
        <item x="141"/>
        <item x="173"/>
        <item x="190"/>
        <item x="301"/>
        <item x="229"/>
        <item x="292"/>
        <item x="341"/>
        <item x="355"/>
        <item x="299"/>
        <item x="227"/>
        <item x="286"/>
        <item x="130"/>
        <item x="296"/>
        <item x="293"/>
        <item x="257"/>
        <item x="242"/>
        <item x="179"/>
        <item x="233"/>
        <item x="83"/>
        <item x="171"/>
        <item x="210"/>
        <item x="125"/>
        <item x="124"/>
        <item x="47"/>
        <item x="42"/>
        <item x="73"/>
        <item x="2"/>
        <item x="31"/>
        <item x="215"/>
        <item x="113"/>
        <item x="3"/>
        <item x="117"/>
        <item x="146"/>
        <item x="291"/>
        <item x="15"/>
        <item x="151"/>
        <item x="172"/>
        <item x="65"/>
        <item x="126"/>
        <item x="162"/>
        <item x="32"/>
        <item x="69"/>
        <item x="44"/>
        <item x="338"/>
        <item x="34"/>
        <item x="188"/>
        <item x="7"/>
        <item x="95"/>
        <item x="4"/>
        <item x="51"/>
        <item x="80"/>
        <item x="252"/>
        <item x="313"/>
        <item x="244"/>
        <item x="336"/>
        <item x="108"/>
        <item x="87"/>
        <item x="305"/>
        <item x="90"/>
        <item x="54"/>
        <item x="5"/>
        <item x="28"/>
        <item x="153"/>
        <item x="170"/>
        <item x="92"/>
        <item x="154"/>
        <item x="249"/>
        <item x="206"/>
        <item x="161"/>
        <item x="208"/>
        <item x="265"/>
        <item x="82"/>
        <item x="91"/>
        <item x="287"/>
        <item x="27"/>
        <item x="132"/>
        <item x="248"/>
        <item x="115"/>
        <item x="236"/>
        <item x="144"/>
        <item x="363"/>
        <item x="140"/>
        <item x="14"/>
        <item x="211"/>
        <item x="303"/>
        <item x="311"/>
        <item x="93"/>
        <item x="270"/>
        <item x="271"/>
        <item x="112"/>
        <item x="283"/>
        <item x="343"/>
        <item x="255"/>
        <item x="259"/>
        <item x="225"/>
        <item x="281"/>
        <item x="75"/>
        <item x="158"/>
        <item x="160"/>
        <item x="331"/>
        <item x="85"/>
        <item x="272"/>
        <item x="168"/>
        <item x="262"/>
        <item x="234"/>
        <item x="294"/>
        <item x="196"/>
        <item x="337"/>
        <item x="59"/>
        <item x="342"/>
        <item x="111"/>
        <item x="180"/>
        <item x="150"/>
        <item x="275"/>
        <item x="274"/>
        <item x="316"/>
        <item x="189"/>
        <item x="333"/>
        <item x="193"/>
        <item x="195"/>
        <item x="0"/>
        <item x="325"/>
        <item x="143"/>
        <item x="243"/>
        <item x="142"/>
        <item x="35"/>
        <item x="136"/>
        <item x="237"/>
        <item x="239"/>
        <item x="240"/>
        <item x="251"/>
        <item x="178"/>
        <item x="40"/>
        <item x="254"/>
        <item x="302"/>
        <item x="357"/>
        <item x="217"/>
        <item x="319"/>
        <item x="183"/>
        <item x="105"/>
        <item x="198"/>
        <item x="102"/>
        <item x="70"/>
        <item x="202"/>
        <item x="204"/>
        <item x="345"/>
        <item x="351"/>
        <item x="321"/>
        <item x="350"/>
        <item x="128"/>
        <item x="77"/>
        <item x="61"/>
        <item x="68"/>
        <item x="24"/>
        <item x="62"/>
        <item x="58"/>
        <item x="104"/>
        <item x="33"/>
        <item x="163"/>
        <item x="98"/>
        <item x="11"/>
        <item x="245"/>
        <item x="273"/>
        <item x="41"/>
        <item x="147"/>
        <item x="99"/>
        <item x="121"/>
        <item x="359"/>
        <item x="269"/>
        <item x="222"/>
        <item x="138"/>
        <item x="228"/>
        <item x="116"/>
        <item x="312"/>
        <item x="348"/>
        <item x="106"/>
        <item x="258"/>
        <item x="63"/>
        <item x="53"/>
        <item x="88"/>
        <item x="156"/>
        <item x="71"/>
        <item x="103"/>
        <item x="356"/>
        <item x="159"/>
        <item x="30"/>
        <item x="260"/>
        <item x="175"/>
        <item x="152"/>
        <item x="353"/>
        <item x="232"/>
        <item x="12"/>
        <item x="300"/>
        <item x="201"/>
        <item x="304"/>
        <item x="110"/>
        <item x="203"/>
        <item x="169"/>
        <item x="230"/>
        <item x="107"/>
        <item x="295"/>
        <item x="200"/>
        <item x="322"/>
        <item x="145"/>
        <item x="214"/>
        <item x="224"/>
        <item x="149"/>
        <item x="334"/>
        <item x="155"/>
        <item x="137"/>
        <item x="197"/>
        <item x="226"/>
        <item x="223"/>
        <item x="329"/>
        <item x="315"/>
        <item x="362"/>
        <item x="120"/>
        <item x="207"/>
        <item x="6"/>
        <item x="19"/>
        <item x="129"/>
        <item x="284"/>
        <item x="253"/>
        <item x="9"/>
        <item x="330"/>
        <item x="8"/>
        <item x="263"/>
        <item x="25"/>
        <item x="17"/>
        <item x="43"/>
        <item x="1"/>
        <item x="184"/>
        <item x="176"/>
        <item x="346"/>
        <item x="67"/>
        <item x="266"/>
        <item x="22"/>
        <item x="191"/>
        <item x="148"/>
        <item x="164"/>
        <item x="127"/>
        <item x="264"/>
        <item x="347"/>
        <item x="279"/>
        <item x="282"/>
        <item x="241"/>
        <item x="324"/>
        <item x="261"/>
        <item x="256"/>
        <item x="314"/>
        <item x="247"/>
        <item x="340"/>
        <item x="349"/>
        <item x="352"/>
        <item x="339"/>
        <item x="298"/>
        <item x="323"/>
        <item x="290"/>
        <item x="94"/>
        <item x="134"/>
        <item x="39"/>
        <item x="72"/>
        <item x="157"/>
        <item x="76"/>
        <item x="38"/>
        <item x="354"/>
        <item x="335"/>
      </items>
      <extLst>
        <ext xmlns:x14="http://schemas.microsoft.com/office/spreadsheetml/2009/9/main" uri="{2946ED86-A175-432a-8AC1-64E0C546D7DE}">
          <x14:pivotField fillDownLabels="1"/>
        </ext>
      </extLst>
    </pivotField>
    <pivotField compact="0" defaultSubtotal="0" outline="0" showAll="0">
      <items count="169">
        <item x="129"/>
        <item x="104"/>
        <item x="81"/>
        <item x="74"/>
        <item x="37"/>
        <item x="80"/>
        <item x="41"/>
        <item x="117"/>
        <item x="108"/>
        <item x="5"/>
        <item x="100"/>
        <item x="47"/>
        <item x="27"/>
        <item x="46"/>
        <item x="124"/>
        <item x="54"/>
        <item x="48"/>
        <item x="18"/>
        <item x="101"/>
        <item x="0"/>
        <item x="150"/>
        <item x="119"/>
        <item x="20"/>
        <item x="7"/>
        <item x="69"/>
        <item x="30"/>
        <item x="16"/>
        <item x="87"/>
        <item x="17"/>
        <item x="109"/>
        <item x="84"/>
        <item x="2"/>
        <item x="131"/>
        <item x="90"/>
        <item x="52"/>
        <item x="21"/>
        <item x="113"/>
        <item x="39"/>
        <item x="143"/>
        <item x="63"/>
        <item x="168"/>
        <item x="105"/>
        <item x="3"/>
        <item x="99"/>
        <item x="125"/>
        <item x="14"/>
        <item x="75"/>
        <item x="79"/>
        <item x="64"/>
        <item x="31"/>
        <item x="135"/>
        <item x="91"/>
        <item x="77"/>
        <item x="158"/>
        <item x="76"/>
        <item x="11"/>
        <item x="160"/>
        <item x="34"/>
        <item x="25"/>
        <item x="23"/>
        <item x="114"/>
        <item x="89"/>
        <item x="167"/>
        <item x="83"/>
        <item x="152"/>
        <item x="8"/>
        <item x="32"/>
        <item x="15"/>
        <item x="40"/>
        <item x="35"/>
        <item x="95"/>
        <item x="66"/>
        <item x="106"/>
        <item x="10"/>
        <item x="165"/>
        <item x="53"/>
        <item x="58"/>
        <item x="140"/>
        <item x="71"/>
        <item x="42"/>
        <item x="43"/>
        <item x="50"/>
        <item x="6"/>
        <item x="68"/>
        <item x="72"/>
        <item x="24"/>
        <item x="65"/>
        <item x="103"/>
        <item x="45"/>
        <item x="28"/>
        <item x="38"/>
        <item x="44"/>
        <item x="59"/>
        <item x="120"/>
        <item x="36"/>
        <item x="116"/>
        <item x="139"/>
        <item x="86"/>
        <item x="151"/>
        <item x="33"/>
        <item x="102"/>
        <item x="9"/>
        <item x="110"/>
        <item x="61"/>
        <item x="92"/>
        <item x="136"/>
        <item x="56"/>
        <item x="126"/>
        <item x="49"/>
        <item x="4"/>
        <item x="73"/>
        <item x="93"/>
        <item x="141"/>
        <item x="159"/>
        <item x="147"/>
        <item x="85"/>
        <item x="62"/>
        <item x="94"/>
        <item x="19"/>
        <item x="118"/>
        <item x="13"/>
        <item x="157"/>
        <item x="112"/>
        <item x="142"/>
        <item x="97"/>
        <item x="128"/>
        <item x="70"/>
        <item x="153"/>
        <item x="138"/>
        <item x="51"/>
        <item x="82"/>
        <item x="60"/>
        <item x="96"/>
        <item x="134"/>
        <item x="107"/>
        <item x="123"/>
        <item x="98"/>
        <item x="155"/>
        <item x="26"/>
        <item x="67"/>
        <item x="127"/>
        <item x="29"/>
        <item x="122"/>
        <item x="111"/>
        <item x="163"/>
        <item x="130"/>
        <item x="146"/>
        <item x="1"/>
        <item x="78"/>
        <item x="88"/>
        <item x="166"/>
        <item x="121"/>
        <item x="144"/>
        <item x="145"/>
        <item x="161"/>
        <item x="115"/>
        <item x="154"/>
        <item x="57"/>
        <item x="162"/>
        <item x="137"/>
        <item x="133"/>
        <item x="164"/>
        <item x="22"/>
        <item x="156"/>
        <item x="12"/>
        <item x="149"/>
        <item x="148"/>
        <item x="55"/>
        <item x="132"/>
      </items>
      <extLst>
        <ext xmlns:x14="http://schemas.microsoft.com/office/spreadsheetml/2009/9/main" uri="{2946ED86-A175-432a-8AC1-64E0C546D7DE}">
          <x14:pivotField fillDownLabels="1"/>
        </ext>
      </extLst>
    </pivotField>
    <pivotField compact="0" defaultSubtotal="0" outline="0" showAll="0">
      <items count="5">
        <item x="3"/>
        <item x="4"/>
        <item x="2"/>
        <item x="0"/>
        <item x="1"/>
      </items>
      <extLst>
        <ext xmlns:x14="http://schemas.microsoft.com/office/spreadsheetml/2009/9/main" uri="{2946ED86-A175-432a-8AC1-64E0C546D7DE}">
          <x14:pivotField fillDownLabels="1"/>
        </ext>
      </extLst>
    </pivotField>
    <pivotField compact="0" defaultSubtotal="0" outline="0" showAll="0">
      <items count="29">
        <item x="3"/>
        <item x="26"/>
        <item x="11"/>
        <item x="8"/>
        <item x="15"/>
        <item x="14"/>
        <item x="6"/>
        <item x="9"/>
        <item x="13"/>
        <item x="12"/>
        <item x="5"/>
        <item x="24"/>
        <item x="7"/>
        <item x="17"/>
        <item x="21"/>
        <item x="10"/>
        <item x="2"/>
        <item x="0"/>
        <item x="20"/>
        <item x="16"/>
        <item x="27"/>
        <item x="1"/>
        <item x="18"/>
        <item x="25"/>
        <item x="19"/>
        <item x="22"/>
        <item x="23"/>
        <item x="28"/>
        <item x="4"/>
      </items>
      <extLst>
        <ext xmlns:x14="http://schemas.microsoft.com/office/spreadsheetml/2009/9/main" uri="{2946ED86-A175-432a-8AC1-64E0C546D7DE}">
          <x14:pivotField fillDownLabels="1"/>
        </ext>
      </extLst>
    </pivotField>
    <pivotField axis="axisRow" compact="0" defaultSubtotal="0" outline="0" showAll="0">
      <items count="11">
        <item x="1"/>
        <item x="3"/>
        <item x="7"/>
        <item x="2"/>
        <item m="1" x="10"/>
        <item x="4"/>
        <item x="5"/>
        <item x="8"/>
        <item x="0"/>
        <item x="9"/>
        <item x="6"/>
      </items>
      <extLst>
        <ext xmlns:x14="http://schemas.microsoft.com/office/spreadsheetml/2009/9/main" uri="{2946ED86-A175-432a-8AC1-64E0C546D7DE}">
          <x14:pivotField fillDownLabels="1"/>
        </ext>
      </extLst>
    </pivotField>
    <pivotField compact="0" defaultSubtotal="0" outline="0" showAll="0">
      <items count="129">
        <item x="83"/>
        <item x="76"/>
        <item x="38"/>
        <item x="82"/>
        <item x="43"/>
        <item x="2"/>
        <item x="49"/>
        <item x="40"/>
        <item x="48"/>
        <item x="114"/>
        <item x="56"/>
        <item x="50"/>
        <item x="99"/>
        <item x="10"/>
        <item x="113"/>
        <item x="20"/>
        <item x="3"/>
        <item x="71"/>
        <item x="30"/>
        <item x="16"/>
        <item x="88"/>
        <item x="17"/>
        <item x="104"/>
        <item x="86"/>
        <item x="18"/>
        <item x="5"/>
        <item x="117"/>
        <item x="91"/>
        <item x="53"/>
        <item x="21"/>
        <item x="108"/>
        <item x="41"/>
        <item x="123"/>
        <item x="65"/>
        <item x="102"/>
        <item x="54"/>
        <item x="115"/>
        <item x="14"/>
        <item x="77"/>
        <item x="81"/>
        <item x="66"/>
        <item x="31"/>
        <item x="118"/>
        <item x="92"/>
        <item x="79"/>
        <item x="78"/>
        <item x="11"/>
        <item x="35"/>
        <item x="26"/>
        <item x="23"/>
        <item x="109"/>
        <item x="90"/>
        <item x="85"/>
        <item x="6"/>
        <item x="32"/>
        <item x="15"/>
        <item x="42"/>
        <item x="36"/>
        <item x="95"/>
        <item x="68"/>
        <item x="103"/>
        <item x="8"/>
        <item x="55"/>
        <item x="60"/>
        <item x="121"/>
        <item x="73"/>
        <item x="44"/>
        <item x="45"/>
        <item x="25"/>
        <item x="9"/>
        <item x="70"/>
        <item x="74"/>
        <item x="24"/>
        <item x="67"/>
        <item x="101"/>
        <item x="47"/>
        <item x="28"/>
        <item x="39"/>
        <item x="46"/>
        <item x="61"/>
        <item x="37"/>
        <item x="125"/>
        <item x="111"/>
        <item x="120"/>
        <item x="34"/>
        <item x="33"/>
        <item x="100"/>
        <item x="4"/>
        <item x="105"/>
        <item x="63"/>
        <item x="58"/>
        <item x="51"/>
        <item x="7"/>
        <item x="75"/>
        <item x="93"/>
        <item x="122"/>
        <item x="87"/>
        <item x="64"/>
        <item x="94"/>
        <item x="19"/>
        <item x="112"/>
        <item x="13"/>
        <item x="107"/>
        <item x="127"/>
        <item x="97"/>
        <item x="72"/>
        <item x="119"/>
        <item x="52"/>
        <item x="84"/>
        <item x="62"/>
        <item x="96"/>
        <item x="98"/>
        <item x="27"/>
        <item x="69"/>
        <item x="29"/>
        <item x="106"/>
        <item x="116"/>
        <item x="1"/>
        <item x="80"/>
        <item x="89"/>
        <item x="110"/>
        <item x="126"/>
        <item x="59"/>
        <item x="128"/>
        <item x="22"/>
        <item x="12"/>
        <item x="124"/>
        <item x="57"/>
        <item x="0"/>
      </items>
      <extLst>
        <ext xmlns:x14="http://schemas.microsoft.com/office/spreadsheetml/2009/9/main" uri="{2946ED86-A175-432a-8AC1-64E0C546D7DE}">
          <x14:pivotField fillDownLabels="1"/>
        </ext>
      </extLst>
    </pivotField>
    <pivotField dataField="1" compact="0" defaultSubtotal="0" outline="0" showAll="0">
      <items count="78">
        <item x="1"/>
        <item x="21"/>
        <item x="24"/>
        <item x="9"/>
        <item x="10"/>
        <item x="27"/>
        <item x="26"/>
        <item x="17"/>
        <item x="23"/>
        <item x="15"/>
        <item x="11"/>
        <item x="28"/>
        <item x="8"/>
        <item x="0"/>
        <item x="58"/>
        <item x="13"/>
        <item x="14"/>
        <item x="20"/>
        <item x="2"/>
        <item x="42"/>
        <item x="29"/>
        <item x="77"/>
        <item x="3"/>
        <item x="22"/>
        <item x="18"/>
        <item x="67"/>
        <item x="12"/>
        <item x="69"/>
        <item x="30"/>
        <item x="76"/>
        <item x="62"/>
        <item x="7"/>
        <item x="59"/>
        <item x="16"/>
        <item x="5"/>
        <item x="36"/>
        <item x="35"/>
        <item x="31"/>
        <item x="51"/>
        <item x="63"/>
        <item x="48"/>
        <item x="74"/>
        <item x="60"/>
        <item x="61"/>
        <item x="70"/>
        <item x="19"/>
        <item x="45"/>
        <item x="47"/>
        <item x="37"/>
        <item x="4"/>
        <item x="68"/>
        <item x="55"/>
        <item x="66"/>
        <item x="49"/>
        <item x="39"/>
        <item x="50"/>
        <item x="40"/>
        <item x="44"/>
        <item x="25"/>
        <item x="34"/>
        <item x="64"/>
        <item x="38"/>
        <item x="33"/>
        <item x="73"/>
        <item x="41"/>
        <item x="54"/>
        <item x="6"/>
        <item x="75"/>
        <item x="32"/>
        <item x="52"/>
        <item x="53"/>
        <item x="71"/>
        <item x="72"/>
        <item x="46"/>
        <item x="43"/>
        <item x="65"/>
        <item x="57"/>
        <item x="56"/>
      </items>
      <extLst>
        <ext xmlns:x14="http://schemas.microsoft.com/office/spreadsheetml/2009/9/main" uri="{2946ED86-A175-432a-8AC1-64E0C546D7DE}">
          <x14:pivotField fillDownLabels="1"/>
        </ext>
      </extLst>
    </pivotField>
    <pivotField compact="0" defaultSubtotal="0" outline="0" showAll="0">
      <items count="441">
        <item x="413"/>
        <item x="276"/>
        <item x="364"/>
        <item x="181"/>
        <item x="129"/>
        <item x="7"/>
        <item x="8"/>
        <item x="14"/>
        <item x="15"/>
        <item x="23"/>
        <item x="24"/>
        <item x="10"/>
        <item x="26"/>
        <item x="9"/>
        <item x="22"/>
        <item x="11"/>
        <item x="12"/>
        <item x="13"/>
        <item x="29"/>
        <item x="25"/>
        <item x="5"/>
        <item x="33"/>
        <item x="34"/>
        <item x="39"/>
        <item x="37"/>
        <item x="35"/>
        <item x="41"/>
        <item x="38"/>
        <item x="45"/>
        <item x="40"/>
        <item x="27"/>
        <item x="46"/>
        <item x="49"/>
        <item x="19"/>
        <item x="32"/>
        <item x="51"/>
        <item x="36"/>
        <item x="54"/>
        <item x="52"/>
        <item x="18"/>
        <item x="21"/>
        <item x="43"/>
        <item x="48"/>
        <item x="47"/>
        <item x="58"/>
        <item x="59"/>
        <item x="56"/>
        <item x="17"/>
        <item x="76"/>
        <item x="65"/>
        <item x="68"/>
        <item x="71"/>
        <item x="61"/>
        <item x="74"/>
        <item x="3"/>
        <item x="6"/>
        <item x="62"/>
        <item x="1"/>
        <item x="80"/>
        <item x="84"/>
        <item x="82"/>
        <item x="50"/>
        <item x="55"/>
        <item x="64"/>
        <item x="96"/>
        <item x="176"/>
        <item x="79"/>
        <item x="81"/>
        <item x="93"/>
        <item x="92"/>
        <item x="83"/>
        <item x="70"/>
        <item x="66"/>
        <item x="91"/>
        <item x="97"/>
        <item x="94"/>
        <item x="107"/>
        <item x="90"/>
        <item x="89"/>
        <item x="95"/>
        <item x="116"/>
        <item x="103"/>
        <item x="99"/>
        <item x="109"/>
        <item x="126"/>
        <item x="124"/>
        <item x="88"/>
        <item x="75"/>
        <item x="119"/>
        <item x="117"/>
        <item x="123"/>
        <item x="28"/>
        <item x="104"/>
        <item x="135"/>
        <item x="140"/>
        <item x="134"/>
        <item x="102"/>
        <item x="144"/>
        <item x="143"/>
        <item x="145"/>
        <item x="114"/>
        <item x="138"/>
        <item x="133"/>
        <item x="148"/>
        <item x="153"/>
        <item x="57"/>
        <item x="42"/>
        <item x="118"/>
        <item x="155"/>
        <item x="156"/>
        <item x="125"/>
        <item x="158"/>
        <item x="132"/>
        <item x="20"/>
        <item x="113"/>
        <item x="121"/>
        <item x="60"/>
        <item x="154"/>
        <item x="111"/>
        <item x="131"/>
        <item x="163"/>
        <item x="167"/>
        <item x="147"/>
        <item x="174"/>
        <item x="152"/>
        <item x="178"/>
        <item x="180"/>
        <item x="150"/>
        <item x="185"/>
        <item x="172"/>
        <item x="192"/>
        <item x="87"/>
        <item x="197"/>
        <item x="191"/>
        <item x="115"/>
        <item x="188"/>
        <item x="198"/>
        <item x="67"/>
        <item x="161"/>
        <item x="182"/>
        <item x="194"/>
        <item x="85"/>
        <item x="78"/>
        <item x="173"/>
        <item x="183"/>
        <item x="203"/>
        <item x="164"/>
        <item x="127"/>
        <item x="179"/>
        <item x="141"/>
        <item x="187"/>
        <item x="184"/>
        <item x="159"/>
        <item x="208"/>
        <item x="213"/>
        <item x="210"/>
        <item x="206"/>
        <item x="100"/>
        <item x="199"/>
        <item x="201"/>
        <item x="209"/>
        <item x="149"/>
        <item x="222"/>
        <item x="224"/>
        <item x="205"/>
        <item x="146"/>
        <item x="216"/>
        <item x="165"/>
        <item x="195"/>
        <item x="162"/>
        <item x="171"/>
        <item x="202"/>
        <item x="215"/>
        <item x="219"/>
        <item x="189"/>
        <item x="223"/>
        <item x="31"/>
        <item x="69"/>
        <item x="233"/>
        <item x="225"/>
        <item x="212"/>
        <item x="232"/>
        <item x="221"/>
        <item x="231"/>
        <item x="72"/>
        <item x="236"/>
        <item x="220"/>
        <item x="112"/>
        <item x="200"/>
        <item x="105"/>
        <item x="218"/>
        <item x="226"/>
        <item x="207"/>
        <item x="2"/>
        <item x="136"/>
        <item x="246"/>
        <item x="234"/>
        <item x="157"/>
        <item x="190"/>
        <item x="106"/>
        <item x="250"/>
        <item x="249"/>
        <item x="251"/>
        <item x="230"/>
        <item x="169"/>
        <item x="168"/>
        <item x="254"/>
        <item x="242"/>
        <item x="177"/>
        <item x="259"/>
        <item x="166"/>
        <item x="227"/>
        <item x="272"/>
        <item x="247"/>
        <item x="193"/>
        <item x="217"/>
        <item x="142"/>
        <item x="264"/>
        <item x="261"/>
        <item x="262"/>
        <item x="268"/>
        <item x="110"/>
        <item x="267"/>
        <item x="252"/>
        <item x="258"/>
        <item x="280"/>
        <item x="240"/>
        <item x="288"/>
        <item x="290"/>
        <item x="257"/>
        <item x="274"/>
        <item x="256"/>
        <item x="243"/>
        <item x="277"/>
        <item x="283"/>
        <item x="270"/>
        <item x="255"/>
        <item x="241"/>
        <item x="269"/>
        <item x="16"/>
        <item x="151"/>
        <item x="235"/>
        <item x="130"/>
        <item x="301"/>
        <item x="305"/>
        <item x="304"/>
        <item x="266"/>
        <item x="44"/>
        <item x="310"/>
        <item x="175"/>
        <item x="278"/>
        <item x="186"/>
        <item x="229"/>
        <item x="287"/>
        <item x="265"/>
        <item x="4"/>
        <item x="308"/>
        <item x="306"/>
        <item x="279"/>
        <item x="86"/>
        <item x="285"/>
        <item x="302"/>
        <item x="315"/>
        <item x="311"/>
        <item x="295"/>
        <item x="313"/>
        <item x="325"/>
        <item x="299"/>
        <item x="321"/>
        <item x="316"/>
        <item x="327"/>
        <item x="312"/>
        <item x="260"/>
        <item x="323"/>
        <item x="331"/>
        <item x="332"/>
        <item x="318"/>
        <item x="329"/>
        <item x="334"/>
        <item x="263"/>
        <item x="214"/>
        <item x="337"/>
        <item x="120"/>
        <item x="326"/>
        <item x="122"/>
        <item x="30"/>
        <item x="238"/>
        <item x="271"/>
        <item x="237"/>
        <item x="336"/>
        <item x="339"/>
        <item x="330"/>
        <item x="228"/>
        <item x="341"/>
        <item x="244"/>
        <item x="53"/>
        <item x="286"/>
        <item x="320"/>
        <item x="300"/>
        <item x="340"/>
        <item x="352"/>
        <item x="322"/>
        <item x="160"/>
        <item x="353"/>
        <item x="350"/>
        <item x="309"/>
        <item x="293"/>
        <item x="307"/>
        <item x="348"/>
        <item x="345"/>
        <item x="98"/>
        <item x="73"/>
        <item x="137"/>
        <item x="314"/>
        <item x="324"/>
        <item x="351"/>
        <item x="360"/>
        <item x="358"/>
        <item x="343"/>
        <item x="349"/>
        <item x="291"/>
        <item x="346"/>
        <item x="347"/>
        <item x="363"/>
        <item x="366"/>
        <item x="356"/>
        <item x="365"/>
        <item x="303"/>
        <item x="367"/>
        <item x="342"/>
        <item x="355"/>
        <item x="359"/>
        <item x="371"/>
        <item x="369"/>
        <item x="333"/>
        <item x="370"/>
        <item x="368"/>
        <item x="101"/>
        <item x="377"/>
        <item x="245"/>
        <item x="335"/>
        <item x="239"/>
        <item x="376"/>
        <item x="296"/>
        <item x="170"/>
        <item x="374"/>
        <item x="378"/>
        <item x="297"/>
        <item x="275"/>
        <item x="380"/>
        <item x="372"/>
        <item x="384"/>
        <item x="381"/>
        <item x="281"/>
        <item x="386"/>
        <item x="77"/>
        <item x="284"/>
        <item x="357"/>
        <item x="388"/>
        <item x="211"/>
        <item x="391"/>
        <item x="387"/>
        <item x="361"/>
        <item x="382"/>
        <item x="393"/>
        <item x="338"/>
        <item x="292"/>
        <item x="139"/>
        <item x="282"/>
        <item x="108"/>
        <item x="248"/>
        <item x="294"/>
        <item x="344"/>
        <item x="437"/>
        <item x="389"/>
        <item x="196"/>
        <item x="317"/>
        <item x="298"/>
        <item x="319"/>
        <item x="362"/>
        <item x="385"/>
        <item x="354"/>
        <item x="402"/>
        <item x="394"/>
        <item x="375"/>
        <item x="273"/>
        <item x="400"/>
        <item x="396"/>
        <item x="403"/>
        <item x="399"/>
        <item x="409"/>
        <item x="410"/>
        <item x="392"/>
        <item x="404"/>
        <item x="408"/>
        <item x="405"/>
        <item x="412"/>
        <item x="373"/>
        <item x="406"/>
        <item x="128"/>
        <item x="328"/>
        <item x="414"/>
        <item x="407"/>
        <item x="390"/>
        <item x="418"/>
        <item x="204"/>
        <item x="415"/>
        <item x="416"/>
        <item x="419"/>
        <item x="398"/>
        <item x="395"/>
        <item x="253"/>
        <item x="423"/>
        <item x="383"/>
        <item x="421"/>
        <item x="417"/>
        <item x="420"/>
        <item x="63"/>
        <item x="379"/>
        <item x="427"/>
        <item x="422"/>
        <item x="430"/>
        <item x="431"/>
        <item x="424"/>
        <item x="429"/>
        <item x="432"/>
        <item x="428"/>
        <item x="426"/>
        <item x="397"/>
        <item x="401"/>
        <item x="435"/>
        <item x="434"/>
        <item x="433"/>
        <item x="436"/>
        <item x="289"/>
        <item x="411"/>
        <item x="438"/>
        <item x="425"/>
        <item x="439"/>
        <item x="440"/>
        <item x="0"/>
      </items>
      <extLst>
        <ext xmlns:x14="http://schemas.microsoft.com/office/spreadsheetml/2009/9/main" uri="{2946ED86-A175-432a-8AC1-64E0C546D7DE}">
          <x14:pivotField fillDownLabels="1"/>
        </ext>
      </extLst>
    </pivotField>
    <pivotField compact="0" defaultSubtotal="0" outline="0" showAll="0">
      <items count="438">
        <item x="276"/>
        <item x="364"/>
        <item x="0"/>
        <item x="181"/>
        <item x="129"/>
        <item x="7"/>
        <item x="8"/>
        <item x="14"/>
        <item x="15"/>
        <item x="23"/>
        <item x="24"/>
        <item x="10"/>
        <item x="26"/>
        <item x="9"/>
        <item x="22"/>
        <item x="11"/>
        <item x="12"/>
        <item x="13"/>
        <item x="29"/>
        <item x="25"/>
        <item x="5"/>
        <item x="33"/>
        <item x="34"/>
        <item x="39"/>
        <item x="37"/>
        <item x="35"/>
        <item x="41"/>
        <item x="38"/>
        <item x="45"/>
        <item x="40"/>
        <item x="27"/>
        <item x="46"/>
        <item x="49"/>
        <item x="19"/>
        <item x="32"/>
        <item x="51"/>
        <item x="36"/>
        <item x="54"/>
        <item x="52"/>
        <item x="18"/>
        <item x="21"/>
        <item x="43"/>
        <item x="48"/>
        <item x="47"/>
        <item x="58"/>
        <item x="59"/>
        <item x="56"/>
        <item x="17"/>
        <item x="76"/>
        <item x="65"/>
        <item x="68"/>
        <item x="71"/>
        <item x="61"/>
        <item x="74"/>
        <item x="3"/>
        <item x="6"/>
        <item x="62"/>
        <item x="1"/>
        <item x="80"/>
        <item x="84"/>
        <item x="82"/>
        <item x="50"/>
        <item x="55"/>
        <item x="64"/>
        <item x="96"/>
        <item x="176"/>
        <item x="79"/>
        <item x="81"/>
        <item x="93"/>
        <item x="92"/>
        <item x="83"/>
        <item x="70"/>
        <item x="66"/>
        <item x="91"/>
        <item x="97"/>
        <item x="94"/>
        <item x="107"/>
        <item x="90"/>
        <item x="89"/>
        <item x="95"/>
        <item x="116"/>
        <item x="103"/>
        <item x="99"/>
        <item x="109"/>
        <item x="126"/>
        <item x="124"/>
        <item x="88"/>
        <item x="75"/>
        <item x="119"/>
        <item x="117"/>
        <item x="123"/>
        <item x="28"/>
        <item x="104"/>
        <item x="135"/>
        <item x="140"/>
        <item x="134"/>
        <item x="102"/>
        <item x="144"/>
        <item x="143"/>
        <item x="145"/>
        <item x="114"/>
        <item x="138"/>
        <item x="133"/>
        <item x="148"/>
        <item x="153"/>
        <item x="57"/>
        <item x="42"/>
        <item x="118"/>
        <item x="155"/>
        <item x="156"/>
        <item x="125"/>
        <item x="158"/>
        <item x="132"/>
        <item x="20"/>
        <item x="113"/>
        <item x="121"/>
        <item x="60"/>
        <item x="154"/>
        <item x="111"/>
        <item x="131"/>
        <item x="163"/>
        <item x="167"/>
        <item x="147"/>
        <item x="174"/>
        <item x="152"/>
        <item x="178"/>
        <item x="180"/>
        <item x="150"/>
        <item x="185"/>
        <item x="172"/>
        <item x="192"/>
        <item x="87"/>
        <item x="197"/>
        <item x="191"/>
        <item x="115"/>
        <item x="188"/>
        <item x="198"/>
        <item x="67"/>
        <item x="161"/>
        <item x="182"/>
        <item x="194"/>
        <item x="85"/>
        <item x="78"/>
        <item x="173"/>
        <item x="183"/>
        <item x="203"/>
        <item x="164"/>
        <item x="127"/>
        <item x="179"/>
        <item x="141"/>
        <item x="187"/>
        <item x="184"/>
        <item x="159"/>
        <item x="208"/>
        <item x="213"/>
        <item x="210"/>
        <item x="206"/>
        <item x="100"/>
        <item x="199"/>
        <item x="201"/>
        <item x="209"/>
        <item x="149"/>
        <item x="222"/>
        <item x="224"/>
        <item x="205"/>
        <item x="146"/>
        <item x="216"/>
        <item x="165"/>
        <item x="195"/>
        <item x="162"/>
        <item x="171"/>
        <item x="202"/>
        <item x="215"/>
        <item x="219"/>
        <item x="189"/>
        <item x="223"/>
        <item x="31"/>
        <item x="69"/>
        <item x="233"/>
        <item x="225"/>
        <item x="212"/>
        <item x="232"/>
        <item x="221"/>
        <item x="231"/>
        <item x="72"/>
        <item x="236"/>
        <item x="220"/>
        <item x="112"/>
        <item x="200"/>
        <item x="105"/>
        <item x="218"/>
        <item x="226"/>
        <item x="207"/>
        <item x="2"/>
        <item x="136"/>
        <item x="246"/>
        <item x="234"/>
        <item x="157"/>
        <item x="190"/>
        <item x="106"/>
        <item x="250"/>
        <item x="249"/>
        <item x="251"/>
        <item x="230"/>
        <item x="169"/>
        <item x="168"/>
        <item x="254"/>
        <item x="242"/>
        <item x="177"/>
        <item x="259"/>
        <item x="166"/>
        <item x="227"/>
        <item x="272"/>
        <item x="247"/>
        <item x="193"/>
        <item x="217"/>
        <item x="142"/>
        <item x="264"/>
        <item x="261"/>
        <item x="262"/>
        <item x="268"/>
        <item x="110"/>
        <item x="267"/>
        <item x="252"/>
        <item x="258"/>
        <item x="280"/>
        <item x="240"/>
        <item x="288"/>
        <item x="290"/>
        <item x="257"/>
        <item x="274"/>
        <item x="256"/>
        <item x="243"/>
        <item x="277"/>
        <item x="283"/>
        <item x="270"/>
        <item x="255"/>
        <item x="241"/>
        <item x="269"/>
        <item x="16"/>
        <item x="151"/>
        <item x="235"/>
        <item x="130"/>
        <item x="301"/>
        <item x="305"/>
        <item x="304"/>
        <item x="266"/>
        <item x="44"/>
        <item x="310"/>
        <item x="175"/>
        <item x="278"/>
        <item x="186"/>
        <item x="229"/>
        <item x="287"/>
        <item x="265"/>
        <item x="4"/>
        <item x="308"/>
        <item x="306"/>
        <item x="279"/>
        <item x="86"/>
        <item x="285"/>
        <item x="302"/>
        <item x="315"/>
        <item x="311"/>
        <item x="295"/>
        <item x="313"/>
        <item x="325"/>
        <item x="299"/>
        <item x="321"/>
        <item x="316"/>
        <item x="327"/>
        <item x="312"/>
        <item x="260"/>
        <item x="323"/>
        <item x="331"/>
        <item x="332"/>
        <item x="318"/>
        <item x="329"/>
        <item x="334"/>
        <item x="263"/>
        <item x="214"/>
        <item x="337"/>
        <item x="120"/>
        <item x="326"/>
        <item x="122"/>
        <item x="30"/>
        <item x="238"/>
        <item x="271"/>
        <item x="237"/>
        <item x="336"/>
        <item x="339"/>
        <item x="330"/>
        <item x="228"/>
        <item x="341"/>
        <item x="244"/>
        <item x="53"/>
        <item x="286"/>
        <item x="320"/>
        <item x="300"/>
        <item x="340"/>
        <item x="352"/>
        <item x="322"/>
        <item x="160"/>
        <item x="353"/>
        <item x="350"/>
        <item x="309"/>
        <item x="293"/>
        <item x="307"/>
        <item x="348"/>
        <item x="345"/>
        <item x="98"/>
        <item x="73"/>
        <item x="137"/>
        <item x="314"/>
        <item x="324"/>
        <item x="351"/>
        <item x="360"/>
        <item x="358"/>
        <item x="343"/>
        <item x="349"/>
        <item x="291"/>
        <item x="346"/>
        <item x="347"/>
        <item x="363"/>
        <item x="366"/>
        <item x="356"/>
        <item x="365"/>
        <item x="303"/>
        <item x="367"/>
        <item x="342"/>
        <item x="355"/>
        <item x="359"/>
        <item x="371"/>
        <item x="369"/>
        <item x="333"/>
        <item x="370"/>
        <item x="368"/>
        <item x="101"/>
        <item x="377"/>
        <item x="245"/>
        <item x="335"/>
        <item x="239"/>
        <item x="376"/>
        <item x="296"/>
        <item x="170"/>
        <item x="374"/>
        <item x="378"/>
        <item x="297"/>
        <item x="275"/>
        <item x="380"/>
        <item x="372"/>
        <item x="384"/>
        <item x="381"/>
        <item x="281"/>
        <item x="386"/>
        <item x="77"/>
        <item x="284"/>
        <item x="357"/>
        <item x="388"/>
        <item x="211"/>
        <item x="391"/>
        <item x="387"/>
        <item x="361"/>
        <item x="382"/>
        <item x="393"/>
        <item x="338"/>
        <item x="292"/>
        <item x="139"/>
        <item x="282"/>
        <item x="108"/>
        <item x="248"/>
        <item x="294"/>
        <item x="344"/>
        <item x="434"/>
        <item x="389"/>
        <item x="196"/>
        <item x="317"/>
        <item x="298"/>
        <item x="319"/>
        <item x="362"/>
        <item x="385"/>
        <item x="354"/>
        <item x="402"/>
        <item x="394"/>
        <item x="375"/>
        <item x="273"/>
        <item x="400"/>
        <item x="396"/>
        <item x="403"/>
        <item x="399"/>
        <item x="409"/>
        <item x="410"/>
        <item x="392"/>
        <item x="404"/>
        <item x="408"/>
        <item x="405"/>
        <item x="413"/>
        <item x="373"/>
        <item x="406"/>
        <item x="128"/>
        <item x="328"/>
        <item x="414"/>
        <item x="407"/>
        <item x="390"/>
        <item x="204"/>
        <item x="415"/>
        <item x="417"/>
        <item x="398"/>
        <item x="395"/>
        <item x="253"/>
        <item x="420"/>
        <item x="383"/>
        <item x="416"/>
        <item x="418"/>
        <item x="63"/>
        <item x="379"/>
        <item x="424"/>
        <item x="419"/>
        <item x="427"/>
        <item x="428"/>
        <item x="421"/>
        <item x="426"/>
        <item x="429"/>
        <item x="425"/>
        <item x="423"/>
        <item x="397"/>
        <item x="401"/>
        <item x="432"/>
        <item x="431"/>
        <item x="430"/>
        <item x="433"/>
        <item x="289"/>
        <item x="411"/>
        <item x="435"/>
        <item x="422"/>
        <item x="436"/>
        <item x="437"/>
        <item x="412"/>
      </items>
      <extLst>
        <ext xmlns:x14="http://schemas.microsoft.com/office/spreadsheetml/2009/9/main" uri="{2946ED86-A175-432a-8AC1-64E0C546D7DE}">
          <x14:pivotField fillDownLabels="1"/>
        </ext>
      </extLst>
    </pivotField>
    <pivotField compact="0" defaultSubtotal="0" outline="0" showAll="0">
      <items count="88">
        <item x="82"/>
        <item x="49"/>
        <item x="17"/>
        <item x="33"/>
        <item x="56"/>
        <item x="53"/>
        <item x="54"/>
        <item x="85"/>
        <item x="9"/>
        <item x="52"/>
        <item x="43"/>
        <item x="36"/>
        <item x="28"/>
        <item x="6"/>
        <item x="42"/>
        <item x="37"/>
        <item x="47"/>
        <item x="26"/>
        <item x="59"/>
        <item x="5"/>
        <item x="50"/>
        <item x="57"/>
        <item x="25"/>
        <item x="18"/>
        <item x="12"/>
        <item x="79"/>
        <item x="51"/>
        <item x="31"/>
        <item x="41"/>
        <item x="83"/>
        <item x="84"/>
        <item x="75"/>
        <item x="64"/>
        <item x="69"/>
        <item x="48"/>
        <item x="3"/>
        <item x="16"/>
        <item x="44"/>
        <item x="71"/>
        <item x="80"/>
        <item x="81"/>
        <item x="40"/>
        <item x="67"/>
        <item x="58"/>
        <item x="38"/>
        <item x="7"/>
        <item x="13"/>
        <item x="14"/>
        <item x="73"/>
        <item x="46"/>
        <item x="15"/>
        <item x="61"/>
        <item x="22"/>
        <item x="62"/>
        <item x="45"/>
        <item x="68"/>
        <item x="70"/>
        <item x="34"/>
        <item x="86"/>
        <item x="39"/>
        <item x="23"/>
        <item x="20"/>
        <item x="11"/>
        <item x="65"/>
        <item x="30"/>
        <item x="10"/>
        <item x="19"/>
        <item x="60"/>
        <item x="78"/>
        <item x="8"/>
        <item x="2"/>
        <item x="4"/>
        <item x="35"/>
        <item x="0"/>
        <item x="21"/>
        <item x="27"/>
        <item x="24"/>
        <item x="87"/>
        <item x="63"/>
        <item x="66"/>
        <item x="72"/>
        <item x="76"/>
        <item x="29"/>
        <item x="55"/>
        <item x="74"/>
        <item x="77"/>
        <item x="32"/>
        <item x="1"/>
      </items>
      <extLst>
        <ext xmlns:x14="http://schemas.microsoft.com/office/spreadsheetml/2009/9/main" uri="{2946ED86-A175-432a-8AC1-64E0C546D7DE}">
          <x14:pivotField fillDownLabels="1"/>
        </ext>
      </extLst>
    </pivotField>
    <pivotField compact="0" defaultSubtotal="0" outline="0" showAll="0">
      <items count="488">
        <item x="425"/>
        <item x="90"/>
        <item x="92"/>
        <item x="81"/>
        <item x="86"/>
        <item x="50"/>
        <item x="88"/>
        <item x="82"/>
        <item x="308"/>
        <item x="229"/>
        <item x="233"/>
        <item x="329"/>
        <item x="246"/>
        <item x="164"/>
        <item x="213"/>
        <item x="222"/>
        <item x="310"/>
        <item x="357"/>
        <item x="134"/>
        <item x="126"/>
        <item x="127"/>
        <item x="297"/>
        <item x="160"/>
        <item x="159"/>
        <item x="387"/>
        <item x="5"/>
        <item x="11"/>
        <item x="8"/>
        <item x="26"/>
        <item x="29"/>
        <item x="34"/>
        <item x="28"/>
        <item x="25"/>
        <item x="35"/>
        <item x="123"/>
        <item x="195"/>
        <item x="105"/>
        <item x="114"/>
        <item x="41"/>
        <item x="73"/>
        <item x="77"/>
        <item x="76"/>
        <item x="75"/>
        <item x="78"/>
        <item x="83"/>
        <item x="80"/>
        <item x="84"/>
        <item x="87"/>
        <item x="70"/>
        <item x="62"/>
        <item x="57"/>
        <item x="204"/>
        <item x="149"/>
        <item x="150"/>
        <item x="181"/>
        <item x="352"/>
        <item x="209"/>
        <item x="184"/>
        <item x="300"/>
        <item x="283"/>
        <item x="273"/>
        <item x="266"/>
        <item x="225"/>
        <item x="228"/>
        <item x="215"/>
        <item x="255"/>
        <item x="284"/>
        <item x="344"/>
        <item x="427"/>
        <item x="426"/>
        <item x="444"/>
        <item x="437"/>
        <item x="438"/>
        <item x="436"/>
        <item x="439"/>
        <item x="442"/>
        <item x="441"/>
        <item x="440"/>
        <item x="443"/>
        <item x="445"/>
        <item x="456"/>
        <item x="463"/>
        <item x="458"/>
        <item x="459"/>
        <item x="457"/>
        <item x="461"/>
        <item x="460"/>
        <item x="462"/>
        <item x="465"/>
        <item x="468"/>
        <item x="467"/>
        <item x="470"/>
        <item x="477"/>
        <item x="480"/>
        <item x="476"/>
        <item x="475"/>
        <item x="474"/>
        <item x="370"/>
        <item x="146"/>
        <item x="94"/>
        <item x="285"/>
        <item x="394"/>
        <item x="279"/>
        <item x="171"/>
        <item x="191"/>
        <item x="169"/>
        <item x="143"/>
        <item x="193"/>
        <item x="194"/>
        <item x="95"/>
        <item x="79"/>
        <item x="96"/>
        <item x="97"/>
        <item x="103"/>
        <item x="101"/>
        <item x="99"/>
        <item x="106"/>
        <item x="55"/>
        <item x="108"/>
        <item x="107"/>
        <item x="186"/>
        <item x="187"/>
        <item x="196"/>
        <item x="189"/>
        <item x="69"/>
        <item x="188"/>
        <item x="214"/>
        <item x="318"/>
        <item x="251"/>
        <item x="121"/>
        <item x="162"/>
        <item x="305"/>
        <item x="280"/>
        <item x="307"/>
        <item x="306"/>
        <item x="161"/>
        <item x="451"/>
        <item x="452"/>
        <item x="453"/>
        <item x="199"/>
        <item x="148"/>
        <item x="27"/>
        <item x="91"/>
        <item x="118"/>
        <item x="124"/>
        <item x="454"/>
        <item x="182"/>
        <item x="320"/>
        <item x="486"/>
        <item x="298"/>
        <item x="325"/>
        <item x="331"/>
        <item x="54"/>
        <item x="64"/>
        <item x="59"/>
        <item x="60"/>
        <item x="56"/>
        <item x="117"/>
        <item x="74"/>
        <item x="303"/>
        <item x="23"/>
        <item x="399"/>
        <item x="207"/>
        <item x="206"/>
        <item x="411"/>
        <item x="30"/>
        <item x="301"/>
        <item x="268"/>
        <item x="234"/>
        <item x="39"/>
        <item x="304"/>
        <item x="220"/>
        <item x="115"/>
        <item x="216"/>
        <item x="102"/>
        <item x="219"/>
        <item x="237"/>
        <item x="259"/>
        <item x="376"/>
        <item x="247"/>
        <item x="381"/>
        <item x="260"/>
        <item x="111"/>
        <item x="113"/>
        <item x="389"/>
        <item x="116"/>
        <item x="398"/>
        <item x="110"/>
        <item x="112"/>
        <item x="109"/>
        <item x="385"/>
        <item x="232"/>
        <item x="3"/>
        <item x="24"/>
        <item x="154"/>
        <item x="336"/>
        <item x="205"/>
        <item x="157"/>
        <item x="140"/>
        <item x="167"/>
        <item x="49"/>
        <item x="52"/>
        <item x="240"/>
        <item x="278"/>
        <item x="288"/>
        <item x="44"/>
        <item x="272"/>
        <item x="348"/>
        <item x="342"/>
        <item x="180"/>
        <item x="478"/>
        <item x="264"/>
        <item x="263"/>
        <item x="455"/>
        <item x="472"/>
        <item x="33"/>
        <item x="48"/>
        <item x="67"/>
        <item x="72"/>
        <item x="170"/>
        <item x="330"/>
        <item x="226"/>
        <item x="250"/>
        <item x="244"/>
        <item x="351"/>
        <item x="391"/>
        <item x="265"/>
        <item x="299"/>
        <item x="433"/>
        <item x="401"/>
        <item x="144"/>
        <item x="464"/>
        <item x="422"/>
        <item x="133"/>
        <item x="197"/>
        <item x="183"/>
        <item x="341"/>
        <item x="309"/>
        <item x="252"/>
        <item x="165"/>
        <item x="175"/>
        <item x="332"/>
        <item x="290"/>
        <item x="178"/>
        <item x="412"/>
        <item x="430"/>
        <item x="128"/>
        <item x="274"/>
        <item x="287"/>
        <item x="125"/>
        <item x="321"/>
        <item x="7"/>
        <item x="291"/>
        <item x="4"/>
        <item x="218"/>
        <item x="174"/>
        <item x="63"/>
        <item x="221"/>
        <item x="282"/>
        <item x="334"/>
        <item x="275"/>
        <item x="350"/>
        <item x="349"/>
        <item x="343"/>
        <item x="192"/>
        <item x="201"/>
        <item x="323"/>
        <item x="212"/>
        <item x="210"/>
        <item x="130"/>
        <item x="483"/>
        <item x="14"/>
        <item x="223"/>
        <item x="359"/>
        <item x="19"/>
        <item x="292"/>
        <item x="145"/>
        <item x="286"/>
        <item x="269"/>
        <item x="262"/>
        <item x="137"/>
        <item x="138"/>
        <item x="135"/>
        <item x="236"/>
        <item x="151"/>
        <item x="235"/>
        <item x="248"/>
        <item x="276"/>
        <item x="173"/>
        <item x="100"/>
        <item x="32"/>
        <item x="239"/>
        <item x="177"/>
        <item x="217"/>
        <item x="353"/>
        <item x="413"/>
        <item x="324"/>
        <item x="408"/>
        <item x="311"/>
        <item x="319"/>
        <item x="473"/>
        <item x="484"/>
        <item x="367"/>
        <item x="368"/>
        <item x="404"/>
        <item x="366"/>
        <item x="374"/>
        <item x="417"/>
        <item x="406"/>
        <item x="469"/>
        <item x="369"/>
        <item x="378"/>
        <item x="481"/>
        <item x="487"/>
        <item x="414"/>
        <item x="415"/>
        <item x="416"/>
        <item x="432"/>
        <item x="373"/>
        <item x="362"/>
        <item x="315"/>
        <item x="428"/>
        <item x="365"/>
        <item x="380"/>
        <item x="429"/>
        <item x="267"/>
        <item x="424"/>
        <item x="395"/>
        <item x="313"/>
        <item x="386"/>
        <item x="382"/>
        <item x="377"/>
        <item x="153"/>
        <item x="466"/>
        <item x="104"/>
        <item x="407"/>
        <item x="295"/>
        <item x="253"/>
        <item x="176"/>
        <item x="156"/>
        <item x="375"/>
        <item x="312"/>
        <item x="371"/>
        <item x="431"/>
        <item x="482"/>
        <item x="227"/>
        <item x="314"/>
        <item x="402"/>
        <item x="243"/>
        <item x="203"/>
        <item x="10"/>
        <item x="379"/>
        <item x="139"/>
        <item x="136"/>
        <item x="211"/>
        <item x="258"/>
        <item x="383"/>
        <item x="231"/>
        <item x="435"/>
        <item x="410"/>
        <item x="16"/>
        <item x="65"/>
        <item x="200"/>
        <item x="147"/>
        <item x="289"/>
        <item x="337"/>
        <item x="179"/>
        <item x="339"/>
        <item x="141"/>
        <item x="142"/>
        <item x="254"/>
        <item x="316"/>
        <item x="420"/>
        <item x="347"/>
        <item x="131"/>
        <item x="152"/>
        <item x="31"/>
        <item x="68"/>
        <item x="388"/>
        <item x="405"/>
        <item x="400"/>
        <item x="450"/>
        <item x="446"/>
        <item x="409"/>
        <item x="129"/>
        <item x="479"/>
        <item x="22"/>
        <item x="6"/>
        <item x="58"/>
        <item x="61"/>
        <item x="53"/>
        <item x="198"/>
        <item x="172"/>
        <item x="120"/>
        <item x="119"/>
        <item x="185"/>
        <item x="208"/>
        <item x="360"/>
        <item x="98"/>
        <item x="326"/>
        <item x="158"/>
        <item x="9"/>
        <item x="15"/>
        <item x="12"/>
        <item x="17"/>
        <item x="21"/>
        <item x="20"/>
        <item x="36"/>
        <item x="37"/>
        <item x="38"/>
        <item x="40"/>
        <item x="42"/>
        <item x="43"/>
        <item x="45"/>
        <item x="46"/>
        <item x="51"/>
        <item x="338"/>
        <item x="471"/>
        <item x="363"/>
        <item x="364"/>
        <item x="122"/>
        <item x="328"/>
        <item x="358"/>
        <item x="317"/>
        <item x="421"/>
        <item x="418"/>
        <item x="361"/>
        <item x="396"/>
        <item x="190"/>
        <item x="249"/>
        <item x="257"/>
        <item x="18"/>
        <item x="202"/>
        <item x="372"/>
        <item x="293"/>
        <item x="155"/>
        <item x="261"/>
        <item x="245"/>
        <item x="397"/>
        <item x="390"/>
        <item x="447"/>
        <item x="448"/>
        <item x="335"/>
        <item x="449"/>
        <item x="354"/>
        <item x="168"/>
        <item x="294"/>
        <item x="1"/>
        <item x="355"/>
        <item x="356"/>
        <item x="302"/>
        <item x="2"/>
        <item x="256"/>
        <item x="163"/>
        <item x="296"/>
        <item x="322"/>
        <item x="224"/>
        <item x="238"/>
        <item x="270"/>
        <item x="327"/>
        <item x="13"/>
        <item x="403"/>
        <item x="85"/>
        <item x="419"/>
        <item x="423"/>
        <item x="281"/>
        <item x="93"/>
        <item x="66"/>
        <item x="485"/>
        <item x="340"/>
        <item x="230"/>
        <item x="392"/>
        <item x="277"/>
        <item x="393"/>
        <item x="242"/>
        <item x="241"/>
        <item x="434"/>
        <item x="271"/>
        <item x="384"/>
        <item x="132"/>
        <item x="345"/>
        <item x="346"/>
        <item x="71"/>
        <item x="333"/>
        <item x="47"/>
        <item x="89"/>
        <item x="166"/>
        <item x="0"/>
      </items>
      <extLst>
        <ext xmlns:x14="http://schemas.microsoft.com/office/spreadsheetml/2009/9/main" uri="{2946ED86-A175-432a-8AC1-64E0C546D7DE}">
          <x14:pivotField fillDownLabels="1"/>
        </ext>
      </extLst>
    </pivotField>
    <pivotField compact="0" defaultSubtotal="0" outline="0" showAll="0">
      <items count="32">
        <item x="7"/>
        <item x="2"/>
        <item x="21"/>
        <item x="27"/>
        <item x="10"/>
        <item x="23"/>
        <item x="24"/>
        <item x="8"/>
        <item x="9"/>
        <item x="0"/>
        <item x="19"/>
        <item x="29"/>
        <item x="22"/>
        <item x="26"/>
        <item x="3"/>
        <item x="4"/>
        <item x="15"/>
        <item x="5"/>
        <item x="17"/>
        <item x="25"/>
        <item x="30"/>
        <item x="6"/>
        <item x="16"/>
        <item x="13"/>
        <item x="11"/>
        <item x="31"/>
        <item x="20"/>
        <item x="14"/>
        <item x="28"/>
        <item x="12"/>
        <item x="18"/>
        <item x="1"/>
      </items>
      <extLst>
        <ext xmlns:x14="http://schemas.microsoft.com/office/spreadsheetml/2009/9/main" uri="{2946ED86-A175-432a-8AC1-64E0C546D7DE}">
          <x14:pivotField fillDownLabels="1"/>
        </ext>
      </extLst>
    </pivotField>
    <pivotField compact="0" defaultSubtotal="0" outline="0" showAll="0">
      <items count="22">
        <item x="7"/>
        <item x="6"/>
        <item x="12"/>
        <item x="21"/>
        <item x="0"/>
        <item x="3"/>
        <item x="15"/>
        <item x="4"/>
        <item x="11"/>
        <item x="20"/>
        <item x="8"/>
        <item x="18"/>
        <item x="17"/>
        <item x="14"/>
        <item x="10"/>
        <item x="16"/>
        <item x="5"/>
        <item x="2"/>
        <item x="13"/>
        <item x="9"/>
        <item x="19"/>
        <item x="1"/>
      </items>
      <extLst>
        <ext xmlns:x14="http://schemas.microsoft.com/office/spreadsheetml/2009/9/main" uri="{2946ED86-A175-432a-8AC1-64E0C546D7DE}">
          <x14:pivotField fillDownLabels="1"/>
        </ext>
      </extLst>
    </pivotField>
    <pivotField compact="0" defaultSubtotal="0" outline="0" showAll="0">
      <items count="38">
        <item x="10"/>
        <item x="19"/>
        <item x="20"/>
        <item x="3"/>
        <item x="26"/>
        <item x="32"/>
        <item x="22"/>
        <item x="31"/>
        <item x="6"/>
        <item x="21"/>
        <item x="36"/>
        <item x="34"/>
        <item x="29"/>
        <item x="25"/>
        <item x="27"/>
        <item x="28"/>
        <item x="37"/>
        <item x="16"/>
        <item x="33"/>
        <item x="17"/>
        <item x="12"/>
        <item x="14"/>
        <item x="15"/>
        <item x="35"/>
        <item x="5"/>
        <item x="4"/>
        <item x="7"/>
        <item x="9"/>
        <item x="8"/>
        <item x="13"/>
        <item x="18"/>
        <item x="30"/>
        <item x="11"/>
        <item x="2"/>
        <item x="1"/>
        <item x="23"/>
        <item x="24"/>
        <item x="0"/>
      </items>
      <extLst>
        <ext xmlns:x14="http://schemas.microsoft.com/office/spreadsheetml/2009/9/main" uri="{2946ED86-A175-432a-8AC1-64E0C546D7DE}">
          <x14:pivotField fillDownLabels="1"/>
        </ext>
      </extLst>
    </pivotField>
    <pivotField compact="0" defaultSubtotal="0" outline="0" showAll="0">
      <items count="2">
        <item x="1"/>
        <item x="0"/>
      </items>
      <extLst>
        <ext xmlns:x14="http://schemas.microsoft.com/office/spreadsheetml/2009/9/main" uri="{2946ED86-A175-432a-8AC1-64E0C546D7DE}">
          <x14:pivotField fillDownLabels="1"/>
        </ext>
      </extLst>
    </pivotField>
    <pivotField compact="0" defaultSubtotal="0" outline="0" showAll="0">
      <items count="2">
        <item x="1"/>
        <item x="0"/>
      </items>
      <extLst>
        <ext xmlns:x14="http://schemas.microsoft.com/office/spreadsheetml/2009/9/main" uri="{2946ED86-A175-432a-8AC1-64E0C546D7DE}">
          <x14:pivotField fillDownLabels="1"/>
        </ext>
      </extLst>
    </pivotField>
  </pivotFields>
  <rowFields count="5">
    <field x="4"/>
    <field x="8"/>
    <field x="12"/>
    <field x="5"/>
    <field x="6"/>
  </rowFields>
  <rowItems count="871">
    <i>
      <x/>
      <x v="204"/>
      <x v="3"/>
      <x v="8"/>
      <x v="3"/>
    </i>
    <i>
      <x v="1"/>
      <x v="9"/>
      <x v="8"/>
      <x v="4"/>
      <x v="110"/>
    </i>
    <i>
      <x v="2"/>
      <x v="204"/>
      <x/>
      <x v="3"/>
      <x v="6"/>
    </i>
    <i r="2">
      <x v="5"/>
      <x v="3"/>
      <x v="6"/>
    </i>
    <i>
      <x v="3"/>
      <x v="305"/>
      <x v="8"/>
      <x v="4"/>
      <x v="110"/>
    </i>
    <i>
      <x v="4"/>
      <x v="81"/>
      <x v="8"/>
      <x v="4"/>
      <x v="110"/>
    </i>
    <i>
      <x v="5"/>
      <x v="204"/>
      <x v="8"/>
      <x v="4"/>
      <x v="110"/>
    </i>
    <i>
      <x v="6"/>
      <x v="19"/>
      <x v="8"/>
      <x v="4"/>
      <x v="110"/>
    </i>
    <i>
      <x v="7"/>
      <x v="316"/>
      <x v="8"/>
      <x v="10"/>
      <x v="73"/>
    </i>
    <i>
      <x v="8"/>
      <x v="144"/>
      <x v="8"/>
      <x v="10"/>
      <x v="116"/>
    </i>
    <i>
      <x v="9"/>
      <x v="144"/>
      <x/>
      <x v="10"/>
      <x v="116"/>
    </i>
    <i>
      <x v="10"/>
      <x v="323"/>
      <x/>
      <x v="5"/>
      <x v="26"/>
    </i>
    <i>
      <x v="11"/>
      <x v="321"/>
      <x/>
      <x v="10"/>
      <x v="9"/>
    </i>
    <i>
      <x v="12"/>
      <x v="42"/>
      <x/>
      <x v="7"/>
      <x v="63"/>
    </i>
    <i>
      <x v="13"/>
      <x v="258"/>
      <x/>
      <x v="5"/>
      <x v="105"/>
    </i>
    <i>
      <x v="14"/>
      <x v="289"/>
      <x/>
      <x v="5"/>
      <x v="42"/>
    </i>
    <i>
      <x v="15"/>
      <x v="321"/>
      <x/>
      <x v="5"/>
      <x v="9"/>
    </i>
    <i>
      <x v="16"/>
      <x v="85"/>
      <x/>
      <x v="5"/>
      <x v="9"/>
    </i>
    <i>
      <x v="17"/>
      <x v="180"/>
      <x/>
      <x v="5"/>
      <x v="15"/>
    </i>
    <i>
      <x v="18"/>
      <x v="144"/>
      <x v="8"/>
      <x v="10"/>
      <x v="59"/>
    </i>
    <i>
      <x v="19"/>
      <x v="132"/>
      <x/>
      <x v="5"/>
      <x v="72"/>
    </i>
    <i>
      <x v="20"/>
      <x v="80"/>
      <x/>
      <x v="5"/>
      <x v="63"/>
    </i>
    <i>
      <x v="21"/>
      <x v="326"/>
      <x/>
      <x v="5"/>
      <x v="58"/>
    </i>
    <i>
      <x v="22"/>
      <x v="84"/>
      <x/>
      <x v="5"/>
      <x v="98"/>
    </i>
    <i>
      <x v="23"/>
      <x v="317"/>
      <x/>
      <x v="5"/>
      <x v="98"/>
    </i>
    <i>
      <x v="24"/>
      <x v="91"/>
      <x/>
      <x v="5"/>
      <x v="58"/>
    </i>
    <i>
      <x v="25"/>
      <x v="40"/>
      <x/>
      <x v="5"/>
      <x v="56"/>
    </i>
    <i>
      <x v="26"/>
      <x v="334"/>
      <x/>
      <x v="9"/>
      <x v="59"/>
    </i>
    <i>
      <x v="27"/>
      <x v="258"/>
      <x v="8"/>
      <x v="10"/>
      <x v="78"/>
    </i>
    <i>
      <x v="28"/>
      <x v="64"/>
      <x v="3"/>
      <x v="8"/>
      <x v="31"/>
    </i>
    <i>
      <x v="29"/>
      <x v="251"/>
      <x/>
      <x v="5"/>
      <x v="35"/>
    </i>
    <i>
      <x v="30"/>
      <x v="86"/>
      <x/>
      <x v="5"/>
      <x v="93"/>
    </i>
    <i r="1">
      <x v="325"/>
      <x/>
      <x v="5"/>
      <x v="72"/>
    </i>
    <i>
      <x v="31"/>
      <x v="172"/>
      <x/>
      <x v="5"/>
      <x v="14"/>
    </i>
    <i>
      <x v="32"/>
      <x v="159"/>
      <x/>
      <x v="5"/>
      <x v="69"/>
    </i>
    <i>
      <x v="33"/>
      <x v="78"/>
      <x/>
      <x v="5"/>
      <x v="8"/>
    </i>
    <i>
      <x v="34"/>
      <x v="283"/>
      <x/>
      <x v="5"/>
      <x v="35"/>
    </i>
    <i>
      <x v="35"/>
      <x v="125"/>
      <x/>
      <x v="5"/>
      <x v="72"/>
    </i>
    <i r="1">
      <x v="138"/>
      <x/>
      <x v="5"/>
      <x v="80"/>
    </i>
    <i>
      <x v="36"/>
      <x v="255"/>
      <x/>
      <x v="5"/>
      <x v="72"/>
    </i>
    <i>
      <x v="37"/>
      <x v="142"/>
      <x/>
      <x v="5"/>
      <x v="93"/>
    </i>
    <i>
      <x v="38"/>
      <x v="223"/>
      <x/>
      <x v="8"/>
      <x v="73"/>
    </i>
    <i>
      <x v="39"/>
      <x v="58"/>
      <x/>
      <x v="5"/>
      <x v="81"/>
    </i>
    <i>
      <x v="40"/>
      <x v="73"/>
      <x/>
      <x v="5"/>
      <x v="105"/>
    </i>
    <i r="1">
      <x v="362"/>
      <x v="3"/>
      <x v="8"/>
      <x v="73"/>
    </i>
    <i>
      <x v="41"/>
      <x v="358"/>
      <x/>
      <x v="5"/>
      <x v="35"/>
    </i>
    <i>
      <x v="42"/>
      <x v="230"/>
      <x/>
      <x v="5"/>
      <x v="8"/>
    </i>
    <i>
      <x v="43"/>
      <x v="362"/>
      <x/>
      <x v="8"/>
      <x v="73"/>
    </i>
    <i>
      <x v="44"/>
      <x v="261"/>
      <x/>
      <x v="5"/>
      <x v="35"/>
    </i>
    <i>
      <x v="45"/>
      <x v="122"/>
      <x/>
      <x v="5"/>
      <x v="72"/>
    </i>
    <i>
      <x v="46"/>
      <x v="140"/>
      <x/>
      <x v="5"/>
      <x v="40"/>
    </i>
    <i r="1">
      <x v="327"/>
      <x/>
      <x v="5"/>
      <x v="63"/>
    </i>
    <i>
      <x v="47"/>
      <x v="27"/>
      <x/>
      <x v="5"/>
      <x v="58"/>
    </i>
    <i>
      <x v="48"/>
      <x v="124"/>
      <x/>
      <x v="5"/>
      <x v="39"/>
    </i>
    <i r="1">
      <x v="138"/>
      <x/>
      <x v="5"/>
      <x v="38"/>
    </i>
    <i>
      <x v="49"/>
      <x v="75"/>
      <x/>
      <x v="5"/>
      <x v="8"/>
    </i>
    <i>
      <x v="50"/>
      <x v="121"/>
      <x/>
      <x v="5"/>
      <x v="72"/>
    </i>
    <i>
      <x v="51"/>
      <x v="20"/>
      <x/>
      <x v="5"/>
      <x v="42"/>
    </i>
    <i>
      <x v="52"/>
      <x v="15"/>
      <x/>
      <x v="5"/>
      <x v="115"/>
    </i>
    <i r="1">
      <x v="77"/>
      <x v="8"/>
      <x v="10"/>
      <x v="60"/>
    </i>
    <i>
      <x v="53"/>
      <x v="121"/>
      <x/>
      <x v="5"/>
      <x v="40"/>
    </i>
    <i>
      <x v="54"/>
      <x v="122"/>
      <x/>
      <x v="5"/>
      <x v="8"/>
    </i>
    <i>
      <x v="55"/>
      <x v="147"/>
      <x v="8"/>
      <x v="10"/>
      <x v="85"/>
    </i>
    <i>
      <x v="56"/>
      <x v="317"/>
      <x/>
      <x v="5"/>
      <x v="40"/>
    </i>
    <i>
      <x v="57"/>
      <x v="230"/>
      <x/>
      <x v="5"/>
      <x v="72"/>
    </i>
    <i>
      <x v="58"/>
      <x v="30"/>
      <x/>
      <x v="5"/>
      <x v="70"/>
    </i>
    <i>
      <x v="59"/>
      <x v="276"/>
      <x/>
      <x v="5"/>
      <x v="72"/>
    </i>
    <i>
      <x v="60"/>
      <x v="157"/>
      <x/>
      <x v="5"/>
      <x v="18"/>
    </i>
    <i>
      <x v="61"/>
      <x v="144"/>
      <x/>
      <x v="8"/>
      <x v="85"/>
    </i>
    <i>
      <x v="62"/>
      <x v="6"/>
      <x/>
      <x v="5"/>
      <x v="114"/>
    </i>
    <i r="1">
      <x v="36"/>
      <x/>
      <x v="5"/>
      <x v="24"/>
    </i>
    <i r="1">
      <x v="47"/>
      <x v="8"/>
      <x v="10"/>
      <x v="90"/>
    </i>
    <i>
      <x v="63"/>
      <x v="30"/>
      <x/>
      <x v="5"/>
      <x v="69"/>
    </i>
    <i r="1">
      <x v="253"/>
      <x v="3"/>
      <x v="8"/>
      <x v="78"/>
    </i>
    <i>
      <x v="64"/>
      <x v="206"/>
      <x/>
      <x v="5"/>
      <x v="92"/>
    </i>
    <i>
      <x v="65"/>
      <x v="58"/>
      <x/>
      <x v="5"/>
      <x v="115"/>
    </i>
    <i>
      <x v="66"/>
      <x v="90"/>
      <x v="8"/>
      <x v="10"/>
      <x v="73"/>
    </i>
    <i>
      <x v="67"/>
      <x v="78"/>
      <x/>
      <x v="5"/>
      <x v="47"/>
    </i>
    <i>
      <x v="68"/>
      <x v="249"/>
      <x/>
      <x v="5"/>
      <x v="63"/>
    </i>
    <i r="1">
      <x v="251"/>
      <x/>
      <x v="5"/>
      <x v="23"/>
    </i>
    <i>
      <x v="69"/>
      <x v="132"/>
      <x/>
      <x v="5"/>
      <x v="18"/>
    </i>
    <i>
      <x v="70"/>
      <x v="317"/>
      <x/>
      <x v="5"/>
      <x v="47"/>
    </i>
    <i>
      <x v="71"/>
      <x v="252"/>
      <x/>
      <x v="5"/>
      <x v="24"/>
    </i>
    <i>
      <x v="72"/>
      <x v="258"/>
      <x v="8"/>
      <x v="10"/>
      <x v="78"/>
    </i>
    <i>
      <x v="73"/>
      <x v="275"/>
      <x/>
      <x v="8"/>
      <x v="85"/>
    </i>
    <i>
      <x v="74"/>
      <x v="317"/>
      <x/>
      <x v="5"/>
      <x v="114"/>
    </i>
    <i>
      <x v="75"/>
      <x v="76"/>
      <x/>
      <x v="5"/>
      <x v="69"/>
    </i>
    <i>
      <x v="76"/>
      <x v="135"/>
      <x/>
      <x v="5"/>
      <x v="8"/>
    </i>
    <i>
      <x v="77"/>
      <x v="79"/>
      <x/>
      <x v="5"/>
      <x v="69"/>
    </i>
    <i>
      <x v="78"/>
      <x v="40"/>
      <x/>
      <x v="5"/>
      <x v="8"/>
    </i>
    <i r="1">
      <x v="250"/>
      <x/>
      <x v="5"/>
      <x v="63"/>
    </i>
    <i r="1">
      <x v="332"/>
      <x/>
      <x v="6"/>
      <x v="24"/>
    </i>
    <i>
      <x v="79"/>
      <x v="85"/>
      <x/>
      <x v="5"/>
      <x v="8"/>
    </i>
    <i>
      <x v="80"/>
      <x v="139"/>
      <x/>
      <x v="8"/>
      <x v="78"/>
    </i>
    <i>
      <x v="81"/>
      <x v="240"/>
      <x/>
      <x v="8"/>
      <x v="1"/>
    </i>
    <i>
      <x v="82"/>
      <x v="279"/>
      <x/>
      <x v="8"/>
      <x v="78"/>
    </i>
    <i>
      <x v="83"/>
      <x v="359"/>
      <x/>
      <x v="8"/>
      <x v="78"/>
    </i>
    <i>
      <x v="84"/>
      <x v="123"/>
      <x/>
      <x v="8"/>
      <x v="52"/>
    </i>
    <i>
      <x v="85"/>
      <x v="328"/>
      <x v="8"/>
      <x v="10"/>
      <x v="52"/>
    </i>
    <i>
      <x v="86"/>
      <x v="33"/>
      <x v="8"/>
      <x v="10"/>
      <x v="73"/>
    </i>
    <i>
      <x v="87"/>
      <x v="194"/>
      <x v="8"/>
      <x v="10"/>
      <x v="1"/>
    </i>
    <i>
      <x v="88"/>
      <x v="361"/>
      <x v="8"/>
      <x v="10"/>
      <x v="113"/>
    </i>
    <i>
      <x v="89"/>
      <x v="248"/>
      <x v="8"/>
      <x v="10"/>
      <x v="73"/>
    </i>
    <i>
      <x v="90"/>
      <x v="50"/>
      <x v="8"/>
      <x v="10"/>
      <x v="103"/>
    </i>
    <i>
      <x v="91"/>
      <x v="19"/>
      <x v="8"/>
      <x v="10"/>
      <x v="73"/>
    </i>
    <i>
      <x v="92"/>
      <x v="148"/>
      <x v="8"/>
      <x v="10"/>
      <x v="50"/>
    </i>
    <i>
      <x v="93"/>
      <x v="25"/>
      <x/>
      <x v="5"/>
      <x v="40"/>
    </i>
    <i r="1">
      <x v="85"/>
      <x/>
      <x v="5"/>
      <x v="108"/>
    </i>
    <i>
      <x v="94"/>
      <x v="276"/>
      <x/>
      <x v="5"/>
      <x v="23"/>
    </i>
    <i>
      <x v="95"/>
      <x v="77"/>
      <x v="8"/>
      <x v="10"/>
      <x v="116"/>
    </i>
    <i>
      <x v="96"/>
      <x v="116"/>
      <x/>
      <x v="5"/>
      <x v="8"/>
    </i>
    <i r="1">
      <x v="169"/>
      <x/>
      <x v="5"/>
      <x v="62"/>
    </i>
    <i>
      <x v="97"/>
      <x v="60"/>
      <x v="3"/>
      <x v="8"/>
      <x v="85"/>
    </i>
    <i>
      <x v="98"/>
      <x v="198"/>
      <x/>
      <x v="5"/>
      <x v="62"/>
    </i>
    <i>
      <x v="99"/>
      <x v="56"/>
      <x v="8"/>
      <x v="10"/>
      <x v="1"/>
    </i>
    <i r="1">
      <x v="275"/>
      <x/>
      <x v="5"/>
      <x v="56"/>
    </i>
    <i>
      <x v="100"/>
      <x v="230"/>
      <x/>
      <x v="5"/>
      <x v="56"/>
    </i>
    <i r="4">
      <x v="70"/>
    </i>
    <i>
      <x v="101"/>
      <x v="19"/>
      <x v="8"/>
      <x v="10"/>
      <x v="73"/>
    </i>
    <i r="1">
      <x v="154"/>
      <x v="8"/>
      <x v="10"/>
      <x v="73"/>
    </i>
    <i>
      <x v="102"/>
      <x v="277"/>
      <x v="8"/>
      <x v="10"/>
      <x v="90"/>
    </i>
    <i>
      <x v="103"/>
      <x v="283"/>
      <x/>
      <x v="5"/>
      <x v="8"/>
    </i>
    <i>
      <x v="104"/>
      <x v="88"/>
      <x/>
      <x v="7"/>
      <x v="56"/>
    </i>
    <i>
      <x v="105"/>
      <x v="33"/>
      <x v="8"/>
      <x v="10"/>
      <x v="73"/>
    </i>
    <i>
      <x v="106"/>
      <x v="6"/>
      <x/>
      <x v="5"/>
      <x v="69"/>
    </i>
    <i>
      <x v="107"/>
      <x v="156"/>
      <x v="8"/>
      <x v="10"/>
      <x v="66"/>
    </i>
    <i r="1">
      <x v="172"/>
      <x/>
      <x v="7"/>
      <x v="62"/>
    </i>
    <i>
      <x v="108"/>
      <x v="170"/>
      <x/>
      <x v="6"/>
      <x v="100"/>
    </i>
    <i>
      <x v="109"/>
      <x v="162"/>
      <x/>
      <x v="5"/>
      <x v="70"/>
    </i>
    <i>
      <x v="110"/>
      <x v="184"/>
      <x v="8"/>
      <x v="10"/>
      <x v="90"/>
    </i>
    <i>
      <x v="111"/>
      <x v="230"/>
      <x/>
      <x v="5"/>
      <x v="56"/>
    </i>
    <i>
      <x v="112"/>
      <x v="64"/>
      <x v="3"/>
      <x v="8"/>
      <x v="85"/>
    </i>
    <i>
      <x v="113"/>
      <x v="356"/>
      <x/>
      <x v="7"/>
      <x v="53"/>
    </i>
    <i>
      <x v="114"/>
      <x v="145"/>
      <x/>
      <x v="7"/>
      <x v="18"/>
    </i>
    <i>
      <x v="115"/>
      <x v="10"/>
      <x v="8"/>
      <x v="10"/>
      <x v="95"/>
    </i>
    <i r="1">
      <x v="45"/>
      <x/>
      <x v="5"/>
      <x v="17"/>
    </i>
    <i>
      <x v="116"/>
      <x v="275"/>
      <x/>
      <x/>
      <x v="32"/>
    </i>
    <i>
      <x v="117"/>
      <x v="25"/>
      <x/>
      <x v="5"/>
      <x v="18"/>
    </i>
    <i r="1">
      <x v="61"/>
      <x v="8"/>
      <x v="10"/>
      <x v="85"/>
    </i>
    <i r="1">
      <x v="257"/>
      <x/>
      <x v="7"/>
      <x v="89"/>
    </i>
    <i r="1">
      <x v="263"/>
      <x/>
      <x v="7"/>
      <x v="62"/>
    </i>
    <i>
      <x v="118"/>
      <x v="74"/>
      <x/>
      <x v="7"/>
      <x v="62"/>
    </i>
    <i r="1">
      <x v="317"/>
      <x/>
      <x v="5"/>
      <x v="23"/>
    </i>
    <i>
      <x v="119"/>
      <x v="239"/>
      <x/>
      <x v="5"/>
      <x v="42"/>
    </i>
    <i r="1">
      <x v="280"/>
      <x v="3"/>
      <x v="8"/>
      <x v="95"/>
    </i>
    <i>
      <x v="120"/>
      <x v="230"/>
      <x/>
      <x v="5"/>
      <x v="56"/>
    </i>
    <i>
      <x v="121"/>
      <x v="254"/>
      <x/>
      <x v="5"/>
      <x v="111"/>
    </i>
    <i>
      <x v="122"/>
      <x v="251"/>
      <x/>
      <x v="5"/>
      <x v="14"/>
    </i>
    <i>
      <x v="123"/>
      <x v="237"/>
      <x/>
      <x v="8"/>
      <x v="90"/>
    </i>
    <i>
      <x v="124"/>
      <x v="33"/>
      <x/>
      <x v="7"/>
      <x v="89"/>
    </i>
    <i>
      <x v="125"/>
      <x v="273"/>
      <x/>
      <x v="5"/>
      <x v="69"/>
    </i>
    <i r="1">
      <x v="358"/>
      <x/>
      <x v="6"/>
      <x v="111"/>
    </i>
    <i>
      <x v="126"/>
      <x v="135"/>
      <x/>
      <x v="5"/>
      <x v="111"/>
    </i>
    <i>
      <x v="127"/>
      <x v="297"/>
      <x/>
      <x v="5"/>
      <x v="24"/>
    </i>
    <i>
      <x v="128"/>
      <x v="280"/>
      <x v="8"/>
      <x v="10"/>
      <x v="110"/>
    </i>
    <i>
      <x v="129"/>
      <x v="206"/>
      <x/>
      <x v="5"/>
      <x v="21"/>
    </i>
    <i>
      <x v="130"/>
      <x v="153"/>
      <x/>
      <x v="5"/>
      <x v="72"/>
    </i>
    <i>
      <x v="131"/>
      <x v="62"/>
      <x v="3"/>
      <x v="8"/>
      <x v="55"/>
    </i>
    <i>
      <x v="132"/>
      <x v="10"/>
      <x/>
      <x v="6"/>
      <x v="88"/>
    </i>
    <i>
      <x v="133"/>
      <x v="135"/>
      <x/>
      <x v="5"/>
      <x v="8"/>
    </i>
    <i>
      <x v="134"/>
      <x v="325"/>
      <x/>
      <x v="5"/>
      <x v="40"/>
    </i>
    <i>
      <x v="135"/>
      <x v="147"/>
      <x v="8"/>
      <x v="10"/>
      <x v="110"/>
    </i>
    <i>
      <x v="136"/>
      <x v="19"/>
      <x v="8"/>
      <x v="10"/>
      <x v="90"/>
    </i>
    <i>
      <x v="137"/>
      <x v="293"/>
      <x/>
      <x v="5"/>
      <x v="69"/>
    </i>
    <i>
      <x v="138"/>
      <x v="88"/>
      <x v="8"/>
      <x v="10"/>
      <x v="73"/>
    </i>
    <i r="1">
      <x v="208"/>
      <x/>
      <x v="5"/>
      <x v="72"/>
    </i>
    <i>
      <x v="139"/>
      <x v="187"/>
      <x v="8"/>
      <x v="10"/>
      <x v="90"/>
    </i>
    <i>
      <x v="140"/>
      <x v="327"/>
      <x/>
      <x v="5"/>
      <x v="62"/>
    </i>
    <i>
      <x v="141"/>
      <x v="127"/>
      <x v="8"/>
      <x v="10"/>
      <x v="54"/>
    </i>
    <i>
      <x v="142"/>
      <x v="89"/>
      <x/>
      <x v="7"/>
      <x v="69"/>
    </i>
    <i>
      <x v="143"/>
      <x v="239"/>
      <x/>
      <x v="5"/>
      <x v="7"/>
    </i>
    <i>
      <x v="144"/>
      <x v="175"/>
      <x v="3"/>
      <x v="8"/>
      <x v="113"/>
    </i>
    <i r="2">
      <x v="8"/>
      <x v="10"/>
      <x v="113"/>
    </i>
    <i>
      <x v="145"/>
      <x v="175"/>
      <x v="8"/>
      <x v="10"/>
      <x v="113"/>
    </i>
    <i r="1">
      <x v="270"/>
      <x/>
      <x v="7"/>
      <x v="69"/>
    </i>
    <i>
      <x v="146"/>
      <x v="88"/>
      <x v="8"/>
      <x v="10"/>
      <x v="73"/>
    </i>
    <i>
      <x v="147"/>
      <x v="64"/>
      <x v="3"/>
      <x v="8"/>
      <x v="85"/>
    </i>
    <i r="1">
      <x v="129"/>
      <x/>
      <x v="7"/>
      <x v="21"/>
    </i>
    <i>
      <x v="148"/>
      <x v="94"/>
      <x v="8"/>
      <x v="10"/>
      <x v="113"/>
    </i>
    <i>
      <x v="149"/>
      <x v="16"/>
      <x v="1"/>
      <x v="10"/>
      <x v="84"/>
    </i>
    <i r="1">
      <x v="84"/>
      <x/>
      <x v="5"/>
      <x v="56"/>
    </i>
    <i>
      <x v="150"/>
      <x v="314"/>
      <x/>
      <x v="5"/>
      <x v="24"/>
    </i>
    <i>
      <x v="151"/>
      <x v="264"/>
      <x v="8"/>
      <x v="10"/>
      <x v="57"/>
    </i>
    <i>
      <x v="152"/>
      <x v="175"/>
      <x/>
      <x v="6"/>
      <x v="41"/>
    </i>
    <i>
      <x v="153"/>
      <x v="125"/>
      <x/>
      <x v="5"/>
      <x v="18"/>
    </i>
    <i>
      <x v="154"/>
      <x v="94"/>
      <x v="8"/>
      <x v="10"/>
      <x v="113"/>
    </i>
    <i>
      <x v="155"/>
      <x v="144"/>
      <x v="1"/>
      <x v="10"/>
      <x v="73"/>
    </i>
    <i>
      <x v="156"/>
      <x v="27"/>
      <x v="8"/>
      <x v="10"/>
      <x v="73"/>
    </i>
    <i r="1">
      <x v="258"/>
      <x v="8"/>
      <x v="10"/>
      <x v="50"/>
    </i>
    <i>
      <x v="157"/>
      <x v="328"/>
      <x v="8"/>
      <x v="10"/>
      <x v="4"/>
    </i>
    <i r="4">
      <x v="37"/>
    </i>
    <i>
      <x v="158"/>
      <x v="38"/>
      <x v="1"/>
      <x v="10"/>
      <x v="37"/>
    </i>
    <i r="1">
      <x v="39"/>
      <x v="8"/>
      <x v="10"/>
      <x v="37"/>
    </i>
    <i>
      <x v="159"/>
      <x v="120"/>
      <x v="1"/>
      <x v="10"/>
      <x v="34"/>
    </i>
    <i r="4">
      <x v="37"/>
    </i>
    <i>
      <x v="160"/>
      <x v="84"/>
      <x/>
      <x v="5"/>
      <x v="56"/>
    </i>
    <i r="1">
      <x v="120"/>
      <x v="1"/>
      <x v="10"/>
      <x v="34"/>
    </i>
    <i r="4">
      <x v="37"/>
    </i>
    <i>
      <x v="161"/>
      <x v="77"/>
      <x v="1"/>
      <x v="10"/>
      <x v="2"/>
    </i>
    <i r="4">
      <x v="37"/>
    </i>
    <i r="2">
      <x v="8"/>
      <x v="10"/>
      <x v="2"/>
    </i>
    <i r="1">
      <x v="119"/>
      <x v="8"/>
      <x v="10"/>
      <x v="34"/>
    </i>
    <i>
      <x v="162"/>
      <x v="127"/>
      <x v="1"/>
      <x v="10"/>
      <x v="37"/>
    </i>
    <i r="2">
      <x v="8"/>
      <x v="10"/>
      <x v="37"/>
    </i>
    <i>
      <x v="163"/>
      <x v="136"/>
      <x v="8"/>
      <x v="10"/>
      <x v="73"/>
    </i>
    <i>
      <x v="164"/>
      <x v="89"/>
      <x v="8"/>
      <x v="10"/>
      <x v="5"/>
    </i>
    <i r="1">
      <x v="314"/>
      <x/>
      <x v="5"/>
      <x v="7"/>
    </i>
    <i r="1">
      <x v="338"/>
      <x v="8"/>
      <x v="10"/>
      <x v="13"/>
    </i>
    <i>
      <x v="165"/>
      <x v="19"/>
      <x v="8"/>
      <x v="10"/>
      <x v="30"/>
    </i>
    <i>
      <x v="166"/>
      <x v="247"/>
      <x v="3"/>
      <x v="8"/>
      <x v="55"/>
    </i>
    <i>
      <x v="167"/>
      <x v="109"/>
      <x v="1"/>
      <x v="10"/>
      <x v="37"/>
    </i>
    <i r="4">
      <x v="60"/>
    </i>
    <i r="1">
      <x v="318"/>
      <x v="8"/>
      <x v="8"/>
      <x v="113"/>
    </i>
    <i r="3">
      <x v="10"/>
      <x v="90"/>
    </i>
    <i>
      <x v="168"/>
      <x v="318"/>
      <x v="8"/>
      <x v="10"/>
      <x v="90"/>
    </i>
    <i>
      <x v="169"/>
      <x v="11"/>
      <x v="1"/>
      <x v="10"/>
      <x v="94"/>
    </i>
    <i r="1">
      <x v="119"/>
      <x v="3"/>
      <x v="8"/>
      <x v="34"/>
    </i>
    <i>
      <x v="170"/>
      <x v="3"/>
      <x v="8"/>
      <x v="8"/>
      <x v="94"/>
    </i>
    <i r="1">
      <x v="173"/>
      <x/>
      <x v="6"/>
      <x v="24"/>
    </i>
    <i>
      <x v="171"/>
      <x v="318"/>
      <x/>
      <x v="6"/>
      <x v="62"/>
    </i>
    <i>
      <x v="172"/>
      <x v="21"/>
      <x v="8"/>
      <x v="10"/>
      <x v="110"/>
    </i>
    <i r="1">
      <x v="357"/>
      <x/>
      <x v="8"/>
      <x v="37"/>
    </i>
    <i>
      <x v="173"/>
      <x v="224"/>
      <x/>
      <x v="6"/>
      <x v="7"/>
    </i>
    <i r="3">
      <x v="7"/>
      <x v="46"/>
    </i>
    <i>
      <x v="174"/>
      <x v="268"/>
      <x v="8"/>
      <x v="10"/>
      <x v="86"/>
    </i>
    <i r="1">
      <x v="307"/>
      <x/>
      <x v="5"/>
      <x v="75"/>
    </i>
    <i r="1">
      <x v="328"/>
      <x v="1"/>
      <x v="10"/>
      <x v="110"/>
    </i>
    <i r="2">
      <x v="8"/>
      <x v="10"/>
      <x v="110"/>
    </i>
    <i>
      <x v="175"/>
      <x v="2"/>
      <x v="1"/>
      <x v="8"/>
      <x v="90"/>
    </i>
    <i r="1">
      <x v="56"/>
      <x v="1"/>
      <x v="4"/>
      <x v="86"/>
    </i>
    <i r="3">
      <x v="10"/>
      <x v="86"/>
    </i>
    <i r="2">
      <x v="8"/>
      <x v="10"/>
      <x v="86"/>
    </i>
    <i r="1">
      <x v="88"/>
      <x/>
      <x v="5"/>
      <x v="16"/>
    </i>
    <i r="1">
      <x v="136"/>
      <x v="8"/>
      <x v="10"/>
      <x v="86"/>
    </i>
    <i>
      <x v="176"/>
      <x v="179"/>
      <x v="8"/>
      <x v="10"/>
      <x v="86"/>
    </i>
    <i r="1">
      <x v="277"/>
      <x v="8"/>
      <x v="10"/>
      <x v="110"/>
    </i>
    <i>
      <x v="177"/>
      <x v="98"/>
      <x v="8"/>
      <x v="10"/>
      <x v="86"/>
    </i>
    <i>
      <x v="178"/>
      <x v="220"/>
      <x v="1"/>
      <x v="4"/>
      <x v="110"/>
    </i>
    <i r="1">
      <x v="222"/>
      <x v="1"/>
      <x v="4"/>
      <x v="110"/>
    </i>
    <i>
      <x v="179"/>
      <x v="98"/>
      <x v="8"/>
      <x v="10"/>
      <x v="86"/>
    </i>
    <i r="1">
      <x v="130"/>
      <x v="8"/>
      <x v="10"/>
      <x v="86"/>
    </i>
    <i r="1">
      <x v="177"/>
      <x v="8"/>
      <x v="10"/>
      <x v="110"/>
    </i>
    <i r="1">
      <x v="220"/>
      <x v="8"/>
      <x v="10"/>
      <x v="110"/>
    </i>
    <i r="1">
      <x v="222"/>
      <x v="8"/>
      <x v="10"/>
      <x v="110"/>
    </i>
    <i r="1">
      <x v="301"/>
      <x v="8"/>
      <x v="4"/>
      <x v="110"/>
    </i>
    <i>
      <x v="180"/>
      <x v="262"/>
      <x v="8"/>
      <x v="10"/>
      <x v="110"/>
    </i>
    <i>
      <x v="181"/>
      <x v="336"/>
      <x v="1"/>
      <x v="4"/>
      <x v="110"/>
    </i>
    <i>
      <x v="182"/>
      <x v="304"/>
      <x/>
      <x v="6"/>
      <x v="62"/>
    </i>
    <i>
      <x v="183"/>
      <x v="133"/>
      <x v="8"/>
      <x v="10"/>
      <x v="86"/>
    </i>
    <i r="1">
      <x v="160"/>
      <x v="8"/>
      <x v="10"/>
      <x v="110"/>
    </i>
    <i r="1">
      <x v="163"/>
      <x v="8"/>
      <x v="10"/>
      <x v="110"/>
    </i>
    <i r="1">
      <x v="210"/>
      <x v="8"/>
      <x v="10"/>
      <x v="86"/>
    </i>
    <i r="1">
      <x v="278"/>
      <x v="1"/>
      <x v="4"/>
      <x v="86"/>
    </i>
    <i r="1">
      <x v="286"/>
      <x v="1"/>
      <x v="4"/>
      <x v="110"/>
    </i>
    <i r="2">
      <x v="8"/>
      <x v="10"/>
      <x v="110"/>
    </i>
    <i r="1">
      <x v="306"/>
      <x v="1"/>
      <x v="4"/>
      <x v="110"/>
    </i>
    <i>
      <x v="184"/>
      <x v="277"/>
      <x v="8"/>
      <x v="4"/>
      <x v="110"/>
    </i>
    <i>
      <x v="185"/>
      <x v="317"/>
      <x/>
      <x v="6"/>
      <x v="24"/>
    </i>
    <i r="1">
      <x v="360"/>
      <x v="8"/>
      <x v="10"/>
      <x v="110"/>
    </i>
    <i>
      <x v="186"/>
      <x v="195"/>
      <x v="8"/>
      <x v="10"/>
      <x v="86"/>
    </i>
    <i r="1">
      <x v="278"/>
      <x v="1"/>
      <x v="4"/>
      <x v="86"/>
    </i>
    <i r="1">
      <x v="282"/>
      <x v="1"/>
      <x v="4"/>
      <x v="86"/>
    </i>
    <i r="1">
      <x v="306"/>
      <x v="8"/>
      <x v="4"/>
      <x v="110"/>
    </i>
    <i>
      <x v="187"/>
      <x v="196"/>
      <x v="8"/>
      <x v="10"/>
      <x v="86"/>
    </i>
    <i>
      <x v="188"/>
      <x v="2"/>
      <x v="8"/>
      <x v="10"/>
      <x v="110"/>
    </i>
    <i r="1">
      <x v="318"/>
      <x v="8"/>
      <x v="10"/>
      <x v="110"/>
    </i>
    <i>
      <x v="189"/>
      <x v="166"/>
      <x v="8"/>
      <x v="10"/>
      <x v="86"/>
    </i>
    <i>
      <x v="190"/>
      <x v="27"/>
      <x v="8"/>
      <x v="10"/>
      <x v="86"/>
    </i>
    <i>
      <x v="191"/>
      <x v="137"/>
      <x v="8"/>
      <x v="10"/>
      <x v="86"/>
    </i>
    <i r="1">
      <x v="362"/>
      <x/>
      <x v="6"/>
      <x v="58"/>
    </i>
    <i>
      <x v="192"/>
      <x v="256"/>
      <x v="1"/>
      <x v="4"/>
      <x v="110"/>
    </i>
    <i r="2">
      <x v="8"/>
      <x v="10"/>
      <x v="110"/>
    </i>
    <i>
      <x v="193"/>
      <x v="166"/>
      <x/>
      <x v="6"/>
      <x v="18"/>
    </i>
    <i r="1">
      <x v="318"/>
      <x/>
      <x v="6"/>
      <x v="70"/>
    </i>
    <i>
      <x v="194"/>
      <x v="2"/>
      <x v="1"/>
      <x v="4"/>
      <x v="110"/>
    </i>
    <i r="2">
      <x v="8"/>
      <x v="10"/>
      <x v="110"/>
    </i>
    <i r="1">
      <x v="282"/>
      <x v="8"/>
      <x v="10"/>
      <x v="86"/>
    </i>
    <i>
      <x v="195"/>
      <x v="282"/>
      <x v="8"/>
      <x v="10"/>
      <x v="86"/>
    </i>
    <i r="1">
      <x v="337"/>
      <x v="8"/>
      <x v="10"/>
      <x v="86"/>
    </i>
    <i>
      <x v="196"/>
      <x v="5"/>
      <x v="8"/>
      <x v="10"/>
      <x v="110"/>
    </i>
    <i r="1">
      <x v="19"/>
      <x v="8"/>
      <x v="10"/>
      <x v="86"/>
    </i>
    <i r="1">
      <x v="130"/>
      <x/>
      <x v="5"/>
      <x v="63"/>
    </i>
    <i>
      <x v="197"/>
      <x v="137"/>
      <x v="8"/>
      <x v="10"/>
      <x v="86"/>
    </i>
    <i>
      <x v="198"/>
      <x v="86"/>
      <x/>
      <x v="5"/>
      <x v="111"/>
    </i>
    <i>
      <x v="199"/>
      <x v="59"/>
      <x v="3"/>
      <x v="8"/>
      <x v="60"/>
    </i>
    <i>
      <x v="200"/>
      <x v="4"/>
      <x/>
      <x v="5"/>
      <x v="56"/>
    </i>
    <i r="1">
      <x v="137"/>
      <x v="8"/>
      <x v="10"/>
      <x v="86"/>
    </i>
    <i>
      <x v="201"/>
      <x v="137"/>
      <x v="8"/>
      <x v="10"/>
      <x v="86"/>
    </i>
    <i>
      <x v="202"/>
      <x v="332"/>
      <x v="8"/>
      <x v="10"/>
      <x v="86"/>
    </i>
    <i>
      <x v="203"/>
      <x v="19"/>
      <x/>
      <x v="6"/>
      <x v="72"/>
    </i>
    <i r="1">
      <x v="200"/>
      <x v="1"/>
      <x v="4"/>
      <x v="110"/>
    </i>
    <i>
      <x v="204"/>
      <x v="36"/>
      <x/>
      <x v="6"/>
      <x v="77"/>
    </i>
    <i r="1">
      <x v="295"/>
      <x v="8"/>
      <x v="10"/>
      <x v="110"/>
    </i>
    <i>
      <x v="205"/>
      <x v="263"/>
      <x/>
      <x v="9"/>
      <x v="101"/>
    </i>
    <i r="1">
      <x v="327"/>
      <x v="8"/>
      <x v="10"/>
      <x v="110"/>
    </i>
    <i>
      <x v="206"/>
      <x v="327"/>
      <x v="8"/>
      <x v="10"/>
      <x v="110"/>
    </i>
    <i>
      <x v="207"/>
      <x v="2"/>
      <x v="8"/>
      <x v="4"/>
      <x v="110"/>
    </i>
    <i r="1">
      <x v="117"/>
      <x/>
      <x v="5"/>
      <x v="23"/>
    </i>
    <i r="1">
      <x v="137"/>
      <x v="8"/>
      <x v="10"/>
      <x v="86"/>
    </i>
    <i r="1">
      <x v="161"/>
      <x/>
      <x v="6"/>
      <x v="62"/>
    </i>
    <i>
      <x v="208"/>
      <x v="134"/>
      <x v="8"/>
      <x v="10"/>
      <x v="86"/>
    </i>
    <i>
      <x v="209"/>
      <x v="99"/>
      <x v="3"/>
      <x v="8"/>
      <x v="103"/>
    </i>
    <i>
      <x v="210"/>
      <x v="48"/>
      <x v="8"/>
      <x v="10"/>
      <x v="110"/>
    </i>
    <i r="1">
      <x v="285"/>
      <x v="8"/>
      <x v="10"/>
      <x v="110"/>
    </i>
    <i>
      <x v="211"/>
      <x v="330"/>
      <x/>
      <x v="7"/>
      <x v="99"/>
    </i>
    <i>
      <x v="212"/>
      <x v="68"/>
      <x v="3"/>
      <x v="4"/>
      <x v="86"/>
    </i>
    <i>
      <x v="213"/>
      <x v="27"/>
      <x v="8"/>
      <x v="10"/>
      <x v="86"/>
    </i>
    <i>
      <x v="214"/>
      <x v="10"/>
      <x v="1"/>
      <x v="4"/>
      <x v="110"/>
    </i>
    <i r="1">
      <x v="229"/>
      <x/>
      <x v="7"/>
      <x v="63"/>
    </i>
    <i>
      <x v="215"/>
      <x v="114"/>
      <x/>
      <x v="7"/>
      <x v="51"/>
    </i>
    <i r="1">
      <x v="327"/>
      <x/>
      <x v="6"/>
      <x v="75"/>
    </i>
    <i>
      <x v="216"/>
      <x v="229"/>
      <x/>
      <x v="7"/>
      <x v="63"/>
    </i>
    <i>
      <x v="217"/>
      <x v="10"/>
      <x v="1"/>
      <x v="4"/>
      <x v="110"/>
    </i>
    <i r="2">
      <x v="8"/>
      <x v="10"/>
      <x v="110"/>
    </i>
    <i r="1">
      <x v="67"/>
      <x v="1"/>
      <x v="4"/>
      <x v="86"/>
    </i>
    <i r="1">
      <x v="209"/>
      <x/>
      <x v="6"/>
      <x v="68"/>
    </i>
    <i r="1">
      <x v="229"/>
      <x/>
      <x v="5"/>
      <x v="63"/>
    </i>
    <i>
      <x v="218"/>
      <x/>
      <x v="8"/>
      <x v="10"/>
      <x v="110"/>
    </i>
    <i r="1">
      <x v="236"/>
      <x v="8"/>
      <x v="10"/>
      <x v="110"/>
    </i>
    <i>
      <x v="219"/>
      <x v="96"/>
      <x v="8"/>
      <x v="10"/>
      <x v="86"/>
    </i>
    <i r="1">
      <x v="97"/>
      <x v="1"/>
      <x v="4"/>
      <x v="86"/>
    </i>
    <i r="1">
      <x v="306"/>
      <x/>
      <x v="8"/>
      <x v="5"/>
    </i>
    <i r="1">
      <x v="329"/>
      <x/>
      <x v="6"/>
      <x v="75"/>
    </i>
    <i>
      <x v="220"/>
      <x v="125"/>
      <x/>
      <x v="5"/>
      <x v="8"/>
    </i>
    <i>
      <x v="221"/>
      <x v="92"/>
      <x/>
      <x v="5"/>
      <x v="79"/>
    </i>
    <i>
      <x v="222"/>
      <x v="359"/>
      <x/>
      <x v="5"/>
      <x v="8"/>
    </i>
    <i>
      <x v="223"/>
      <x v="143"/>
      <x v="8"/>
      <x v="10"/>
      <x v="86"/>
    </i>
    <i>
      <x v="224"/>
      <x v="214"/>
      <x v="8"/>
      <x v="10"/>
      <x v="110"/>
    </i>
    <i>
      <x v="225"/>
      <x v="143"/>
      <x v="1"/>
      <x v="4"/>
      <x v="86"/>
    </i>
    <i>
      <x v="226"/>
      <x v="100"/>
      <x v="1"/>
      <x v="8"/>
      <x v="90"/>
    </i>
    <i r="1">
      <x v="307"/>
      <x/>
      <x v="5"/>
      <x v="56"/>
    </i>
    <i>
      <x v="227"/>
      <x v="67"/>
      <x v="8"/>
      <x v="10"/>
      <x v="86"/>
    </i>
    <i r="1">
      <x v="335"/>
      <x v="1"/>
      <x v="4"/>
      <x v="110"/>
    </i>
    <i>
      <x v="228"/>
      <x v="1"/>
      <x v="8"/>
      <x v="10"/>
      <x v="86"/>
    </i>
    <i r="1">
      <x v="208"/>
      <x/>
      <x v="5"/>
      <x v="12"/>
    </i>
    <i>
      <x v="229"/>
      <x v="224"/>
      <x/>
      <x v="7"/>
      <x v="46"/>
    </i>
    <i>
      <x v="230"/>
      <x v="133"/>
      <x/>
      <x v="5"/>
      <x v="45"/>
    </i>
    <i r="1">
      <x v="216"/>
      <x v="8"/>
      <x v="4"/>
      <x v="110"/>
    </i>
    <i>
      <x v="231"/>
      <x v="133"/>
      <x/>
      <x v="5"/>
      <x v="45"/>
    </i>
    <i r="1">
      <x v="335"/>
      <x v="1"/>
      <x v="4"/>
      <x v="110"/>
    </i>
    <i>
      <x v="232"/>
      <x v="71"/>
      <x/>
      <x v="5"/>
      <x v="72"/>
    </i>
    <i r="1">
      <x v="195"/>
      <x/>
      <x v="5"/>
      <x v="88"/>
    </i>
    <i r="1">
      <x v="357"/>
      <x/>
      <x v="5"/>
      <x v="8"/>
    </i>
    <i>
      <x v="233"/>
      <x v="217"/>
      <x v="3"/>
      <x v="8"/>
      <x v="34"/>
    </i>
    <i>
      <x v="234"/>
      <x v="204"/>
      <x v="3"/>
      <x v="8"/>
      <x v="13"/>
    </i>
    <i>
      <x v="235"/>
      <x v="194"/>
      <x v="8"/>
      <x v="10"/>
      <x v="86"/>
    </i>
    <i r="1">
      <x v="308"/>
      <x v="8"/>
      <x v="10"/>
      <x v="86"/>
    </i>
    <i>
      <x v="236"/>
      <x v="19"/>
      <x v="8"/>
      <x v="10"/>
      <x v="86"/>
    </i>
    <i r="1">
      <x v="204"/>
      <x v="1"/>
      <x v="4"/>
      <x v="110"/>
    </i>
    <i>
      <x v="237"/>
      <x v="238"/>
      <x v="1"/>
      <x v="4"/>
      <x v="86"/>
    </i>
    <i>
      <x v="238"/>
      <x v="357"/>
      <x/>
      <x v="5"/>
      <x v="8"/>
    </i>
    <i>
      <x v="239"/>
      <x v="72"/>
      <x v="8"/>
      <x v="10"/>
      <x v="86"/>
    </i>
    <i r="1">
      <x v="238"/>
      <x v="1"/>
      <x v="4"/>
      <x v="86"/>
    </i>
    <i>
      <x v="240"/>
      <x v="317"/>
      <x v="8"/>
      <x v="10"/>
      <x v="86"/>
    </i>
    <i>
      <x v="241"/>
      <x v="19"/>
      <x v="8"/>
      <x v="10"/>
      <x v="86"/>
    </i>
    <i r="1">
      <x v="238"/>
      <x v="8"/>
      <x v="10"/>
      <x v="86"/>
    </i>
    <i>
      <x v="242"/>
      <x v="88"/>
      <x v="8"/>
      <x v="10"/>
      <x v="86"/>
    </i>
    <i>
      <x v="243"/>
      <x v="216"/>
      <x v="8"/>
      <x v="4"/>
      <x v="110"/>
    </i>
    <i>
      <x v="244"/>
      <x v="119"/>
      <x v="1"/>
      <x v="4"/>
      <x v="110"/>
    </i>
    <i>
      <x v="245"/>
      <x v="175"/>
      <x v="8"/>
      <x v="10"/>
      <x v="86"/>
    </i>
    <i r="1">
      <x v="204"/>
      <x v="1"/>
      <x v="4"/>
      <x v="86"/>
    </i>
    <i r="1">
      <x v="291"/>
      <x v="1"/>
      <x v="4"/>
      <x v="110"/>
    </i>
    <i r="1">
      <x v="299"/>
      <x v="8"/>
      <x v="10"/>
      <x v="110"/>
    </i>
    <i>
      <x v="246"/>
      <x v="291"/>
      <x v="1"/>
      <x v="4"/>
      <x v="110"/>
    </i>
    <i r="1">
      <x v="299"/>
      <x v="8"/>
      <x v="10"/>
      <x v="11"/>
    </i>
    <i>
      <x v="247"/>
      <x v="90"/>
      <x v="8"/>
      <x v="10"/>
      <x v="110"/>
    </i>
    <i r="1">
      <x v="119"/>
      <x v="8"/>
      <x v="10"/>
      <x v="110"/>
    </i>
    <i>
      <x v="248"/>
      <x v="64"/>
      <x v="3"/>
      <x v="8"/>
      <x v="60"/>
    </i>
    <i r="1">
      <x v="241"/>
      <x v="1"/>
      <x v="4"/>
      <x v="110"/>
    </i>
    <i r="1">
      <x v="294"/>
      <x v="1"/>
      <x v="4"/>
      <x v="110"/>
    </i>
    <i>
      <x v="249"/>
      <x v="238"/>
      <x v="1"/>
      <x v="4"/>
      <x v="86"/>
    </i>
    <i r="1">
      <x v="242"/>
      <x v="8"/>
      <x v="10"/>
      <x v="110"/>
    </i>
    <i r="1">
      <x v="294"/>
      <x v="8"/>
      <x v="4"/>
      <x v="110"/>
    </i>
    <i>
      <x v="250"/>
      <x v="27"/>
      <x v="8"/>
      <x v="10"/>
      <x v="86"/>
    </i>
    <i>
      <x v="251"/>
      <x v="70"/>
      <x/>
      <x v="5"/>
      <x v="112"/>
    </i>
    <i r="1">
      <x v="165"/>
      <x v="8"/>
      <x v="10"/>
      <x v="86"/>
    </i>
    <i>
      <x v="252"/>
      <x v="204"/>
      <x v="8"/>
      <x v="4"/>
      <x v="110"/>
    </i>
    <i>
      <x v="253"/>
      <x v="204"/>
      <x v="3"/>
      <x v="8"/>
      <x v="13"/>
    </i>
    <i r="1">
      <x v="315"/>
      <x/>
      <x v="5"/>
      <x v="111"/>
    </i>
    <i>
      <x v="254"/>
      <x v="167"/>
      <x v="8"/>
      <x v="10"/>
      <x v="110"/>
    </i>
    <i>
      <x v="255"/>
      <x v="204"/>
      <x/>
      <x v="5"/>
      <x v="106"/>
    </i>
    <i r="2">
      <x v="5"/>
      <x v="5"/>
      <x v="106"/>
    </i>
    <i>
      <x v="256"/>
      <x v="54"/>
      <x/>
      <x v="5"/>
      <x v="97"/>
    </i>
    <i>
      <x v="257"/>
      <x v="118"/>
      <x v="1"/>
      <x v="4"/>
      <x v="110"/>
    </i>
    <i>
      <x v="258"/>
      <x v="19"/>
      <x/>
      <x v="5"/>
      <x v="100"/>
    </i>
    <i r="1">
      <x v="181"/>
      <x/>
      <x v="5"/>
      <x v="24"/>
    </i>
    <i r="1">
      <x v="317"/>
      <x/>
      <x v="5"/>
      <x v="111"/>
    </i>
    <i r="1">
      <x v="335"/>
      <x v="1"/>
      <x v="4"/>
      <x v="110"/>
    </i>
    <i>
      <x v="259"/>
      <x v="194"/>
      <x v="8"/>
      <x v="10"/>
      <x v="86"/>
    </i>
    <i>
      <x v="260"/>
      <x v="66"/>
      <x/>
      <x v="5"/>
      <x v="96"/>
    </i>
    <i>
      <x v="261"/>
      <x v="216"/>
      <x v="8"/>
      <x v="4"/>
      <x v="110"/>
    </i>
    <i>
      <x v="262"/>
      <x v="43"/>
      <x v="6"/>
      <x v="4"/>
      <x v="110"/>
    </i>
    <i>
      <x v="263"/>
      <x v="204"/>
      <x/>
      <x v="5"/>
      <x v="77"/>
    </i>
    <i>
      <x v="264"/>
      <x v="302"/>
      <x v="1"/>
      <x v="4"/>
      <x v="110"/>
    </i>
    <i r="2">
      <x v="8"/>
      <x v="4"/>
      <x v="110"/>
    </i>
    <i>
      <x v="265"/>
      <x v="294"/>
      <x v="1"/>
      <x v="4"/>
      <x v="110"/>
    </i>
    <i r="2">
      <x v="8"/>
      <x v="4"/>
      <x v="110"/>
    </i>
    <i>
      <x v="266"/>
      <x v="327"/>
      <x/>
      <x v="5"/>
      <x v="49"/>
    </i>
    <i>
      <x v="267"/>
      <x v="218"/>
      <x/>
      <x v="5"/>
      <x v="10"/>
    </i>
    <i>
      <x v="268"/>
      <x v="335"/>
      <x v="1"/>
      <x v="4"/>
      <x v="110"/>
    </i>
    <i>
      <x v="269"/>
      <x v="147"/>
      <x v="8"/>
      <x v="4"/>
      <x v="82"/>
    </i>
    <i r="1">
      <x v="308"/>
      <x/>
      <x v="5"/>
      <x v="72"/>
    </i>
    <i>
      <x v="270"/>
      <x v="126"/>
      <x v="3"/>
      <x v="4"/>
      <x v="82"/>
    </i>
    <i>
      <x v="271"/>
      <x v="224"/>
      <x/>
      <x v="5"/>
      <x v="46"/>
    </i>
    <i>
      <x v="272"/>
      <x v="83"/>
      <x v="8"/>
      <x v="4"/>
      <x v="82"/>
    </i>
    <i>
      <x v="273"/>
      <x v="54"/>
      <x v="8"/>
      <x v="4"/>
      <x v="82"/>
    </i>
    <i>
      <x v="274"/>
      <x v="234"/>
      <x v="8"/>
      <x v="4"/>
      <x v="82"/>
    </i>
    <i>
      <x v="275"/>
      <x v="18"/>
      <x v="1"/>
      <x v="4"/>
      <x v="82"/>
    </i>
    <i>
      <x v="276"/>
      <x v="170"/>
      <x v="8"/>
      <x v="4"/>
      <x v="110"/>
    </i>
    <i>
      <x v="277"/>
      <x v="93"/>
      <x v="8"/>
      <x v="4"/>
      <x v="82"/>
    </i>
    <i>
      <x v="278"/>
      <x v="167"/>
      <x v="8"/>
      <x v="4"/>
      <x v="110"/>
    </i>
    <i>
      <x v="279"/>
      <x v="87"/>
      <x v="10"/>
      <x v="8"/>
      <x v="5"/>
    </i>
    <i>
      <x v="280"/>
      <x v="18"/>
      <x v="1"/>
      <x v="4"/>
      <x v="110"/>
    </i>
    <i>
      <x v="281"/>
      <x v="335"/>
      <x v="1"/>
      <x v="4"/>
      <x v="110"/>
    </i>
    <i>
      <x v="282"/>
      <x v="41"/>
      <x/>
      <x v="5"/>
      <x v="48"/>
    </i>
    <i>
      <x v="283"/>
      <x v="139"/>
      <x/>
      <x v="5"/>
      <x v="72"/>
    </i>
    <i r="1">
      <x v="267"/>
      <x v="1"/>
      <x v="4"/>
      <x v="110"/>
    </i>
    <i r="2">
      <x v="8"/>
      <x v="4"/>
      <x v="110"/>
    </i>
    <i>
      <x v="284"/>
      <x v="165"/>
      <x v="8"/>
      <x v="4"/>
      <x v="82"/>
    </i>
    <i r="1">
      <x v="303"/>
      <x v="1"/>
      <x v="4"/>
      <x v="110"/>
    </i>
    <i r="1">
      <x v="310"/>
      <x v="1"/>
      <x v="4"/>
      <x v="110"/>
    </i>
    <i r="2">
      <x v="8"/>
      <x v="4"/>
      <x v="110"/>
    </i>
    <i>
      <x v="285"/>
      <x v="107"/>
      <x v="3"/>
      <x v="4"/>
      <x v="29"/>
    </i>
    <i r="1">
      <x v="192"/>
      <x v="1"/>
      <x v="4"/>
      <x v="110"/>
    </i>
    <i r="2">
      <x v="8"/>
      <x v="4"/>
      <x v="110"/>
    </i>
    <i r="1">
      <x v="309"/>
      <x v="8"/>
      <x v="4"/>
      <x v="110"/>
    </i>
    <i>
      <x v="286"/>
      <x v="204"/>
      <x v="1"/>
      <x v="4"/>
      <x v="82"/>
    </i>
    <i>
      <x v="287"/>
      <x v="269"/>
      <x v="8"/>
      <x v="4"/>
      <x v="82"/>
    </i>
    <i>
      <x v="288"/>
      <x v="102"/>
      <x v="8"/>
      <x v="4"/>
      <x v="82"/>
    </i>
    <i r="1">
      <x v="107"/>
      <x/>
      <x v="5"/>
      <x v="27"/>
    </i>
    <i r="1">
      <x v="296"/>
      <x v="8"/>
      <x v="4"/>
      <x v="110"/>
    </i>
    <i>
      <x v="289"/>
      <x v="129"/>
      <x/>
      <x v="5"/>
      <x v="108"/>
    </i>
    <i r="1">
      <x v="204"/>
      <x v="8"/>
      <x v="4"/>
      <x v="82"/>
    </i>
    <i>
      <x v="290"/>
      <x v="93"/>
      <x v="1"/>
      <x v="4"/>
      <x v="82"/>
    </i>
    <i r="2">
      <x v="8"/>
      <x v="4"/>
      <x v="82"/>
    </i>
    <i r="1">
      <x v="318"/>
      <x v="8"/>
      <x v="4"/>
      <x v="110"/>
    </i>
    <i>
      <x v="291"/>
      <x v="126"/>
      <x v="2"/>
      <x v="8"/>
      <x v="82"/>
    </i>
    <i>
      <x v="292"/>
      <x v="8"/>
      <x v="1"/>
      <x v="4"/>
      <x v="110"/>
    </i>
    <i r="1">
      <x v="204"/>
      <x v="3"/>
      <x v="8"/>
      <x v="13"/>
    </i>
    <i r="2">
      <x v="5"/>
      <x v="8"/>
      <x v="13"/>
    </i>
    <i>
      <x v="293"/>
      <x v="288"/>
      <x v="8"/>
      <x v="4"/>
      <x v="110"/>
    </i>
    <i>
      <x v="294"/>
      <x v="60"/>
      <x v="3"/>
      <x v="8"/>
      <x v="60"/>
    </i>
    <i r="1">
      <x v="115"/>
      <x v="1"/>
      <x v="8"/>
      <x v="104"/>
    </i>
    <i r="1">
      <x v="170"/>
      <x v="8"/>
      <x v="4"/>
      <x v="110"/>
    </i>
    <i r="1">
      <x v="328"/>
      <x v="8"/>
      <x v="4"/>
      <x v="110"/>
    </i>
    <i>
      <x v="295"/>
      <x v="88"/>
      <x v="8"/>
      <x v="4"/>
      <x v="110"/>
    </i>
    <i r="1">
      <x v="202"/>
      <x v="6"/>
      <x v="4"/>
      <x v="110"/>
    </i>
    <i>
      <x v="296"/>
      <x v="22"/>
      <x v="8"/>
      <x v="4"/>
      <x v="110"/>
    </i>
    <i r="1">
      <x v="176"/>
      <x v="8"/>
      <x v="4"/>
      <x v="110"/>
    </i>
    <i r="1">
      <x v="177"/>
      <x v="8"/>
      <x v="4"/>
      <x v="110"/>
    </i>
    <i>
      <x v="297"/>
      <x v="77"/>
      <x v="1"/>
      <x v="4"/>
      <x v="110"/>
    </i>
    <i r="1">
      <x v="187"/>
      <x v="8"/>
      <x v="4"/>
      <x v="82"/>
    </i>
    <i>
      <x v="298"/>
      <x v="22"/>
      <x v="8"/>
      <x v="4"/>
      <x v="110"/>
    </i>
    <i>
      <x v="299"/>
      <x v="22"/>
      <x v="8"/>
      <x v="4"/>
      <x v="82"/>
    </i>
    <i>
      <x v="300"/>
      <x v="77"/>
      <x v="8"/>
      <x v="4"/>
      <x v="110"/>
    </i>
    <i>
      <x v="301"/>
      <x v="204"/>
      <x v="1"/>
      <x v="4"/>
      <x v="82"/>
    </i>
    <i>
      <x v="302"/>
      <x v="204"/>
      <x v="8"/>
      <x v="4"/>
      <x v="82"/>
    </i>
    <i>
      <x v="303"/>
      <x v="225"/>
      <x v="1"/>
      <x v="4"/>
      <x v="110"/>
    </i>
    <i>
      <x v="304"/>
      <x v="13"/>
      <x v="6"/>
      <x v="4"/>
      <x v="110"/>
    </i>
    <i r="1">
      <x v="226"/>
      <x v="8"/>
      <x v="4"/>
      <x v="110"/>
    </i>
    <i r="1">
      <x v="227"/>
      <x v="8"/>
      <x v="4"/>
      <x v="110"/>
    </i>
    <i>
      <x v="305"/>
      <x v="343"/>
      <x v="1"/>
      <x v="4"/>
      <x v="82"/>
    </i>
    <i>
      <x v="306"/>
      <x v="204"/>
      <x v="1"/>
      <x v="4"/>
      <x v="82"/>
    </i>
    <i>
      <x v="307"/>
      <x v="204"/>
      <x v="8"/>
      <x v="4"/>
      <x v="82"/>
    </i>
    <i>
      <x v="308"/>
      <x v="113"/>
      <x/>
      <x v="5"/>
      <x v="69"/>
    </i>
    <i r="1">
      <x v="194"/>
      <x v="8"/>
      <x v="4"/>
      <x v="82"/>
    </i>
    <i r="1">
      <x v="221"/>
      <x v="1"/>
      <x v="4"/>
      <x v="82"/>
    </i>
    <i>
      <x v="309"/>
      <x v="151"/>
      <x v="8"/>
      <x v="4"/>
      <x v="110"/>
    </i>
    <i r="1">
      <x v="221"/>
      <x v="8"/>
      <x v="4"/>
      <x v="82"/>
    </i>
    <i>
      <x v="310"/>
      <x v="343"/>
      <x v="8"/>
      <x v="4"/>
      <x v="82"/>
    </i>
    <i>
      <x v="311"/>
      <x v="2"/>
      <x v="1"/>
      <x v="4"/>
      <x v="110"/>
    </i>
    <i r="2">
      <x v="8"/>
      <x v="4"/>
      <x v="110"/>
    </i>
    <i r="1">
      <x v="259"/>
      <x v="8"/>
      <x v="4"/>
      <x v="110"/>
    </i>
    <i>
      <x v="312"/>
      <x v="44"/>
      <x v="8"/>
      <x v="4"/>
      <x v="82"/>
    </i>
    <i>
      <x v="313"/>
      <x v="348"/>
      <x v="8"/>
      <x v="4"/>
      <x v="110"/>
    </i>
    <i>
      <x v="314"/>
      <x v="88"/>
      <x v="8"/>
      <x v="4"/>
      <x v="110"/>
    </i>
    <i r="1">
      <x v="174"/>
      <x v="1"/>
      <x v="4"/>
      <x v="110"/>
    </i>
    <i r="2">
      <x v="8"/>
      <x v="4"/>
      <x v="110"/>
    </i>
    <i r="1">
      <x v="204"/>
      <x v="3"/>
      <x v="8"/>
      <x v="13"/>
    </i>
    <i r="1">
      <x v="318"/>
      <x v="1"/>
      <x v="4"/>
      <x v="110"/>
    </i>
    <i r="2">
      <x v="8"/>
      <x v="4"/>
      <x v="110"/>
    </i>
    <i r="1">
      <x v="359"/>
      <x/>
      <x v="5"/>
      <x v="69"/>
    </i>
    <i>
      <x v="315"/>
      <x v="163"/>
      <x v="1"/>
      <x v="4"/>
      <x v="110"/>
    </i>
    <i r="1">
      <x v="164"/>
      <x v="8"/>
      <x v="4"/>
      <x v="110"/>
    </i>
    <i>
      <x v="316"/>
      <x v="22"/>
      <x v="8"/>
      <x v="4"/>
      <x v="110"/>
    </i>
    <i r="1">
      <x v="270"/>
      <x v="8"/>
      <x v="4"/>
      <x v="110"/>
    </i>
    <i>
      <x v="317"/>
      <x v="28"/>
      <x v="6"/>
      <x v="4"/>
      <x v="110"/>
    </i>
    <i r="1">
      <x v="228"/>
      <x/>
      <x v="5"/>
      <x v="44"/>
    </i>
    <i>
      <x v="318"/>
      <x v="166"/>
      <x v="8"/>
      <x v="4"/>
      <x v="110"/>
    </i>
    <i r="1">
      <x v="234"/>
      <x v="8"/>
      <x v="8"/>
      <x v="90"/>
    </i>
    <i>
      <x v="319"/>
      <x v="22"/>
      <x v="8"/>
      <x v="4"/>
      <x v="110"/>
    </i>
    <i r="1">
      <x v="204"/>
      <x v="5"/>
      <x v="5"/>
      <x v="106"/>
    </i>
    <i r="1">
      <x v="332"/>
      <x/>
      <x v="5"/>
      <x v="8"/>
    </i>
    <i>
      <x v="320"/>
      <x v="22"/>
      <x v="8"/>
      <x v="4"/>
      <x v="110"/>
    </i>
    <i>
      <x v="321"/>
      <x v="149"/>
      <x v="8"/>
      <x v="4"/>
      <x v="82"/>
    </i>
    <i>
      <x v="322"/>
      <x v="60"/>
      <x v="8"/>
      <x v="4"/>
      <x v="104"/>
    </i>
    <i>
      <x v="323"/>
      <x v="320"/>
      <x/>
      <x v="5"/>
      <x v="36"/>
    </i>
    <i>
      <x v="324"/>
      <x v="231"/>
      <x v="1"/>
      <x v="4"/>
      <x v="104"/>
    </i>
    <i r="2">
      <x v="8"/>
      <x v="4"/>
      <x v="104"/>
    </i>
    <i>
      <x v="325"/>
      <x v="190"/>
      <x v="6"/>
      <x v="4"/>
      <x v="104"/>
    </i>
    <i r="1">
      <x v="318"/>
      <x v="1"/>
      <x v="4"/>
      <x v="82"/>
    </i>
    <i r="2">
      <x v="8"/>
      <x v="4"/>
      <x v="82"/>
    </i>
    <i r="1">
      <x v="346"/>
      <x v="1"/>
      <x v="4"/>
      <x v="82"/>
    </i>
    <i r="2">
      <x v="8"/>
      <x v="4"/>
      <x v="82"/>
    </i>
    <i>
      <x v="326"/>
      <x v="22"/>
      <x/>
      <x v="4"/>
      <x v="63"/>
    </i>
    <i r="1">
      <x v="112"/>
      <x v="1"/>
      <x v="4"/>
      <x v="110"/>
    </i>
    <i r="1">
      <x v="191"/>
      <x v="6"/>
      <x v="4"/>
      <x v="110"/>
    </i>
    <i r="1">
      <x v="262"/>
      <x v="1"/>
      <x v="4"/>
      <x v="82"/>
    </i>
    <i r="3">
      <x v="8"/>
      <x v="90"/>
    </i>
    <i r="1">
      <x v="274"/>
      <x v="8"/>
      <x v="4"/>
      <x v="104"/>
    </i>
    <i r="1">
      <x v="284"/>
      <x v="8"/>
      <x v="4"/>
      <x v="82"/>
    </i>
    <i>
      <x v="327"/>
      <x v="262"/>
      <x v="1"/>
      <x v="8"/>
      <x v="90"/>
    </i>
    <i r="1">
      <x v="301"/>
      <x v="8"/>
      <x v="4"/>
      <x v="82"/>
    </i>
    <i r="1">
      <x v="345"/>
      <x v="1"/>
      <x v="4"/>
      <x v="82"/>
    </i>
    <i r="2">
      <x v="8"/>
      <x v="4"/>
      <x v="82"/>
    </i>
    <i>
      <x v="328"/>
      <x v="77"/>
      <x v="3"/>
      <x v="4"/>
      <x v="110"/>
    </i>
    <i>
      <x v="329"/>
      <x v="112"/>
      <x v="10"/>
      <x v="4"/>
      <x v="110"/>
    </i>
    <i r="1">
      <x v="277"/>
      <x v="1"/>
      <x v="4"/>
      <x v="82"/>
    </i>
    <i r="2">
      <x v="8"/>
      <x v="4"/>
      <x v="82"/>
    </i>
    <i>
      <x v="330"/>
      <x v="277"/>
      <x v="1"/>
      <x v="4"/>
      <x v="82"/>
    </i>
    <i r="2">
      <x v="8"/>
      <x v="4"/>
      <x v="82"/>
    </i>
    <i>
      <x v="331"/>
      <x v="201"/>
      <x v="1"/>
      <x v="4"/>
      <x v="110"/>
    </i>
    <i>
      <x v="332"/>
      <x v="324"/>
      <x v="1"/>
      <x v="4"/>
      <x v="110"/>
    </i>
    <i r="2">
      <x v="8"/>
      <x v="4"/>
      <x v="110"/>
    </i>
    <i>
      <x v="333"/>
      <x v="270"/>
      <x v="8"/>
      <x v="4"/>
      <x v="110"/>
    </i>
    <i>
      <x v="334"/>
      <x v="112"/>
      <x/>
      <x v="5"/>
      <x v="44"/>
    </i>
    <i>
      <x v="335"/>
      <x v="308"/>
      <x/>
      <x v="5"/>
      <x v="88"/>
    </i>
    <i>
      <x v="336"/>
      <x v="126"/>
      <x v="8"/>
      <x v="4"/>
      <x v="82"/>
    </i>
    <i r="1">
      <x v="168"/>
      <x v="1"/>
      <x v="4"/>
      <x v="82"/>
    </i>
    <i r="2">
      <x v="8"/>
      <x v="4"/>
      <x v="82"/>
    </i>
    <i r="1">
      <x v="339"/>
      <x v="8"/>
      <x v="4"/>
      <x v="82"/>
    </i>
    <i>
      <x v="337"/>
      <x v="204"/>
      <x v="3"/>
      <x v="8"/>
      <x v="13"/>
    </i>
    <i>
      <x v="338"/>
      <x v="333"/>
      <x/>
      <x v="5"/>
      <x v="20"/>
    </i>
    <i>
      <x v="339"/>
      <x v="14"/>
      <x v="8"/>
      <x v="4"/>
      <x v="110"/>
    </i>
    <i>
      <x v="340"/>
      <x v="49"/>
      <x v="8"/>
      <x v="4"/>
      <x v="82"/>
    </i>
    <i>
      <x v="341"/>
      <x v="64"/>
      <x v="3"/>
      <x v="8"/>
      <x v="60"/>
    </i>
    <i>
      <x v="342"/>
      <x v="204"/>
      <x v="1"/>
      <x v="4"/>
      <x v="82"/>
    </i>
    <i>
      <x v="343"/>
      <x v="10"/>
      <x v="1"/>
      <x v="4"/>
      <x v="110"/>
    </i>
    <i>
      <x v="344"/>
      <x v="256"/>
      <x v="1"/>
      <x v="4"/>
      <x v="110"/>
    </i>
    <i r="1">
      <x v="266"/>
      <x/>
      <x v="5"/>
      <x v="56"/>
    </i>
    <i>
      <x v="345"/>
      <x v="204"/>
      <x v="8"/>
      <x v="4"/>
      <x v="110"/>
    </i>
    <i>
      <x v="346"/>
      <x v="230"/>
      <x/>
      <x v="5"/>
      <x v="107"/>
    </i>
    <i>
      <x v="347"/>
      <x v="185"/>
      <x v="1"/>
      <x v="4"/>
      <x v="110"/>
    </i>
    <i>
      <x v="348"/>
      <x v="270"/>
      <x v="8"/>
      <x v="4"/>
      <x v="110"/>
    </i>
    <i>
      <x v="349"/>
      <x v="43"/>
      <x v="6"/>
      <x v="4"/>
      <x v="110"/>
    </i>
    <i>
      <x v="350"/>
      <x v="49"/>
      <x v="8"/>
      <x v="4"/>
      <x v="82"/>
    </i>
    <i r="1">
      <x v="186"/>
      <x/>
      <x v="5"/>
      <x v="91"/>
    </i>
    <i>
      <x v="351"/>
      <x v="199"/>
      <x v="6"/>
      <x v="4"/>
      <x v="110"/>
    </i>
    <i r="1">
      <x v="278"/>
      <x v="1"/>
      <x v="4"/>
      <x v="110"/>
    </i>
    <i r="2">
      <x v="8"/>
      <x v="4"/>
      <x v="110"/>
    </i>
    <i>
      <x v="352"/>
      <x v="260"/>
      <x v="8"/>
      <x v="4"/>
      <x v="110"/>
    </i>
    <i>
      <x v="353"/>
      <x v="318"/>
      <x v="1"/>
      <x v="4"/>
      <x v="110"/>
    </i>
    <i r="2">
      <x v="8"/>
      <x v="4"/>
      <x v="110"/>
    </i>
    <i>
      <x v="354"/>
      <x v="169"/>
      <x/>
      <x v="5"/>
      <x v="92"/>
    </i>
    <i>
      <x v="355"/>
      <x v="57"/>
      <x v="6"/>
      <x v="4"/>
      <x v="110"/>
    </i>
    <i r="1">
      <x v="211"/>
      <x v="1"/>
      <x v="4"/>
      <x v="110"/>
    </i>
    <i r="1">
      <x v="212"/>
      <x v="8"/>
      <x v="4"/>
      <x v="110"/>
    </i>
    <i r="1">
      <x v="270"/>
      <x v="8"/>
      <x v="4"/>
      <x v="110"/>
    </i>
    <i>
      <x v="356"/>
      <x v="63"/>
      <x v="3"/>
      <x v="8"/>
      <x v="55"/>
    </i>
    <i r="1">
      <x v="82"/>
      <x v="6"/>
      <x v="4"/>
      <x v="110"/>
    </i>
    <i r="1">
      <x v="204"/>
      <x v="3"/>
      <x v="8"/>
      <x v="74"/>
    </i>
    <i>
      <x v="357"/>
      <x v="95"/>
      <x v="6"/>
      <x v="4"/>
      <x v="110"/>
    </i>
    <i r="1">
      <x v="341"/>
      <x v="6"/>
      <x v="4"/>
      <x v="110"/>
    </i>
    <i>
      <x v="358"/>
      <x v="185"/>
      <x v="8"/>
      <x v="4"/>
      <x v="110"/>
    </i>
    <i>
      <x v="359"/>
      <x v="339"/>
      <x v="8"/>
      <x v="4"/>
      <x v="110"/>
    </i>
    <i>
      <x v="360"/>
      <x v="43"/>
      <x v="6"/>
      <x v="4"/>
      <x v="110"/>
    </i>
    <i r="1">
      <x v="335"/>
      <x v="6"/>
      <x v="4"/>
      <x v="110"/>
    </i>
    <i>
      <x v="361"/>
      <x v="250"/>
      <x/>
      <x v="5"/>
      <x v="65"/>
    </i>
    <i>
      <x v="362"/>
      <x v="193"/>
      <x/>
      <x v="5"/>
      <x v="61"/>
    </i>
    <i>
      <x v="363"/>
      <x v="188"/>
      <x v="8"/>
      <x v="4"/>
      <x v="110"/>
    </i>
    <i r="1">
      <x v="319"/>
      <x v="1"/>
      <x v="4"/>
      <x v="110"/>
    </i>
    <i r="2">
      <x v="8"/>
      <x v="4"/>
      <x v="110"/>
    </i>
    <i r="1">
      <x v="342"/>
      <x v="1"/>
      <x v="4"/>
      <x v="82"/>
    </i>
    <i>
      <x v="364"/>
      <x v="53"/>
      <x v="1"/>
      <x v="4"/>
      <x v="110"/>
    </i>
    <i r="2">
      <x v="8"/>
      <x v="4"/>
      <x v="110"/>
    </i>
    <i r="1">
      <x v="108"/>
      <x v="8"/>
      <x v="4"/>
      <x v="110"/>
    </i>
    <i>
      <x v="365"/>
      <x v="171"/>
      <x v="6"/>
      <x v="4"/>
      <x v="110"/>
    </i>
    <i r="1">
      <x v="204"/>
      <x v="1"/>
      <x v="4"/>
      <x v="110"/>
    </i>
    <i>
      <x v="366"/>
      <x v="308"/>
      <x v="8"/>
      <x v="4"/>
      <x v="110"/>
    </i>
    <i>
      <x v="367"/>
      <x v="342"/>
      <x v="8"/>
      <x v="4"/>
      <x v="110"/>
    </i>
    <i>
      <x v="368"/>
      <x v="46"/>
      <x v="8"/>
      <x v="4"/>
      <x v="110"/>
    </i>
    <i r="1">
      <x v="204"/>
      <x v="8"/>
      <x v="4"/>
      <x v="110"/>
    </i>
    <i>
      <x v="369"/>
      <x v="126"/>
      <x v="3"/>
      <x v="4"/>
      <x v="90"/>
    </i>
    <i>
      <x v="370"/>
      <x v="270"/>
      <x v="8"/>
      <x v="4"/>
      <x v="110"/>
    </i>
    <i>
      <x v="371"/>
      <x v="31"/>
      <x v="1"/>
      <x v="4"/>
      <x v="110"/>
    </i>
    <i r="2">
      <x v="8"/>
      <x v="4"/>
      <x v="110"/>
    </i>
    <i>
      <x v="372"/>
      <x v="204"/>
      <x v="3"/>
      <x v="8"/>
      <x v="74"/>
    </i>
    <i r="1">
      <x v="216"/>
      <x v="8"/>
      <x v="4"/>
      <x v="110"/>
    </i>
    <i>
      <x v="373"/>
      <x v="355"/>
      <x v="8"/>
      <x v="8"/>
      <x v="110"/>
    </i>
    <i>
      <x v="374"/>
      <x v="308"/>
      <x v="8"/>
      <x v="4"/>
      <x v="110"/>
    </i>
    <i>
      <x v="375"/>
      <x v="108"/>
      <x v="3"/>
      <x v="8"/>
      <x/>
    </i>
    <i>
      <x v="376"/>
      <x v="204"/>
      <x v="8"/>
      <x v="4"/>
      <x v="110"/>
    </i>
    <i>
      <x v="377"/>
      <x v="204"/>
      <x v="3"/>
      <x v="8"/>
      <x v="74"/>
    </i>
    <i>
      <x v="378"/>
      <x v="43"/>
      <x v="10"/>
      <x v="4"/>
      <x v="110"/>
    </i>
    <i r="1">
      <x v="131"/>
      <x v="8"/>
      <x v="4"/>
      <x v="110"/>
    </i>
    <i r="1">
      <x v="194"/>
      <x v="8"/>
      <x v="4"/>
      <x v="110"/>
    </i>
    <i>
      <x v="379"/>
      <x v="50"/>
      <x v="8"/>
      <x v="4"/>
      <x v="110"/>
    </i>
    <i r="1">
      <x v="103"/>
      <x v="8"/>
      <x v="4"/>
      <x v="110"/>
    </i>
    <i>
      <x v="380"/>
      <x v="111"/>
      <x v="8"/>
      <x v="4"/>
      <x v="110"/>
    </i>
    <i>
      <x v="381"/>
      <x v="203"/>
      <x v="8"/>
      <x v="4"/>
      <x v="110"/>
    </i>
    <i>
      <x v="382"/>
      <x v="114"/>
      <x v="10"/>
      <x v="8"/>
      <x v="55"/>
    </i>
    <i r="1">
      <x v="204"/>
      <x v="3"/>
      <x v="8"/>
      <x v="74"/>
    </i>
    <i>
      <x v="383"/>
      <x v="17"/>
      <x v="1"/>
      <x v="4"/>
      <x v="110"/>
    </i>
    <i r="1">
      <x v="110"/>
      <x v="8"/>
      <x v="4"/>
      <x v="110"/>
    </i>
    <i r="1">
      <x v="111"/>
      <x v="8"/>
      <x v="4"/>
      <x v="82"/>
    </i>
    <i r="1">
      <x v="298"/>
      <x v="1"/>
      <x v="4"/>
      <x v="110"/>
    </i>
    <i r="2">
      <x v="8"/>
      <x v="4"/>
      <x v="110"/>
    </i>
    <i r="1">
      <x v="353"/>
      <x v="6"/>
      <x v="4"/>
      <x v="110"/>
    </i>
    <i>
      <x v="384"/>
      <x v="113"/>
      <x/>
      <x v="5"/>
      <x v="109"/>
    </i>
    <i>
      <x v="385"/>
      <x v="204"/>
      <x v="3"/>
      <x v="8"/>
      <x v="74"/>
    </i>
    <i>
      <x v="386"/>
      <x v="106"/>
      <x v="6"/>
      <x v="4"/>
      <x v="110"/>
    </i>
    <i>
      <x v="387"/>
      <x v="290"/>
      <x v="5"/>
      <x v="5"/>
      <x v="90"/>
    </i>
    <i r="1">
      <x v="307"/>
      <x/>
      <x v="5"/>
      <x v="8"/>
    </i>
    <i>
      <x v="388"/>
      <x v="101"/>
      <x v="8"/>
      <x v="4"/>
      <x v="82"/>
    </i>
    <i>
      <x v="389"/>
      <x v="147"/>
      <x v="8"/>
      <x v="4"/>
      <x v="110"/>
    </i>
    <i>
      <x v="390"/>
      <x v="234"/>
      <x v="8"/>
      <x v="4"/>
      <x v="82"/>
    </i>
    <i r="1">
      <x v="317"/>
      <x v="8"/>
      <x v="4"/>
      <x v="82"/>
    </i>
    <i>
      <x v="391"/>
      <x v="232"/>
      <x v="8"/>
      <x v="4"/>
      <x v="110"/>
    </i>
    <i>
      <x v="392"/>
      <x v="182"/>
      <x v="8"/>
      <x v="4"/>
      <x v="82"/>
    </i>
    <i>
      <x v="393"/>
      <x v="110"/>
      <x v="8"/>
      <x v="4"/>
      <x v="110"/>
    </i>
    <i>
      <x v="394"/>
      <x v="292"/>
      <x v="1"/>
      <x v="4"/>
      <x v="110"/>
    </i>
    <i r="2">
      <x v="8"/>
      <x v="4"/>
      <x v="110"/>
    </i>
    <i>
      <x v="395"/>
      <x v="155"/>
      <x v="8"/>
      <x v="4"/>
      <x v="110"/>
    </i>
    <i>
      <x v="396"/>
      <x v="19"/>
      <x v="8"/>
      <x v="4"/>
      <x v="110"/>
    </i>
    <i r="1">
      <x v="35"/>
      <x v="1"/>
      <x v="4"/>
      <x v="110"/>
    </i>
    <i r="2">
      <x v="8"/>
      <x v="4"/>
      <x v="110"/>
    </i>
    <i>
      <x v="397"/>
      <x v="294"/>
      <x v="1"/>
      <x v="4"/>
      <x v="110"/>
    </i>
    <i r="2">
      <x v="8"/>
      <x v="4"/>
      <x v="110"/>
    </i>
    <i r="1">
      <x v="318"/>
      <x/>
      <x v="5"/>
      <x v="102"/>
    </i>
    <i>
      <x v="398"/>
      <x v="81"/>
      <x v="8"/>
      <x v="4"/>
      <x v="110"/>
    </i>
    <i r="1">
      <x v="110"/>
      <x v="8"/>
      <x v="4"/>
      <x v="110"/>
    </i>
    <i>
      <x v="399"/>
      <x v="224"/>
      <x/>
      <x v="5"/>
      <x v="111"/>
    </i>
    <i>
      <x v="400"/>
      <x v="327"/>
      <x v="8"/>
      <x v="4"/>
      <x v="110"/>
    </i>
    <i>
      <x v="401"/>
      <x v="210"/>
      <x v="8"/>
      <x v="4"/>
      <x v="82"/>
    </i>
    <i r="1">
      <x v="324"/>
      <x v="1"/>
      <x v="4"/>
      <x v="82"/>
    </i>
    <i>
      <x v="402"/>
      <x v="19"/>
      <x v="8"/>
      <x v="4"/>
      <x v="110"/>
    </i>
    <i r="1">
      <x v="274"/>
      <x v="8"/>
      <x v="4"/>
      <x v="110"/>
    </i>
    <i>
      <x v="403"/>
      <x v="52"/>
      <x v="8"/>
      <x v="4"/>
      <x v="110"/>
    </i>
    <i r="1">
      <x v="314"/>
      <x/>
      <x v="5"/>
      <x v="69"/>
    </i>
    <i>
      <x v="404"/>
      <x v="169"/>
      <x/>
      <x v="5"/>
      <x v="109"/>
    </i>
    <i r="1">
      <x v="317"/>
      <x/>
      <x v="5"/>
      <x v="25"/>
    </i>
    <i>
      <x v="405"/>
      <x v="204"/>
      <x/>
      <x v="5"/>
      <x v="109"/>
    </i>
    <i>
      <x v="406"/>
      <x v="204"/>
      <x v="3"/>
      <x v="8"/>
      <x v="19"/>
    </i>
    <i>
      <x v="407"/>
      <x v="22"/>
      <x v="8"/>
      <x v="4"/>
      <x v="82"/>
    </i>
    <i r="1">
      <x v="204"/>
      <x/>
      <x v="5"/>
      <x v="25"/>
    </i>
    <i>
      <x v="408"/>
      <x v="204"/>
      <x/>
      <x v="5"/>
      <x v="25"/>
    </i>
    <i>
      <x v="409"/>
      <x v="51"/>
      <x/>
      <x v="5"/>
      <x v="25"/>
    </i>
    <i r="1">
      <x v="204"/>
      <x/>
      <x v="5"/>
      <x v="25"/>
    </i>
    <i>
      <x v="410"/>
      <x v="7"/>
      <x v="1"/>
      <x v="4"/>
      <x v="110"/>
    </i>
    <i r="1">
      <x v="204"/>
      <x v="1"/>
      <x v="4"/>
      <x v="110"/>
    </i>
    <i>
      <x v="411"/>
      <x v="204"/>
      <x v="3"/>
      <x v="4"/>
      <x v="74"/>
    </i>
    <i>
      <x v="412"/>
      <x v="204"/>
      <x v="1"/>
      <x v="4"/>
      <x v="74"/>
    </i>
    <i>
      <x v="413"/>
      <x v="204"/>
      <x v="8"/>
      <x v="4"/>
      <x v="110"/>
    </i>
    <i>
      <x v="414"/>
      <x v="216"/>
      <x v="8"/>
      <x v="4"/>
      <x v="110"/>
    </i>
    <i>
      <x v="415"/>
      <x v="139"/>
      <x/>
      <x v="5"/>
      <x v="25"/>
    </i>
    <i>
      <x v="416"/>
      <x v="204"/>
      <x v="3"/>
      <x v="8"/>
      <x v="74"/>
    </i>
    <i>
      <x v="417"/>
      <x v="204"/>
      <x v="8"/>
      <x v="8"/>
      <x v="74"/>
    </i>
    <i>
      <x v="418"/>
      <x v="183"/>
      <x v="8"/>
      <x v="4"/>
      <x v="110"/>
    </i>
    <i r="1">
      <x v="271"/>
      <x v="8"/>
      <x v="4"/>
      <x v="110"/>
    </i>
    <i>
      <x v="419"/>
      <x v="150"/>
      <x/>
      <x v="5"/>
      <x v="25"/>
    </i>
    <i>
      <x v="420"/>
      <x v="328"/>
      <x v="8"/>
      <x v="4"/>
      <x v="110"/>
    </i>
    <i>
      <x v="421"/>
      <x v="14"/>
      <x v="8"/>
      <x v="4"/>
      <x v="110"/>
    </i>
    <i r="1">
      <x v="204"/>
      <x v="3"/>
      <x v="8"/>
      <x v="74"/>
    </i>
    <i>
      <x v="422"/>
      <x v="25"/>
      <x/>
      <x v="5"/>
      <x v="25"/>
    </i>
    <i>
      <x v="423"/>
      <x v="22"/>
      <x v="8"/>
      <x v="4"/>
      <x v="110"/>
    </i>
    <i>
      <x v="424"/>
      <x v="145"/>
      <x/>
      <x v="5"/>
      <x v="25"/>
    </i>
    <i r="1">
      <x v="147"/>
      <x v="8"/>
      <x v="4"/>
      <x v="110"/>
    </i>
    <i>
      <x v="425"/>
      <x v="312"/>
      <x v="8"/>
      <x v="4"/>
      <x v="110"/>
    </i>
    <i r="1">
      <x v="347"/>
      <x v="1"/>
      <x v="4"/>
      <x v="110"/>
    </i>
    <i>
      <x v="426"/>
      <x v="26"/>
      <x v="1"/>
      <x v="4"/>
      <x v="110"/>
    </i>
    <i r="1">
      <x v="213"/>
      <x v="8"/>
      <x v="4"/>
      <x v="110"/>
    </i>
    <i>
      <x v="427"/>
      <x v="29"/>
      <x v="8"/>
      <x v="4"/>
      <x v="110"/>
    </i>
    <i>
      <x v="428"/>
      <x v="34"/>
      <x v="1"/>
      <x v="4"/>
      <x v="110"/>
    </i>
    <i r="1">
      <x v="69"/>
      <x v="6"/>
      <x v="4"/>
      <x v="82"/>
    </i>
    <i r="1">
      <x v="235"/>
      <x/>
      <x v="5"/>
      <x v="87"/>
    </i>
    <i>
      <x v="429"/>
      <x v="245"/>
      <x v="1"/>
      <x v="4"/>
      <x v="110"/>
    </i>
    <i>
      <x v="430"/>
      <x v="130"/>
      <x v="8"/>
      <x v="4"/>
      <x v="110"/>
    </i>
    <i r="1">
      <x v="245"/>
      <x v="8"/>
      <x v="4"/>
      <x v="110"/>
    </i>
    <i>
      <x v="431"/>
      <x v="300"/>
      <x v="8"/>
      <x v="4"/>
      <x v="110"/>
    </i>
    <i>
      <x v="432"/>
      <x v="11"/>
      <x v="1"/>
      <x v="4"/>
      <x v="110"/>
    </i>
    <i>
      <x v="433"/>
      <x v="256"/>
      <x v="8"/>
      <x v="4"/>
      <x v="110"/>
    </i>
    <i r="1">
      <x v="354"/>
      <x v="6"/>
      <x v="4"/>
      <x v="110"/>
    </i>
    <i>
      <x v="434"/>
      <x v="204"/>
      <x v="3"/>
      <x v="8"/>
      <x/>
    </i>
    <i>
      <x v="435"/>
      <x v="34"/>
      <x v="8"/>
      <x v="4"/>
      <x v="110"/>
    </i>
    <i>
      <x v="436"/>
      <x v="219"/>
      <x v="1"/>
      <x v="4"/>
      <x v="110"/>
    </i>
    <i r="1">
      <x v="344"/>
      <x v="1"/>
      <x v="4"/>
      <x v="110"/>
    </i>
    <i>
      <x v="437"/>
      <x v="23"/>
      <x v="6"/>
      <x v="4"/>
      <x v="110"/>
    </i>
    <i r="1">
      <x v="204"/>
      <x v="8"/>
      <x v="4"/>
      <x v="110"/>
    </i>
    <i r="1">
      <x v="354"/>
      <x v="6"/>
      <x v="4"/>
      <x v="110"/>
    </i>
    <i>
      <x v="438"/>
      <x v="204"/>
      <x/>
      <x v="5"/>
      <x v="87"/>
    </i>
    <i r="2">
      <x v="3"/>
      <x v="8"/>
      <x/>
    </i>
    <i r="1">
      <x v="219"/>
      <x v="8"/>
      <x v="4"/>
      <x v="110"/>
    </i>
    <i r="1">
      <x v="304"/>
      <x/>
      <x v="5"/>
      <x v="87"/>
    </i>
    <i r="2">
      <x v="5"/>
      <x v="5"/>
      <x v="87"/>
    </i>
    <i>
      <x v="439"/>
      <x v="10"/>
      <x v="8"/>
      <x v="4"/>
      <x v="110"/>
    </i>
    <i r="1">
      <x v="55"/>
      <x v="1"/>
      <x v="4"/>
      <x v="110"/>
    </i>
    <i r="2">
      <x v="8"/>
      <x v="4"/>
      <x v="110"/>
    </i>
    <i r="1">
      <x v="304"/>
      <x v="8"/>
      <x v="4"/>
      <x v="110"/>
    </i>
    <i r="1">
      <x v="311"/>
      <x v="6"/>
      <x v="4"/>
      <x v="82"/>
    </i>
    <i>
      <x v="440"/>
      <x v="204"/>
      <x v="5"/>
      <x v="5"/>
      <x v="87"/>
    </i>
    <i r="1">
      <x v="322"/>
      <x v="3"/>
      <x v="8"/>
      <x v="19"/>
    </i>
    <i>
      <x v="441"/>
      <x v="34"/>
      <x v="6"/>
      <x v="4"/>
      <x v="110"/>
    </i>
    <i>
      <x v="442"/>
      <x v="32"/>
      <x v="1"/>
      <x v="4"/>
      <x v="110"/>
    </i>
    <i r="2">
      <x v="8"/>
      <x v="4"/>
      <x v="110"/>
    </i>
    <i r="1">
      <x v="197"/>
      <x v="1"/>
      <x v="4"/>
      <x v="82"/>
    </i>
    <i r="2">
      <x v="8"/>
      <x v="4"/>
      <x v="82"/>
    </i>
    <i r="1">
      <x v="322"/>
      <x/>
      <x v="5"/>
      <x v="87"/>
    </i>
    <i>
      <x v="443"/>
      <x v="204"/>
      <x v="3"/>
      <x v="8"/>
      <x v="19"/>
    </i>
    <i>
      <x v="444"/>
      <x v="204"/>
      <x/>
      <x v="5"/>
      <x v="87"/>
    </i>
    <i>
      <x v="445"/>
      <x v="55"/>
      <x v="3"/>
      <x v="8"/>
      <x v="19"/>
    </i>
    <i r="1">
      <x v="204"/>
      <x/>
      <x v="5"/>
      <x v="87"/>
    </i>
    <i>
      <x v="446"/>
      <x v="204"/>
      <x v="1"/>
      <x v="4"/>
      <x v="82"/>
    </i>
    <i r="2">
      <x v="8"/>
      <x v="4"/>
      <x v="82"/>
    </i>
    <i r="1">
      <x v="304"/>
      <x v="5"/>
      <x v="5"/>
      <x v="64"/>
    </i>
    <i r="1">
      <x v="311"/>
      <x v="6"/>
      <x v="4"/>
      <x v="82"/>
    </i>
    <i>
      <x v="447"/>
      <x v="204"/>
      <x v="8"/>
      <x v="4"/>
      <x v="82"/>
    </i>
    <i>
      <x v="448"/>
      <x v="204"/>
      <x v="3"/>
      <x v="8"/>
      <x v="19"/>
    </i>
    <i>
      <x v="449"/>
      <x v="204"/>
      <x v="5"/>
      <x v="5"/>
      <x v="64"/>
    </i>
    <i>
      <x v="450"/>
      <x v="204"/>
      <x/>
      <x v="5"/>
      <x v="64"/>
    </i>
    <i r="1">
      <x v="364"/>
      <x v="1"/>
      <x v="4"/>
      <x v="110"/>
    </i>
    <i>
      <x v="451"/>
      <x v="204"/>
      <x v="3"/>
      <x v="8"/>
      <x v="19"/>
    </i>
    <i r="2">
      <x v="5"/>
      <x v="5"/>
      <x v="64"/>
    </i>
    <i r="2">
      <x v="8"/>
      <x v="4"/>
      <x v="110"/>
    </i>
    <i>
      <x v="452"/>
      <x v="215"/>
      <x v="8"/>
      <x v="4"/>
      <x v="110"/>
    </i>
    <i>
      <x v="453"/>
      <x v="186"/>
      <x v="8"/>
      <x v="4"/>
      <x v="110"/>
    </i>
    <i r="1">
      <x v="204"/>
      <x v="3"/>
      <x v="8"/>
      <x v="19"/>
    </i>
    <i r="2">
      <x v="8"/>
      <x v="4"/>
      <x v="110"/>
    </i>
    <i>
      <x v="454"/>
      <x v="204"/>
      <x/>
      <x v="5"/>
      <x v="22"/>
    </i>
    <i r="2">
      <x v="5"/>
      <x v="5"/>
      <x v="22"/>
    </i>
    <i>
      <x v="455"/>
      <x v="215"/>
      <x v="3"/>
      <x v="8"/>
      <x v="19"/>
    </i>
    <i>
      <x v="456"/>
      <x v="204"/>
      <x v="3"/>
      <x v="8"/>
      <x v="19"/>
    </i>
    <i r="1">
      <x v="364"/>
      <x v="1"/>
      <x v="4"/>
      <x v="110"/>
    </i>
    <i>
      <x v="457"/>
      <x v="204"/>
      <x v="8"/>
      <x v="4"/>
      <x v="82"/>
    </i>
    <i>
      <x v="458"/>
      <x v="364"/>
      <x v="1"/>
      <x v="4"/>
      <x v="110"/>
    </i>
    <i>
      <x v="459"/>
      <x v="204"/>
      <x v="8"/>
      <x v="4"/>
      <x v="110"/>
    </i>
    <i>
      <x v="460"/>
      <x v="204"/>
      <x v="3"/>
      <x v="8"/>
      <x v="19"/>
    </i>
    <i>
      <x v="461"/>
      <x v="204"/>
      <x v="3"/>
      <x v="8"/>
      <x v="19"/>
    </i>
    <i r="2">
      <x v="5"/>
      <x v="5"/>
      <x v="22"/>
    </i>
    <i>
      <x v="462"/>
      <x v="364"/>
      <x v="1"/>
      <x v="4"/>
      <x v="110"/>
    </i>
    <i>
      <x v="463"/>
      <x v="204"/>
      <x v="8"/>
      <x v="4"/>
      <x v="110"/>
    </i>
    <i r="1">
      <x v="364"/>
      <x v="1"/>
      <x v="4"/>
      <x v="110"/>
    </i>
    <i>
      <x v="464"/>
      <x v="152"/>
      <x/>
      <x v="5"/>
      <x v="22"/>
    </i>
    <i r="1">
      <x v="204"/>
      <x v="8"/>
      <x v="4"/>
      <x v="110"/>
    </i>
    <i>
      <x v="465"/>
      <x v="204"/>
      <x v="5"/>
      <x v="5"/>
      <x v="22"/>
    </i>
    <i>
      <x v="466"/>
      <x v="204"/>
      <x v="3"/>
      <x v="8"/>
      <x v="19"/>
    </i>
    <i>
      <x v="467"/>
      <x v="204"/>
      <x v="5"/>
      <x v="5"/>
      <x v="22"/>
    </i>
    <i>
      <x v="468"/>
      <x v="205"/>
      <x v="5"/>
      <x v="5"/>
      <x v="22"/>
    </i>
    <i r="1">
      <x v="304"/>
      <x v="5"/>
      <x v="5"/>
      <x v="22"/>
    </i>
    <i>
      <x v="469"/>
      <x v="204"/>
      <x v="3"/>
      <x v="8"/>
      <x v="19"/>
    </i>
    <i>
      <x v="470"/>
      <x v="204"/>
      <x/>
      <x v="1"/>
      <x v="67"/>
    </i>
    <i>
      <x v="471"/>
      <x v="49"/>
      <x v="8"/>
      <x v="4"/>
      <x v="110"/>
    </i>
    <i r="1">
      <x v="204"/>
      <x v="5"/>
      <x v="5"/>
      <x v="22"/>
    </i>
    <i r="1">
      <x v="276"/>
      <x/>
      <x v="1"/>
      <x v="67"/>
    </i>
    <i>
      <x v="472"/>
      <x v="104"/>
      <x v="5"/>
      <x v="10"/>
      <x v="116"/>
    </i>
    <i r="1">
      <x v="325"/>
      <x/>
      <x v="1"/>
      <x v="67"/>
    </i>
    <i>
      <x v="473"/>
      <x v="342"/>
      <x v="1"/>
      <x v="4"/>
      <x v="110"/>
    </i>
    <i r="1">
      <x v="352"/>
      <x v="1"/>
      <x v="4"/>
      <x v="110"/>
    </i>
    <i>
      <x v="474"/>
      <x v="204"/>
      <x v="3"/>
      <x v="8"/>
      <x v="19"/>
    </i>
    <i>
      <x v="475"/>
      <x v="204"/>
      <x/>
      <x v="1"/>
      <x v="67"/>
    </i>
    <i r="2">
      <x v="5"/>
      <x v="1"/>
      <x v="67"/>
    </i>
    <i>
      <x v="476"/>
      <x v="141"/>
      <x v="8"/>
      <x v="4"/>
      <x v="110"/>
    </i>
    <i>
      <x v="477"/>
      <x v="204"/>
      <x v="3"/>
      <x v="8"/>
      <x v="19"/>
    </i>
    <i>
      <x v="478"/>
      <x v="205"/>
      <x v="5"/>
      <x v="1"/>
      <x v="76"/>
    </i>
    <i r="1">
      <x v="352"/>
      <x v="8"/>
      <x v="4"/>
      <x v="110"/>
    </i>
    <i>
      <x v="479"/>
      <x v="204"/>
      <x/>
      <x v="1"/>
      <x v="67"/>
    </i>
    <i>
      <x v="480"/>
      <x v="349"/>
      <x v="1"/>
      <x v="4"/>
      <x v="110"/>
    </i>
    <i>
      <x v="481"/>
      <x v="204"/>
      <x v="8"/>
      <x v="4"/>
      <x v="110"/>
    </i>
    <i>
      <x v="482"/>
      <x v="349"/>
      <x v="8"/>
      <x v="4"/>
      <x v="110"/>
    </i>
    <i>
      <x v="483"/>
      <x v="294"/>
      <x v="1"/>
      <x v="4"/>
      <x v="110"/>
    </i>
    <i>
      <x v="484"/>
      <x v="204"/>
      <x/>
      <x v="1"/>
      <x v="67"/>
    </i>
    <i>
      <x v="485"/>
      <x v="294"/>
      <x v="8"/>
      <x v="4"/>
      <x v="110"/>
    </i>
    <i>
      <x v="486"/>
      <x v="216"/>
      <x v="8"/>
      <x v="4"/>
      <x v="110"/>
    </i>
    <i>
      <x v="487"/>
      <x v="342"/>
      <x v="1"/>
      <x v="4"/>
      <x v="110"/>
    </i>
    <i>
      <x v="488"/>
      <x v="204"/>
      <x/>
      <x v="1"/>
      <x v="67"/>
    </i>
    <i r="2">
      <x v="5"/>
      <x v="1"/>
      <x v="67"/>
    </i>
    <i>
      <x v="489"/>
      <x v="204"/>
      <x/>
      <x v="1"/>
      <x v="67"/>
    </i>
    <i r="2">
      <x v="3"/>
      <x v="8"/>
      <x v="28"/>
    </i>
    <i>
      <x v="490"/>
      <x v="204"/>
      <x v="5"/>
      <x v="1"/>
      <x v="67"/>
    </i>
    <i>
      <x v="491"/>
      <x v="204"/>
      <x v="3"/>
      <x v="8"/>
      <x v="28"/>
    </i>
    <i r="1">
      <x v="229"/>
      <x/>
      <x v="5"/>
      <x v="104"/>
    </i>
    <i>
      <x v="492"/>
      <x v="229"/>
      <x/>
      <x v="2"/>
      <x v="110"/>
    </i>
    <i>
      <x v="493"/>
      <x v="276"/>
      <x/>
      <x v="5"/>
      <x v="43"/>
    </i>
    <i r="1">
      <x v="342"/>
      <x v="1"/>
      <x v="4"/>
      <x v="110"/>
    </i>
    <i>
      <x v="494"/>
      <x v="207"/>
      <x v="1"/>
      <x v="4"/>
      <x v="110"/>
    </i>
    <i>
      <x v="495"/>
      <x v="26"/>
      <x v="1"/>
      <x v="4"/>
      <x v="110"/>
    </i>
    <i r="2">
      <x v="8"/>
      <x v="4"/>
      <x v="110"/>
    </i>
    <i r="1">
      <x v="204"/>
      <x/>
      <x v="1"/>
      <x v="67"/>
    </i>
    <i>
      <x v="496"/>
      <x v="204"/>
      <x/>
      <x v="1"/>
      <x v="67"/>
    </i>
    <i>
      <x v="497"/>
      <x v="204"/>
      <x/>
      <x v="1"/>
      <x v="67"/>
    </i>
    <i>
      <x v="498"/>
      <x v="204"/>
      <x/>
      <x v="1"/>
      <x v="67"/>
    </i>
    <i>
      <x v="499"/>
      <x v="207"/>
      <x v="8"/>
      <x v="4"/>
      <x v="110"/>
    </i>
    <i>
      <x v="500"/>
      <x v="216"/>
      <x v="8"/>
      <x v="4"/>
      <x v="110"/>
    </i>
    <i>
      <x v="501"/>
      <x v="349"/>
      <x v="8"/>
      <x v="4"/>
      <x v="110"/>
    </i>
    <i>
      <x v="502"/>
      <x v="204"/>
      <x v="3"/>
      <x v="8"/>
      <x v="3"/>
    </i>
    <i>
      <x v="503"/>
      <x v="204"/>
      <x/>
      <x v="1"/>
      <x v="67"/>
    </i>
    <i r="2">
      <x v="7"/>
      <x v="1"/>
      <x v="67"/>
    </i>
    <i>
      <x v="504"/>
      <x v="349"/>
      <x v="8"/>
      <x v="4"/>
      <x v="110"/>
    </i>
    <i>
      <x v="505"/>
      <x v="189"/>
      <x v="8"/>
      <x v="4"/>
      <x v="110"/>
    </i>
    <i>
      <x v="506"/>
      <x v="216"/>
      <x v="8"/>
      <x v="4"/>
      <x v="110"/>
    </i>
    <i>
      <x v="507"/>
      <x v="51"/>
      <x/>
      <x v="5"/>
      <x v="6"/>
    </i>
    <i>
      <x v="508"/>
      <x v="258"/>
      <x v="8"/>
      <x v="4"/>
      <x v="110"/>
    </i>
    <i>
      <x v="509"/>
      <x v="204"/>
      <x v="8"/>
      <x v="4"/>
      <x v="110"/>
    </i>
    <i>
      <x v="510"/>
      <x v="243"/>
      <x v="8"/>
      <x v="4"/>
      <x v="71"/>
    </i>
    <i>
      <x v="511"/>
      <x v="204"/>
      <x v="8"/>
      <x v="4"/>
      <x v="110"/>
    </i>
    <i>
      <x v="512"/>
      <x v="147"/>
      <x v="8"/>
      <x v="4"/>
      <x v="110"/>
    </i>
    <i r="1">
      <x v="207"/>
      <x v="8"/>
      <x v="4"/>
      <x v="110"/>
    </i>
    <i>
      <x v="513"/>
      <x v="331"/>
      <x v="8"/>
      <x v="4"/>
      <x v="110"/>
    </i>
    <i>
      <x v="514"/>
      <x v="245"/>
      <x v="3"/>
      <x v="4"/>
      <x v="110"/>
    </i>
    <i>
      <x v="515"/>
      <x v="245"/>
      <x v="8"/>
      <x v="5"/>
      <x v="82"/>
    </i>
    <i>
      <x v="516"/>
      <x v="216"/>
      <x v="8"/>
      <x v="5"/>
      <x v="82"/>
    </i>
    <i>
      <x v="517"/>
      <x v="204"/>
      <x/>
      <x v="5"/>
      <x v="111"/>
    </i>
    <i r="2">
      <x v="3"/>
      <x v="8"/>
      <x v="83"/>
    </i>
    <i r="2">
      <x v="5"/>
      <x v="5"/>
      <x v="111"/>
    </i>
    <i>
      <x v="518"/>
      <x v="14"/>
      <x v="8"/>
      <x v="5"/>
      <x v="82"/>
    </i>
    <i>
      <x v="519"/>
      <x v="340"/>
      <x v="8"/>
      <x v="4"/>
      <x v="110"/>
    </i>
    <i>
      <x v="520"/>
      <x v="204"/>
      <x v="8"/>
      <x v="5"/>
      <x v="82"/>
    </i>
    <i>
      <x v="521"/>
      <x v="272"/>
      <x v="9"/>
      <x v="5"/>
      <x v="111"/>
    </i>
    <i>
      <x v="522"/>
      <x v="304"/>
      <x v="5"/>
      <x v="8"/>
      <x v="83"/>
    </i>
    <i>
      <x v="523"/>
      <x v="272"/>
      <x/>
      <x v="5"/>
      <x v="111"/>
    </i>
    <i>
      <x v="524"/>
      <x v="304"/>
      <x v="3"/>
      <x v="8"/>
      <x v="83"/>
    </i>
    <i>
      <x v="525"/>
      <x v="20"/>
      <x/>
      <x v="5"/>
      <x v="111"/>
    </i>
    <i>
      <x v="526"/>
      <x v="81"/>
      <x/>
      <x v="5"/>
      <x v="33"/>
    </i>
    <i>
      <x v="527"/>
      <x v="204"/>
      <x v="8"/>
      <x v="5"/>
      <x v="82"/>
    </i>
    <i>
      <x v="528"/>
      <x v="81"/>
      <x v="8"/>
      <x v="5"/>
      <x v="82"/>
    </i>
    <i>
      <x v="529"/>
      <x v="57"/>
      <x v="8"/>
      <x v="5"/>
      <x v="82"/>
    </i>
    <i>
      <x v="530"/>
      <x v="350"/>
      <x v="8"/>
      <x v="5"/>
      <x v="82"/>
    </i>
    <i>
      <x v="531"/>
      <x v="246"/>
      <x v="8"/>
      <x v="5"/>
      <x v="82"/>
    </i>
    <i>
      <x v="532"/>
      <x v="147"/>
      <x v="8"/>
      <x v="8"/>
      <x v="83"/>
    </i>
    <i>
      <x v="533"/>
      <x v="244"/>
      <x v="8"/>
      <x v="8"/>
      <x v="83"/>
    </i>
    <i>
      <x v="534"/>
      <x v="351"/>
      <x/>
      <x v="8"/>
      <x v="83"/>
    </i>
    <i>
      <x v="535"/>
      <x v="287"/>
      <x/>
      <x v="8"/>
      <x v="83"/>
    </i>
    <i>
      <x v="536"/>
      <x v="88"/>
      <x v="8"/>
      <x v="8"/>
      <x v="83"/>
    </i>
    <i>
      <x v="537"/>
      <x v="363"/>
      <x/>
      <x v="5"/>
      <x v="33"/>
    </i>
    <i>
      <x v="538"/>
      <x v="105"/>
      <x v="5"/>
      <x v="8"/>
      <x v="83"/>
    </i>
    <i r="1">
      <x v="147"/>
      <x v="8"/>
      <x v="8"/>
      <x v="83"/>
    </i>
    <i r="1">
      <x v="204"/>
      <x/>
      <x v="8"/>
      <x v="83"/>
    </i>
    <i r="2">
      <x v="3"/>
      <x v="8"/>
      <x v="83"/>
    </i>
    <i>
      <x v="539"/>
      <x v="49"/>
      <x v="8"/>
      <x v="8"/>
      <x v="83"/>
    </i>
    <i>
      <x v="540"/>
      <x v="287"/>
      <x/>
      <x v="8"/>
      <x v="83"/>
    </i>
    <i>
      <x v="541"/>
      <x v="92"/>
      <x/>
      <x v="5"/>
      <x v="33"/>
    </i>
    <i>
      <x v="542"/>
      <x v="204"/>
      <x/>
      <x v="8"/>
      <x v="83"/>
    </i>
    <i r="2">
      <x v="3"/>
      <x v="8"/>
      <x v="83"/>
    </i>
    <i r="1">
      <x v="281"/>
      <x v="5"/>
      <x v="8"/>
      <x v="83"/>
    </i>
    <i>
      <x v="543"/>
      <x v="233"/>
      <x v="8"/>
      <x v="8"/>
      <x v="83"/>
    </i>
    <i>
      <x v="544"/>
      <x v="197"/>
      <x v="8"/>
      <x v="8"/>
      <x v="83"/>
    </i>
    <i>
      <x v="545"/>
      <x v="12"/>
      <x v="8"/>
      <x v="8"/>
      <x v="82"/>
    </i>
    <i>
      <x v="546"/>
      <x v="204"/>
      <x/>
      <x v="8"/>
      <x v="83"/>
    </i>
    <i r="2">
      <x v="3"/>
      <x v="8"/>
      <x v="83"/>
    </i>
    <i r="1">
      <x v="281"/>
      <x v="5"/>
      <x v="8"/>
      <x v="83"/>
    </i>
    <i>
      <x v="547"/>
      <x v="265"/>
      <x v="8"/>
      <x v="4"/>
      <x v="110"/>
    </i>
    <i>
      <x v="548"/>
      <x v="37"/>
      <x v="8"/>
      <x v="4"/>
      <x v="110"/>
    </i>
    <i r="1">
      <x v="65"/>
      <x v="8"/>
      <x v="4"/>
      <x v="110"/>
    </i>
    <i>
      <x v="549"/>
      <x v="313"/>
      <x v="8"/>
      <x v="4"/>
      <x v="110"/>
    </i>
    <i>
      <x v="550"/>
      <x v="204"/>
      <x v="8"/>
      <x v="4"/>
      <x v="110"/>
    </i>
    <i>
      <x v="551"/>
      <x v="147"/>
      <x v="8"/>
      <x v="4"/>
      <x v="110"/>
    </i>
    <i>
      <x v="552"/>
      <x v="178"/>
      <x v="8"/>
      <x v="4"/>
      <x v="110"/>
    </i>
    <i r="1">
      <x v="204"/>
      <x v="8"/>
      <x v="4"/>
      <x v="110"/>
    </i>
    <i>
      <x v="553"/>
      <x v="352"/>
      <x v="8"/>
      <x v="4"/>
      <x v="110"/>
    </i>
    <i>
      <x v="554"/>
      <x v="24"/>
      <x v="8"/>
      <x v="4"/>
      <x v="110"/>
    </i>
    <i r="1">
      <x v="204"/>
      <x v="8"/>
      <x v="4"/>
      <x v="110"/>
    </i>
    <i>
      <x v="555"/>
      <x v="44"/>
      <x v="8"/>
      <x v="4"/>
      <x v="110"/>
    </i>
    <i r="1">
      <x v="111"/>
      <x v="8"/>
      <x v="4"/>
      <x v="110"/>
    </i>
    <i r="1">
      <x v="124"/>
      <x v="8"/>
      <x v="10"/>
      <x v="116"/>
    </i>
    <i r="1">
      <x v="128"/>
      <x v="8"/>
      <x v="10"/>
      <x v="116"/>
    </i>
    <i r="1">
      <x v="146"/>
      <x v="8"/>
      <x v="10"/>
      <x v="116"/>
    </i>
    <i r="1">
      <x v="158"/>
      <x v="8"/>
      <x v="10"/>
      <x v="116"/>
    </i>
    <i r="1">
      <x v="218"/>
      <x v="8"/>
      <x v="10"/>
      <x v="116"/>
    </i>
    <i r="1">
      <x v="229"/>
      <x/>
      <x v="5"/>
      <x v="6"/>
    </i>
    <i r="1">
      <x v="305"/>
      <x v="8"/>
      <x v="4"/>
      <x v="110"/>
    </i>
    <i r="1">
      <x v="328"/>
      <x v="8"/>
      <x v="10"/>
      <x v="116"/>
    </i>
    <i t="grand">
      <x/>
    </i>
  </rowItems>
  <colItems count="1">
    <i/>
  </colItems>
  <dataFields count="1">
    <dataField name="求和项:未退余额" fld="14"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数据透视表3" cacheId="1" autoFormatId="1" applyNumberFormats="0" applyBorderFormats="0" applyFontFormats="0" applyPatternFormats="0" applyAlignmentFormats="0" applyWidthHeightFormats="1" dataCaption="值" updatedVersion="5" minRefreshableVersion="3" createdVersion="5" useAutoFormatting="1" compact="0" indent="0" compactData="0" showDrill="1" multipleFieldFilters="0">
  <location ref="A3:B15" firstHeaderRow="1" firstDataRow="1" firstDataCol="1"/>
  <pivotFields count="6">
    <pivotField compact="0" defaultSubtotal="0" outline="0" showAll="0">
      <items count="141">
        <item x="139"/>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0"/>
        <item x="1"/>
        <item x="2"/>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40"/>
      </items>
      <extLst>
        <ext xmlns:x14="http://schemas.microsoft.com/office/spreadsheetml/2009/9/main" uri="{2946ED86-A175-432a-8AC1-64E0C546D7DE}">
          <x14:pivotField fillDownLabels="1"/>
        </ext>
      </extLst>
    </pivotField>
    <pivotField compact="0" defaultSubtotal="0" outline="0" showAll="0">
      <items count="95">
        <item x="59"/>
        <item x="20"/>
        <item x="18"/>
        <item x="43"/>
        <item x="1"/>
        <item x="11"/>
        <item x="51"/>
        <item x="33"/>
        <item x="38"/>
        <item x="73"/>
        <item x="24"/>
        <item x="89"/>
        <item x="47"/>
        <item x="15"/>
        <item x="5"/>
        <item x="48"/>
        <item x="39"/>
        <item x="30"/>
        <item x="81"/>
        <item x="68"/>
        <item x="56"/>
        <item x="6"/>
        <item x="28"/>
        <item x="86"/>
        <item x="49"/>
        <item x="23"/>
        <item x="74"/>
        <item x="19"/>
        <item x="79"/>
        <item x="82"/>
        <item x="22"/>
        <item x="29"/>
        <item x="62"/>
        <item x="80"/>
        <item x="32"/>
        <item x="26"/>
        <item x="90"/>
        <item x="91"/>
        <item x="3"/>
        <item x="92"/>
        <item x="76"/>
        <item x="7"/>
        <item x="9"/>
        <item x="88"/>
        <item x="44"/>
        <item x="10"/>
        <item x="85"/>
        <item x="8"/>
        <item x="0"/>
        <item x="61"/>
        <item x="67"/>
        <item x="60"/>
        <item x="93"/>
        <item x="53"/>
        <item x="65"/>
        <item x="25"/>
        <item x="84"/>
        <item x="50"/>
        <item x="70"/>
        <item x="75"/>
        <item x="69"/>
        <item x="72"/>
        <item x="42"/>
        <item x="66"/>
        <item x="14"/>
        <item x="27"/>
        <item x="83"/>
        <item x="17"/>
        <item x="78"/>
        <item x="36"/>
        <item x="37"/>
        <item x="40"/>
        <item x="34"/>
        <item x="13"/>
        <item x="55"/>
        <item x="21"/>
        <item x="58"/>
        <item x="45"/>
        <item x="87"/>
        <item x="2"/>
        <item x="12"/>
        <item x="4"/>
        <item x="57"/>
        <item x="41"/>
        <item x="71"/>
        <item x="31"/>
        <item x="54"/>
        <item x="46"/>
        <item x="64"/>
        <item x="77"/>
        <item x="63"/>
        <item x="35"/>
        <item x="52"/>
        <item x="16"/>
        <item x="94"/>
      </items>
      <extLst>
        <ext xmlns:x14="http://schemas.microsoft.com/office/spreadsheetml/2009/9/main" uri="{2946ED86-A175-432a-8AC1-64E0C546D7DE}">
          <x14:pivotField fillDownLabels="1"/>
        </ext>
      </extLst>
    </pivotField>
    <pivotField axis="axisRow" compact="0" defaultSubtotal="0" outline="0" showAll="0">
      <items count="11">
        <item x="2"/>
        <item x="4"/>
        <item x="0"/>
        <item x="3"/>
        <item x="7"/>
        <item x="5"/>
        <item x="8"/>
        <item x="1"/>
        <item x="9"/>
        <item x="6"/>
        <item x="10"/>
      </items>
      <extLst>
        <ext xmlns:x14="http://schemas.microsoft.com/office/spreadsheetml/2009/9/main" uri="{2946ED86-A175-432a-8AC1-64E0C546D7DE}">
          <x14:pivotField fillDownLabels="1"/>
        </ext>
      </extLst>
    </pivotField>
    <pivotField compact="0" defaultSubtotal="0" outline="0" showAll="0">
      <items count="9">
        <item x="3"/>
        <item x="6"/>
        <item x="7"/>
        <item x="2"/>
        <item x="1"/>
        <item x="4"/>
        <item x="5"/>
        <item x="0"/>
        <item x="8"/>
      </items>
      <extLst>
        <ext xmlns:x14="http://schemas.microsoft.com/office/spreadsheetml/2009/9/main" uri="{2946ED86-A175-432a-8AC1-64E0C546D7DE}">
          <x14:pivotField fillDownLabels="1"/>
        </ext>
      </extLst>
    </pivotField>
    <pivotField compact="0" defaultSubtotal="0" outline="0" showAll="0">
      <items count="38">
        <item x="4"/>
        <item x="25"/>
        <item x="0"/>
        <item x="20"/>
        <item x="2"/>
        <item x="5"/>
        <item x="29"/>
        <item x="31"/>
        <item x="36"/>
        <item x="34"/>
        <item x="23"/>
        <item x="10"/>
        <item x="24"/>
        <item x="19"/>
        <item x="17"/>
        <item x="6"/>
        <item x="11"/>
        <item x="30"/>
        <item x="32"/>
        <item x="8"/>
        <item x="3"/>
        <item x="27"/>
        <item x="33"/>
        <item x="21"/>
        <item x="35"/>
        <item x="7"/>
        <item x="16"/>
        <item x="28"/>
        <item x="14"/>
        <item x="13"/>
        <item x="12"/>
        <item x="26"/>
        <item x="22"/>
        <item x="1"/>
        <item x="18"/>
        <item x="15"/>
        <item x="9"/>
        <item x="37"/>
      </items>
      <extLst>
        <ext xmlns:x14="http://schemas.microsoft.com/office/spreadsheetml/2009/9/main" uri="{2946ED86-A175-432a-8AC1-64E0C546D7DE}">
          <x14:pivotField fillDownLabels="1"/>
        </ext>
      </extLst>
    </pivotField>
    <pivotField dataField="1" compact="0" defaultSubtotal="0" outline="0" showAll="0">
      <items count="68">
        <item x="18"/>
        <item x="20"/>
        <item x="7"/>
        <item x="8"/>
        <item x="24"/>
        <item x="23"/>
        <item x="13"/>
        <item x="9"/>
        <item x="26"/>
        <item x="6"/>
        <item x="11"/>
        <item x="51"/>
        <item x="12"/>
        <item x="1"/>
        <item x="48"/>
        <item x="17"/>
        <item x="21"/>
        <item x="27"/>
        <item x="65"/>
        <item x="66"/>
        <item x="15"/>
        <item x="19"/>
        <item x="10"/>
        <item x="60"/>
        <item x="28"/>
        <item x="64"/>
        <item x="0"/>
        <item x="2"/>
        <item x="14"/>
        <item x="4"/>
        <item x="31"/>
        <item x="30"/>
        <item x="25"/>
        <item x="44"/>
        <item x="56"/>
        <item x="40"/>
        <item x="54"/>
        <item x="55"/>
        <item x="16"/>
        <item x="32"/>
        <item x="3"/>
        <item x="49"/>
        <item x="53"/>
        <item x="42"/>
        <item x="34"/>
        <item x="43"/>
        <item x="36"/>
        <item x="38"/>
        <item x="22"/>
        <item x="57"/>
        <item x="33"/>
        <item x="62"/>
        <item x="35"/>
        <item x="47"/>
        <item x="5"/>
        <item x="59"/>
        <item x="45"/>
        <item x="46"/>
        <item x="63"/>
        <item x="41"/>
        <item x="37"/>
        <item x="58"/>
        <item x="39"/>
        <item x="29"/>
        <item x="61"/>
        <item x="52"/>
        <item x="50"/>
        <item x="67"/>
      </items>
      <extLst>
        <ext xmlns:x14="http://schemas.microsoft.com/office/spreadsheetml/2009/9/main" uri="{2946ED86-A175-432a-8AC1-64E0C546D7DE}">
          <x14:pivotField fillDownLabels="1"/>
        </ext>
      </extLst>
    </pivotField>
  </pivotFields>
  <rowFields count="1">
    <field x="2"/>
  </rowFields>
  <rowItems count="12">
    <i>
      <x/>
    </i>
    <i>
      <x v="1"/>
    </i>
    <i>
      <x v="2"/>
    </i>
    <i>
      <x v="3"/>
    </i>
    <i>
      <x v="4"/>
    </i>
    <i>
      <x v="5"/>
    </i>
    <i>
      <x v="6"/>
    </i>
    <i>
      <x v="7"/>
    </i>
    <i>
      <x v="8"/>
    </i>
    <i>
      <x v="9"/>
    </i>
    <i>
      <x v="10"/>
    </i>
    <i t="grand">
      <x/>
    </i>
  </rowItems>
  <colItems count="1">
    <i/>
  </colItems>
  <dataFields count="1">
    <dataField name="求和项:求和项:未退余额" fld="5" baseField="0" baseItem="0"/>
  </dataFields>
  <formats count="5">
    <format dxfId="0">
      <pivotArea dataOnly="0" labelOnly="1" fieldPosition="0">
        <references count="1">
          <reference field="2" count="1">
            <x v="0"/>
          </reference>
        </references>
      </pivotArea>
    </format>
    <format dxfId="1">
      <pivotArea dataOnly="0" labelOnly="1" fieldPosition="0">
        <references count="1">
          <reference field="2" count="1">
            <x v="2"/>
          </reference>
        </references>
      </pivotArea>
    </format>
    <format dxfId="2">
      <pivotArea dataOnly="0" labelOnly="1" fieldPosition="0">
        <references count="1">
          <reference field="2" count="1">
            <x v="3"/>
          </reference>
        </references>
      </pivotArea>
    </format>
    <format dxfId="3">
      <pivotArea dataOnly="0" labelOnly="1" fieldPosition="0">
        <references count="1">
          <reference field="2" count="1">
            <x v="4"/>
          </reference>
        </references>
      </pivotArea>
    </format>
    <format dxfId="4">
      <pivotArea dataOnly="0" labelOnly="1" fieldPosition="0">
        <references count="1">
          <reference field="2" count="1">
            <x v="7"/>
          </reference>
        </references>
      </pivotArea>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Y1117"/>
  <sheetViews>
    <sheetView showZeros="0" workbookViewId="0">
      <pane ySplit="2" topLeftCell="A3" activePane="bottomLeft" state="frozen"/>
      <selection/>
      <selection pane="bottomLeft" activeCell="B1102" sqref="B1102:B1107"/>
    </sheetView>
  </sheetViews>
  <sheetFormatPr defaultColWidth="9.64166666666667" defaultRowHeight="19" customHeight="1"/>
  <cols>
    <col min="1" max="1" width="4.875" style="30" hidden="1" customWidth="1"/>
    <col min="2" max="2" width="20.625" style="31" customWidth="1"/>
    <col min="3" max="3" width="14.225" style="32" customWidth="1"/>
    <col min="4" max="4" width="9.29166666666667" style="33" customWidth="1"/>
    <col min="5" max="5" width="11.5083333333333" style="301" customWidth="1"/>
    <col min="6" max="6" width="6.125" style="30" customWidth="1"/>
    <col min="7" max="7" width="7" style="30" customWidth="1"/>
    <col min="8" max="8" width="17.75" style="31" hidden="1" customWidth="1"/>
    <col min="9" max="9" width="21.75" style="31" customWidth="1"/>
    <col min="10" max="10" width="12.0416666666667" style="302" customWidth="1"/>
    <col min="11" max="11" width="9.49166666666667" style="30" customWidth="1"/>
    <col min="12" max="12" width="10.35" style="30" customWidth="1"/>
    <col min="13" max="13" width="12.7416666666667" style="20" customWidth="1"/>
    <col min="14" max="14" width="10.875" style="303" customWidth="1"/>
    <col min="15" max="15" width="12.225" style="304" customWidth="1"/>
    <col min="16" max="16" width="10.35" style="37" customWidth="1"/>
    <col min="17" max="17" width="11.3416666666667" style="32" customWidth="1"/>
    <col min="18" max="18" width="10.75" style="20" customWidth="1"/>
    <col min="19" max="19" width="40.6333333333333" style="38" customWidth="1"/>
    <col min="20" max="21" width="7.65833333333333" style="30" customWidth="1"/>
    <col min="22" max="22" width="20.4416666666667" style="17" customWidth="1"/>
    <col min="23" max="23" width="11.5" style="17" customWidth="1"/>
    <col min="24" max="24" width="6.775" style="17" customWidth="1"/>
    <col min="25" max="25" width="9.29166666666667" style="17" customWidth="1"/>
    <col min="26" max="16384" width="9.29166666666667" style="17"/>
  </cols>
  <sheetData>
    <row r="1" s="17" customFormat="1" customHeight="1" spans="1:25">
      <c r="A1" s="30"/>
      <c r="B1" s="31"/>
      <c r="C1" s="39" t="s">
        <v>0</v>
      </c>
      <c r="D1" s="40"/>
      <c r="E1" s="305"/>
      <c r="F1" s="42"/>
      <c r="G1" s="42"/>
      <c r="H1" s="43"/>
      <c r="I1" s="44"/>
      <c r="J1" s="306"/>
      <c r="K1" s="42"/>
      <c r="L1" s="42"/>
      <c r="M1" s="18"/>
      <c r="N1" s="307"/>
      <c r="O1" s="308"/>
      <c r="P1" s="48"/>
      <c r="Q1" s="41"/>
      <c r="R1" s="42"/>
      <c r="S1" s="49"/>
      <c r="T1" s="30"/>
    </row>
    <row r="2" s="18" customFormat="1" customHeight="1" spans="1:25">
      <c r="A2" s="50" t="s">
        <v>1</v>
      </c>
      <c r="B2" s="51" t="s">
        <v>2</v>
      </c>
      <c r="C2" s="52" t="s">
        <v>3</v>
      </c>
      <c r="D2" s="53" t="s">
        <v>4</v>
      </c>
      <c r="E2" s="309" t="s">
        <v>5</v>
      </c>
      <c r="F2" s="50" t="s">
        <v>6</v>
      </c>
      <c r="G2" s="50" t="s">
        <v>7</v>
      </c>
      <c r="H2" s="50" t="s">
        <v>8</v>
      </c>
      <c r="I2" s="50" t="s">
        <v>9</v>
      </c>
      <c r="J2" s="310" t="s">
        <v>10</v>
      </c>
      <c r="K2" s="50" t="s">
        <v>11</v>
      </c>
      <c r="L2" s="50" t="s">
        <v>12</v>
      </c>
      <c r="M2" s="50" t="s">
        <v>13</v>
      </c>
      <c r="N2" s="311" t="s">
        <v>14</v>
      </c>
      <c r="O2" s="312" t="s">
        <v>15</v>
      </c>
      <c r="P2" s="57" t="s">
        <v>16</v>
      </c>
      <c r="Q2" s="52" t="s">
        <v>17</v>
      </c>
      <c r="R2" s="50" t="s">
        <v>18</v>
      </c>
      <c r="S2" s="50" t="s">
        <v>19</v>
      </c>
      <c r="T2" s="50" t="s">
        <v>20</v>
      </c>
      <c r="U2" s="50" t="s">
        <v>21</v>
      </c>
      <c r="V2" s="58" t="s">
        <v>22</v>
      </c>
      <c r="W2" s="50" t="s">
        <v>23</v>
      </c>
      <c r="X2" s="50" t="s">
        <v>24</v>
      </c>
      <c r="Y2" s="50" t="s">
        <v>25</v>
      </c>
    </row>
    <row r="3" s="17" customFormat="1" hidden="1" customHeight="1" spans="1:25">
      <c r="A3" s="59">
        <v>182</v>
      </c>
      <c r="B3" s="60" t="s">
        <v>26</v>
      </c>
      <c r="C3" s="61">
        <v>42370</v>
      </c>
      <c r="D3" s="62" t="str">
        <f ca="1" t="shared" ref="D3:D66" si="0">IF(TODAY()-E3&lt;60,"2个月内",IF(TODAY()-E3&lt;180,"3-6个月",IF(TODAY()-E3&lt;360,"6个月-1年","一年以上")))</f>
        <v>一年以上</v>
      </c>
      <c r="E3" s="313"/>
      <c r="F3" s="59"/>
      <c r="G3" s="59"/>
      <c r="H3" s="63" t="s">
        <v>27</v>
      </c>
      <c r="I3" s="63" t="s">
        <v>27</v>
      </c>
      <c r="J3" s="314">
        <v>1000</v>
      </c>
      <c r="K3" s="59" t="s">
        <v>28</v>
      </c>
      <c r="L3" s="59" t="s">
        <v>29</v>
      </c>
      <c r="M3" s="59" t="s">
        <v>30</v>
      </c>
      <c r="N3" s="315">
        <v>1000</v>
      </c>
      <c r="O3" s="316">
        <f t="shared" ref="O3:O13" si="1">J3-N3</f>
        <v>0</v>
      </c>
      <c r="P3" s="95">
        <v>42826</v>
      </c>
      <c r="Q3" s="61">
        <f t="shared" ref="Q3:Q66" si="2">P3</f>
        <v>42826</v>
      </c>
      <c r="R3" s="59" t="s">
        <v>31</v>
      </c>
      <c r="S3" s="59"/>
      <c r="T3" s="59" t="s">
        <v>32</v>
      </c>
      <c r="U3" s="59" t="str">
        <f>VLOOKUP(T3,[1]区域划分!$A$1:$C$39,3,0)</f>
        <v>方渊</v>
      </c>
      <c r="V3" s="59"/>
      <c r="W3" s="68"/>
      <c r="X3" s="68"/>
      <c r="Y3" s="68"/>
    </row>
    <row r="4" s="17" customFormat="1" hidden="1" customHeight="1" spans="1:25">
      <c r="A4" s="59">
        <v>183</v>
      </c>
      <c r="B4" s="60" t="s">
        <v>33</v>
      </c>
      <c r="C4" s="61">
        <v>42370</v>
      </c>
      <c r="D4" s="62" t="str">
        <f ca="1" t="shared" si="0"/>
        <v>一年以上</v>
      </c>
      <c r="E4" s="313"/>
      <c r="F4" s="59"/>
      <c r="G4" s="59"/>
      <c r="H4" s="63" t="s">
        <v>34</v>
      </c>
      <c r="I4" s="63" t="s">
        <v>34</v>
      </c>
      <c r="J4" s="314">
        <v>50000</v>
      </c>
      <c r="K4" s="59"/>
      <c r="L4" s="59" t="s">
        <v>29</v>
      </c>
      <c r="M4" s="59" t="s">
        <v>30</v>
      </c>
      <c r="N4" s="315">
        <v>50000</v>
      </c>
      <c r="O4" s="316">
        <f t="shared" si="1"/>
        <v>0</v>
      </c>
      <c r="P4" s="95">
        <v>44155</v>
      </c>
      <c r="Q4" s="61">
        <f t="shared" si="2"/>
        <v>44155</v>
      </c>
      <c r="R4" s="59"/>
      <c r="S4" s="59"/>
      <c r="T4" s="59"/>
      <c r="U4" s="59"/>
      <c r="V4" s="59"/>
      <c r="W4" s="68"/>
      <c r="X4" s="68"/>
      <c r="Y4" s="68"/>
    </row>
    <row r="5" s="17" customFormat="1" hidden="1" customHeight="1" spans="1:25">
      <c r="A5" s="59">
        <v>184</v>
      </c>
      <c r="B5" s="60" t="s">
        <v>35</v>
      </c>
      <c r="C5" s="61">
        <v>42370</v>
      </c>
      <c r="D5" s="62" t="str">
        <f ca="1" t="shared" si="0"/>
        <v>一年以上</v>
      </c>
      <c r="E5" s="313"/>
      <c r="F5" s="59"/>
      <c r="G5" s="59"/>
      <c r="H5" s="63" t="s">
        <v>36</v>
      </c>
      <c r="I5" s="63" t="s">
        <v>36</v>
      </c>
      <c r="J5" s="314">
        <v>3000</v>
      </c>
      <c r="K5" s="59" t="s">
        <v>28</v>
      </c>
      <c r="L5" s="59" t="s">
        <v>29</v>
      </c>
      <c r="M5" s="59" t="s">
        <v>30</v>
      </c>
      <c r="N5" s="315"/>
      <c r="O5" s="316">
        <f t="shared" si="1"/>
        <v>3000</v>
      </c>
      <c r="P5" s="95"/>
      <c r="Q5" s="61">
        <f t="shared" si="2"/>
        <v>0</v>
      </c>
      <c r="R5" s="59"/>
      <c r="S5" s="59" t="s">
        <v>37</v>
      </c>
      <c r="T5" s="59" t="s">
        <v>38</v>
      </c>
      <c r="U5" s="59" t="str">
        <f>VLOOKUP(T5,[1]区域划分!$A$1:$C$39,3,0)</f>
        <v>方渊</v>
      </c>
      <c r="V5" s="59"/>
      <c r="W5" s="68"/>
      <c r="X5" s="68"/>
      <c r="Y5" s="68"/>
    </row>
    <row r="6" s="17" customFormat="1" hidden="1" customHeight="1" spans="1:25">
      <c r="A6" s="59">
        <v>186</v>
      </c>
      <c r="B6" s="60" t="s">
        <v>39</v>
      </c>
      <c r="C6" s="61">
        <v>42370</v>
      </c>
      <c r="D6" s="62" t="str">
        <f ca="1" t="shared" si="0"/>
        <v>一年以上</v>
      </c>
      <c r="E6" s="313"/>
      <c r="F6" s="59"/>
      <c r="G6" s="59"/>
      <c r="H6" s="63" t="s">
        <v>40</v>
      </c>
      <c r="I6" s="63" t="s">
        <v>41</v>
      </c>
      <c r="J6" s="314">
        <v>3800</v>
      </c>
      <c r="K6" s="59" t="s">
        <v>28</v>
      </c>
      <c r="L6" s="59" t="s">
        <v>29</v>
      </c>
      <c r="M6" s="59" t="s">
        <v>30</v>
      </c>
      <c r="N6" s="315"/>
      <c r="O6" s="316">
        <f t="shared" si="1"/>
        <v>3800</v>
      </c>
      <c r="P6" s="95"/>
      <c r="Q6" s="61">
        <f t="shared" si="2"/>
        <v>0</v>
      </c>
      <c r="R6" s="59" t="s">
        <v>42</v>
      </c>
      <c r="S6" s="59" t="s">
        <v>43</v>
      </c>
      <c r="T6" s="59" t="s">
        <v>44</v>
      </c>
      <c r="U6" s="59" t="str">
        <f>VLOOKUP(T6,[1]区域划分!$A$1:$C$39,3,0)</f>
        <v>殷坤鹏</v>
      </c>
      <c r="V6" s="59" t="s">
        <v>45</v>
      </c>
      <c r="W6" s="68"/>
      <c r="X6" s="68"/>
      <c r="Y6" s="68"/>
    </row>
    <row r="7" s="17" customFormat="1" hidden="1" customHeight="1" spans="1:25">
      <c r="A7" s="59">
        <v>187</v>
      </c>
      <c r="B7" s="60" t="s">
        <v>46</v>
      </c>
      <c r="C7" s="61">
        <v>42370</v>
      </c>
      <c r="D7" s="62" t="str">
        <f ca="1" t="shared" si="0"/>
        <v>一年以上</v>
      </c>
      <c r="E7" s="313"/>
      <c r="F7" s="59"/>
      <c r="G7" s="59"/>
      <c r="H7" s="63" t="s">
        <v>47</v>
      </c>
      <c r="I7" s="63" t="s">
        <v>47</v>
      </c>
      <c r="J7" s="314">
        <v>20000</v>
      </c>
      <c r="K7" s="59" t="s">
        <v>28</v>
      </c>
      <c r="L7" s="59" t="s">
        <v>29</v>
      </c>
      <c r="M7" s="59" t="s">
        <v>30</v>
      </c>
      <c r="N7" s="315"/>
      <c r="O7" s="316">
        <f t="shared" si="1"/>
        <v>20000</v>
      </c>
      <c r="P7" s="95"/>
      <c r="Q7" s="61">
        <f t="shared" si="2"/>
        <v>0</v>
      </c>
      <c r="R7" s="59" t="s">
        <v>48</v>
      </c>
      <c r="S7" s="59" t="s">
        <v>48</v>
      </c>
      <c r="T7" s="59" t="s">
        <v>49</v>
      </c>
      <c r="U7" s="59" t="str">
        <f>VLOOKUP(T7,[1]区域划分!$A$1:$C$39,3,0)</f>
        <v>龚运谱</v>
      </c>
      <c r="V7" s="59"/>
      <c r="W7" s="68"/>
      <c r="X7" s="68"/>
      <c r="Y7" s="68"/>
    </row>
    <row r="8" s="17" customFormat="1" hidden="1" customHeight="1" spans="1:25">
      <c r="A8" s="59">
        <v>188</v>
      </c>
      <c r="B8" s="60" t="s">
        <v>50</v>
      </c>
      <c r="C8" s="61">
        <v>42370</v>
      </c>
      <c r="D8" s="62" t="str">
        <f ca="1" t="shared" si="0"/>
        <v>一年以上</v>
      </c>
      <c r="E8" s="313"/>
      <c r="F8" s="59"/>
      <c r="G8" s="59"/>
      <c r="H8" s="63" t="s">
        <v>51</v>
      </c>
      <c r="I8" s="63" t="s">
        <v>51</v>
      </c>
      <c r="J8" s="314">
        <v>300</v>
      </c>
      <c r="K8" s="59"/>
      <c r="L8" s="59" t="s">
        <v>29</v>
      </c>
      <c r="M8" s="59" t="s">
        <v>30</v>
      </c>
      <c r="N8" s="315">
        <v>300</v>
      </c>
      <c r="O8" s="316">
        <f t="shared" si="1"/>
        <v>0</v>
      </c>
      <c r="P8" s="95">
        <v>44728</v>
      </c>
      <c r="Q8" s="61">
        <f t="shared" si="2"/>
        <v>44728</v>
      </c>
      <c r="R8" s="59"/>
      <c r="S8" s="59" t="s">
        <v>52</v>
      </c>
      <c r="T8" s="59"/>
      <c r="U8" s="59"/>
      <c r="V8" s="59"/>
      <c r="W8" s="68"/>
      <c r="X8" s="68"/>
      <c r="Y8" s="68"/>
    </row>
    <row r="9" s="17" customFormat="1" hidden="1" customHeight="1" spans="1:25">
      <c r="A9" s="59">
        <v>185</v>
      </c>
      <c r="B9" s="60" t="s">
        <v>53</v>
      </c>
      <c r="C9" s="61">
        <v>42370</v>
      </c>
      <c r="D9" s="62" t="str">
        <f ca="1" t="shared" si="0"/>
        <v>一年以上</v>
      </c>
      <c r="E9" s="313">
        <v>42390</v>
      </c>
      <c r="F9" s="59"/>
      <c r="G9" s="59" t="s">
        <v>54</v>
      </c>
      <c r="H9" s="63" t="s">
        <v>55</v>
      </c>
      <c r="I9" s="63" t="s">
        <v>56</v>
      </c>
      <c r="J9" s="314">
        <v>20000</v>
      </c>
      <c r="K9" s="59" t="s">
        <v>28</v>
      </c>
      <c r="L9" s="59" t="s">
        <v>57</v>
      </c>
      <c r="M9" s="59" t="s">
        <v>30</v>
      </c>
      <c r="N9" s="315"/>
      <c r="O9" s="316">
        <f t="shared" si="1"/>
        <v>20000</v>
      </c>
      <c r="P9" s="95"/>
      <c r="Q9" s="61">
        <f t="shared" si="2"/>
        <v>0</v>
      </c>
      <c r="R9" s="59" t="s">
        <v>42</v>
      </c>
      <c r="S9" s="59" t="s">
        <v>58</v>
      </c>
      <c r="T9" s="59" t="s">
        <v>44</v>
      </c>
      <c r="U9" s="59" t="str">
        <f>VLOOKUP(T9,[1]区域划分!$A$1:$C$39,3,0)</f>
        <v>殷坤鹏</v>
      </c>
      <c r="V9" s="59" t="s">
        <v>45</v>
      </c>
      <c r="W9" s="68"/>
      <c r="X9" s="68"/>
      <c r="Y9" s="68"/>
    </row>
    <row r="10" s="17" customFormat="1" hidden="1" customHeight="1" spans="1:25">
      <c r="A10" s="59">
        <v>189</v>
      </c>
      <c r="B10" s="60" t="s">
        <v>59</v>
      </c>
      <c r="C10" s="61">
        <v>42370</v>
      </c>
      <c r="D10" s="62" t="str">
        <f ca="1" t="shared" si="0"/>
        <v>一年以上</v>
      </c>
      <c r="E10" s="313">
        <v>42400</v>
      </c>
      <c r="F10" s="59"/>
      <c r="G10" s="59"/>
      <c r="H10" s="63" t="s">
        <v>60</v>
      </c>
      <c r="I10" s="63" t="s">
        <v>60</v>
      </c>
      <c r="J10" s="314">
        <v>10000</v>
      </c>
      <c r="K10" s="59" t="s">
        <v>28</v>
      </c>
      <c r="L10" s="59" t="s">
        <v>61</v>
      </c>
      <c r="M10" s="59" t="s">
        <v>30</v>
      </c>
      <c r="N10" s="315">
        <v>10000</v>
      </c>
      <c r="O10" s="316">
        <f t="shared" si="1"/>
        <v>0</v>
      </c>
      <c r="P10" s="95">
        <v>45923</v>
      </c>
      <c r="Q10" s="61">
        <f t="shared" si="2"/>
        <v>45923</v>
      </c>
      <c r="R10" s="59" t="s">
        <v>62</v>
      </c>
      <c r="S10" s="59" t="s">
        <v>63</v>
      </c>
      <c r="T10" s="59" t="s">
        <v>49</v>
      </c>
      <c r="U10" s="59" t="str">
        <f>VLOOKUP(T10,[1]区域划分!$A$1:$C$39,3,0)</f>
        <v>龚运谱</v>
      </c>
      <c r="V10" s="59"/>
      <c r="W10" s="68"/>
      <c r="X10" s="68"/>
      <c r="Y10" s="68"/>
    </row>
    <row r="11" s="17" customFormat="1" hidden="1" customHeight="1" spans="1:25">
      <c r="A11" s="59">
        <v>1</v>
      </c>
      <c r="B11" s="60" t="s">
        <v>64</v>
      </c>
      <c r="C11" s="61">
        <v>42887</v>
      </c>
      <c r="D11" s="62" t="str">
        <f ca="1" t="shared" si="0"/>
        <v>一年以上</v>
      </c>
      <c r="E11" s="313">
        <v>42887</v>
      </c>
      <c r="F11" s="59"/>
      <c r="G11" s="59"/>
      <c r="H11" s="369" t="s">
        <v>60</v>
      </c>
      <c r="I11" s="63" t="s">
        <v>60</v>
      </c>
      <c r="J11" s="314">
        <v>10000</v>
      </c>
      <c r="K11" s="59" t="s">
        <v>28</v>
      </c>
      <c r="L11" s="59" t="s">
        <v>61</v>
      </c>
      <c r="M11" s="59" t="s">
        <v>65</v>
      </c>
      <c r="N11" s="315">
        <v>10000</v>
      </c>
      <c r="O11" s="316">
        <f t="shared" si="1"/>
        <v>0</v>
      </c>
      <c r="P11" s="95">
        <v>45923</v>
      </c>
      <c r="Q11" s="61">
        <f t="shared" si="2"/>
        <v>45923</v>
      </c>
      <c r="R11" s="59"/>
      <c r="S11" s="59" t="s">
        <v>66</v>
      </c>
      <c r="T11" s="59" t="s">
        <v>49</v>
      </c>
      <c r="U11" s="59" t="str">
        <f>VLOOKUP(T11,[1]区域划分!$A$1:$C$39,3,0)</f>
        <v>龚运谱</v>
      </c>
      <c r="V11" s="59"/>
      <c r="W11" s="68"/>
      <c r="X11" s="68"/>
      <c r="Y11" s="68"/>
    </row>
    <row r="12" s="17" customFormat="1" hidden="1" customHeight="1" spans="1:25">
      <c r="A12" s="59">
        <v>190</v>
      </c>
      <c r="B12" s="60" t="s">
        <v>67</v>
      </c>
      <c r="C12" s="61">
        <v>43466</v>
      </c>
      <c r="D12" s="62" t="str">
        <f ca="1" t="shared" si="0"/>
        <v>一年以上</v>
      </c>
      <c r="E12" s="313">
        <v>43475</v>
      </c>
      <c r="F12" s="59"/>
      <c r="G12" s="59" t="s">
        <v>68</v>
      </c>
      <c r="H12" s="63" t="s">
        <v>60</v>
      </c>
      <c r="I12" s="63" t="s">
        <v>60</v>
      </c>
      <c r="J12" s="314">
        <v>50000</v>
      </c>
      <c r="K12" s="59" t="s">
        <v>28</v>
      </c>
      <c r="L12" s="59" t="s">
        <v>61</v>
      </c>
      <c r="M12" s="59" t="s">
        <v>30</v>
      </c>
      <c r="N12" s="315">
        <v>50000</v>
      </c>
      <c r="O12" s="316">
        <f t="shared" si="1"/>
        <v>0</v>
      </c>
      <c r="P12" s="95">
        <v>45923</v>
      </c>
      <c r="Q12" s="61">
        <f t="shared" si="2"/>
        <v>45923</v>
      </c>
      <c r="R12" s="59" t="s">
        <v>62</v>
      </c>
      <c r="S12" s="59" t="s">
        <v>63</v>
      </c>
      <c r="T12" s="59" t="s">
        <v>49</v>
      </c>
      <c r="U12" s="59" t="str">
        <f>VLOOKUP(T12,[1]区域划分!$A$1:$C$39,3,0)</f>
        <v>龚运谱</v>
      </c>
      <c r="V12" s="59"/>
      <c r="W12" s="68"/>
      <c r="X12" s="68"/>
      <c r="Y12" s="68"/>
    </row>
    <row r="13" s="17" customFormat="1" hidden="1" customHeight="1" spans="1:25">
      <c r="A13" s="59">
        <v>5</v>
      </c>
      <c r="B13" s="60" t="s">
        <v>69</v>
      </c>
      <c r="C13" s="61">
        <v>43101</v>
      </c>
      <c r="D13" s="62" t="str">
        <f ca="1" t="shared" si="0"/>
        <v>一年以上</v>
      </c>
      <c r="E13" s="313">
        <v>43113</v>
      </c>
      <c r="F13" s="59" t="s">
        <v>70</v>
      </c>
      <c r="G13" s="59" t="s">
        <v>71</v>
      </c>
      <c r="H13" s="63" t="s">
        <v>72</v>
      </c>
      <c r="I13" s="63" t="s">
        <v>72</v>
      </c>
      <c r="J13" s="314">
        <v>2000</v>
      </c>
      <c r="K13" s="59"/>
      <c r="L13" s="59" t="s">
        <v>73</v>
      </c>
      <c r="M13" s="59" t="s">
        <v>65</v>
      </c>
      <c r="N13" s="315">
        <v>2000</v>
      </c>
      <c r="O13" s="316">
        <f t="shared" si="1"/>
        <v>0</v>
      </c>
      <c r="P13" s="95">
        <v>44099</v>
      </c>
      <c r="Q13" s="61">
        <f t="shared" si="2"/>
        <v>44099</v>
      </c>
      <c r="R13" s="59"/>
      <c r="S13" s="59" t="s">
        <v>74</v>
      </c>
      <c r="T13" s="59"/>
      <c r="U13" s="59"/>
      <c r="V13" s="59"/>
      <c r="W13" s="68"/>
      <c r="X13" s="68"/>
      <c r="Y13" s="68"/>
    </row>
    <row r="14" s="17" customFormat="1" hidden="1" customHeight="1" spans="1:25">
      <c r="A14" s="59">
        <v>2</v>
      </c>
      <c r="B14" s="60" t="s">
        <v>75</v>
      </c>
      <c r="C14" s="61">
        <v>43101</v>
      </c>
      <c r="D14" s="62" t="str">
        <f ca="1" t="shared" si="0"/>
        <v>一年以上</v>
      </c>
      <c r="E14" s="313">
        <v>43124</v>
      </c>
      <c r="F14" s="59"/>
      <c r="G14" s="59" t="s">
        <v>76</v>
      </c>
      <c r="H14" s="63" t="s">
        <v>77</v>
      </c>
      <c r="I14" s="63" t="s">
        <v>77</v>
      </c>
      <c r="J14" s="314">
        <v>7000</v>
      </c>
      <c r="K14" s="59" t="s">
        <v>28</v>
      </c>
      <c r="L14" s="59"/>
      <c r="M14" s="59" t="s">
        <v>65</v>
      </c>
      <c r="N14" s="315"/>
      <c r="O14" s="316">
        <v>7000</v>
      </c>
      <c r="P14" s="95"/>
      <c r="Q14" s="61">
        <f t="shared" si="2"/>
        <v>0</v>
      </c>
      <c r="R14" s="59" t="s">
        <v>78</v>
      </c>
      <c r="S14" s="59" t="s">
        <v>79</v>
      </c>
      <c r="T14" s="59" t="s">
        <v>80</v>
      </c>
      <c r="U14" s="59" t="str">
        <f>VLOOKUP(T14,[1]区域划分!$A$1:$C$39,3,0)</f>
        <v>殷坤鹏</v>
      </c>
      <c r="V14" s="59"/>
      <c r="W14" s="68"/>
      <c r="X14" s="68"/>
      <c r="Y14" s="68"/>
    </row>
    <row r="15" s="17" customFormat="1" hidden="1" customHeight="1" spans="1:25">
      <c r="A15" s="59">
        <v>10</v>
      </c>
      <c r="B15" s="60" t="s">
        <v>81</v>
      </c>
      <c r="C15" s="61">
        <v>43252</v>
      </c>
      <c r="D15" s="62" t="str">
        <f ca="1" t="shared" si="0"/>
        <v>一年以上</v>
      </c>
      <c r="E15" s="313">
        <v>43255</v>
      </c>
      <c r="F15" s="59" t="s">
        <v>82</v>
      </c>
      <c r="G15" s="59" t="s">
        <v>83</v>
      </c>
      <c r="H15" s="63" t="s">
        <v>84</v>
      </c>
      <c r="I15" s="63" t="s">
        <v>84</v>
      </c>
      <c r="J15" s="314">
        <v>15000</v>
      </c>
      <c r="K15" s="59" t="s">
        <v>28</v>
      </c>
      <c r="L15" s="59" t="s">
        <v>57</v>
      </c>
      <c r="M15" s="59" t="s">
        <v>65</v>
      </c>
      <c r="N15" s="315">
        <v>15000</v>
      </c>
      <c r="O15" s="316">
        <f t="shared" ref="O15:O72" si="3">J15-N15</f>
        <v>0</v>
      </c>
      <c r="P15" s="95">
        <v>44936</v>
      </c>
      <c r="Q15" s="61">
        <f t="shared" si="2"/>
        <v>44936</v>
      </c>
      <c r="R15" s="59"/>
      <c r="S15" s="59" t="s">
        <v>85</v>
      </c>
      <c r="T15" s="59" t="s">
        <v>86</v>
      </c>
      <c r="U15" s="59" t="s">
        <v>87</v>
      </c>
      <c r="V15" s="59"/>
      <c r="W15" s="68"/>
      <c r="X15" s="68"/>
      <c r="Y15" s="68"/>
    </row>
    <row r="16" s="17" customFormat="1" hidden="1" customHeight="1" spans="1:25">
      <c r="A16" s="59">
        <v>15</v>
      </c>
      <c r="B16" s="60" t="s">
        <v>88</v>
      </c>
      <c r="C16" s="61">
        <v>43313</v>
      </c>
      <c r="D16" s="62" t="str">
        <f ca="1" t="shared" si="0"/>
        <v>一年以上</v>
      </c>
      <c r="E16" s="313">
        <v>43330</v>
      </c>
      <c r="F16" s="59" t="s">
        <v>70</v>
      </c>
      <c r="G16" s="59" t="s">
        <v>89</v>
      </c>
      <c r="H16" s="63" t="s">
        <v>90</v>
      </c>
      <c r="I16" s="63" t="s">
        <v>90</v>
      </c>
      <c r="J16" s="314">
        <v>2000</v>
      </c>
      <c r="K16" s="59"/>
      <c r="L16" s="59" t="s">
        <v>73</v>
      </c>
      <c r="M16" s="59" t="s">
        <v>65</v>
      </c>
      <c r="N16" s="315">
        <v>2000</v>
      </c>
      <c r="O16" s="316">
        <f t="shared" si="3"/>
        <v>0</v>
      </c>
      <c r="P16" s="95">
        <v>43707</v>
      </c>
      <c r="Q16" s="61">
        <f t="shared" si="2"/>
        <v>43707</v>
      </c>
      <c r="R16" s="59"/>
      <c r="S16" s="59"/>
      <c r="T16" s="59"/>
      <c r="U16" s="59"/>
      <c r="V16" s="59"/>
      <c r="W16" s="68"/>
      <c r="X16" s="68"/>
      <c r="Y16" s="68"/>
    </row>
    <row r="17" s="17" customFormat="1" hidden="1" customHeight="1" spans="1:25">
      <c r="A17" s="59">
        <v>6</v>
      </c>
      <c r="B17" s="60" t="s">
        <v>91</v>
      </c>
      <c r="C17" s="61">
        <v>43374</v>
      </c>
      <c r="D17" s="62" t="str">
        <f ca="1" t="shared" si="0"/>
        <v>一年以上</v>
      </c>
      <c r="E17" s="313">
        <v>43393</v>
      </c>
      <c r="F17" s="59" t="s">
        <v>70</v>
      </c>
      <c r="G17" s="59" t="s">
        <v>92</v>
      </c>
      <c r="H17" s="63" t="s">
        <v>93</v>
      </c>
      <c r="I17" s="63" t="s">
        <v>93</v>
      </c>
      <c r="J17" s="314">
        <v>3000</v>
      </c>
      <c r="K17" s="59"/>
      <c r="L17" s="59" t="s">
        <v>73</v>
      </c>
      <c r="M17" s="59" t="s">
        <v>65</v>
      </c>
      <c r="N17" s="315">
        <v>3000</v>
      </c>
      <c r="O17" s="316">
        <f t="shared" si="3"/>
        <v>0</v>
      </c>
      <c r="P17" s="95">
        <v>44126</v>
      </c>
      <c r="Q17" s="61">
        <f t="shared" si="2"/>
        <v>44126</v>
      </c>
      <c r="R17" s="59"/>
      <c r="S17" s="59" t="s">
        <v>94</v>
      </c>
      <c r="T17" s="59"/>
      <c r="U17" s="59"/>
      <c r="V17" s="59"/>
      <c r="W17" s="68"/>
      <c r="X17" s="68"/>
      <c r="Y17" s="68"/>
    </row>
    <row r="18" s="17" customFormat="1" hidden="1" customHeight="1" spans="1:25">
      <c r="A18" s="59">
        <v>19</v>
      </c>
      <c r="B18" s="60" t="s">
        <v>95</v>
      </c>
      <c r="C18" s="61">
        <v>43374</v>
      </c>
      <c r="D18" s="62" t="str">
        <f ca="1" t="shared" si="0"/>
        <v>一年以上</v>
      </c>
      <c r="E18" s="313">
        <v>43404</v>
      </c>
      <c r="F18" s="59" t="s">
        <v>70</v>
      </c>
      <c r="G18" s="59" t="s">
        <v>76</v>
      </c>
      <c r="H18" s="63" t="s">
        <v>77</v>
      </c>
      <c r="I18" s="63" t="s">
        <v>77</v>
      </c>
      <c r="J18" s="314">
        <v>7000</v>
      </c>
      <c r="K18" s="59"/>
      <c r="L18" s="59" t="s">
        <v>96</v>
      </c>
      <c r="M18" s="59" t="s">
        <v>65</v>
      </c>
      <c r="N18" s="315">
        <v>7000</v>
      </c>
      <c r="O18" s="316">
        <f t="shared" si="3"/>
        <v>0</v>
      </c>
      <c r="P18" s="95">
        <v>43480</v>
      </c>
      <c r="Q18" s="61">
        <f t="shared" si="2"/>
        <v>43480</v>
      </c>
      <c r="R18" s="59"/>
      <c r="S18" s="59"/>
      <c r="T18" s="59"/>
      <c r="U18" s="59"/>
      <c r="V18" s="59"/>
      <c r="W18" s="68"/>
      <c r="X18" s="68"/>
      <c r="Y18" s="68"/>
    </row>
    <row r="19" s="17" customFormat="1" hidden="1" customHeight="1" spans="1:25">
      <c r="A19" s="59">
        <v>3</v>
      </c>
      <c r="B19" s="60" t="s">
        <v>97</v>
      </c>
      <c r="C19" s="61">
        <v>43405</v>
      </c>
      <c r="D19" s="62" t="str">
        <f ca="1" t="shared" si="0"/>
        <v>一年以上</v>
      </c>
      <c r="E19" s="313">
        <v>43414</v>
      </c>
      <c r="F19" s="59" t="s">
        <v>70</v>
      </c>
      <c r="G19" s="59" t="s">
        <v>76</v>
      </c>
      <c r="H19" s="63" t="s">
        <v>98</v>
      </c>
      <c r="I19" s="63" t="s">
        <v>98</v>
      </c>
      <c r="J19" s="314">
        <f>20000</f>
        <v>20000</v>
      </c>
      <c r="K19" s="59" t="s">
        <v>28</v>
      </c>
      <c r="L19" s="59" t="s">
        <v>73</v>
      </c>
      <c r="M19" s="59" t="s">
        <v>65</v>
      </c>
      <c r="N19" s="315">
        <v>20000</v>
      </c>
      <c r="O19" s="316">
        <f t="shared" si="3"/>
        <v>0</v>
      </c>
      <c r="P19" s="95">
        <v>43823</v>
      </c>
      <c r="Q19" s="61">
        <f t="shared" si="2"/>
        <v>43823</v>
      </c>
      <c r="R19" s="59"/>
      <c r="S19" s="59" t="s">
        <v>99</v>
      </c>
      <c r="T19" s="59"/>
      <c r="U19" s="59"/>
      <c r="V19" s="59"/>
      <c r="W19" s="68"/>
      <c r="X19" s="68"/>
      <c r="Y19" s="68"/>
    </row>
    <row r="20" s="17" customFormat="1" hidden="1" customHeight="1" spans="1:25">
      <c r="A20" s="59">
        <v>4</v>
      </c>
      <c r="B20" s="60" t="s">
        <v>100</v>
      </c>
      <c r="C20" s="61">
        <v>43435</v>
      </c>
      <c r="D20" s="62" t="str">
        <f ca="1" t="shared" si="0"/>
        <v>一年以上</v>
      </c>
      <c r="E20" s="313">
        <v>43446</v>
      </c>
      <c r="F20" s="59" t="s">
        <v>70</v>
      </c>
      <c r="G20" s="59" t="s">
        <v>101</v>
      </c>
      <c r="H20" s="63" t="s">
        <v>102</v>
      </c>
      <c r="I20" s="63" t="s">
        <v>102</v>
      </c>
      <c r="J20" s="314">
        <v>8000</v>
      </c>
      <c r="K20" s="59"/>
      <c r="L20" s="59" t="s">
        <v>73</v>
      </c>
      <c r="M20" s="59" t="s">
        <v>65</v>
      </c>
      <c r="N20" s="315">
        <v>8000</v>
      </c>
      <c r="O20" s="316">
        <f t="shared" si="3"/>
        <v>0</v>
      </c>
      <c r="P20" s="95">
        <v>43609</v>
      </c>
      <c r="Q20" s="61">
        <f t="shared" si="2"/>
        <v>43609</v>
      </c>
      <c r="R20" s="59"/>
      <c r="S20" s="59"/>
      <c r="T20" s="59"/>
      <c r="U20" s="59"/>
      <c r="V20" s="59"/>
      <c r="W20" s="68"/>
      <c r="X20" s="68"/>
      <c r="Y20" s="68"/>
    </row>
    <row r="21" s="17" customFormat="1" hidden="1" customHeight="1" spans="1:25">
      <c r="A21" s="59">
        <v>12</v>
      </c>
      <c r="B21" s="60" t="s">
        <v>103</v>
      </c>
      <c r="C21" s="61">
        <v>43466</v>
      </c>
      <c r="D21" s="62" t="str">
        <f ca="1" t="shared" si="0"/>
        <v>一年以上</v>
      </c>
      <c r="E21" s="313">
        <v>43493</v>
      </c>
      <c r="F21" s="59" t="s">
        <v>70</v>
      </c>
      <c r="G21" s="59" t="s">
        <v>104</v>
      </c>
      <c r="H21" s="63" t="s">
        <v>105</v>
      </c>
      <c r="I21" s="63" t="s">
        <v>105</v>
      </c>
      <c r="J21" s="314">
        <v>10000</v>
      </c>
      <c r="K21" s="59"/>
      <c r="L21" s="59" t="s">
        <v>73</v>
      </c>
      <c r="M21" s="59" t="s">
        <v>65</v>
      </c>
      <c r="N21" s="315">
        <v>10000</v>
      </c>
      <c r="O21" s="316">
        <f t="shared" si="3"/>
        <v>0</v>
      </c>
      <c r="P21" s="95">
        <v>43664</v>
      </c>
      <c r="Q21" s="61">
        <f t="shared" si="2"/>
        <v>43664</v>
      </c>
      <c r="R21" s="59"/>
      <c r="S21" s="59"/>
      <c r="T21" s="59"/>
      <c r="U21" s="59"/>
      <c r="V21" s="59"/>
      <c r="W21" s="68"/>
      <c r="X21" s="68"/>
      <c r="Y21" s="68"/>
    </row>
    <row r="22" s="17" customFormat="1" hidden="1" customHeight="1" spans="1:25">
      <c r="A22" s="59">
        <v>11</v>
      </c>
      <c r="B22" s="60" t="s">
        <v>106</v>
      </c>
      <c r="C22" s="61">
        <v>43497</v>
      </c>
      <c r="D22" s="62" t="str">
        <f ca="1" t="shared" si="0"/>
        <v>一年以上</v>
      </c>
      <c r="E22" s="313">
        <v>43511</v>
      </c>
      <c r="F22" s="59" t="s">
        <v>70</v>
      </c>
      <c r="G22" s="59" t="s">
        <v>83</v>
      </c>
      <c r="H22" s="63" t="s">
        <v>107</v>
      </c>
      <c r="I22" s="63" t="s">
        <v>107</v>
      </c>
      <c r="J22" s="314">
        <v>3000</v>
      </c>
      <c r="K22" s="59"/>
      <c r="L22" s="59" t="s">
        <v>73</v>
      </c>
      <c r="M22" s="59" t="s">
        <v>65</v>
      </c>
      <c r="N22" s="315">
        <v>3000</v>
      </c>
      <c r="O22" s="316">
        <f t="shared" si="3"/>
        <v>0</v>
      </c>
      <c r="P22" s="95">
        <v>43646</v>
      </c>
      <c r="Q22" s="61">
        <f t="shared" si="2"/>
        <v>43646</v>
      </c>
      <c r="R22" s="59"/>
      <c r="S22" s="59"/>
      <c r="T22" s="59"/>
      <c r="U22" s="59"/>
      <c r="V22" s="59"/>
      <c r="W22" s="68"/>
      <c r="X22" s="68"/>
      <c r="Y22" s="68"/>
    </row>
    <row r="23" s="17" customFormat="1" hidden="1" customHeight="1" spans="1:25">
      <c r="A23" s="59">
        <v>8</v>
      </c>
      <c r="B23" s="60" t="s">
        <v>108</v>
      </c>
      <c r="C23" s="61">
        <v>43497</v>
      </c>
      <c r="D23" s="62" t="str">
        <f ca="1" t="shared" si="0"/>
        <v>一年以上</v>
      </c>
      <c r="E23" s="313">
        <v>43516</v>
      </c>
      <c r="F23" s="59" t="s">
        <v>70</v>
      </c>
      <c r="G23" s="59" t="s">
        <v>109</v>
      </c>
      <c r="H23" s="63" t="s">
        <v>110</v>
      </c>
      <c r="I23" s="63" t="s">
        <v>110</v>
      </c>
      <c r="J23" s="314">
        <v>1000</v>
      </c>
      <c r="K23" s="59"/>
      <c r="L23" s="59" t="s">
        <v>73</v>
      </c>
      <c r="M23" s="59" t="s">
        <v>65</v>
      </c>
      <c r="N23" s="315">
        <v>1000</v>
      </c>
      <c r="O23" s="316">
        <f t="shared" si="3"/>
        <v>0</v>
      </c>
      <c r="P23" s="95">
        <v>43692</v>
      </c>
      <c r="Q23" s="61">
        <f t="shared" si="2"/>
        <v>43692</v>
      </c>
      <c r="R23" s="59"/>
      <c r="S23" s="59"/>
      <c r="T23" s="59"/>
      <c r="U23" s="59"/>
      <c r="V23" s="59"/>
      <c r="W23" s="68"/>
      <c r="X23" s="68"/>
      <c r="Y23" s="68"/>
    </row>
    <row r="24" s="17" customFormat="1" hidden="1" customHeight="1" spans="1:25">
      <c r="A24" s="59">
        <v>14</v>
      </c>
      <c r="B24" s="60" t="s">
        <v>111</v>
      </c>
      <c r="C24" s="61">
        <v>43525</v>
      </c>
      <c r="D24" s="62" t="str">
        <f ca="1" t="shared" si="0"/>
        <v>一年以上</v>
      </c>
      <c r="E24" s="313">
        <v>43526</v>
      </c>
      <c r="F24" s="59" t="s">
        <v>70</v>
      </c>
      <c r="G24" s="59" t="s">
        <v>112</v>
      </c>
      <c r="H24" s="63" t="s">
        <v>113</v>
      </c>
      <c r="I24" s="63" t="s">
        <v>113</v>
      </c>
      <c r="J24" s="314">
        <v>2000</v>
      </c>
      <c r="K24" s="59"/>
      <c r="L24" s="59" t="s">
        <v>73</v>
      </c>
      <c r="M24" s="59" t="s">
        <v>65</v>
      </c>
      <c r="N24" s="315">
        <v>2000</v>
      </c>
      <c r="O24" s="316">
        <f t="shared" si="3"/>
        <v>0</v>
      </c>
      <c r="P24" s="95">
        <v>43698</v>
      </c>
      <c r="Q24" s="61">
        <f t="shared" si="2"/>
        <v>43698</v>
      </c>
      <c r="R24" s="59"/>
      <c r="S24" s="59"/>
      <c r="T24" s="59"/>
      <c r="U24" s="59"/>
      <c r="V24" s="59"/>
      <c r="W24" s="68"/>
      <c r="X24" s="68"/>
      <c r="Y24" s="68"/>
    </row>
    <row r="25" s="17" customFormat="1" hidden="1" customHeight="1" spans="1:25">
      <c r="A25" s="59">
        <v>13</v>
      </c>
      <c r="B25" s="60" t="s">
        <v>114</v>
      </c>
      <c r="C25" s="61">
        <v>43525</v>
      </c>
      <c r="D25" s="62" t="str">
        <f ca="1" t="shared" si="0"/>
        <v>一年以上</v>
      </c>
      <c r="E25" s="313">
        <v>43530</v>
      </c>
      <c r="F25" s="59" t="s">
        <v>70</v>
      </c>
      <c r="G25" s="59" t="s">
        <v>112</v>
      </c>
      <c r="H25" s="63" t="s">
        <v>115</v>
      </c>
      <c r="I25" s="63" t="s">
        <v>115</v>
      </c>
      <c r="J25" s="314">
        <v>3000</v>
      </c>
      <c r="K25" s="59"/>
      <c r="L25" s="59" t="s">
        <v>73</v>
      </c>
      <c r="M25" s="59" t="s">
        <v>65</v>
      </c>
      <c r="N25" s="315">
        <v>3000</v>
      </c>
      <c r="O25" s="316">
        <f t="shared" si="3"/>
        <v>0</v>
      </c>
      <c r="P25" s="95">
        <v>43700</v>
      </c>
      <c r="Q25" s="61">
        <f t="shared" si="2"/>
        <v>43700</v>
      </c>
      <c r="R25" s="59"/>
      <c r="S25" s="59"/>
      <c r="T25" s="59"/>
      <c r="U25" s="59"/>
      <c r="V25" s="59"/>
      <c r="W25" s="68"/>
      <c r="X25" s="68"/>
      <c r="Y25" s="68"/>
    </row>
    <row r="26" s="17" customFormat="1" hidden="1" customHeight="1" spans="1:25">
      <c r="A26" s="59">
        <v>9</v>
      </c>
      <c r="B26" s="60" t="s">
        <v>116</v>
      </c>
      <c r="C26" s="61">
        <v>43525</v>
      </c>
      <c r="D26" s="62" t="str">
        <f ca="1" t="shared" si="0"/>
        <v>一年以上</v>
      </c>
      <c r="E26" s="313">
        <v>43539</v>
      </c>
      <c r="F26" s="59" t="s">
        <v>70</v>
      </c>
      <c r="G26" s="59" t="s">
        <v>109</v>
      </c>
      <c r="H26" s="63" t="s">
        <v>117</v>
      </c>
      <c r="I26" s="63" t="s">
        <v>117</v>
      </c>
      <c r="J26" s="314">
        <v>10000</v>
      </c>
      <c r="K26" s="59"/>
      <c r="L26" s="59" t="s">
        <v>73</v>
      </c>
      <c r="M26" s="59" t="s">
        <v>65</v>
      </c>
      <c r="N26" s="315">
        <v>10000</v>
      </c>
      <c r="O26" s="316">
        <f t="shared" si="3"/>
        <v>0</v>
      </c>
      <c r="P26" s="95">
        <v>43613</v>
      </c>
      <c r="Q26" s="61">
        <f t="shared" si="2"/>
        <v>43613</v>
      </c>
      <c r="R26" s="59"/>
      <c r="S26" s="59"/>
      <c r="T26" s="59"/>
      <c r="U26" s="59"/>
      <c r="V26" s="59"/>
      <c r="W26" s="68"/>
      <c r="X26" s="68"/>
      <c r="Y26" s="68"/>
    </row>
    <row r="27" s="17" customFormat="1" hidden="1" customHeight="1" spans="1:25">
      <c r="A27" s="59">
        <v>7</v>
      </c>
      <c r="B27" s="60" t="s">
        <v>118</v>
      </c>
      <c r="C27" s="61">
        <v>43556</v>
      </c>
      <c r="D27" s="62" t="str">
        <f ca="1" t="shared" si="0"/>
        <v>一年以上</v>
      </c>
      <c r="E27" s="313">
        <v>43557</v>
      </c>
      <c r="F27" s="59" t="s">
        <v>70</v>
      </c>
      <c r="G27" s="59" t="s">
        <v>119</v>
      </c>
      <c r="H27" s="63" t="s">
        <v>120</v>
      </c>
      <c r="I27" s="63" t="s">
        <v>120</v>
      </c>
      <c r="J27" s="314">
        <v>5000</v>
      </c>
      <c r="K27" s="59"/>
      <c r="L27" s="59" t="s">
        <v>73</v>
      </c>
      <c r="M27" s="59" t="s">
        <v>65</v>
      </c>
      <c r="N27" s="315">
        <v>5000</v>
      </c>
      <c r="O27" s="316">
        <f t="shared" si="3"/>
        <v>0</v>
      </c>
      <c r="P27" s="95">
        <v>43633</v>
      </c>
      <c r="Q27" s="61">
        <f t="shared" si="2"/>
        <v>43633</v>
      </c>
      <c r="R27" s="59"/>
      <c r="S27" s="59"/>
      <c r="T27" s="59"/>
      <c r="U27" s="59"/>
      <c r="V27" s="59"/>
      <c r="W27" s="68"/>
      <c r="X27" s="68"/>
      <c r="Y27" s="68"/>
    </row>
    <row r="28" s="17" customFormat="1" hidden="1" customHeight="1" spans="1:25">
      <c r="A28" s="59">
        <v>16</v>
      </c>
      <c r="B28" s="60" t="s">
        <v>121</v>
      </c>
      <c r="C28" s="61">
        <v>43556</v>
      </c>
      <c r="D28" s="62" t="str">
        <f ca="1" t="shared" si="0"/>
        <v>一年以上</v>
      </c>
      <c r="E28" s="313">
        <v>43560</v>
      </c>
      <c r="F28" s="59" t="s">
        <v>122</v>
      </c>
      <c r="G28" s="59" t="s">
        <v>68</v>
      </c>
      <c r="H28" s="63" t="s">
        <v>123</v>
      </c>
      <c r="I28" s="63" t="s">
        <v>123</v>
      </c>
      <c r="J28" s="314">
        <v>124500</v>
      </c>
      <c r="K28" s="59" t="s">
        <v>28</v>
      </c>
      <c r="L28" s="59" t="s">
        <v>57</v>
      </c>
      <c r="M28" s="59" t="s">
        <v>65</v>
      </c>
      <c r="N28" s="315">
        <v>124500</v>
      </c>
      <c r="O28" s="316">
        <f t="shared" si="3"/>
        <v>0</v>
      </c>
      <c r="P28" s="95">
        <v>44890</v>
      </c>
      <c r="Q28" s="61">
        <f t="shared" si="2"/>
        <v>44890</v>
      </c>
      <c r="R28" s="59"/>
      <c r="S28" s="59" t="s">
        <v>124</v>
      </c>
      <c r="T28" s="59" t="s">
        <v>49</v>
      </c>
      <c r="U28" s="59" t="s">
        <v>125</v>
      </c>
      <c r="V28" s="59" t="s">
        <v>126</v>
      </c>
      <c r="W28" s="68"/>
      <c r="X28" s="68"/>
      <c r="Y28" s="68"/>
    </row>
    <row r="29" s="17" customFormat="1" hidden="1" customHeight="1" spans="1:25">
      <c r="A29" s="59">
        <v>194</v>
      </c>
      <c r="B29" s="60" t="s">
        <v>127</v>
      </c>
      <c r="C29" s="61">
        <v>43556</v>
      </c>
      <c r="D29" s="62" t="str">
        <f ca="1" t="shared" si="0"/>
        <v>一年以上</v>
      </c>
      <c r="E29" s="313">
        <v>43570</v>
      </c>
      <c r="F29" s="59"/>
      <c r="G29" s="59" t="s">
        <v>128</v>
      </c>
      <c r="H29" s="63" t="s">
        <v>90</v>
      </c>
      <c r="I29" s="63" t="s">
        <v>90</v>
      </c>
      <c r="J29" s="314">
        <v>10000</v>
      </c>
      <c r="K29" s="59"/>
      <c r="L29" s="59" t="s">
        <v>73</v>
      </c>
      <c r="M29" s="59" t="s">
        <v>30</v>
      </c>
      <c r="N29" s="315">
        <v>10000</v>
      </c>
      <c r="O29" s="316">
        <f t="shared" si="3"/>
        <v>0</v>
      </c>
      <c r="P29" s="95">
        <v>44064</v>
      </c>
      <c r="Q29" s="61">
        <f t="shared" si="2"/>
        <v>44064</v>
      </c>
      <c r="R29" s="59"/>
      <c r="S29" s="59" t="s">
        <v>62</v>
      </c>
      <c r="T29" s="59"/>
      <c r="U29" s="59"/>
      <c r="V29" s="59"/>
      <c r="W29" s="68"/>
      <c r="X29" s="68"/>
      <c r="Y29" s="68"/>
    </row>
    <row r="30" s="17" customFormat="1" hidden="1" customHeight="1" spans="1:25">
      <c r="A30" s="59">
        <v>343</v>
      </c>
      <c r="B30" s="60" t="s">
        <v>129</v>
      </c>
      <c r="C30" s="61">
        <v>43556</v>
      </c>
      <c r="D30" s="62" t="str">
        <f ca="1" t="shared" si="0"/>
        <v>一年以上</v>
      </c>
      <c r="E30" s="313">
        <v>43585</v>
      </c>
      <c r="F30" s="59" t="s">
        <v>130</v>
      </c>
      <c r="G30" s="59" t="s">
        <v>131</v>
      </c>
      <c r="H30" s="63" t="s">
        <v>132</v>
      </c>
      <c r="I30" s="63" t="s">
        <v>132</v>
      </c>
      <c r="J30" s="314">
        <v>10000</v>
      </c>
      <c r="K30" s="59"/>
      <c r="L30" s="59" t="s">
        <v>73</v>
      </c>
      <c r="M30" s="59" t="s">
        <v>133</v>
      </c>
      <c r="N30" s="315">
        <v>10000</v>
      </c>
      <c r="O30" s="316">
        <f t="shared" si="3"/>
        <v>0</v>
      </c>
      <c r="P30" s="95">
        <v>43938</v>
      </c>
      <c r="Q30" s="61">
        <f t="shared" si="2"/>
        <v>43938</v>
      </c>
      <c r="R30" s="59"/>
      <c r="S30" s="59" t="s">
        <v>133</v>
      </c>
      <c r="T30" s="59"/>
      <c r="U30" s="59"/>
      <c r="V30" s="59"/>
      <c r="W30" s="68"/>
      <c r="X30" s="68"/>
      <c r="Y30" s="68"/>
    </row>
    <row r="31" s="17" customFormat="1" hidden="1" customHeight="1" spans="1:25">
      <c r="A31" s="59">
        <v>17</v>
      </c>
      <c r="B31" s="60" t="s">
        <v>134</v>
      </c>
      <c r="C31" s="61">
        <v>43586</v>
      </c>
      <c r="D31" s="62" t="str">
        <f ca="1" t="shared" si="0"/>
        <v>一年以上</v>
      </c>
      <c r="E31" s="313">
        <v>43600</v>
      </c>
      <c r="F31" s="59" t="s">
        <v>70</v>
      </c>
      <c r="G31" s="59" t="s">
        <v>135</v>
      </c>
      <c r="H31" s="63" t="s">
        <v>136</v>
      </c>
      <c r="I31" s="63" t="s">
        <v>136</v>
      </c>
      <c r="J31" s="314">
        <v>3000</v>
      </c>
      <c r="K31" s="59"/>
      <c r="L31" s="59" t="s">
        <v>73</v>
      </c>
      <c r="M31" s="59" t="s">
        <v>65</v>
      </c>
      <c r="N31" s="315">
        <v>3000</v>
      </c>
      <c r="O31" s="316">
        <f t="shared" si="3"/>
        <v>0</v>
      </c>
      <c r="P31" s="95">
        <v>43824</v>
      </c>
      <c r="Q31" s="61">
        <f t="shared" si="2"/>
        <v>43824</v>
      </c>
      <c r="R31" s="59"/>
      <c r="S31" s="59"/>
      <c r="T31" s="59"/>
      <c r="U31" s="59"/>
      <c r="V31" s="59"/>
      <c r="W31" s="68"/>
      <c r="X31" s="68"/>
      <c r="Y31" s="68"/>
    </row>
    <row r="32" s="17" customFormat="1" hidden="1" customHeight="1" spans="1:25">
      <c r="A32" s="59">
        <v>18</v>
      </c>
      <c r="B32" s="60" t="s">
        <v>137</v>
      </c>
      <c r="C32" s="61">
        <v>43586</v>
      </c>
      <c r="D32" s="62" t="str">
        <f ca="1" t="shared" si="0"/>
        <v>一年以上</v>
      </c>
      <c r="E32" s="313">
        <v>43601</v>
      </c>
      <c r="F32" s="59" t="s">
        <v>70</v>
      </c>
      <c r="G32" s="59" t="s">
        <v>104</v>
      </c>
      <c r="H32" s="63" t="s">
        <v>138</v>
      </c>
      <c r="I32" s="63" t="s">
        <v>138</v>
      </c>
      <c r="J32" s="314">
        <v>3000</v>
      </c>
      <c r="K32" s="59"/>
      <c r="L32" s="59" t="s">
        <v>73</v>
      </c>
      <c r="M32" s="59" t="s">
        <v>65</v>
      </c>
      <c r="N32" s="315">
        <v>3000</v>
      </c>
      <c r="O32" s="316">
        <f t="shared" si="3"/>
        <v>0</v>
      </c>
      <c r="P32" s="95">
        <v>44484</v>
      </c>
      <c r="Q32" s="61">
        <f t="shared" si="2"/>
        <v>44484</v>
      </c>
      <c r="R32" s="59"/>
      <c r="S32" s="59"/>
      <c r="T32" s="59"/>
      <c r="U32" s="59"/>
      <c r="V32" s="59"/>
      <c r="W32" s="68"/>
      <c r="X32" s="68"/>
      <c r="Y32" s="68"/>
    </row>
    <row r="33" s="17" customFormat="1" hidden="1" customHeight="1" spans="1:25">
      <c r="A33" s="59">
        <v>20</v>
      </c>
      <c r="B33" s="60" t="s">
        <v>139</v>
      </c>
      <c r="C33" s="61">
        <v>43586</v>
      </c>
      <c r="D33" s="62" t="str">
        <f ca="1" t="shared" si="0"/>
        <v>一年以上</v>
      </c>
      <c r="E33" s="313">
        <v>43601</v>
      </c>
      <c r="F33" s="59" t="s">
        <v>70</v>
      </c>
      <c r="G33" s="59" t="s">
        <v>140</v>
      </c>
      <c r="H33" s="63" t="s">
        <v>141</v>
      </c>
      <c r="I33" s="63" t="s">
        <v>141</v>
      </c>
      <c r="J33" s="314">
        <v>10000</v>
      </c>
      <c r="K33" s="59"/>
      <c r="L33" s="59" t="s">
        <v>73</v>
      </c>
      <c r="M33" s="59" t="s">
        <v>65</v>
      </c>
      <c r="N33" s="315">
        <v>10000</v>
      </c>
      <c r="O33" s="316">
        <f t="shared" si="3"/>
        <v>0</v>
      </c>
      <c r="P33" s="95">
        <v>43973</v>
      </c>
      <c r="Q33" s="61">
        <f t="shared" si="2"/>
        <v>43973</v>
      </c>
      <c r="R33" s="59"/>
      <c r="S33" s="59"/>
      <c r="T33" s="59"/>
      <c r="U33" s="59"/>
      <c r="V33" s="59"/>
      <c r="W33" s="68"/>
      <c r="X33" s="68"/>
      <c r="Y33" s="68"/>
    </row>
    <row r="34" s="17" customFormat="1" hidden="1" customHeight="1" spans="1:25">
      <c r="A34" s="59">
        <v>21</v>
      </c>
      <c r="B34" s="60" t="s">
        <v>142</v>
      </c>
      <c r="C34" s="61">
        <v>43617</v>
      </c>
      <c r="D34" s="62" t="str">
        <f ca="1" t="shared" si="0"/>
        <v>一年以上</v>
      </c>
      <c r="E34" s="313">
        <v>43621</v>
      </c>
      <c r="F34" s="59" t="s">
        <v>70</v>
      </c>
      <c r="G34" s="59" t="s">
        <v>143</v>
      </c>
      <c r="H34" s="63" t="s">
        <v>144</v>
      </c>
      <c r="I34" s="63" t="s">
        <v>144</v>
      </c>
      <c r="J34" s="314">
        <v>2000</v>
      </c>
      <c r="K34" s="59"/>
      <c r="L34" s="59" t="s">
        <v>96</v>
      </c>
      <c r="M34" s="59" t="s">
        <v>65</v>
      </c>
      <c r="N34" s="315">
        <v>2000</v>
      </c>
      <c r="O34" s="316">
        <f t="shared" si="3"/>
        <v>0</v>
      </c>
      <c r="P34" s="95">
        <v>43676</v>
      </c>
      <c r="Q34" s="61">
        <f t="shared" si="2"/>
        <v>43676</v>
      </c>
      <c r="R34" s="59"/>
      <c r="S34" s="59"/>
      <c r="T34" s="59"/>
      <c r="U34" s="59"/>
      <c r="V34" s="59"/>
      <c r="W34" s="68"/>
      <c r="X34" s="68"/>
      <c r="Y34" s="68"/>
    </row>
    <row r="35" s="17" customFormat="1" hidden="1" customHeight="1" spans="1:25">
      <c r="A35" s="59">
        <v>22</v>
      </c>
      <c r="B35" s="60" t="s">
        <v>145</v>
      </c>
      <c r="C35" s="61">
        <v>43617</v>
      </c>
      <c r="D35" s="62" t="str">
        <f ca="1" t="shared" si="0"/>
        <v>一年以上</v>
      </c>
      <c r="E35" s="313">
        <v>43628</v>
      </c>
      <c r="F35" s="59" t="s">
        <v>70</v>
      </c>
      <c r="G35" s="59" t="s">
        <v>146</v>
      </c>
      <c r="H35" s="63" t="s">
        <v>147</v>
      </c>
      <c r="I35" s="63" t="s">
        <v>147</v>
      </c>
      <c r="J35" s="314">
        <v>5000</v>
      </c>
      <c r="K35" s="59"/>
      <c r="L35" s="59" t="s">
        <v>73</v>
      </c>
      <c r="M35" s="59" t="s">
        <v>65</v>
      </c>
      <c r="N35" s="315">
        <v>5000</v>
      </c>
      <c r="O35" s="316">
        <f t="shared" si="3"/>
        <v>0</v>
      </c>
      <c r="P35" s="95">
        <v>43641</v>
      </c>
      <c r="Q35" s="61">
        <f t="shared" si="2"/>
        <v>43641</v>
      </c>
      <c r="R35" s="59"/>
      <c r="S35" s="59"/>
      <c r="T35" s="59"/>
      <c r="U35" s="59"/>
      <c r="V35" s="59"/>
      <c r="W35" s="68"/>
      <c r="X35" s="68"/>
      <c r="Y35" s="68"/>
    </row>
    <row r="36" s="17" customFormat="1" hidden="1" customHeight="1" spans="1:25">
      <c r="A36" s="59">
        <v>23</v>
      </c>
      <c r="B36" s="60" t="s">
        <v>148</v>
      </c>
      <c r="C36" s="61">
        <v>43617</v>
      </c>
      <c r="D36" s="62" t="str">
        <f ca="1" t="shared" si="0"/>
        <v>一年以上</v>
      </c>
      <c r="E36" s="313">
        <v>43635</v>
      </c>
      <c r="F36" s="59" t="s">
        <v>70</v>
      </c>
      <c r="G36" s="59" t="s">
        <v>149</v>
      </c>
      <c r="H36" s="63" t="s">
        <v>150</v>
      </c>
      <c r="I36" s="63" t="s">
        <v>150</v>
      </c>
      <c r="J36" s="314">
        <v>2000</v>
      </c>
      <c r="K36" s="59"/>
      <c r="L36" s="59" t="s">
        <v>73</v>
      </c>
      <c r="M36" s="59" t="s">
        <v>65</v>
      </c>
      <c r="N36" s="315">
        <v>2000</v>
      </c>
      <c r="O36" s="316">
        <f t="shared" si="3"/>
        <v>0</v>
      </c>
      <c r="P36" s="95">
        <v>43644</v>
      </c>
      <c r="Q36" s="61">
        <f t="shared" si="2"/>
        <v>43644</v>
      </c>
      <c r="R36" s="59"/>
      <c r="S36" s="59"/>
      <c r="T36" s="59"/>
      <c r="U36" s="59"/>
      <c r="V36" s="59"/>
      <c r="W36" s="68"/>
      <c r="X36" s="68"/>
      <c r="Y36" s="68"/>
    </row>
    <row r="37" s="17" customFormat="1" hidden="1" customHeight="1" spans="1:25">
      <c r="A37" s="59">
        <v>24</v>
      </c>
      <c r="B37" s="60" t="s">
        <v>151</v>
      </c>
      <c r="C37" s="61">
        <v>43617</v>
      </c>
      <c r="D37" s="62" t="str">
        <f ca="1" t="shared" si="0"/>
        <v>一年以上</v>
      </c>
      <c r="E37" s="313">
        <v>43644</v>
      </c>
      <c r="F37" s="59" t="s">
        <v>70</v>
      </c>
      <c r="G37" s="59" t="s">
        <v>135</v>
      </c>
      <c r="H37" s="63" t="s">
        <v>152</v>
      </c>
      <c r="I37" s="63" t="s">
        <v>152</v>
      </c>
      <c r="J37" s="314">
        <v>10000</v>
      </c>
      <c r="K37" s="59"/>
      <c r="L37" s="59" t="s">
        <v>73</v>
      </c>
      <c r="M37" s="59" t="s">
        <v>65</v>
      </c>
      <c r="N37" s="315">
        <v>10000</v>
      </c>
      <c r="O37" s="316">
        <f t="shared" si="3"/>
        <v>0</v>
      </c>
      <c r="P37" s="95">
        <v>43703</v>
      </c>
      <c r="Q37" s="61">
        <f t="shared" si="2"/>
        <v>43703</v>
      </c>
      <c r="R37" s="59"/>
      <c r="S37" s="59"/>
      <c r="T37" s="59"/>
      <c r="U37" s="59"/>
      <c r="V37" s="59"/>
      <c r="W37" s="68"/>
      <c r="X37" s="68"/>
      <c r="Y37" s="68"/>
    </row>
    <row r="38" s="17" customFormat="1" hidden="1" customHeight="1" spans="1:25">
      <c r="A38" s="59">
        <v>25</v>
      </c>
      <c r="B38" s="60" t="s">
        <v>153</v>
      </c>
      <c r="C38" s="61">
        <v>43647</v>
      </c>
      <c r="D38" s="62" t="str">
        <f ca="1" t="shared" si="0"/>
        <v>一年以上</v>
      </c>
      <c r="E38" s="313">
        <v>43657</v>
      </c>
      <c r="F38" s="59" t="s">
        <v>70</v>
      </c>
      <c r="G38" s="59" t="s">
        <v>104</v>
      </c>
      <c r="H38" s="63" t="s">
        <v>154</v>
      </c>
      <c r="I38" s="63" t="s">
        <v>154</v>
      </c>
      <c r="J38" s="314">
        <v>3000</v>
      </c>
      <c r="K38" s="59"/>
      <c r="L38" s="59" t="s">
        <v>73</v>
      </c>
      <c r="M38" s="59" t="s">
        <v>65</v>
      </c>
      <c r="N38" s="315">
        <v>3000</v>
      </c>
      <c r="O38" s="316">
        <f t="shared" si="3"/>
        <v>0</v>
      </c>
      <c r="P38" s="95">
        <v>43703</v>
      </c>
      <c r="Q38" s="61">
        <f t="shared" si="2"/>
        <v>43703</v>
      </c>
      <c r="R38" s="59"/>
      <c r="S38" s="59"/>
      <c r="T38" s="59"/>
      <c r="U38" s="59"/>
      <c r="V38" s="59"/>
      <c r="W38" s="68"/>
      <c r="X38" s="68"/>
      <c r="Y38" s="68"/>
    </row>
    <row r="39" s="17" customFormat="1" hidden="1" customHeight="1" spans="1:25">
      <c r="A39" s="59">
        <v>27</v>
      </c>
      <c r="B39" s="60" t="s">
        <v>155</v>
      </c>
      <c r="C39" s="61">
        <v>43647</v>
      </c>
      <c r="D39" s="62" t="str">
        <f ca="1" t="shared" si="0"/>
        <v>一年以上</v>
      </c>
      <c r="E39" s="313">
        <v>43657</v>
      </c>
      <c r="F39" s="59" t="s">
        <v>70</v>
      </c>
      <c r="G39" s="59" t="s">
        <v>156</v>
      </c>
      <c r="H39" s="63" t="s">
        <v>157</v>
      </c>
      <c r="I39" s="63" t="s">
        <v>157</v>
      </c>
      <c r="J39" s="314">
        <v>1000</v>
      </c>
      <c r="K39" s="59"/>
      <c r="L39" s="59" t="s">
        <v>96</v>
      </c>
      <c r="M39" s="59" t="s">
        <v>65</v>
      </c>
      <c r="N39" s="315">
        <v>1000</v>
      </c>
      <c r="O39" s="316">
        <f t="shared" si="3"/>
        <v>0</v>
      </c>
      <c r="P39" s="95">
        <v>43661</v>
      </c>
      <c r="Q39" s="61">
        <f t="shared" si="2"/>
        <v>43661</v>
      </c>
      <c r="R39" s="59"/>
      <c r="S39" s="59"/>
      <c r="T39" s="59"/>
      <c r="U39" s="59"/>
      <c r="V39" s="59"/>
      <c r="W39" s="68"/>
      <c r="X39" s="68"/>
      <c r="Y39" s="68"/>
    </row>
    <row r="40" s="17" customFormat="1" hidden="1" customHeight="1" spans="1:25">
      <c r="A40" s="59">
        <v>26</v>
      </c>
      <c r="B40" s="60" t="s">
        <v>158</v>
      </c>
      <c r="C40" s="61">
        <v>43647</v>
      </c>
      <c r="D40" s="62" t="str">
        <f ca="1" t="shared" si="0"/>
        <v>一年以上</v>
      </c>
      <c r="E40" s="313">
        <v>43664</v>
      </c>
      <c r="F40" s="59" t="s">
        <v>70</v>
      </c>
      <c r="G40" s="59" t="s">
        <v>104</v>
      </c>
      <c r="H40" s="63" t="s">
        <v>159</v>
      </c>
      <c r="I40" s="63" t="s">
        <v>159</v>
      </c>
      <c r="J40" s="314">
        <v>3000</v>
      </c>
      <c r="K40" s="59"/>
      <c r="L40" s="59" t="s">
        <v>73</v>
      </c>
      <c r="M40" s="59" t="s">
        <v>65</v>
      </c>
      <c r="N40" s="315">
        <v>3000</v>
      </c>
      <c r="O40" s="316">
        <f t="shared" si="3"/>
        <v>0</v>
      </c>
      <c r="P40" s="95">
        <v>43794</v>
      </c>
      <c r="Q40" s="61">
        <f t="shared" si="2"/>
        <v>43794</v>
      </c>
      <c r="R40" s="59"/>
      <c r="S40" s="59"/>
      <c r="T40" s="59" t="s">
        <v>160</v>
      </c>
      <c r="U40" s="59"/>
      <c r="V40" s="59"/>
      <c r="W40" s="68"/>
      <c r="X40" s="68"/>
      <c r="Y40" s="68"/>
    </row>
    <row r="41" s="17" customFormat="1" hidden="1" customHeight="1" spans="1:25">
      <c r="A41" s="59">
        <v>28</v>
      </c>
      <c r="B41" s="60" t="s">
        <v>161</v>
      </c>
      <c r="C41" s="61">
        <v>43678</v>
      </c>
      <c r="D41" s="62" t="str">
        <f ca="1" t="shared" si="0"/>
        <v>一年以上</v>
      </c>
      <c r="E41" s="313">
        <v>43678</v>
      </c>
      <c r="F41" s="59" t="s">
        <v>70</v>
      </c>
      <c r="G41" s="59" t="s">
        <v>140</v>
      </c>
      <c r="H41" s="63" t="s">
        <v>162</v>
      </c>
      <c r="I41" s="63" t="s">
        <v>162</v>
      </c>
      <c r="J41" s="314">
        <v>2000</v>
      </c>
      <c r="K41" s="59"/>
      <c r="L41" s="59" t="s">
        <v>73</v>
      </c>
      <c r="M41" s="59" t="s">
        <v>65</v>
      </c>
      <c r="N41" s="315">
        <v>2000</v>
      </c>
      <c r="O41" s="316">
        <f t="shared" si="3"/>
        <v>0</v>
      </c>
      <c r="P41" s="95">
        <v>43700</v>
      </c>
      <c r="Q41" s="61">
        <f t="shared" si="2"/>
        <v>43700</v>
      </c>
      <c r="R41" s="59"/>
      <c r="S41" s="59"/>
      <c r="T41" s="59"/>
      <c r="U41" s="59"/>
      <c r="V41" s="59"/>
      <c r="W41" s="68"/>
      <c r="X41" s="68"/>
      <c r="Y41" s="68"/>
    </row>
    <row r="42" s="17" customFormat="1" hidden="1" customHeight="1" spans="1:25">
      <c r="A42" s="59">
        <v>29</v>
      </c>
      <c r="B42" s="60" t="s">
        <v>163</v>
      </c>
      <c r="C42" s="61">
        <v>43678</v>
      </c>
      <c r="D42" s="62" t="str">
        <f ca="1" t="shared" si="0"/>
        <v>一年以上</v>
      </c>
      <c r="E42" s="313">
        <v>43685</v>
      </c>
      <c r="F42" s="59" t="s">
        <v>130</v>
      </c>
      <c r="G42" s="59" t="s">
        <v>54</v>
      </c>
      <c r="H42" s="63" t="s">
        <v>164</v>
      </c>
      <c r="I42" s="63" t="s">
        <v>164</v>
      </c>
      <c r="J42" s="314">
        <v>10000</v>
      </c>
      <c r="K42" s="59"/>
      <c r="L42" s="59" t="s">
        <v>73</v>
      </c>
      <c r="M42" s="59" t="s">
        <v>65</v>
      </c>
      <c r="N42" s="315">
        <v>10000</v>
      </c>
      <c r="O42" s="316">
        <f t="shared" si="3"/>
        <v>0</v>
      </c>
      <c r="P42" s="95">
        <v>44403</v>
      </c>
      <c r="Q42" s="61">
        <f t="shared" si="2"/>
        <v>44403</v>
      </c>
      <c r="R42" s="59"/>
      <c r="S42" s="59"/>
      <c r="T42" s="59"/>
      <c r="U42" s="59"/>
      <c r="V42" s="59"/>
      <c r="W42" s="68"/>
      <c r="X42" s="68"/>
      <c r="Y42" s="68"/>
    </row>
    <row r="43" s="17" customFormat="1" hidden="1" customHeight="1" spans="1:25">
      <c r="A43" s="59">
        <v>30</v>
      </c>
      <c r="B43" s="60" t="s">
        <v>165</v>
      </c>
      <c r="C43" s="61">
        <v>43678</v>
      </c>
      <c r="D43" s="62" t="str">
        <f ca="1" t="shared" si="0"/>
        <v>一年以上</v>
      </c>
      <c r="E43" s="313">
        <v>43692</v>
      </c>
      <c r="F43" s="59" t="s">
        <v>70</v>
      </c>
      <c r="G43" s="59" t="s">
        <v>166</v>
      </c>
      <c r="H43" s="63" t="s">
        <v>167</v>
      </c>
      <c r="I43" s="63" t="s">
        <v>167</v>
      </c>
      <c r="J43" s="314">
        <v>10000</v>
      </c>
      <c r="K43" s="59"/>
      <c r="L43" s="59" t="s">
        <v>73</v>
      </c>
      <c r="M43" s="59" t="s">
        <v>65</v>
      </c>
      <c r="N43" s="315">
        <v>10000</v>
      </c>
      <c r="O43" s="316">
        <f t="shared" si="3"/>
        <v>0</v>
      </c>
      <c r="P43" s="95">
        <v>43701</v>
      </c>
      <c r="Q43" s="61">
        <f t="shared" si="2"/>
        <v>43701</v>
      </c>
      <c r="R43" s="59"/>
      <c r="S43" s="59"/>
      <c r="T43" s="59"/>
      <c r="U43" s="59"/>
      <c r="V43" s="59"/>
      <c r="W43" s="68"/>
      <c r="X43" s="68"/>
      <c r="Y43" s="68"/>
    </row>
    <row r="44" s="17" customFormat="1" hidden="1" customHeight="1" spans="1:25">
      <c r="A44" s="59">
        <v>31</v>
      </c>
      <c r="B44" s="60" t="s">
        <v>168</v>
      </c>
      <c r="C44" s="61">
        <v>43678</v>
      </c>
      <c r="D44" s="62" t="str">
        <f ca="1" t="shared" si="0"/>
        <v>一年以上</v>
      </c>
      <c r="E44" s="313">
        <v>43696</v>
      </c>
      <c r="F44" s="59" t="s">
        <v>70</v>
      </c>
      <c r="G44" s="59" t="s">
        <v>89</v>
      </c>
      <c r="H44" s="63" t="s">
        <v>169</v>
      </c>
      <c r="I44" s="63" t="s">
        <v>169</v>
      </c>
      <c r="J44" s="314">
        <v>2000</v>
      </c>
      <c r="K44" s="59" t="s">
        <v>28</v>
      </c>
      <c r="L44" s="59" t="s">
        <v>57</v>
      </c>
      <c r="M44" s="59" t="s">
        <v>65</v>
      </c>
      <c r="N44" s="315">
        <v>2000</v>
      </c>
      <c r="O44" s="316">
        <f t="shared" si="3"/>
        <v>0</v>
      </c>
      <c r="P44" s="95">
        <v>45012</v>
      </c>
      <c r="Q44" s="61">
        <f t="shared" si="2"/>
        <v>45012</v>
      </c>
      <c r="R44" s="59"/>
      <c r="S44" s="59" t="s">
        <v>170</v>
      </c>
      <c r="T44" s="59" t="s">
        <v>171</v>
      </c>
      <c r="U44" s="59" t="s">
        <v>172</v>
      </c>
      <c r="V44" s="59"/>
      <c r="W44" s="68"/>
      <c r="X44" s="68"/>
      <c r="Y44" s="68"/>
    </row>
    <row r="45" s="17" customFormat="1" hidden="1" customHeight="1" spans="1:25">
      <c r="A45" s="59">
        <v>342</v>
      </c>
      <c r="B45" s="60" t="s">
        <v>173</v>
      </c>
      <c r="C45" s="61">
        <v>43678</v>
      </c>
      <c r="D45" s="62" t="str">
        <f ca="1" t="shared" si="0"/>
        <v>一年以上</v>
      </c>
      <c r="E45" s="313">
        <v>43696</v>
      </c>
      <c r="F45" s="59" t="s">
        <v>130</v>
      </c>
      <c r="G45" s="59" t="s">
        <v>54</v>
      </c>
      <c r="H45" s="63" t="s">
        <v>174</v>
      </c>
      <c r="I45" s="63" t="s">
        <v>174</v>
      </c>
      <c r="J45" s="314">
        <v>20000</v>
      </c>
      <c r="K45" s="59"/>
      <c r="L45" s="59" t="s">
        <v>73</v>
      </c>
      <c r="M45" s="59" t="s">
        <v>133</v>
      </c>
      <c r="N45" s="315">
        <v>20000</v>
      </c>
      <c r="O45" s="316">
        <f t="shared" si="3"/>
        <v>0</v>
      </c>
      <c r="P45" s="95">
        <v>44673</v>
      </c>
      <c r="Q45" s="61">
        <f t="shared" si="2"/>
        <v>44673</v>
      </c>
      <c r="R45" s="59"/>
      <c r="S45" s="59" t="s">
        <v>175</v>
      </c>
      <c r="T45" s="59"/>
      <c r="U45" s="59"/>
      <c r="V45" s="59"/>
      <c r="W45" s="68"/>
      <c r="X45" s="68"/>
      <c r="Y45" s="68"/>
    </row>
    <row r="46" s="17" customFormat="1" hidden="1" customHeight="1" spans="1:25">
      <c r="A46" s="59">
        <v>32</v>
      </c>
      <c r="B46" s="60" t="s">
        <v>176</v>
      </c>
      <c r="C46" s="61">
        <v>43678</v>
      </c>
      <c r="D46" s="62" t="str">
        <f ca="1" t="shared" si="0"/>
        <v>一年以上</v>
      </c>
      <c r="E46" s="313">
        <v>43698</v>
      </c>
      <c r="F46" s="59" t="s">
        <v>70</v>
      </c>
      <c r="G46" s="59" t="s">
        <v>135</v>
      </c>
      <c r="H46" s="63" t="s">
        <v>177</v>
      </c>
      <c r="I46" s="63" t="s">
        <v>177</v>
      </c>
      <c r="J46" s="314">
        <v>2000</v>
      </c>
      <c r="K46" s="59"/>
      <c r="L46" s="59" t="s">
        <v>73</v>
      </c>
      <c r="M46" s="59" t="s">
        <v>65</v>
      </c>
      <c r="N46" s="315">
        <v>2000</v>
      </c>
      <c r="O46" s="316">
        <f t="shared" si="3"/>
        <v>0</v>
      </c>
      <c r="P46" s="95">
        <v>43829</v>
      </c>
      <c r="Q46" s="61">
        <f t="shared" si="2"/>
        <v>43829</v>
      </c>
      <c r="R46" s="59"/>
      <c r="S46" s="59"/>
      <c r="T46" s="59"/>
      <c r="U46" s="59"/>
      <c r="V46" s="59"/>
      <c r="W46" s="68"/>
      <c r="X46" s="68"/>
      <c r="Y46" s="68"/>
    </row>
    <row r="47" s="17" customFormat="1" hidden="1" customHeight="1" spans="1:25">
      <c r="A47" s="59">
        <v>33</v>
      </c>
      <c r="B47" s="60" t="s">
        <v>178</v>
      </c>
      <c r="C47" s="61">
        <v>43678</v>
      </c>
      <c r="D47" s="62" t="str">
        <f ca="1" t="shared" si="0"/>
        <v>一年以上</v>
      </c>
      <c r="E47" s="313">
        <v>43700</v>
      </c>
      <c r="F47" s="59" t="s">
        <v>70</v>
      </c>
      <c r="G47" s="59" t="s">
        <v>149</v>
      </c>
      <c r="H47" s="63" t="s">
        <v>179</v>
      </c>
      <c r="I47" s="63" t="s">
        <v>179</v>
      </c>
      <c r="J47" s="314">
        <v>1000</v>
      </c>
      <c r="K47" s="59"/>
      <c r="L47" s="59" t="s">
        <v>96</v>
      </c>
      <c r="M47" s="59" t="s">
        <v>65</v>
      </c>
      <c r="N47" s="315">
        <v>1000</v>
      </c>
      <c r="O47" s="316">
        <f t="shared" si="3"/>
        <v>0</v>
      </c>
      <c r="P47" s="95">
        <v>43718</v>
      </c>
      <c r="Q47" s="61">
        <f t="shared" si="2"/>
        <v>43718</v>
      </c>
      <c r="R47" s="59"/>
      <c r="S47" s="59"/>
      <c r="T47" s="59"/>
      <c r="U47" s="59"/>
      <c r="V47" s="59"/>
      <c r="W47" s="68"/>
      <c r="X47" s="68"/>
      <c r="Y47" s="68"/>
    </row>
    <row r="48" s="17" customFormat="1" hidden="1" customHeight="1" spans="1:25">
      <c r="A48" s="59">
        <v>34</v>
      </c>
      <c r="B48" s="60" t="s">
        <v>180</v>
      </c>
      <c r="C48" s="61">
        <v>43709</v>
      </c>
      <c r="D48" s="62" t="str">
        <f ca="1" t="shared" si="0"/>
        <v>一年以上</v>
      </c>
      <c r="E48" s="313">
        <v>43710</v>
      </c>
      <c r="F48" s="59" t="s">
        <v>130</v>
      </c>
      <c r="G48" s="59" t="s">
        <v>54</v>
      </c>
      <c r="H48" s="63" t="s">
        <v>174</v>
      </c>
      <c r="I48" s="63" t="s">
        <v>174</v>
      </c>
      <c r="J48" s="314">
        <v>25350</v>
      </c>
      <c r="K48" s="59" t="s">
        <v>28</v>
      </c>
      <c r="L48" s="59" t="s">
        <v>57</v>
      </c>
      <c r="M48" s="59" t="s">
        <v>65</v>
      </c>
      <c r="N48" s="315">
        <v>25350</v>
      </c>
      <c r="O48" s="316">
        <f t="shared" si="3"/>
        <v>0</v>
      </c>
      <c r="P48" s="95">
        <v>44673</v>
      </c>
      <c r="Q48" s="61">
        <f t="shared" si="2"/>
        <v>44673</v>
      </c>
      <c r="R48" s="59"/>
      <c r="S48" s="59" t="s">
        <v>181</v>
      </c>
      <c r="T48" s="59" t="s">
        <v>182</v>
      </c>
      <c r="U48" s="59" t="s">
        <v>125</v>
      </c>
      <c r="V48" s="59"/>
      <c r="W48" s="68"/>
      <c r="X48" s="68"/>
      <c r="Y48" s="68"/>
    </row>
    <row r="49" s="17" customFormat="1" hidden="1" customHeight="1" spans="1:25">
      <c r="A49" s="59">
        <v>35</v>
      </c>
      <c r="B49" s="60" t="s">
        <v>183</v>
      </c>
      <c r="C49" s="61">
        <v>43709</v>
      </c>
      <c r="D49" s="62" t="str">
        <f ca="1" t="shared" si="0"/>
        <v>一年以上</v>
      </c>
      <c r="E49" s="313">
        <v>43719</v>
      </c>
      <c r="F49" s="59" t="s">
        <v>70</v>
      </c>
      <c r="G49" s="59" t="s">
        <v>135</v>
      </c>
      <c r="H49" s="63" t="s">
        <v>184</v>
      </c>
      <c r="I49" s="63" t="s">
        <v>184</v>
      </c>
      <c r="J49" s="314">
        <v>4000</v>
      </c>
      <c r="K49" s="59"/>
      <c r="L49" s="59" t="s">
        <v>73</v>
      </c>
      <c r="M49" s="59" t="s">
        <v>65</v>
      </c>
      <c r="N49" s="315">
        <v>4000</v>
      </c>
      <c r="O49" s="316">
        <f t="shared" si="3"/>
        <v>0</v>
      </c>
      <c r="P49" s="95">
        <v>43723</v>
      </c>
      <c r="Q49" s="61">
        <f t="shared" si="2"/>
        <v>43723</v>
      </c>
      <c r="R49" s="59"/>
      <c r="S49" s="59"/>
      <c r="T49" s="59"/>
      <c r="U49" s="59"/>
      <c r="V49" s="59"/>
      <c r="W49" s="68"/>
      <c r="X49" s="68"/>
      <c r="Y49" s="68"/>
    </row>
    <row r="50" s="17" customFormat="1" hidden="1" customHeight="1" spans="1:25">
      <c r="A50" s="59">
        <v>36</v>
      </c>
      <c r="B50" s="60" t="s">
        <v>185</v>
      </c>
      <c r="C50" s="61">
        <v>43709</v>
      </c>
      <c r="D50" s="62" t="str">
        <f ca="1" t="shared" si="0"/>
        <v>一年以上</v>
      </c>
      <c r="E50" s="313">
        <v>43727</v>
      </c>
      <c r="F50" s="59" t="s">
        <v>70</v>
      </c>
      <c r="G50" s="59" t="s">
        <v>104</v>
      </c>
      <c r="H50" s="63" t="s">
        <v>186</v>
      </c>
      <c r="I50" s="63" t="s">
        <v>186</v>
      </c>
      <c r="J50" s="314">
        <v>3000</v>
      </c>
      <c r="K50" s="59"/>
      <c r="L50" s="59" t="s">
        <v>96</v>
      </c>
      <c r="M50" s="59" t="s">
        <v>65</v>
      </c>
      <c r="N50" s="315">
        <v>3000</v>
      </c>
      <c r="O50" s="316">
        <f t="shared" si="3"/>
        <v>0</v>
      </c>
      <c r="P50" s="95">
        <v>43761</v>
      </c>
      <c r="Q50" s="61">
        <f t="shared" si="2"/>
        <v>43761</v>
      </c>
      <c r="R50" s="59"/>
      <c r="S50" s="59"/>
      <c r="T50" s="59"/>
      <c r="U50" s="59"/>
      <c r="V50" s="59"/>
      <c r="W50" s="68"/>
      <c r="X50" s="68"/>
      <c r="Y50" s="68"/>
    </row>
    <row r="51" s="17" customFormat="1" hidden="1" customHeight="1" spans="1:25">
      <c r="A51" s="59">
        <v>37</v>
      </c>
      <c r="B51" s="60" t="s">
        <v>187</v>
      </c>
      <c r="C51" s="61">
        <v>43709</v>
      </c>
      <c r="D51" s="62" t="str">
        <f ca="1" t="shared" si="0"/>
        <v>一年以上</v>
      </c>
      <c r="E51" s="313">
        <v>43731</v>
      </c>
      <c r="F51" s="59" t="s">
        <v>70</v>
      </c>
      <c r="G51" s="59" t="s">
        <v>83</v>
      </c>
      <c r="H51" s="63" t="s">
        <v>188</v>
      </c>
      <c r="I51" s="63" t="s">
        <v>188</v>
      </c>
      <c r="J51" s="314">
        <v>2000</v>
      </c>
      <c r="K51" s="59"/>
      <c r="L51" s="59" t="s">
        <v>73</v>
      </c>
      <c r="M51" s="59" t="s">
        <v>65</v>
      </c>
      <c r="N51" s="315">
        <v>2000</v>
      </c>
      <c r="O51" s="316">
        <f t="shared" si="3"/>
        <v>0</v>
      </c>
      <c r="P51" s="95">
        <v>43829</v>
      </c>
      <c r="Q51" s="61">
        <f t="shared" si="2"/>
        <v>43829</v>
      </c>
      <c r="R51" s="59"/>
      <c r="S51" s="59"/>
      <c r="T51" s="59"/>
      <c r="U51" s="59"/>
      <c r="V51" s="59"/>
      <c r="W51" s="68"/>
      <c r="X51" s="68"/>
      <c r="Y51" s="68"/>
    </row>
    <row r="52" s="17" customFormat="1" hidden="1" customHeight="1" spans="1:25">
      <c r="A52" s="59">
        <v>38</v>
      </c>
      <c r="B52" s="60" t="s">
        <v>189</v>
      </c>
      <c r="C52" s="61">
        <v>43709</v>
      </c>
      <c r="D52" s="62" t="str">
        <f ca="1" t="shared" si="0"/>
        <v>一年以上</v>
      </c>
      <c r="E52" s="313">
        <v>43731</v>
      </c>
      <c r="F52" s="59" t="s">
        <v>70</v>
      </c>
      <c r="G52" s="59" t="s">
        <v>190</v>
      </c>
      <c r="H52" s="63" t="s">
        <v>191</v>
      </c>
      <c r="I52" s="63" t="s">
        <v>191</v>
      </c>
      <c r="J52" s="314">
        <v>7160</v>
      </c>
      <c r="K52" s="59"/>
      <c r="L52" s="59" t="s">
        <v>73</v>
      </c>
      <c r="M52" s="59" t="s">
        <v>65</v>
      </c>
      <c r="N52" s="315">
        <v>7160</v>
      </c>
      <c r="O52" s="316">
        <f t="shared" si="3"/>
        <v>0</v>
      </c>
      <c r="P52" s="95">
        <v>43847</v>
      </c>
      <c r="Q52" s="61">
        <f t="shared" si="2"/>
        <v>43847</v>
      </c>
      <c r="R52" s="59"/>
      <c r="S52" s="59"/>
      <c r="T52" s="59"/>
      <c r="U52" s="59"/>
      <c r="V52" s="59"/>
      <c r="W52" s="68"/>
      <c r="X52" s="68"/>
      <c r="Y52" s="68"/>
    </row>
    <row r="53" s="17" customFormat="1" hidden="1" customHeight="1" spans="1:25">
      <c r="A53" s="59">
        <v>39</v>
      </c>
      <c r="B53" s="60" t="s">
        <v>192</v>
      </c>
      <c r="C53" s="61">
        <v>43709</v>
      </c>
      <c r="D53" s="62" t="str">
        <f ca="1" t="shared" si="0"/>
        <v>一年以上</v>
      </c>
      <c r="E53" s="313">
        <v>43733</v>
      </c>
      <c r="F53" s="59" t="s">
        <v>70</v>
      </c>
      <c r="G53" s="59" t="s">
        <v>109</v>
      </c>
      <c r="H53" s="63" t="s">
        <v>193</v>
      </c>
      <c r="I53" s="63" t="s">
        <v>193</v>
      </c>
      <c r="J53" s="314">
        <v>2000</v>
      </c>
      <c r="K53" s="59"/>
      <c r="L53" s="59" t="s">
        <v>96</v>
      </c>
      <c r="M53" s="59" t="s">
        <v>65</v>
      </c>
      <c r="N53" s="315">
        <v>2000</v>
      </c>
      <c r="O53" s="316">
        <f t="shared" si="3"/>
        <v>0</v>
      </c>
      <c r="P53" s="95">
        <v>43755</v>
      </c>
      <c r="Q53" s="61">
        <f t="shared" si="2"/>
        <v>43755</v>
      </c>
      <c r="R53" s="59"/>
      <c r="S53" s="59"/>
      <c r="T53" s="59"/>
      <c r="U53" s="59"/>
      <c r="V53" s="59"/>
      <c r="W53" s="68"/>
      <c r="X53" s="68"/>
      <c r="Y53" s="68"/>
    </row>
    <row r="54" s="17" customFormat="1" hidden="1" customHeight="1" spans="1:25">
      <c r="A54" s="59">
        <v>40</v>
      </c>
      <c r="B54" s="60" t="s">
        <v>194</v>
      </c>
      <c r="C54" s="61">
        <v>43739</v>
      </c>
      <c r="D54" s="62" t="str">
        <f ca="1" t="shared" si="0"/>
        <v>一年以上</v>
      </c>
      <c r="E54" s="313">
        <v>43749</v>
      </c>
      <c r="F54" s="59" t="s">
        <v>70</v>
      </c>
      <c r="G54" s="59" t="s">
        <v>195</v>
      </c>
      <c r="H54" s="63" t="s">
        <v>36</v>
      </c>
      <c r="I54" s="63" t="s">
        <v>36</v>
      </c>
      <c r="J54" s="314">
        <v>2600</v>
      </c>
      <c r="K54" s="59"/>
      <c r="L54" s="59" t="s">
        <v>73</v>
      </c>
      <c r="M54" s="59" t="s">
        <v>65</v>
      </c>
      <c r="N54" s="315">
        <v>2600</v>
      </c>
      <c r="O54" s="316">
        <f t="shared" si="3"/>
        <v>0</v>
      </c>
      <c r="P54" s="95">
        <v>43776</v>
      </c>
      <c r="Q54" s="61">
        <f t="shared" si="2"/>
        <v>43776</v>
      </c>
      <c r="R54" s="59"/>
      <c r="S54" s="59"/>
      <c r="T54" s="59"/>
      <c r="U54" s="59"/>
      <c r="V54" s="59"/>
      <c r="W54" s="68"/>
      <c r="X54" s="68"/>
      <c r="Y54" s="68"/>
    </row>
    <row r="55" s="17" customFormat="1" hidden="1" customHeight="1" spans="1:25">
      <c r="A55" s="59">
        <v>41</v>
      </c>
      <c r="B55" s="60" t="s">
        <v>196</v>
      </c>
      <c r="C55" s="61">
        <v>43739</v>
      </c>
      <c r="D55" s="62" t="str">
        <f ca="1" t="shared" si="0"/>
        <v>一年以上</v>
      </c>
      <c r="E55" s="313">
        <v>43749</v>
      </c>
      <c r="F55" s="59" t="s">
        <v>70</v>
      </c>
      <c r="G55" s="59" t="s">
        <v>197</v>
      </c>
      <c r="H55" s="63" t="s">
        <v>157</v>
      </c>
      <c r="I55" s="63" t="s">
        <v>157</v>
      </c>
      <c r="J55" s="314">
        <v>1000</v>
      </c>
      <c r="K55" s="59"/>
      <c r="L55" s="59" t="s">
        <v>96</v>
      </c>
      <c r="M55" s="59" t="s">
        <v>65</v>
      </c>
      <c r="N55" s="315">
        <v>1000</v>
      </c>
      <c r="O55" s="316">
        <f t="shared" si="3"/>
        <v>0</v>
      </c>
      <c r="P55" s="95">
        <v>43725</v>
      </c>
      <c r="Q55" s="61">
        <f t="shared" si="2"/>
        <v>43725</v>
      </c>
      <c r="R55" s="59"/>
      <c r="S55" s="59"/>
      <c r="T55" s="59"/>
      <c r="U55" s="59"/>
      <c r="V55" s="59"/>
      <c r="W55" s="68"/>
      <c r="X55" s="68"/>
      <c r="Y55" s="68"/>
    </row>
    <row r="56" s="17" customFormat="1" hidden="1" customHeight="1" spans="1:25">
      <c r="A56" s="59">
        <v>43</v>
      </c>
      <c r="B56" s="60" t="s">
        <v>198</v>
      </c>
      <c r="C56" s="61">
        <v>43739</v>
      </c>
      <c r="D56" s="62" t="str">
        <f ca="1" t="shared" si="0"/>
        <v>一年以上</v>
      </c>
      <c r="E56" s="313">
        <v>43759</v>
      </c>
      <c r="F56" s="59" t="s">
        <v>70</v>
      </c>
      <c r="G56" s="59" t="s">
        <v>149</v>
      </c>
      <c r="H56" s="63" t="s">
        <v>199</v>
      </c>
      <c r="I56" s="63" t="s">
        <v>199</v>
      </c>
      <c r="J56" s="314">
        <v>3000</v>
      </c>
      <c r="K56" s="59"/>
      <c r="L56" s="59" t="s">
        <v>96</v>
      </c>
      <c r="M56" s="59" t="s">
        <v>65</v>
      </c>
      <c r="N56" s="315">
        <v>3000</v>
      </c>
      <c r="O56" s="316">
        <f t="shared" si="3"/>
        <v>0</v>
      </c>
      <c r="P56" s="95">
        <v>43789</v>
      </c>
      <c r="Q56" s="61">
        <f t="shared" si="2"/>
        <v>43789</v>
      </c>
      <c r="R56" s="59"/>
      <c r="S56" s="59"/>
      <c r="T56" s="59"/>
      <c r="U56" s="59"/>
      <c r="V56" s="59"/>
      <c r="W56" s="68"/>
      <c r="X56" s="68"/>
      <c r="Y56" s="68"/>
    </row>
    <row r="57" s="17" customFormat="1" hidden="1" customHeight="1" spans="1:25">
      <c r="A57" s="59">
        <v>44</v>
      </c>
      <c r="B57" s="60" t="s">
        <v>200</v>
      </c>
      <c r="C57" s="61">
        <v>43739</v>
      </c>
      <c r="D57" s="62" t="str">
        <f ca="1" t="shared" si="0"/>
        <v>一年以上</v>
      </c>
      <c r="E57" s="313">
        <v>43761</v>
      </c>
      <c r="F57" s="59" t="s">
        <v>70</v>
      </c>
      <c r="G57" s="59" t="s">
        <v>104</v>
      </c>
      <c r="H57" s="63" t="s">
        <v>201</v>
      </c>
      <c r="I57" s="63" t="s">
        <v>201</v>
      </c>
      <c r="J57" s="314">
        <v>3000</v>
      </c>
      <c r="K57" s="59"/>
      <c r="L57" s="59" t="s">
        <v>96</v>
      </c>
      <c r="M57" s="59" t="s">
        <v>65</v>
      </c>
      <c r="N57" s="315">
        <v>3000</v>
      </c>
      <c r="O57" s="316">
        <f t="shared" si="3"/>
        <v>0</v>
      </c>
      <c r="P57" s="95">
        <v>43768</v>
      </c>
      <c r="Q57" s="61">
        <f t="shared" si="2"/>
        <v>43768</v>
      </c>
      <c r="R57" s="59"/>
      <c r="S57" s="59"/>
      <c r="T57" s="59"/>
      <c r="U57" s="59"/>
      <c r="V57" s="59"/>
      <c r="W57" s="68"/>
      <c r="X57" s="68"/>
      <c r="Y57" s="68"/>
    </row>
    <row r="58" s="17" customFormat="1" hidden="1" customHeight="1" spans="1:25">
      <c r="A58" s="59">
        <v>42</v>
      </c>
      <c r="B58" s="60" t="s">
        <v>202</v>
      </c>
      <c r="C58" s="61">
        <v>43739</v>
      </c>
      <c r="D58" s="62" t="str">
        <f ca="1" t="shared" si="0"/>
        <v>一年以上</v>
      </c>
      <c r="E58" s="313">
        <v>43766</v>
      </c>
      <c r="F58" s="59" t="s">
        <v>70</v>
      </c>
      <c r="G58" s="59" t="s">
        <v>92</v>
      </c>
      <c r="H58" s="63" t="s">
        <v>203</v>
      </c>
      <c r="I58" s="63" t="s">
        <v>203</v>
      </c>
      <c r="J58" s="314">
        <v>4000</v>
      </c>
      <c r="K58" s="59"/>
      <c r="L58" s="59" t="s">
        <v>73</v>
      </c>
      <c r="M58" s="59" t="s">
        <v>65</v>
      </c>
      <c r="N58" s="315">
        <v>4000</v>
      </c>
      <c r="O58" s="316">
        <f t="shared" si="3"/>
        <v>0</v>
      </c>
      <c r="P58" s="95">
        <v>44465</v>
      </c>
      <c r="Q58" s="61">
        <f t="shared" si="2"/>
        <v>44465</v>
      </c>
      <c r="R58" s="59"/>
      <c r="S58" s="59"/>
      <c r="T58" s="59"/>
      <c r="U58" s="59"/>
      <c r="V58" s="59"/>
      <c r="W58" s="68"/>
      <c r="X58" s="68"/>
      <c r="Y58" s="68"/>
    </row>
    <row r="59" s="17" customFormat="1" hidden="1" customHeight="1" spans="1:25">
      <c r="A59" s="59">
        <v>45</v>
      </c>
      <c r="B59" s="60" t="s">
        <v>204</v>
      </c>
      <c r="C59" s="61">
        <v>43770</v>
      </c>
      <c r="D59" s="62" t="str">
        <f ca="1" t="shared" si="0"/>
        <v>一年以上</v>
      </c>
      <c r="E59" s="313">
        <v>43774</v>
      </c>
      <c r="F59" s="59" t="s">
        <v>70</v>
      </c>
      <c r="G59" s="59" t="s">
        <v>205</v>
      </c>
      <c r="H59" s="63" t="s">
        <v>206</v>
      </c>
      <c r="I59" s="63" t="s">
        <v>206</v>
      </c>
      <c r="J59" s="314">
        <v>10000</v>
      </c>
      <c r="K59" s="59"/>
      <c r="L59" s="59" t="s">
        <v>73</v>
      </c>
      <c r="M59" s="59" t="s">
        <v>65</v>
      </c>
      <c r="N59" s="315">
        <v>10000</v>
      </c>
      <c r="O59" s="316">
        <f t="shared" si="3"/>
        <v>0</v>
      </c>
      <c r="P59" s="95">
        <v>43976</v>
      </c>
      <c r="Q59" s="61">
        <f t="shared" si="2"/>
        <v>43976</v>
      </c>
      <c r="R59" s="59"/>
      <c r="S59" s="59"/>
      <c r="T59" s="59"/>
      <c r="U59" s="59"/>
      <c r="V59" s="59"/>
      <c r="W59" s="68"/>
      <c r="X59" s="68"/>
      <c r="Y59" s="68"/>
    </row>
    <row r="60" s="17" customFormat="1" hidden="1" customHeight="1" spans="1:25">
      <c r="A60" s="59">
        <v>191</v>
      </c>
      <c r="B60" s="60" t="s">
        <v>207</v>
      </c>
      <c r="C60" s="61">
        <v>43770</v>
      </c>
      <c r="D60" s="62" t="str">
        <f ca="1" t="shared" si="0"/>
        <v>一年以上</v>
      </c>
      <c r="E60" s="313">
        <v>43774</v>
      </c>
      <c r="F60" s="59"/>
      <c r="G60" s="59" t="s">
        <v>208</v>
      </c>
      <c r="H60" s="63" t="s">
        <v>209</v>
      </c>
      <c r="I60" s="63" t="s">
        <v>209</v>
      </c>
      <c r="J60" s="314">
        <v>50000</v>
      </c>
      <c r="K60" s="59" t="s">
        <v>28</v>
      </c>
      <c r="L60" s="59" t="s">
        <v>73</v>
      </c>
      <c r="M60" s="59" t="s">
        <v>30</v>
      </c>
      <c r="N60" s="315">
        <v>50000</v>
      </c>
      <c r="O60" s="316">
        <f t="shared" si="3"/>
        <v>0</v>
      </c>
      <c r="P60" s="95">
        <v>44908</v>
      </c>
      <c r="Q60" s="61">
        <f t="shared" si="2"/>
        <v>44908</v>
      </c>
      <c r="R60" s="59" t="s">
        <v>210</v>
      </c>
      <c r="S60" s="59" t="s">
        <v>211</v>
      </c>
      <c r="T60" s="59"/>
      <c r="U60" s="59"/>
      <c r="V60" s="59"/>
      <c r="W60" s="68"/>
      <c r="X60" s="68"/>
      <c r="Y60" s="68"/>
    </row>
    <row r="61" s="17" customFormat="1" hidden="1" customHeight="1" spans="1:25">
      <c r="A61" s="59">
        <v>46</v>
      </c>
      <c r="B61" s="60" t="s">
        <v>212</v>
      </c>
      <c r="C61" s="61">
        <v>43770</v>
      </c>
      <c r="D61" s="62" t="str">
        <f ca="1" t="shared" si="0"/>
        <v>一年以上</v>
      </c>
      <c r="E61" s="313">
        <v>43775</v>
      </c>
      <c r="F61" s="59" t="s">
        <v>70</v>
      </c>
      <c r="G61" s="59" t="s">
        <v>190</v>
      </c>
      <c r="H61" s="63" t="s">
        <v>201</v>
      </c>
      <c r="I61" s="63" t="s">
        <v>201</v>
      </c>
      <c r="J61" s="314">
        <v>2000</v>
      </c>
      <c r="K61" s="59"/>
      <c r="L61" s="59" t="s">
        <v>96</v>
      </c>
      <c r="M61" s="59" t="s">
        <v>65</v>
      </c>
      <c r="N61" s="315">
        <v>2000</v>
      </c>
      <c r="O61" s="316">
        <f t="shared" si="3"/>
        <v>0</v>
      </c>
      <c r="P61" s="95">
        <v>43787</v>
      </c>
      <c r="Q61" s="61">
        <f t="shared" si="2"/>
        <v>43787</v>
      </c>
      <c r="R61" s="59"/>
      <c r="S61" s="59"/>
      <c r="T61" s="59"/>
      <c r="U61" s="59"/>
      <c r="V61" s="59"/>
      <c r="W61" s="68"/>
      <c r="X61" s="68"/>
      <c r="Y61" s="68"/>
    </row>
    <row r="62" s="17" customFormat="1" hidden="1" customHeight="1" spans="1:25">
      <c r="A62" s="59">
        <v>47</v>
      </c>
      <c r="B62" s="60" t="s">
        <v>213</v>
      </c>
      <c r="C62" s="61">
        <v>43770</v>
      </c>
      <c r="D62" s="62" t="str">
        <f ca="1" t="shared" si="0"/>
        <v>一年以上</v>
      </c>
      <c r="E62" s="313">
        <v>43796</v>
      </c>
      <c r="F62" s="59" t="s">
        <v>70</v>
      </c>
      <c r="G62" s="59" t="s">
        <v>149</v>
      </c>
      <c r="H62" s="63" t="s">
        <v>186</v>
      </c>
      <c r="I62" s="63" t="s">
        <v>186</v>
      </c>
      <c r="J62" s="314">
        <v>2000</v>
      </c>
      <c r="K62" s="59"/>
      <c r="L62" s="59" t="s">
        <v>96</v>
      </c>
      <c r="M62" s="59" t="s">
        <v>65</v>
      </c>
      <c r="N62" s="315">
        <v>2000</v>
      </c>
      <c r="O62" s="316">
        <f t="shared" si="3"/>
        <v>0</v>
      </c>
      <c r="P62" s="95">
        <v>43801</v>
      </c>
      <c r="Q62" s="61">
        <f t="shared" si="2"/>
        <v>43801</v>
      </c>
      <c r="R62" s="59"/>
      <c r="S62" s="59"/>
      <c r="T62" s="59"/>
      <c r="U62" s="59"/>
      <c r="V62" s="59"/>
      <c r="W62" s="68"/>
      <c r="X62" s="68"/>
      <c r="Y62" s="68"/>
    </row>
    <row r="63" s="17" customFormat="1" hidden="1" customHeight="1" spans="1:25">
      <c r="A63" s="59">
        <v>193</v>
      </c>
      <c r="B63" s="60" t="s">
        <v>214</v>
      </c>
      <c r="C63" s="61">
        <v>43800</v>
      </c>
      <c r="D63" s="62" t="str">
        <f ca="1" t="shared" si="0"/>
        <v>一年以上</v>
      </c>
      <c r="E63" s="313">
        <v>43804</v>
      </c>
      <c r="F63" s="59"/>
      <c r="G63" s="59" t="s">
        <v>125</v>
      </c>
      <c r="H63" s="63" t="s">
        <v>215</v>
      </c>
      <c r="I63" s="63" t="s">
        <v>215</v>
      </c>
      <c r="J63" s="314">
        <v>10000</v>
      </c>
      <c r="K63" s="59"/>
      <c r="L63" s="59" t="s">
        <v>73</v>
      </c>
      <c r="M63" s="59" t="s">
        <v>30</v>
      </c>
      <c r="N63" s="315">
        <v>10000</v>
      </c>
      <c r="O63" s="316">
        <f t="shared" si="3"/>
        <v>0</v>
      </c>
      <c r="P63" s="95">
        <v>44018</v>
      </c>
      <c r="Q63" s="61">
        <f t="shared" si="2"/>
        <v>44018</v>
      </c>
      <c r="R63" s="59"/>
      <c r="S63" s="59"/>
      <c r="T63" s="59"/>
      <c r="U63" s="59"/>
      <c r="V63" s="59"/>
      <c r="W63" s="68"/>
      <c r="X63" s="68"/>
      <c r="Y63" s="68"/>
    </row>
    <row r="64" s="17" customFormat="1" hidden="1" customHeight="1" spans="1:25">
      <c r="A64" s="59">
        <v>48</v>
      </c>
      <c r="B64" s="60" t="s">
        <v>216</v>
      </c>
      <c r="C64" s="61">
        <v>43800</v>
      </c>
      <c r="D64" s="62" t="str">
        <f ca="1" t="shared" si="0"/>
        <v>一年以上</v>
      </c>
      <c r="E64" s="313">
        <v>43805</v>
      </c>
      <c r="F64" s="59" t="s">
        <v>70</v>
      </c>
      <c r="G64" s="59" t="s">
        <v>190</v>
      </c>
      <c r="H64" s="63" t="s">
        <v>115</v>
      </c>
      <c r="I64" s="63" t="s">
        <v>115</v>
      </c>
      <c r="J64" s="314">
        <v>2700</v>
      </c>
      <c r="K64" s="59"/>
      <c r="L64" s="59" t="s">
        <v>73</v>
      </c>
      <c r="M64" s="59" t="s">
        <v>65</v>
      </c>
      <c r="N64" s="315">
        <v>2700</v>
      </c>
      <c r="O64" s="316">
        <f t="shared" si="3"/>
        <v>0</v>
      </c>
      <c r="P64" s="95">
        <v>43985</v>
      </c>
      <c r="Q64" s="61">
        <f t="shared" si="2"/>
        <v>43985</v>
      </c>
      <c r="R64" s="59"/>
      <c r="S64" s="59"/>
      <c r="T64" s="59"/>
      <c r="U64" s="59"/>
      <c r="V64" s="59"/>
      <c r="W64" s="68"/>
      <c r="X64" s="68"/>
      <c r="Y64" s="68"/>
    </row>
    <row r="65" s="17" customFormat="1" hidden="1" customHeight="1" spans="1:25">
      <c r="A65" s="59">
        <v>50</v>
      </c>
      <c r="B65" s="60" t="s">
        <v>217</v>
      </c>
      <c r="C65" s="61">
        <v>43800</v>
      </c>
      <c r="D65" s="62" t="str">
        <f ca="1" t="shared" si="0"/>
        <v>一年以上</v>
      </c>
      <c r="E65" s="313">
        <v>43808</v>
      </c>
      <c r="F65" s="59" t="s">
        <v>70</v>
      </c>
      <c r="G65" s="59" t="s">
        <v>104</v>
      </c>
      <c r="H65" s="63" t="s">
        <v>179</v>
      </c>
      <c r="I65" s="63" t="s">
        <v>179</v>
      </c>
      <c r="J65" s="314">
        <v>2000</v>
      </c>
      <c r="K65" s="59"/>
      <c r="L65" s="59" t="s">
        <v>96</v>
      </c>
      <c r="M65" s="59" t="s">
        <v>65</v>
      </c>
      <c r="N65" s="315">
        <v>2000</v>
      </c>
      <c r="O65" s="316">
        <f t="shared" si="3"/>
        <v>0</v>
      </c>
      <c r="P65" s="95">
        <v>43819</v>
      </c>
      <c r="Q65" s="61">
        <f t="shared" si="2"/>
        <v>43819</v>
      </c>
      <c r="R65" s="59"/>
      <c r="S65" s="59"/>
      <c r="T65" s="59"/>
      <c r="U65" s="59"/>
      <c r="V65" s="59"/>
      <c r="W65" s="68"/>
      <c r="X65" s="68"/>
      <c r="Y65" s="68"/>
    </row>
    <row r="66" s="17" customFormat="1" hidden="1" customHeight="1" spans="1:25">
      <c r="A66" s="59">
        <v>49</v>
      </c>
      <c r="B66" s="60" t="s">
        <v>218</v>
      </c>
      <c r="C66" s="61">
        <v>43800</v>
      </c>
      <c r="D66" s="62" t="str">
        <f ca="1" t="shared" si="0"/>
        <v>一年以上</v>
      </c>
      <c r="E66" s="313">
        <v>43812</v>
      </c>
      <c r="F66" s="59" t="s">
        <v>70</v>
      </c>
      <c r="G66" s="59" t="s">
        <v>219</v>
      </c>
      <c r="H66" s="63" t="s">
        <v>220</v>
      </c>
      <c r="I66" s="63" t="s">
        <v>220</v>
      </c>
      <c r="J66" s="314">
        <v>3000</v>
      </c>
      <c r="K66" s="59"/>
      <c r="L66" s="59" t="s">
        <v>73</v>
      </c>
      <c r="M66" s="59" t="s">
        <v>65</v>
      </c>
      <c r="N66" s="315">
        <v>3000</v>
      </c>
      <c r="O66" s="316">
        <f t="shared" si="3"/>
        <v>0</v>
      </c>
      <c r="P66" s="95">
        <v>44189</v>
      </c>
      <c r="Q66" s="61">
        <f t="shared" si="2"/>
        <v>44189</v>
      </c>
      <c r="R66" s="59"/>
      <c r="S66" s="59"/>
      <c r="T66" s="59"/>
      <c r="U66" s="59"/>
      <c r="V66" s="59"/>
      <c r="W66" s="68"/>
      <c r="X66" s="68"/>
      <c r="Y66" s="68"/>
    </row>
    <row r="67" s="17" customFormat="1" hidden="1" customHeight="1" spans="1:25">
      <c r="A67" s="59">
        <v>51</v>
      </c>
      <c r="B67" s="60" t="s">
        <v>221</v>
      </c>
      <c r="C67" s="61">
        <v>43800</v>
      </c>
      <c r="D67" s="62" t="str">
        <f ca="1" t="shared" ref="D67:D130" si="4">IF(TODAY()-E67&lt;60,"2个月内",IF(TODAY()-E67&lt;180,"3-6个月",IF(TODAY()-E67&lt;360,"6个月-1年","一年以上")))</f>
        <v>一年以上</v>
      </c>
      <c r="E67" s="313">
        <v>43823</v>
      </c>
      <c r="F67" s="59" t="s">
        <v>70</v>
      </c>
      <c r="G67" s="59" t="s">
        <v>104</v>
      </c>
      <c r="H67" s="63" t="s">
        <v>222</v>
      </c>
      <c r="I67" s="63" t="s">
        <v>222</v>
      </c>
      <c r="J67" s="314">
        <v>2000</v>
      </c>
      <c r="K67" s="59"/>
      <c r="L67" s="59" t="s">
        <v>96</v>
      </c>
      <c r="M67" s="59" t="s">
        <v>65</v>
      </c>
      <c r="N67" s="315">
        <v>2000</v>
      </c>
      <c r="O67" s="316">
        <f t="shared" si="3"/>
        <v>0</v>
      </c>
      <c r="P67" s="95">
        <v>43834</v>
      </c>
      <c r="Q67" s="61">
        <f t="shared" ref="Q67:Q130" si="5">P67</f>
        <v>43834</v>
      </c>
      <c r="R67" s="59"/>
      <c r="S67" s="59"/>
      <c r="T67" s="59"/>
      <c r="U67" s="59"/>
      <c r="V67" s="59"/>
      <c r="W67" s="68"/>
      <c r="X67" s="68"/>
      <c r="Y67" s="68"/>
    </row>
    <row r="68" s="17" customFormat="1" hidden="1" customHeight="1" spans="1:25">
      <c r="A68" s="59">
        <v>52</v>
      </c>
      <c r="B68" s="60" t="s">
        <v>223</v>
      </c>
      <c r="C68" s="61">
        <v>43800</v>
      </c>
      <c r="D68" s="62" t="str">
        <f ca="1" t="shared" si="4"/>
        <v>一年以上</v>
      </c>
      <c r="E68" s="313">
        <v>43825</v>
      </c>
      <c r="F68" s="59" t="s">
        <v>70</v>
      </c>
      <c r="G68" s="59" t="s">
        <v>224</v>
      </c>
      <c r="H68" s="63" t="s">
        <v>225</v>
      </c>
      <c r="I68" s="63" t="s">
        <v>225</v>
      </c>
      <c r="J68" s="314">
        <v>5000</v>
      </c>
      <c r="K68" s="59"/>
      <c r="L68" s="59" t="s">
        <v>73</v>
      </c>
      <c r="M68" s="59" t="s">
        <v>65</v>
      </c>
      <c r="N68" s="315">
        <v>5000</v>
      </c>
      <c r="O68" s="316">
        <f t="shared" si="3"/>
        <v>0</v>
      </c>
      <c r="P68" s="95">
        <v>44099</v>
      </c>
      <c r="Q68" s="61">
        <f t="shared" si="5"/>
        <v>44099</v>
      </c>
      <c r="R68" s="59"/>
      <c r="S68" s="59"/>
      <c r="T68" s="59"/>
      <c r="U68" s="59"/>
      <c r="V68" s="59"/>
      <c r="W68" s="68"/>
      <c r="X68" s="68"/>
      <c r="Y68" s="68"/>
    </row>
    <row r="69" s="17" customFormat="1" hidden="1" customHeight="1" spans="1:25">
      <c r="A69" s="59">
        <v>73</v>
      </c>
      <c r="B69" s="60" t="s">
        <v>226</v>
      </c>
      <c r="C69" s="61">
        <v>43800</v>
      </c>
      <c r="D69" s="62" t="str">
        <f ca="1" t="shared" si="4"/>
        <v>一年以上</v>
      </c>
      <c r="E69" s="313">
        <v>43830</v>
      </c>
      <c r="F69" s="59" t="s">
        <v>130</v>
      </c>
      <c r="G69" s="59" t="s">
        <v>125</v>
      </c>
      <c r="H69" s="63" t="s">
        <v>60</v>
      </c>
      <c r="I69" s="63" t="s">
        <v>60</v>
      </c>
      <c r="J69" s="314">
        <v>900</v>
      </c>
      <c r="K69" s="59" t="s">
        <v>28</v>
      </c>
      <c r="L69" s="59" t="s">
        <v>96</v>
      </c>
      <c r="M69" s="59" t="s">
        <v>65</v>
      </c>
      <c r="N69" s="315"/>
      <c r="O69" s="316">
        <f t="shared" si="3"/>
        <v>900</v>
      </c>
      <c r="P69" s="95"/>
      <c r="Q69" s="61">
        <f t="shared" si="5"/>
        <v>0</v>
      </c>
      <c r="R69" s="59" t="s">
        <v>227</v>
      </c>
      <c r="S69" s="59" t="s">
        <v>228</v>
      </c>
      <c r="T69" s="59" t="s">
        <v>49</v>
      </c>
      <c r="U69" s="59" t="str">
        <f>VLOOKUP(T69,[1]区域划分!$A$1:$C$39,3,0)</f>
        <v>龚运谱</v>
      </c>
      <c r="V69" s="59"/>
      <c r="W69" s="68"/>
      <c r="X69" s="68"/>
      <c r="Y69" s="68"/>
    </row>
    <row r="70" s="17" customFormat="1" hidden="1" customHeight="1" spans="1:25">
      <c r="A70" s="59">
        <v>53</v>
      </c>
      <c r="B70" s="60" t="s">
        <v>229</v>
      </c>
      <c r="C70" s="61">
        <v>43831</v>
      </c>
      <c r="D70" s="62" t="str">
        <f ca="1" t="shared" si="4"/>
        <v>一年以上</v>
      </c>
      <c r="E70" s="313">
        <v>43840</v>
      </c>
      <c r="F70" s="59" t="s">
        <v>70</v>
      </c>
      <c r="G70" s="59" t="s">
        <v>230</v>
      </c>
      <c r="H70" s="63" t="s">
        <v>231</v>
      </c>
      <c r="I70" s="63" t="s">
        <v>231</v>
      </c>
      <c r="J70" s="314">
        <v>3000</v>
      </c>
      <c r="K70" s="59"/>
      <c r="L70" s="59" t="s">
        <v>96</v>
      </c>
      <c r="M70" s="59" t="s">
        <v>65</v>
      </c>
      <c r="N70" s="315">
        <v>3000</v>
      </c>
      <c r="O70" s="316">
        <f t="shared" si="3"/>
        <v>0</v>
      </c>
      <c r="P70" s="95">
        <v>43920</v>
      </c>
      <c r="Q70" s="61">
        <f t="shared" si="5"/>
        <v>43920</v>
      </c>
      <c r="R70" s="59"/>
      <c r="S70" s="59"/>
      <c r="T70" s="59"/>
      <c r="U70" s="59"/>
      <c r="V70" s="59"/>
      <c r="W70" s="68"/>
      <c r="X70" s="68"/>
      <c r="Y70" s="68"/>
    </row>
    <row r="71" s="17" customFormat="1" hidden="1" customHeight="1" spans="1:25">
      <c r="A71" s="59">
        <v>54</v>
      </c>
      <c r="B71" s="60" t="s">
        <v>232</v>
      </c>
      <c r="C71" s="61">
        <v>43831</v>
      </c>
      <c r="D71" s="62" t="str">
        <f ca="1" t="shared" si="4"/>
        <v>一年以上</v>
      </c>
      <c r="E71" s="313">
        <v>43840</v>
      </c>
      <c r="F71" s="59" t="s">
        <v>70</v>
      </c>
      <c r="G71" s="59" t="s">
        <v>233</v>
      </c>
      <c r="H71" s="63" t="s">
        <v>234</v>
      </c>
      <c r="I71" s="63" t="s">
        <v>234</v>
      </c>
      <c r="J71" s="314">
        <v>2000</v>
      </c>
      <c r="K71" s="59" t="s">
        <v>28</v>
      </c>
      <c r="L71" s="59" t="s">
        <v>57</v>
      </c>
      <c r="M71" s="59" t="s">
        <v>65</v>
      </c>
      <c r="N71" s="315">
        <v>2000</v>
      </c>
      <c r="O71" s="316">
        <f t="shared" si="3"/>
        <v>0</v>
      </c>
      <c r="P71" s="95">
        <v>45035</v>
      </c>
      <c r="Q71" s="61">
        <f t="shared" si="5"/>
        <v>45035</v>
      </c>
      <c r="R71" s="59" t="s">
        <v>235</v>
      </c>
      <c r="S71" s="59" t="s">
        <v>236</v>
      </c>
      <c r="T71" s="59" t="s">
        <v>182</v>
      </c>
      <c r="U71" s="59" t="s">
        <v>125</v>
      </c>
      <c r="V71" s="59" t="s">
        <v>237</v>
      </c>
      <c r="W71" s="68"/>
      <c r="X71" s="68"/>
      <c r="Y71" s="68"/>
    </row>
    <row r="72" s="17" customFormat="1" hidden="1" customHeight="1" spans="1:25">
      <c r="A72" s="59">
        <v>195</v>
      </c>
      <c r="B72" s="169" t="s">
        <v>238</v>
      </c>
      <c r="C72" s="61">
        <v>43831</v>
      </c>
      <c r="D72" s="62" t="str">
        <f ca="1" t="shared" si="4"/>
        <v>一年以上</v>
      </c>
      <c r="E72" s="313">
        <v>43840</v>
      </c>
      <c r="F72" s="59"/>
      <c r="G72" s="59" t="s">
        <v>239</v>
      </c>
      <c r="H72" s="63" t="s">
        <v>240</v>
      </c>
      <c r="I72" s="63" t="s">
        <v>240</v>
      </c>
      <c r="J72" s="314">
        <v>10000</v>
      </c>
      <c r="K72" s="59"/>
      <c r="L72" s="59" t="s">
        <v>73</v>
      </c>
      <c r="M72" s="59" t="s">
        <v>30</v>
      </c>
      <c r="N72" s="315">
        <v>10000</v>
      </c>
      <c r="O72" s="316">
        <f t="shared" si="3"/>
        <v>0</v>
      </c>
      <c r="P72" s="95">
        <v>43913</v>
      </c>
      <c r="Q72" s="61">
        <f t="shared" si="5"/>
        <v>43913</v>
      </c>
      <c r="R72" s="59"/>
      <c r="S72" s="59" t="s">
        <v>62</v>
      </c>
      <c r="T72" s="59"/>
      <c r="U72" s="59"/>
      <c r="V72" s="59"/>
      <c r="W72" s="68"/>
      <c r="X72" s="68"/>
      <c r="Y72" s="68"/>
    </row>
    <row r="73" s="17" customFormat="1" hidden="1" customHeight="1" spans="1:25">
      <c r="A73" s="59">
        <v>55</v>
      </c>
      <c r="B73" s="60" t="s">
        <v>241</v>
      </c>
      <c r="C73" s="61">
        <v>43831</v>
      </c>
      <c r="D73" s="62" t="str">
        <f ca="1" t="shared" si="4"/>
        <v>一年以上</v>
      </c>
      <c r="E73" s="313">
        <v>43843</v>
      </c>
      <c r="F73" s="59" t="s">
        <v>70</v>
      </c>
      <c r="G73" s="59" t="s">
        <v>146</v>
      </c>
      <c r="H73" s="63" t="s">
        <v>220</v>
      </c>
      <c r="I73" s="63" t="s">
        <v>220</v>
      </c>
      <c r="J73" s="314">
        <v>3000</v>
      </c>
      <c r="K73" s="59" t="s">
        <v>28</v>
      </c>
      <c r="L73" s="59" t="s">
        <v>73</v>
      </c>
      <c r="M73" s="59" t="s">
        <v>65</v>
      </c>
      <c r="N73" s="315">
        <v>2900</v>
      </c>
      <c r="O73" s="316">
        <f>J73-N73-100</f>
        <v>0</v>
      </c>
      <c r="P73" s="95">
        <v>44279</v>
      </c>
      <c r="Q73" s="61">
        <f t="shared" si="5"/>
        <v>44279</v>
      </c>
      <c r="R73" s="59" t="s">
        <v>242</v>
      </c>
      <c r="S73" s="59"/>
      <c r="T73" s="59" t="s">
        <v>80</v>
      </c>
      <c r="U73" s="59" t="str">
        <f>VLOOKUP(T73,[1]区域划分!$A$1:$C$39,3,0)</f>
        <v>殷坤鹏</v>
      </c>
      <c r="V73" s="59"/>
      <c r="W73" s="68"/>
      <c r="X73" s="68"/>
      <c r="Y73" s="68"/>
    </row>
    <row r="74" s="17" customFormat="1" hidden="1" customHeight="1" spans="1:25">
      <c r="A74" s="59">
        <v>344</v>
      </c>
      <c r="B74" s="60" t="s">
        <v>243</v>
      </c>
      <c r="C74" s="61">
        <v>43831</v>
      </c>
      <c r="D74" s="62" t="str">
        <f ca="1" t="shared" si="4"/>
        <v>一年以上</v>
      </c>
      <c r="E74" s="313">
        <v>43843</v>
      </c>
      <c r="F74" s="59" t="s">
        <v>130</v>
      </c>
      <c r="G74" s="59" t="s">
        <v>128</v>
      </c>
      <c r="H74" s="63" t="s">
        <v>244</v>
      </c>
      <c r="I74" s="63" t="s">
        <v>244</v>
      </c>
      <c r="J74" s="314">
        <v>24000</v>
      </c>
      <c r="K74" s="59"/>
      <c r="L74" s="59" t="s">
        <v>73</v>
      </c>
      <c r="M74" s="59" t="s">
        <v>133</v>
      </c>
      <c r="N74" s="315">
        <v>24000</v>
      </c>
      <c r="O74" s="316">
        <f t="shared" ref="O74:O137" si="6">J74-N74</f>
        <v>0</v>
      </c>
      <c r="P74" s="95">
        <v>44193</v>
      </c>
      <c r="Q74" s="61">
        <f t="shared" si="5"/>
        <v>44193</v>
      </c>
      <c r="R74" s="59"/>
      <c r="S74" s="59" t="s">
        <v>133</v>
      </c>
      <c r="T74" s="59"/>
      <c r="U74" s="59"/>
      <c r="V74" s="59"/>
      <c r="W74" s="68"/>
      <c r="X74" s="68"/>
      <c r="Y74" s="68"/>
    </row>
    <row r="75" s="17" customFormat="1" hidden="1" customHeight="1" spans="1:25">
      <c r="A75" s="59">
        <v>56</v>
      </c>
      <c r="B75" s="60" t="s">
        <v>245</v>
      </c>
      <c r="C75" s="61">
        <v>43891</v>
      </c>
      <c r="D75" s="62" t="str">
        <f ca="1" t="shared" si="4"/>
        <v>一年以上</v>
      </c>
      <c r="E75" s="313">
        <v>43920</v>
      </c>
      <c r="F75" s="59" t="s">
        <v>70</v>
      </c>
      <c r="G75" s="59" t="s">
        <v>246</v>
      </c>
      <c r="H75" s="63" t="s">
        <v>247</v>
      </c>
      <c r="I75" s="63" t="s">
        <v>247</v>
      </c>
      <c r="J75" s="314">
        <v>5000</v>
      </c>
      <c r="K75" s="59"/>
      <c r="L75" s="59" t="s">
        <v>96</v>
      </c>
      <c r="M75" s="59" t="s">
        <v>65</v>
      </c>
      <c r="N75" s="315">
        <v>5000</v>
      </c>
      <c r="O75" s="316">
        <f t="shared" si="6"/>
        <v>0</v>
      </c>
      <c r="P75" s="95">
        <v>44039</v>
      </c>
      <c r="Q75" s="61">
        <f t="shared" si="5"/>
        <v>44039</v>
      </c>
      <c r="R75" s="59"/>
      <c r="S75" s="59"/>
      <c r="T75" s="59"/>
      <c r="U75" s="59"/>
      <c r="V75" s="59"/>
      <c r="W75" s="68"/>
      <c r="X75" s="68"/>
      <c r="Y75" s="68"/>
    </row>
    <row r="76" s="17" customFormat="1" hidden="1" customHeight="1" spans="1:25">
      <c r="A76" s="59">
        <v>57</v>
      </c>
      <c r="B76" s="60" t="s">
        <v>248</v>
      </c>
      <c r="C76" s="61">
        <v>43922</v>
      </c>
      <c r="D76" s="62" t="str">
        <f ca="1" t="shared" si="4"/>
        <v>一年以上</v>
      </c>
      <c r="E76" s="313">
        <v>43923</v>
      </c>
      <c r="F76" s="59" t="s">
        <v>70</v>
      </c>
      <c r="G76" s="59" t="s">
        <v>205</v>
      </c>
      <c r="H76" s="63" t="s">
        <v>167</v>
      </c>
      <c r="I76" s="63" t="s">
        <v>167</v>
      </c>
      <c r="J76" s="314">
        <v>10000</v>
      </c>
      <c r="K76" s="59" t="s">
        <v>28</v>
      </c>
      <c r="L76" s="59" t="s">
        <v>57</v>
      </c>
      <c r="M76" s="59" t="s">
        <v>65</v>
      </c>
      <c r="N76" s="315"/>
      <c r="O76" s="316">
        <f t="shared" si="6"/>
        <v>10000</v>
      </c>
      <c r="P76" s="95"/>
      <c r="Q76" s="61">
        <f t="shared" si="5"/>
        <v>0</v>
      </c>
      <c r="R76" s="59" t="s">
        <v>249</v>
      </c>
      <c r="S76" s="59" t="s">
        <v>250</v>
      </c>
      <c r="T76" s="59" t="s">
        <v>251</v>
      </c>
      <c r="U76" s="59" t="str">
        <f>VLOOKUP(T76,[1]区域划分!$A$1:$C$39,3,0)</f>
        <v>曾江利</v>
      </c>
      <c r="V76" s="59"/>
      <c r="W76" s="68"/>
      <c r="X76" s="68"/>
      <c r="Y76" s="68"/>
    </row>
    <row r="77" s="17" customFormat="1" hidden="1" customHeight="1" spans="1:25">
      <c r="A77" s="59">
        <v>196</v>
      </c>
      <c r="B77" s="60" t="s">
        <v>252</v>
      </c>
      <c r="C77" s="61">
        <v>43922</v>
      </c>
      <c r="D77" s="62" t="str">
        <f ca="1" t="shared" si="4"/>
        <v>一年以上</v>
      </c>
      <c r="E77" s="313">
        <v>43936</v>
      </c>
      <c r="F77" s="59"/>
      <c r="G77" s="59" t="s">
        <v>54</v>
      </c>
      <c r="H77" s="63" t="s">
        <v>253</v>
      </c>
      <c r="I77" s="63" t="s">
        <v>253</v>
      </c>
      <c r="J77" s="314">
        <v>10000</v>
      </c>
      <c r="K77" s="59"/>
      <c r="L77" s="59" t="s">
        <v>73</v>
      </c>
      <c r="M77" s="59" t="s">
        <v>30</v>
      </c>
      <c r="N77" s="315">
        <v>10000</v>
      </c>
      <c r="O77" s="316">
        <f t="shared" si="6"/>
        <v>0</v>
      </c>
      <c r="P77" s="95">
        <v>44155</v>
      </c>
      <c r="Q77" s="61">
        <f t="shared" si="5"/>
        <v>44155</v>
      </c>
      <c r="R77" s="59"/>
      <c r="S77" s="59" t="s">
        <v>30</v>
      </c>
      <c r="T77" s="59"/>
      <c r="U77" s="59"/>
      <c r="V77" s="59"/>
      <c r="W77" s="68"/>
      <c r="X77" s="68"/>
      <c r="Y77" s="68"/>
    </row>
    <row r="78" s="17" customFormat="1" hidden="1" customHeight="1" spans="1:25">
      <c r="A78" s="59">
        <v>58</v>
      </c>
      <c r="B78" s="60" t="s">
        <v>254</v>
      </c>
      <c r="C78" s="61">
        <v>43952</v>
      </c>
      <c r="D78" s="62" t="str">
        <f ca="1" t="shared" si="4"/>
        <v>一年以上</v>
      </c>
      <c r="E78" s="313">
        <v>43967</v>
      </c>
      <c r="F78" s="59" t="s">
        <v>70</v>
      </c>
      <c r="G78" s="59" t="s">
        <v>255</v>
      </c>
      <c r="H78" s="63" t="s">
        <v>150</v>
      </c>
      <c r="I78" s="63" t="s">
        <v>150</v>
      </c>
      <c r="J78" s="314">
        <v>5000</v>
      </c>
      <c r="K78" s="59"/>
      <c r="L78" s="59" t="s">
        <v>73</v>
      </c>
      <c r="M78" s="59" t="s">
        <v>65</v>
      </c>
      <c r="N78" s="315">
        <v>5000</v>
      </c>
      <c r="O78" s="316">
        <f t="shared" si="6"/>
        <v>0</v>
      </c>
      <c r="P78" s="95">
        <v>44463</v>
      </c>
      <c r="Q78" s="61">
        <f t="shared" si="5"/>
        <v>44463</v>
      </c>
      <c r="R78" s="59"/>
      <c r="S78" s="59"/>
      <c r="T78" s="59"/>
      <c r="U78" s="59"/>
      <c r="V78" s="59"/>
      <c r="W78" s="68"/>
      <c r="X78" s="68"/>
      <c r="Y78" s="68"/>
    </row>
    <row r="79" s="17" customFormat="1" hidden="1" customHeight="1" spans="1:25">
      <c r="A79" s="59">
        <v>59</v>
      </c>
      <c r="B79" s="60" t="s">
        <v>256</v>
      </c>
      <c r="C79" s="61">
        <v>43952</v>
      </c>
      <c r="D79" s="62" t="str">
        <f ca="1" t="shared" si="4"/>
        <v>一年以上</v>
      </c>
      <c r="E79" s="313">
        <v>43969</v>
      </c>
      <c r="F79" s="59" t="s">
        <v>70</v>
      </c>
      <c r="G79" s="59" t="s">
        <v>83</v>
      </c>
      <c r="H79" s="63" t="s">
        <v>257</v>
      </c>
      <c r="I79" s="63" t="s">
        <v>257</v>
      </c>
      <c r="J79" s="314">
        <v>2000</v>
      </c>
      <c r="K79" s="59"/>
      <c r="L79" s="59" t="s">
        <v>96</v>
      </c>
      <c r="M79" s="59" t="s">
        <v>65</v>
      </c>
      <c r="N79" s="315">
        <v>2000</v>
      </c>
      <c r="O79" s="316">
        <f t="shared" si="6"/>
        <v>0</v>
      </c>
      <c r="P79" s="95">
        <v>44034</v>
      </c>
      <c r="Q79" s="61">
        <f t="shared" si="5"/>
        <v>44034</v>
      </c>
      <c r="R79" s="59"/>
      <c r="S79" s="59"/>
      <c r="T79" s="59"/>
      <c r="U79" s="59"/>
      <c r="V79" s="59"/>
      <c r="W79" s="68"/>
      <c r="X79" s="68"/>
      <c r="Y79" s="68"/>
    </row>
    <row r="80" s="17" customFormat="1" hidden="1" customHeight="1" spans="1:25">
      <c r="A80" s="59">
        <v>60</v>
      </c>
      <c r="B80" s="60" t="s">
        <v>258</v>
      </c>
      <c r="C80" s="61">
        <v>43952</v>
      </c>
      <c r="D80" s="62" t="str">
        <f ca="1" t="shared" si="4"/>
        <v>一年以上</v>
      </c>
      <c r="E80" s="313">
        <v>43969</v>
      </c>
      <c r="F80" s="59" t="s">
        <v>70</v>
      </c>
      <c r="G80" s="59" t="s">
        <v>259</v>
      </c>
      <c r="H80" s="63" t="s">
        <v>136</v>
      </c>
      <c r="I80" s="63" t="s">
        <v>136</v>
      </c>
      <c r="J80" s="314">
        <v>3000</v>
      </c>
      <c r="K80" s="59"/>
      <c r="L80" s="59" t="s">
        <v>73</v>
      </c>
      <c r="M80" s="59" t="s">
        <v>65</v>
      </c>
      <c r="N80" s="315">
        <v>3000</v>
      </c>
      <c r="O80" s="316">
        <f t="shared" si="6"/>
        <v>0</v>
      </c>
      <c r="P80" s="95">
        <v>44035</v>
      </c>
      <c r="Q80" s="61">
        <f t="shared" si="5"/>
        <v>44035</v>
      </c>
      <c r="R80" s="59"/>
      <c r="S80" s="59"/>
      <c r="T80" s="59"/>
      <c r="U80" s="59"/>
      <c r="V80" s="59"/>
      <c r="W80" s="68"/>
      <c r="X80" s="68"/>
      <c r="Y80" s="68"/>
    </row>
    <row r="81" s="17" customFormat="1" hidden="1" customHeight="1" spans="1:25">
      <c r="A81" s="59">
        <v>61</v>
      </c>
      <c r="B81" s="60" t="s">
        <v>260</v>
      </c>
      <c r="C81" s="61">
        <v>43952</v>
      </c>
      <c r="D81" s="62" t="str">
        <f ca="1" t="shared" si="4"/>
        <v>一年以上</v>
      </c>
      <c r="E81" s="313">
        <v>43977</v>
      </c>
      <c r="F81" s="59" t="s">
        <v>70</v>
      </c>
      <c r="G81" s="59" t="s">
        <v>224</v>
      </c>
      <c r="H81" s="63" t="s">
        <v>105</v>
      </c>
      <c r="I81" s="63" t="s">
        <v>105</v>
      </c>
      <c r="J81" s="314">
        <v>5000</v>
      </c>
      <c r="K81" s="59"/>
      <c r="L81" s="59" t="s">
        <v>73</v>
      </c>
      <c r="M81" s="59" t="s">
        <v>65</v>
      </c>
      <c r="N81" s="315">
        <v>5000</v>
      </c>
      <c r="O81" s="316">
        <f t="shared" si="6"/>
        <v>0</v>
      </c>
      <c r="P81" s="95">
        <v>44491</v>
      </c>
      <c r="Q81" s="61">
        <f t="shared" si="5"/>
        <v>44491</v>
      </c>
      <c r="R81" s="59"/>
      <c r="S81" s="59"/>
      <c r="T81" s="59"/>
      <c r="U81" s="59"/>
      <c r="V81" s="59"/>
      <c r="W81" s="68"/>
      <c r="X81" s="68"/>
      <c r="Y81" s="68"/>
    </row>
    <row r="82" s="17" customFormat="1" hidden="1" customHeight="1" spans="1:25">
      <c r="A82" s="59">
        <v>62</v>
      </c>
      <c r="B82" s="60" t="s">
        <v>261</v>
      </c>
      <c r="C82" s="61">
        <v>43983</v>
      </c>
      <c r="D82" s="62" t="str">
        <f ca="1" t="shared" si="4"/>
        <v>一年以上</v>
      </c>
      <c r="E82" s="313">
        <v>43992</v>
      </c>
      <c r="F82" s="59" t="s">
        <v>70</v>
      </c>
      <c r="G82" s="59" t="s">
        <v>255</v>
      </c>
      <c r="H82" s="63" t="s">
        <v>115</v>
      </c>
      <c r="I82" s="63" t="s">
        <v>115</v>
      </c>
      <c r="J82" s="314">
        <v>2000</v>
      </c>
      <c r="K82" s="59"/>
      <c r="L82" s="59" t="s">
        <v>73</v>
      </c>
      <c r="M82" s="59" t="s">
        <v>65</v>
      </c>
      <c r="N82" s="315">
        <v>2000</v>
      </c>
      <c r="O82" s="316">
        <f t="shared" si="6"/>
        <v>0</v>
      </c>
      <c r="P82" s="95">
        <v>44083</v>
      </c>
      <c r="Q82" s="61">
        <f t="shared" si="5"/>
        <v>44083</v>
      </c>
      <c r="R82" s="59"/>
      <c r="S82" s="59"/>
      <c r="T82" s="59"/>
      <c r="U82" s="59"/>
      <c r="V82" s="59"/>
      <c r="W82" s="68"/>
      <c r="X82" s="68"/>
      <c r="Y82" s="68"/>
    </row>
    <row r="83" s="17" customFormat="1" hidden="1" customHeight="1" spans="1:25">
      <c r="A83" s="59">
        <v>63</v>
      </c>
      <c r="B83" s="60" t="s">
        <v>262</v>
      </c>
      <c r="C83" s="61">
        <v>43983</v>
      </c>
      <c r="D83" s="62" t="str">
        <f ca="1" t="shared" si="4"/>
        <v>一年以上</v>
      </c>
      <c r="E83" s="313">
        <v>44010</v>
      </c>
      <c r="F83" s="59" t="s">
        <v>70</v>
      </c>
      <c r="G83" s="59" t="s">
        <v>233</v>
      </c>
      <c r="H83" s="63" t="s">
        <v>263</v>
      </c>
      <c r="I83" s="63" t="s">
        <v>263</v>
      </c>
      <c r="J83" s="314">
        <v>1500</v>
      </c>
      <c r="K83" s="59"/>
      <c r="L83" s="59" t="s">
        <v>73</v>
      </c>
      <c r="M83" s="59" t="s">
        <v>65</v>
      </c>
      <c r="N83" s="315">
        <v>1500</v>
      </c>
      <c r="O83" s="316">
        <f t="shared" si="6"/>
        <v>0</v>
      </c>
      <c r="P83" s="95">
        <v>44130</v>
      </c>
      <c r="Q83" s="61">
        <f t="shared" si="5"/>
        <v>44130</v>
      </c>
      <c r="R83" s="59"/>
      <c r="S83" s="59"/>
      <c r="T83" s="59"/>
      <c r="U83" s="59"/>
      <c r="V83" s="59"/>
      <c r="W83" s="68"/>
      <c r="X83" s="68"/>
      <c r="Y83" s="68"/>
    </row>
    <row r="84" s="17" customFormat="1" hidden="1" customHeight="1" spans="1:25">
      <c r="A84" s="59">
        <v>197</v>
      </c>
      <c r="B84" s="60" t="s">
        <v>264</v>
      </c>
      <c r="C84" s="61">
        <v>43983</v>
      </c>
      <c r="D84" s="62" t="str">
        <f ca="1" t="shared" si="4"/>
        <v>一年以上</v>
      </c>
      <c r="E84" s="313">
        <v>44011</v>
      </c>
      <c r="F84" s="59"/>
      <c r="G84" s="59" t="s">
        <v>128</v>
      </c>
      <c r="H84" s="63" t="s">
        <v>265</v>
      </c>
      <c r="I84" s="63" t="s">
        <v>90</v>
      </c>
      <c r="J84" s="314">
        <v>50000</v>
      </c>
      <c r="K84" s="59" t="s">
        <v>28</v>
      </c>
      <c r="L84" s="59" t="s">
        <v>73</v>
      </c>
      <c r="M84" s="59" t="s">
        <v>30</v>
      </c>
      <c r="N84" s="315">
        <v>50000</v>
      </c>
      <c r="O84" s="316">
        <f t="shared" si="6"/>
        <v>0</v>
      </c>
      <c r="P84" s="95">
        <v>45554</v>
      </c>
      <c r="Q84" s="61">
        <f t="shared" si="5"/>
        <v>45554</v>
      </c>
      <c r="R84" s="59"/>
      <c r="S84" s="59" t="s">
        <v>266</v>
      </c>
      <c r="T84" s="59" t="s">
        <v>267</v>
      </c>
      <c r="U84" s="59" t="str">
        <f>VLOOKUP(T84,[1]区域划分!$A$1:$C$39,3,0)</f>
        <v>牛国庆</v>
      </c>
      <c r="V84" s="59"/>
      <c r="W84" s="68"/>
      <c r="X84" s="68"/>
      <c r="Y84" s="68"/>
    </row>
    <row r="85" s="17" customFormat="1" hidden="1" customHeight="1" spans="1:25">
      <c r="A85" s="59">
        <v>64</v>
      </c>
      <c r="B85" s="60" t="s">
        <v>268</v>
      </c>
      <c r="C85" s="61">
        <v>43983</v>
      </c>
      <c r="D85" s="62" t="str">
        <f ca="1" t="shared" si="4"/>
        <v>一年以上</v>
      </c>
      <c r="E85" s="313">
        <v>44012</v>
      </c>
      <c r="F85" s="59" t="s">
        <v>130</v>
      </c>
      <c r="G85" s="59" t="s">
        <v>125</v>
      </c>
      <c r="H85" s="63" t="s">
        <v>269</v>
      </c>
      <c r="I85" s="63" t="s">
        <v>269</v>
      </c>
      <c r="J85" s="314">
        <v>3000</v>
      </c>
      <c r="K85" s="59"/>
      <c r="L85" s="59" t="s">
        <v>96</v>
      </c>
      <c r="M85" s="59" t="s">
        <v>65</v>
      </c>
      <c r="N85" s="315">
        <v>3000</v>
      </c>
      <c r="O85" s="316">
        <f t="shared" si="6"/>
        <v>0</v>
      </c>
      <c r="P85" s="95">
        <v>44196</v>
      </c>
      <c r="Q85" s="61">
        <f t="shared" si="5"/>
        <v>44196</v>
      </c>
      <c r="R85" s="59"/>
      <c r="S85" s="59"/>
      <c r="T85" s="59"/>
      <c r="U85" s="59"/>
      <c r="V85" s="59"/>
      <c r="W85" s="68"/>
      <c r="X85" s="68"/>
      <c r="Y85" s="68"/>
    </row>
    <row r="86" s="17" customFormat="1" hidden="1" customHeight="1" spans="1:25">
      <c r="A86" s="59">
        <v>65</v>
      </c>
      <c r="B86" s="60" t="s">
        <v>270</v>
      </c>
      <c r="C86" s="61">
        <v>44013</v>
      </c>
      <c r="D86" s="62" t="str">
        <f ca="1" t="shared" si="4"/>
        <v>一年以上</v>
      </c>
      <c r="E86" s="313">
        <v>44018</v>
      </c>
      <c r="F86" s="59" t="s">
        <v>70</v>
      </c>
      <c r="G86" s="59" t="s">
        <v>230</v>
      </c>
      <c r="H86" s="63" t="s">
        <v>115</v>
      </c>
      <c r="I86" s="63" t="s">
        <v>115</v>
      </c>
      <c r="J86" s="314">
        <v>2000</v>
      </c>
      <c r="K86" s="59"/>
      <c r="L86" s="59" t="s">
        <v>73</v>
      </c>
      <c r="M86" s="59" t="s">
        <v>65</v>
      </c>
      <c r="N86" s="315">
        <v>2000</v>
      </c>
      <c r="O86" s="316">
        <f t="shared" si="6"/>
        <v>0</v>
      </c>
      <c r="P86" s="95">
        <v>44083</v>
      </c>
      <c r="Q86" s="61">
        <f t="shared" si="5"/>
        <v>44083</v>
      </c>
      <c r="R86" s="59"/>
      <c r="S86" s="59"/>
      <c r="T86" s="59"/>
      <c r="U86" s="59"/>
      <c r="V86" s="59"/>
      <c r="W86" s="68"/>
      <c r="X86" s="68"/>
      <c r="Y86" s="68"/>
    </row>
    <row r="87" s="17" customFormat="1" hidden="1" customHeight="1" spans="1:25">
      <c r="A87" s="59">
        <v>66</v>
      </c>
      <c r="B87" s="60" t="s">
        <v>271</v>
      </c>
      <c r="C87" s="61">
        <v>44013</v>
      </c>
      <c r="D87" s="62" t="str">
        <f ca="1" t="shared" si="4"/>
        <v>一年以上</v>
      </c>
      <c r="E87" s="313">
        <v>44021</v>
      </c>
      <c r="F87" s="59" t="s">
        <v>70</v>
      </c>
      <c r="G87" s="59" t="s">
        <v>146</v>
      </c>
      <c r="H87" s="63" t="s">
        <v>272</v>
      </c>
      <c r="I87" s="63" t="s">
        <v>272</v>
      </c>
      <c r="J87" s="314">
        <v>1000</v>
      </c>
      <c r="K87" s="59"/>
      <c r="L87" s="59" t="s">
        <v>73</v>
      </c>
      <c r="M87" s="59" t="s">
        <v>65</v>
      </c>
      <c r="N87" s="315">
        <v>1000</v>
      </c>
      <c r="O87" s="316">
        <f t="shared" si="6"/>
        <v>0</v>
      </c>
      <c r="P87" s="95">
        <v>44069</v>
      </c>
      <c r="Q87" s="61">
        <f t="shared" si="5"/>
        <v>44069</v>
      </c>
      <c r="R87" s="59"/>
      <c r="S87" s="59" t="s">
        <v>273</v>
      </c>
      <c r="T87" s="59"/>
      <c r="U87" s="59"/>
      <c r="V87" s="59"/>
      <c r="W87" s="68"/>
      <c r="X87" s="68"/>
      <c r="Y87" s="68"/>
    </row>
    <row r="88" s="17" customFormat="1" hidden="1" customHeight="1" spans="1:25">
      <c r="A88" s="59">
        <v>68</v>
      </c>
      <c r="B88" s="60" t="s">
        <v>274</v>
      </c>
      <c r="C88" s="61">
        <v>44013</v>
      </c>
      <c r="D88" s="62" t="str">
        <f ca="1" t="shared" si="4"/>
        <v>一年以上</v>
      </c>
      <c r="E88" s="313">
        <v>44025</v>
      </c>
      <c r="F88" s="59" t="s">
        <v>70</v>
      </c>
      <c r="G88" s="59" t="s">
        <v>149</v>
      </c>
      <c r="H88" s="63" t="s">
        <v>275</v>
      </c>
      <c r="I88" s="63" t="s">
        <v>275</v>
      </c>
      <c r="J88" s="314">
        <v>2000</v>
      </c>
      <c r="K88" s="59"/>
      <c r="L88" s="59" t="s">
        <v>73</v>
      </c>
      <c r="M88" s="59" t="s">
        <v>65</v>
      </c>
      <c r="N88" s="315">
        <v>2000</v>
      </c>
      <c r="O88" s="316">
        <f t="shared" si="6"/>
        <v>0</v>
      </c>
      <c r="P88" s="95">
        <v>44223</v>
      </c>
      <c r="Q88" s="61">
        <f t="shared" si="5"/>
        <v>44223</v>
      </c>
      <c r="R88" s="59"/>
      <c r="S88" s="59" t="s">
        <v>276</v>
      </c>
      <c r="T88" s="59"/>
      <c r="U88" s="59"/>
      <c r="V88" s="59"/>
      <c r="W88" s="68"/>
      <c r="X88" s="68"/>
      <c r="Y88" s="68"/>
    </row>
    <row r="89" s="17" customFormat="1" hidden="1" customHeight="1" spans="1:25">
      <c r="A89" s="59">
        <v>67</v>
      </c>
      <c r="B89" s="60" t="s">
        <v>277</v>
      </c>
      <c r="C89" s="61">
        <v>44013</v>
      </c>
      <c r="D89" s="62" t="str">
        <f ca="1" t="shared" si="4"/>
        <v>一年以上</v>
      </c>
      <c r="E89" s="313">
        <v>44027</v>
      </c>
      <c r="F89" s="59" t="s">
        <v>70</v>
      </c>
      <c r="G89" s="59" t="s">
        <v>146</v>
      </c>
      <c r="H89" s="63" t="s">
        <v>278</v>
      </c>
      <c r="I89" s="63" t="s">
        <v>278</v>
      </c>
      <c r="J89" s="314">
        <v>1000</v>
      </c>
      <c r="K89" s="59"/>
      <c r="L89" s="59" t="s">
        <v>73</v>
      </c>
      <c r="M89" s="59" t="s">
        <v>65</v>
      </c>
      <c r="N89" s="315">
        <v>1000</v>
      </c>
      <c r="O89" s="316">
        <f t="shared" si="6"/>
        <v>0</v>
      </c>
      <c r="P89" s="95">
        <v>44547</v>
      </c>
      <c r="Q89" s="61">
        <f t="shared" si="5"/>
        <v>44547</v>
      </c>
      <c r="R89" s="59"/>
      <c r="S89" s="59"/>
      <c r="T89" s="59"/>
      <c r="U89" s="59"/>
      <c r="V89" s="59"/>
      <c r="W89" s="68"/>
      <c r="X89" s="68"/>
      <c r="Y89" s="68"/>
    </row>
    <row r="90" s="17" customFormat="1" hidden="1" customHeight="1" spans="1:25">
      <c r="A90" s="59">
        <v>69</v>
      </c>
      <c r="B90" s="60" t="s">
        <v>279</v>
      </c>
      <c r="C90" s="61">
        <v>44013</v>
      </c>
      <c r="D90" s="62" t="str">
        <f ca="1" t="shared" si="4"/>
        <v>一年以上</v>
      </c>
      <c r="E90" s="313">
        <v>44034</v>
      </c>
      <c r="F90" s="59" t="s">
        <v>70</v>
      </c>
      <c r="G90" s="59" t="s">
        <v>149</v>
      </c>
      <c r="H90" s="63" t="s">
        <v>120</v>
      </c>
      <c r="I90" s="63" t="s">
        <v>120</v>
      </c>
      <c r="J90" s="314">
        <v>3000</v>
      </c>
      <c r="K90" s="59"/>
      <c r="L90" s="59" t="s">
        <v>73</v>
      </c>
      <c r="M90" s="59" t="s">
        <v>65</v>
      </c>
      <c r="N90" s="315">
        <v>3000</v>
      </c>
      <c r="O90" s="316">
        <f t="shared" si="6"/>
        <v>0</v>
      </c>
      <c r="P90" s="95">
        <v>44071</v>
      </c>
      <c r="Q90" s="61">
        <f t="shared" si="5"/>
        <v>44071</v>
      </c>
      <c r="R90" s="59"/>
      <c r="S90" s="59" t="s">
        <v>280</v>
      </c>
      <c r="T90" s="59"/>
      <c r="U90" s="59"/>
      <c r="V90" s="59"/>
      <c r="W90" s="68"/>
      <c r="X90" s="68"/>
      <c r="Y90" s="68"/>
    </row>
    <row r="91" s="17" customFormat="1" hidden="1" customHeight="1" spans="1:25">
      <c r="A91" s="59">
        <v>70</v>
      </c>
      <c r="B91" s="60" t="s">
        <v>281</v>
      </c>
      <c r="C91" s="61">
        <v>44013</v>
      </c>
      <c r="D91" s="62" t="str">
        <f ca="1" t="shared" si="4"/>
        <v>一年以上</v>
      </c>
      <c r="E91" s="313">
        <v>44034</v>
      </c>
      <c r="F91" s="59" t="s">
        <v>282</v>
      </c>
      <c r="G91" s="59" t="s">
        <v>233</v>
      </c>
      <c r="H91" s="63" t="s">
        <v>283</v>
      </c>
      <c r="I91" s="63" t="s">
        <v>283</v>
      </c>
      <c r="J91" s="314">
        <v>3200</v>
      </c>
      <c r="K91" s="59" t="s">
        <v>28</v>
      </c>
      <c r="L91" s="59" t="s">
        <v>57</v>
      </c>
      <c r="M91" s="59" t="s">
        <v>65</v>
      </c>
      <c r="N91" s="315">
        <v>3200</v>
      </c>
      <c r="O91" s="316">
        <f t="shared" si="6"/>
        <v>0</v>
      </c>
      <c r="P91" s="95">
        <v>44678</v>
      </c>
      <c r="Q91" s="61">
        <f t="shared" si="5"/>
        <v>44678</v>
      </c>
      <c r="R91" s="59"/>
      <c r="S91" s="59" t="s">
        <v>65</v>
      </c>
      <c r="T91" s="59" t="s">
        <v>182</v>
      </c>
      <c r="U91" s="59" t="s">
        <v>125</v>
      </c>
      <c r="V91" s="59" t="s">
        <v>284</v>
      </c>
      <c r="W91" s="68"/>
      <c r="X91" s="68"/>
      <c r="Y91" s="68"/>
    </row>
    <row r="92" s="17" customFormat="1" hidden="1" customHeight="1" spans="1:25">
      <c r="A92" s="59">
        <v>71</v>
      </c>
      <c r="B92" s="60" t="s">
        <v>285</v>
      </c>
      <c r="C92" s="61">
        <v>44013</v>
      </c>
      <c r="D92" s="62" t="str">
        <f ca="1" t="shared" si="4"/>
        <v>一年以上</v>
      </c>
      <c r="E92" s="313">
        <v>44034</v>
      </c>
      <c r="F92" s="59" t="s">
        <v>70</v>
      </c>
      <c r="G92" s="59" t="s">
        <v>83</v>
      </c>
      <c r="H92" s="63" t="s">
        <v>286</v>
      </c>
      <c r="I92" s="63" t="s">
        <v>286</v>
      </c>
      <c r="J92" s="314">
        <v>3000</v>
      </c>
      <c r="K92" s="59"/>
      <c r="L92" s="59" t="s">
        <v>73</v>
      </c>
      <c r="M92" s="59" t="s">
        <v>65</v>
      </c>
      <c r="N92" s="315">
        <v>3000</v>
      </c>
      <c r="O92" s="316">
        <f t="shared" si="6"/>
        <v>0</v>
      </c>
      <c r="P92" s="95">
        <v>44221</v>
      </c>
      <c r="Q92" s="61">
        <f t="shared" si="5"/>
        <v>44221</v>
      </c>
      <c r="R92" s="59"/>
      <c r="S92" s="59" t="s">
        <v>287</v>
      </c>
      <c r="T92" s="59"/>
      <c r="U92" s="59"/>
      <c r="V92" s="59"/>
      <c r="W92" s="68"/>
      <c r="X92" s="68"/>
      <c r="Y92" s="68"/>
    </row>
    <row r="93" s="17" customFormat="1" hidden="1" customHeight="1" spans="1:25">
      <c r="A93" s="59">
        <v>72</v>
      </c>
      <c r="B93" s="60" t="s">
        <v>288</v>
      </c>
      <c r="C93" s="61">
        <v>44013</v>
      </c>
      <c r="D93" s="62" t="str">
        <f ca="1" t="shared" si="4"/>
        <v>一年以上</v>
      </c>
      <c r="E93" s="313">
        <v>44038</v>
      </c>
      <c r="F93" s="59" t="s">
        <v>70</v>
      </c>
      <c r="G93" s="59" t="s">
        <v>149</v>
      </c>
      <c r="H93" s="63" t="s">
        <v>98</v>
      </c>
      <c r="I93" s="63" t="s">
        <v>98</v>
      </c>
      <c r="J93" s="314">
        <v>10000</v>
      </c>
      <c r="K93" s="59"/>
      <c r="L93" s="59" t="s">
        <v>73</v>
      </c>
      <c r="M93" s="59" t="s">
        <v>65</v>
      </c>
      <c r="N93" s="315">
        <v>10000</v>
      </c>
      <c r="O93" s="316">
        <f t="shared" si="6"/>
        <v>0</v>
      </c>
      <c r="P93" s="95">
        <v>44073</v>
      </c>
      <c r="Q93" s="61">
        <f t="shared" si="5"/>
        <v>44073</v>
      </c>
      <c r="R93" s="59"/>
      <c r="S93" s="59" t="s">
        <v>289</v>
      </c>
      <c r="T93" s="59"/>
      <c r="U93" s="59"/>
      <c r="V93" s="59"/>
      <c r="W93" s="68"/>
      <c r="X93" s="68"/>
      <c r="Y93" s="68"/>
    </row>
    <row r="94" s="17" customFormat="1" hidden="1" customHeight="1" spans="1:25">
      <c r="A94" s="59">
        <v>74</v>
      </c>
      <c r="B94" s="60" t="s">
        <v>290</v>
      </c>
      <c r="C94" s="61">
        <v>44044</v>
      </c>
      <c r="D94" s="62" t="str">
        <f ca="1" t="shared" si="4"/>
        <v>一年以上</v>
      </c>
      <c r="E94" s="313">
        <v>44048</v>
      </c>
      <c r="F94" s="59" t="s">
        <v>130</v>
      </c>
      <c r="G94" s="59" t="s">
        <v>128</v>
      </c>
      <c r="H94" s="63" t="s">
        <v>291</v>
      </c>
      <c r="I94" s="63" t="s">
        <v>291</v>
      </c>
      <c r="J94" s="314">
        <v>2000</v>
      </c>
      <c r="K94" s="59" t="s">
        <v>28</v>
      </c>
      <c r="L94" s="59" t="s">
        <v>57</v>
      </c>
      <c r="M94" s="59" t="s">
        <v>65</v>
      </c>
      <c r="N94" s="315">
        <v>2000</v>
      </c>
      <c r="O94" s="316">
        <f t="shared" si="6"/>
        <v>0</v>
      </c>
      <c r="P94" s="95">
        <v>44707</v>
      </c>
      <c r="Q94" s="61">
        <f t="shared" si="5"/>
        <v>44707</v>
      </c>
      <c r="R94" s="59" t="s">
        <v>292</v>
      </c>
      <c r="S94" s="59" t="s">
        <v>65</v>
      </c>
      <c r="T94" s="59" t="s">
        <v>293</v>
      </c>
      <c r="U94" s="59" t="s">
        <v>294</v>
      </c>
      <c r="V94" s="59" t="s">
        <v>295</v>
      </c>
      <c r="W94" s="68"/>
      <c r="X94" s="68"/>
      <c r="Y94" s="68"/>
    </row>
    <row r="95" s="17" customFormat="1" hidden="1" customHeight="1" spans="1:25">
      <c r="A95" s="59">
        <v>75</v>
      </c>
      <c r="B95" s="60" t="s">
        <v>296</v>
      </c>
      <c r="C95" s="61">
        <v>44044</v>
      </c>
      <c r="D95" s="62" t="str">
        <f ca="1" t="shared" si="4"/>
        <v>一年以上</v>
      </c>
      <c r="E95" s="313">
        <v>44050</v>
      </c>
      <c r="F95" s="59" t="s">
        <v>130</v>
      </c>
      <c r="G95" s="59" t="s">
        <v>297</v>
      </c>
      <c r="H95" s="63" t="s">
        <v>298</v>
      </c>
      <c r="I95" s="63" t="s">
        <v>298</v>
      </c>
      <c r="J95" s="314">
        <v>10000</v>
      </c>
      <c r="K95" s="59" t="s">
        <v>28</v>
      </c>
      <c r="L95" s="59" t="s">
        <v>73</v>
      </c>
      <c r="M95" s="59" t="s">
        <v>65</v>
      </c>
      <c r="N95" s="315">
        <v>10000</v>
      </c>
      <c r="O95" s="316">
        <f t="shared" si="6"/>
        <v>0</v>
      </c>
      <c r="P95" s="95">
        <v>45070</v>
      </c>
      <c r="Q95" s="61">
        <f t="shared" si="5"/>
        <v>45070</v>
      </c>
      <c r="R95" s="59" t="s">
        <v>299</v>
      </c>
      <c r="S95" s="59" t="s">
        <v>65</v>
      </c>
      <c r="T95" s="59" t="s">
        <v>300</v>
      </c>
      <c r="U95" s="59" t="s">
        <v>301</v>
      </c>
      <c r="V95" s="59"/>
      <c r="W95" s="68"/>
      <c r="X95" s="68"/>
      <c r="Y95" s="68"/>
    </row>
    <row r="96" s="17" customFormat="1" hidden="1" customHeight="1" spans="1:25">
      <c r="A96" s="59">
        <v>76</v>
      </c>
      <c r="B96" s="60" t="s">
        <v>302</v>
      </c>
      <c r="C96" s="61">
        <v>44044</v>
      </c>
      <c r="D96" s="62" t="str">
        <f ca="1" t="shared" si="4"/>
        <v>一年以上</v>
      </c>
      <c r="E96" s="313">
        <v>44053</v>
      </c>
      <c r="F96" s="59" t="s">
        <v>130</v>
      </c>
      <c r="G96" s="59" t="s">
        <v>128</v>
      </c>
      <c r="H96" s="63" t="s">
        <v>303</v>
      </c>
      <c r="I96" s="63" t="s">
        <v>303</v>
      </c>
      <c r="J96" s="314">
        <v>3000</v>
      </c>
      <c r="K96" s="59"/>
      <c r="L96" s="59" t="s">
        <v>73</v>
      </c>
      <c r="M96" s="59" t="s">
        <v>65</v>
      </c>
      <c r="N96" s="315">
        <v>3000</v>
      </c>
      <c r="O96" s="316">
        <f t="shared" si="6"/>
        <v>0</v>
      </c>
      <c r="P96" s="95">
        <v>44094</v>
      </c>
      <c r="Q96" s="61">
        <f t="shared" si="5"/>
        <v>44094</v>
      </c>
      <c r="R96" s="59"/>
      <c r="S96" s="59"/>
      <c r="T96" s="59"/>
      <c r="U96" s="59"/>
      <c r="V96" s="59"/>
      <c r="W96" s="68"/>
      <c r="X96" s="68"/>
      <c r="Y96" s="68"/>
    </row>
    <row r="97" s="17" customFormat="1" hidden="1" customHeight="1" spans="1:25">
      <c r="A97" s="59">
        <v>77</v>
      </c>
      <c r="B97" s="60" t="s">
        <v>304</v>
      </c>
      <c r="C97" s="61">
        <v>44044</v>
      </c>
      <c r="D97" s="62" t="str">
        <f ca="1" t="shared" si="4"/>
        <v>一年以上</v>
      </c>
      <c r="E97" s="313">
        <v>44057</v>
      </c>
      <c r="F97" s="59" t="s">
        <v>130</v>
      </c>
      <c r="G97" s="59" t="s">
        <v>128</v>
      </c>
      <c r="H97" s="63" t="s">
        <v>305</v>
      </c>
      <c r="I97" s="63" t="s">
        <v>305</v>
      </c>
      <c r="J97" s="314">
        <v>3000</v>
      </c>
      <c r="K97" s="59"/>
      <c r="L97" s="59" t="s">
        <v>73</v>
      </c>
      <c r="M97" s="59" t="s">
        <v>65</v>
      </c>
      <c r="N97" s="315">
        <v>3000</v>
      </c>
      <c r="O97" s="316">
        <f t="shared" si="6"/>
        <v>0</v>
      </c>
      <c r="P97" s="95">
        <v>44335</v>
      </c>
      <c r="Q97" s="61">
        <f t="shared" si="5"/>
        <v>44335</v>
      </c>
      <c r="R97" s="59"/>
      <c r="S97" s="59"/>
      <c r="T97" s="59"/>
      <c r="U97" s="59"/>
      <c r="V97" s="59"/>
      <c r="W97" s="68"/>
      <c r="X97" s="68"/>
      <c r="Y97" s="68"/>
    </row>
    <row r="98" s="17" customFormat="1" hidden="1" customHeight="1" spans="1:25">
      <c r="A98" s="59">
        <v>78</v>
      </c>
      <c r="B98" s="60" t="s">
        <v>306</v>
      </c>
      <c r="C98" s="61">
        <v>44044</v>
      </c>
      <c r="D98" s="62" t="str">
        <f ca="1" t="shared" si="4"/>
        <v>一年以上</v>
      </c>
      <c r="E98" s="313">
        <v>44063</v>
      </c>
      <c r="F98" s="59" t="s">
        <v>130</v>
      </c>
      <c r="G98" s="59" t="s">
        <v>307</v>
      </c>
      <c r="H98" s="63" t="s">
        <v>308</v>
      </c>
      <c r="I98" s="63" t="s">
        <v>308</v>
      </c>
      <c r="J98" s="314">
        <v>5000</v>
      </c>
      <c r="K98" s="59"/>
      <c r="L98" s="59" t="s">
        <v>96</v>
      </c>
      <c r="M98" s="59" t="s">
        <v>65</v>
      </c>
      <c r="N98" s="315">
        <v>5000</v>
      </c>
      <c r="O98" s="316">
        <f t="shared" si="6"/>
        <v>0</v>
      </c>
      <c r="P98" s="95">
        <v>44068</v>
      </c>
      <c r="Q98" s="61">
        <f t="shared" si="5"/>
        <v>44068</v>
      </c>
      <c r="R98" s="59"/>
      <c r="S98" s="59"/>
      <c r="T98" s="59"/>
      <c r="U98" s="59"/>
      <c r="V98" s="59"/>
      <c r="W98" s="68"/>
      <c r="X98" s="68"/>
      <c r="Y98" s="68"/>
    </row>
    <row r="99" s="17" customFormat="1" hidden="1" customHeight="1" spans="1:25">
      <c r="A99" s="59">
        <v>198</v>
      </c>
      <c r="B99" s="60" t="s">
        <v>309</v>
      </c>
      <c r="C99" s="61">
        <v>44075</v>
      </c>
      <c r="D99" s="62" t="str">
        <f ca="1" t="shared" si="4"/>
        <v>一年以上</v>
      </c>
      <c r="E99" s="313">
        <v>44078</v>
      </c>
      <c r="F99" s="59"/>
      <c r="G99" s="59" t="s">
        <v>307</v>
      </c>
      <c r="H99" s="63" t="s">
        <v>34</v>
      </c>
      <c r="I99" s="63" t="s">
        <v>34</v>
      </c>
      <c r="J99" s="314">
        <v>50000</v>
      </c>
      <c r="K99" s="59" t="s">
        <v>28</v>
      </c>
      <c r="L99" s="59" t="s">
        <v>73</v>
      </c>
      <c r="M99" s="59" t="s">
        <v>30</v>
      </c>
      <c r="N99" s="315">
        <v>50000</v>
      </c>
      <c r="O99" s="316">
        <f t="shared" si="6"/>
        <v>0</v>
      </c>
      <c r="P99" s="95">
        <v>45257</v>
      </c>
      <c r="Q99" s="61">
        <f t="shared" si="5"/>
        <v>45257</v>
      </c>
      <c r="R99" s="59" t="s">
        <v>310</v>
      </c>
      <c r="S99" s="59" t="s">
        <v>62</v>
      </c>
      <c r="T99" s="59" t="s">
        <v>311</v>
      </c>
      <c r="U99" s="59" t="str">
        <f>VLOOKUP(T99,[1]区域划分!$A$1:$C$39,3,0)</f>
        <v>牛国庆</v>
      </c>
      <c r="V99" s="59"/>
      <c r="W99" s="68"/>
      <c r="X99" s="68"/>
      <c r="Y99" s="68"/>
    </row>
    <row r="100" s="17" customFormat="1" hidden="1" customHeight="1" spans="1:25">
      <c r="A100" s="59">
        <v>199</v>
      </c>
      <c r="B100" s="60" t="s">
        <v>312</v>
      </c>
      <c r="C100" s="61">
        <v>44075</v>
      </c>
      <c r="D100" s="62" t="str">
        <f ca="1" t="shared" si="4"/>
        <v>一年以上</v>
      </c>
      <c r="E100" s="313">
        <v>44085</v>
      </c>
      <c r="F100" s="59"/>
      <c r="G100" s="59" t="s">
        <v>54</v>
      </c>
      <c r="H100" s="63" t="s">
        <v>313</v>
      </c>
      <c r="I100" s="63" t="s">
        <v>313</v>
      </c>
      <c r="J100" s="314">
        <v>2000</v>
      </c>
      <c r="K100" s="59"/>
      <c r="L100" s="59" t="s">
        <v>73</v>
      </c>
      <c r="M100" s="59" t="s">
        <v>30</v>
      </c>
      <c r="N100" s="315">
        <v>2000</v>
      </c>
      <c r="O100" s="316">
        <f t="shared" si="6"/>
        <v>0</v>
      </c>
      <c r="P100" s="95">
        <v>44559</v>
      </c>
      <c r="Q100" s="61">
        <f t="shared" si="5"/>
        <v>44559</v>
      </c>
      <c r="R100" s="59"/>
      <c r="S100" s="59" t="s">
        <v>30</v>
      </c>
      <c r="T100" s="59"/>
      <c r="U100" s="59"/>
      <c r="V100" s="59"/>
      <c r="W100" s="68"/>
      <c r="X100" s="68"/>
      <c r="Y100" s="68"/>
    </row>
    <row r="101" s="17" customFormat="1" hidden="1" customHeight="1" spans="1:25">
      <c r="A101" s="59">
        <v>200</v>
      </c>
      <c r="B101" s="60" t="s">
        <v>314</v>
      </c>
      <c r="C101" s="61">
        <v>44075</v>
      </c>
      <c r="D101" s="62" t="str">
        <f ca="1" t="shared" si="4"/>
        <v>一年以上</v>
      </c>
      <c r="E101" s="313">
        <v>44092</v>
      </c>
      <c r="F101" s="59"/>
      <c r="G101" s="59" t="s">
        <v>297</v>
      </c>
      <c r="H101" s="63" t="s">
        <v>315</v>
      </c>
      <c r="I101" s="63" t="s">
        <v>315</v>
      </c>
      <c r="J101" s="314">
        <v>100000</v>
      </c>
      <c r="K101" s="59"/>
      <c r="L101" s="59" t="s">
        <v>73</v>
      </c>
      <c r="M101" s="59" t="s">
        <v>30</v>
      </c>
      <c r="N101" s="315">
        <v>100000</v>
      </c>
      <c r="O101" s="316">
        <f t="shared" si="6"/>
        <v>0</v>
      </c>
      <c r="P101" s="95">
        <v>44208</v>
      </c>
      <c r="Q101" s="61">
        <f t="shared" si="5"/>
        <v>44208</v>
      </c>
      <c r="R101" s="59"/>
      <c r="S101" s="59" t="s">
        <v>30</v>
      </c>
      <c r="T101" s="59"/>
      <c r="U101" s="59"/>
      <c r="V101" s="59"/>
      <c r="W101" s="68"/>
      <c r="X101" s="68"/>
      <c r="Y101" s="68"/>
    </row>
    <row r="102" s="17" customFormat="1" hidden="1" customHeight="1" spans="1:25">
      <c r="A102" s="59">
        <v>201</v>
      </c>
      <c r="B102" s="60" t="s">
        <v>316</v>
      </c>
      <c r="C102" s="61">
        <v>44105</v>
      </c>
      <c r="D102" s="62" t="str">
        <f ca="1" t="shared" si="4"/>
        <v>一年以上</v>
      </c>
      <c r="E102" s="313">
        <v>44113</v>
      </c>
      <c r="F102" s="59"/>
      <c r="G102" s="59" t="s">
        <v>301</v>
      </c>
      <c r="H102" s="63" t="s">
        <v>317</v>
      </c>
      <c r="I102" s="63" t="s">
        <v>317</v>
      </c>
      <c r="J102" s="314">
        <v>3000</v>
      </c>
      <c r="K102" s="59"/>
      <c r="L102" s="59" t="s">
        <v>73</v>
      </c>
      <c r="M102" s="59" t="s">
        <v>30</v>
      </c>
      <c r="N102" s="315">
        <v>3000</v>
      </c>
      <c r="O102" s="316">
        <f t="shared" si="6"/>
        <v>0</v>
      </c>
      <c r="P102" s="95">
        <v>44162</v>
      </c>
      <c r="Q102" s="61">
        <f t="shared" si="5"/>
        <v>44162</v>
      </c>
      <c r="R102" s="59"/>
      <c r="S102" s="59" t="s">
        <v>318</v>
      </c>
      <c r="T102" s="59"/>
      <c r="U102" s="59"/>
      <c r="V102" s="59"/>
      <c r="W102" s="68"/>
      <c r="X102" s="68"/>
      <c r="Y102" s="68"/>
    </row>
    <row r="103" s="17" customFormat="1" hidden="1" customHeight="1" spans="1:25">
      <c r="A103" s="59">
        <v>202</v>
      </c>
      <c r="B103" s="60" t="s">
        <v>319</v>
      </c>
      <c r="C103" s="61">
        <v>44105</v>
      </c>
      <c r="D103" s="62" t="str">
        <f ca="1" t="shared" si="4"/>
        <v>一年以上</v>
      </c>
      <c r="E103" s="313">
        <v>44123</v>
      </c>
      <c r="F103" s="59"/>
      <c r="G103" s="59" t="s">
        <v>54</v>
      </c>
      <c r="H103" s="63" t="s">
        <v>320</v>
      </c>
      <c r="I103" s="63" t="s">
        <v>320</v>
      </c>
      <c r="J103" s="314">
        <v>20000</v>
      </c>
      <c r="K103" s="59"/>
      <c r="L103" s="59" t="s">
        <v>73</v>
      </c>
      <c r="M103" s="59" t="s">
        <v>30</v>
      </c>
      <c r="N103" s="315">
        <v>20000</v>
      </c>
      <c r="O103" s="316">
        <f t="shared" si="6"/>
        <v>0</v>
      </c>
      <c r="P103" s="95">
        <v>44209</v>
      </c>
      <c r="Q103" s="61">
        <f t="shared" si="5"/>
        <v>44209</v>
      </c>
      <c r="R103" s="59"/>
      <c r="S103" s="59"/>
      <c r="T103" s="59"/>
      <c r="U103" s="59"/>
      <c r="V103" s="59"/>
      <c r="W103" s="68"/>
      <c r="X103" s="68"/>
      <c r="Y103" s="68"/>
    </row>
    <row r="104" s="17" customFormat="1" hidden="1" customHeight="1" spans="1:25">
      <c r="A104" s="59">
        <v>203</v>
      </c>
      <c r="B104" s="60" t="s">
        <v>321</v>
      </c>
      <c r="C104" s="61">
        <v>44105</v>
      </c>
      <c r="D104" s="62" t="str">
        <f ca="1" t="shared" si="4"/>
        <v>一年以上</v>
      </c>
      <c r="E104" s="313">
        <v>44130</v>
      </c>
      <c r="F104" s="59"/>
      <c r="G104" s="59" t="s">
        <v>322</v>
      </c>
      <c r="H104" s="63" t="s">
        <v>323</v>
      </c>
      <c r="I104" s="63" t="s">
        <v>323</v>
      </c>
      <c r="J104" s="314">
        <v>20000</v>
      </c>
      <c r="K104" s="59"/>
      <c r="L104" s="59" t="s">
        <v>73</v>
      </c>
      <c r="M104" s="59" t="s">
        <v>30</v>
      </c>
      <c r="N104" s="315">
        <v>20000</v>
      </c>
      <c r="O104" s="316">
        <f t="shared" si="6"/>
        <v>0</v>
      </c>
      <c r="P104" s="95">
        <v>44186</v>
      </c>
      <c r="Q104" s="61">
        <f t="shared" si="5"/>
        <v>44186</v>
      </c>
      <c r="R104" s="59"/>
      <c r="S104" s="59"/>
      <c r="T104" s="59"/>
      <c r="U104" s="59"/>
      <c r="V104" s="59"/>
      <c r="W104" s="68"/>
      <c r="X104" s="68"/>
      <c r="Y104" s="68"/>
    </row>
    <row r="105" s="17" customFormat="1" hidden="1" customHeight="1" spans="1:25">
      <c r="A105" s="59">
        <v>204</v>
      </c>
      <c r="B105" s="60" t="s">
        <v>324</v>
      </c>
      <c r="C105" s="61">
        <v>44105</v>
      </c>
      <c r="D105" s="62" t="str">
        <f ca="1" t="shared" si="4"/>
        <v>一年以上</v>
      </c>
      <c r="E105" s="313">
        <v>44132</v>
      </c>
      <c r="F105" s="59"/>
      <c r="G105" s="59" t="s">
        <v>54</v>
      </c>
      <c r="H105" s="63" t="s">
        <v>325</v>
      </c>
      <c r="I105" s="63" t="s">
        <v>325</v>
      </c>
      <c r="J105" s="314">
        <v>2000</v>
      </c>
      <c r="K105" s="59"/>
      <c r="L105" s="59" t="s">
        <v>73</v>
      </c>
      <c r="M105" s="59" t="s">
        <v>30</v>
      </c>
      <c r="N105" s="315">
        <v>2000</v>
      </c>
      <c r="O105" s="316">
        <f t="shared" si="6"/>
        <v>0</v>
      </c>
      <c r="P105" s="95">
        <v>44217</v>
      </c>
      <c r="Q105" s="61">
        <f t="shared" si="5"/>
        <v>44217</v>
      </c>
      <c r="R105" s="59"/>
      <c r="S105" s="59"/>
      <c r="T105" s="59"/>
      <c r="U105" s="59"/>
      <c r="V105" s="59"/>
      <c r="W105" s="68"/>
      <c r="X105" s="68"/>
      <c r="Y105" s="68"/>
    </row>
    <row r="106" s="17" customFormat="1" hidden="1" customHeight="1" spans="1:25">
      <c r="A106" s="59">
        <v>205</v>
      </c>
      <c r="B106" s="169" t="s">
        <v>326</v>
      </c>
      <c r="C106" s="61">
        <v>44136</v>
      </c>
      <c r="D106" s="62" t="str">
        <f ca="1" t="shared" si="4"/>
        <v>一年以上</v>
      </c>
      <c r="E106" s="313">
        <v>44141</v>
      </c>
      <c r="F106" s="59"/>
      <c r="G106" s="59" t="s">
        <v>294</v>
      </c>
      <c r="H106" s="63" t="s">
        <v>327</v>
      </c>
      <c r="I106" s="63" t="s">
        <v>327</v>
      </c>
      <c r="J106" s="314">
        <v>20000</v>
      </c>
      <c r="K106" s="59" t="s">
        <v>28</v>
      </c>
      <c r="L106" s="59" t="s">
        <v>73</v>
      </c>
      <c r="M106" s="59" t="s">
        <v>30</v>
      </c>
      <c r="N106" s="315"/>
      <c r="O106" s="316">
        <f t="shared" si="6"/>
        <v>20000</v>
      </c>
      <c r="P106" s="95"/>
      <c r="Q106" s="61">
        <f t="shared" si="5"/>
        <v>0</v>
      </c>
      <c r="R106" s="59" t="s">
        <v>328</v>
      </c>
      <c r="S106" s="59" t="s">
        <v>329</v>
      </c>
      <c r="T106" s="59" t="s">
        <v>330</v>
      </c>
      <c r="U106" s="59" t="str">
        <f>VLOOKUP(T106,[1]区域划分!$A$1:$C$39,3,0)</f>
        <v>伍平</v>
      </c>
      <c r="V106" s="59"/>
      <c r="W106" s="68"/>
      <c r="X106" s="68"/>
      <c r="Y106" s="68"/>
    </row>
    <row r="107" s="17" customFormat="1" hidden="1" customHeight="1" spans="1:25">
      <c r="A107" s="59">
        <v>79</v>
      </c>
      <c r="B107" s="60" t="s">
        <v>331</v>
      </c>
      <c r="C107" s="61">
        <v>44136</v>
      </c>
      <c r="D107" s="62" t="str">
        <f ca="1" t="shared" si="4"/>
        <v>一年以上</v>
      </c>
      <c r="E107" s="313">
        <v>44148</v>
      </c>
      <c r="F107" s="59" t="s">
        <v>70</v>
      </c>
      <c r="G107" s="59" t="s">
        <v>190</v>
      </c>
      <c r="H107" s="63" t="s">
        <v>332</v>
      </c>
      <c r="I107" s="63" t="s">
        <v>332</v>
      </c>
      <c r="J107" s="314">
        <v>6000</v>
      </c>
      <c r="K107" s="59"/>
      <c r="L107" s="59" t="s">
        <v>73</v>
      </c>
      <c r="M107" s="59" t="s">
        <v>65</v>
      </c>
      <c r="N107" s="315">
        <v>6000</v>
      </c>
      <c r="O107" s="316">
        <f t="shared" si="6"/>
        <v>0</v>
      </c>
      <c r="P107" s="95">
        <v>44181</v>
      </c>
      <c r="Q107" s="61">
        <f t="shared" si="5"/>
        <v>44181</v>
      </c>
      <c r="R107" s="59"/>
      <c r="S107" s="59" t="s">
        <v>333</v>
      </c>
      <c r="T107" s="59"/>
      <c r="U107" s="59"/>
      <c r="V107" s="59"/>
      <c r="W107" s="68"/>
      <c r="X107" s="68"/>
      <c r="Y107" s="68"/>
    </row>
    <row r="108" s="17" customFormat="1" hidden="1" customHeight="1" spans="1:25">
      <c r="A108" s="59">
        <v>80</v>
      </c>
      <c r="B108" s="60" t="s">
        <v>334</v>
      </c>
      <c r="C108" s="61">
        <v>44136</v>
      </c>
      <c r="D108" s="62" t="str">
        <f ca="1" t="shared" si="4"/>
        <v>一年以上</v>
      </c>
      <c r="E108" s="313">
        <v>44148</v>
      </c>
      <c r="F108" s="59" t="s">
        <v>70</v>
      </c>
      <c r="G108" s="59" t="s">
        <v>335</v>
      </c>
      <c r="H108" s="63" t="s">
        <v>98</v>
      </c>
      <c r="I108" s="63" t="s">
        <v>98</v>
      </c>
      <c r="J108" s="314">
        <v>10000</v>
      </c>
      <c r="K108" s="59"/>
      <c r="L108" s="59" t="s">
        <v>73</v>
      </c>
      <c r="M108" s="59" t="s">
        <v>65</v>
      </c>
      <c r="N108" s="315">
        <v>10000</v>
      </c>
      <c r="O108" s="316">
        <f t="shared" si="6"/>
        <v>0</v>
      </c>
      <c r="P108" s="95">
        <v>44491</v>
      </c>
      <c r="Q108" s="61">
        <f t="shared" si="5"/>
        <v>44491</v>
      </c>
      <c r="R108" s="59"/>
      <c r="S108" s="59"/>
      <c r="T108" s="59"/>
      <c r="U108" s="59"/>
      <c r="V108" s="59"/>
      <c r="W108" s="68"/>
      <c r="X108" s="68"/>
      <c r="Y108" s="68"/>
    </row>
    <row r="109" s="17" customFormat="1" hidden="1" customHeight="1" spans="1:25">
      <c r="A109" s="59">
        <v>81</v>
      </c>
      <c r="B109" s="60" t="s">
        <v>336</v>
      </c>
      <c r="C109" s="61">
        <v>44136</v>
      </c>
      <c r="D109" s="62" t="str">
        <f ca="1" t="shared" si="4"/>
        <v>一年以上</v>
      </c>
      <c r="E109" s="313">
        <v>44162</v>
      </c>
      <c r="F109" s="59" t="s">
        <v>70</v>
      </c>
      <c r="G109" s="59" t="s">
        <v>259</v>
      </c>
      <c r="H109" s="63" t="s">
        <v>222</v>
      </c>
      <c r="I109" s="63" t="s">
        <v>222</v>
      </c>
      <c r="J109" s="314">
        <v>3000</v>
      </c>
      <c r="K109" s="59"/>
      <c r="L109" s="59" t="s">
        <v>73</v>
      </c>
      <c r="M109" s="59" t="s">
        <v>65</v>
      </c>
      <c r="N109" s="315">
        <v>3000</v>
      </c>
      <c r="O109" s="316">
        <f t="shared" si="6"/>
        <v>0</v>
      </c>
      <c r="P109" s="95">
        <v>44555</v>
      </c>
      <c r="Q109" s="61">
        <f t="shared" si="5"/>
        <v>44555</v>
      </c>
      <c r="R109" s="59"/>
      <c r="S109" s="59"/>
      <c r="T109" s="59"/>
      <c r="U109" s="59"/>
      <c r="V109" s="59"/>
      <c r="W109" s="68"/>
      <c r="X109" s="68"/>
      <c r="Y109" s="68"/>
    </row>
    <row r="110" s="17" customFormat="1" hidden="1" customHeight="1" spans="1:25">
      <c r="A110" s="59">
        <v>192</v>
      </c>
      <c r="B110" s="60" t="s">
        <v>337</v>
      </c>
      <c r="C110" s="61">
        <v>44136</v>
      </c>
      <c r="D110" s="62" t="str">
        <f ca="1" t="shared" si="4"/>
        <v>一年以上</v>
      </c>
      <c r="E110" s="313">
        <v>44165</v>
      </c>
      <c r="F110" s="59"/>
      <c r="G110" s="59"/>
      <c r="H110" s="63" t="s">
        <v>209</v>
      </c>
      <c r="I110" s="63" t="s">
        <v>209</v>
      </c>
      <c r="J110" s="314">
        <v>50000</v>
      </c>
      <c r="K110" s="59" t="s">
        <v>338</v>
      </c>
      <c r="L110" s="59" t="s">
        <v>73</v>
      </c>
      <c r="M110" s="59" t="s">
        <v>30</v>
      </c>
      <c r="N110" s="315">
        <v>50000</v>
      </c>
      <c r="O110" s="316">
        <f t="shared" si="6"/>
        <v>0</v>
      </c>
      <c r="P110" s="95">
        <v>44943</v>
      </c>
      <c r="Q110" s="61">
        <f t="shared" si="5"/>
        <v>44943</v>
      </c>
      <c r="R110" s="59"/>
      <c r="S110" s="59"/>
      <c r="T110" s="59"/>
      <c r="U110" s="59"/>
      <c r="V110" s="59"/>
      <c r="W110" s="68"/>
      <c r="X110" s="68"/>
      <c r="Y110" s="68"/>
    </row>
    <row r="111" s="17" customFormat="1" hidden="1" customHeight="1" spans="1:25">
      <c r="A111" s="59">
        <v>82</v>
      </c>
      <c r="B111" s="60" t="s">
        <v>339</v>
      </c>
      <c r="C111" s="61">
        <v>44166</v>
      </c>
      <c r="D111" s="62" t="str">
        <f ca="1" t="shared" si="4"/>
        <v>一年以上</v>
      </c>
      <c r="E111" s="313">
        <v>44172</v>
      </c>
      <c r="F111" s="59" t="s">
        <v>70</v>
      </c>
      <c r="G111" s="59" t="s">
        <v>340</v>
      </c>
      <c r="H111" s="63" t="s">
        <v>341</v>
      </c>
      <c r="I111" s="63" t="s">
        <v>341</v>
      </c>
      <c r="J111" s="314">
        <v>2000</v>
      </c>
      <c r="K111" s="59"/>
      <c r="L111" s="59" t="s">
        <v>73</v>
      </c>
      <c r="M111" s="59" t="s">
        <v>65</v>
      </c>
      <c r="N111" s="315">
        <v>2000</v>
      </c>
      <c r="O111" s="316">
        <f t="shared" si="6"/>
        <v>0</v>
      </c>
      <c r="P111" s="95">
        <v>44532</v>
      </c>
      <c r="Q111" s="61">
        <f t="shared" si="5"/>
        <v>44532</v>
      </c>
      <c r="R111" s="59"/>
      <c r="S111" s="59"/>
      <c r="T111" s="59"/>
      <c r="U111" s="59"/>
      <c r="V111" s="59"/>
      <c r="W111" s="68"/>
      <c r="X111" s="68"/>
      <c r="Y111" s="68"/>
    </row>
    <row r="112" s="17" customFormat="1" hidden="1" customHeight="1" spans="1:25">
      <c r="A112" s="59">
        <v>83</v>
      </c>
      <c r="B112" s="60" t="s">
        <v>342</v>
      </c>
      <c r="C112" s="61">
        <v>44166</v>
      </c>
      <c r="D112" s="62" t="str">
        <f ca="1" t="shared" si="4"/>
        <v>一年以上</v>
      </c>
      <c r="E112" s="313">
        <v>44172</v>
      </c>
      <c r="F112" s="59" t="s">
        <v>70</v>
      </c>
      <c r="G112" s="59" t="s">
        <v>149</v>
      </c>
      <c r="H112" s="63" t="s">
        <v>343</v>
      </c>
      <c r="I112" s="63" t="s">
        <v>343</v>
      </c>
      <c r="J112" s="314">
        <v>2000</v>
      </c>
      <c r="K112" s="59"/>
      <c r="L112" s="59" t="s">
        <v>96</v>
      </c>
      <c r="M112" s="59" t="s">
        <v>65</v>
      </c>
      <c r="N112" s="315">
        <v>2000</v>
      </c>
      <c r="O112" s="316">
        <f t="shared" si="6"/>
        <v>0</v>
      </c>
      <c r="P112" s="95">
        <v>44330</v>
      </c>
      <c r="Q112" s="61">
        <f t="shared" si="5"/>
        <v>44330</v>
      </c>
      <c r="R112" s="59"/>
      <c r="S112" s="59" t="s">
        <v>344</v>
      </c>
      <c r="T112" s="59"/>
      <c r="U112" s="59"/>
      <c r="V112" s="59"/>
      <c r="W112" s="68"/>
      <c r="X112" s="68"/>
      <c r="Y112" s="68"/>
    </row>
    <row r="113" s="17" customFormat="1" hidden="1" customHeight="1" spans="1:25">
      <c r="A113" s="59">
        <v>345</v>
      </c>
      <c r="B113" s="60" t="s">
        <v>345</v>
      </c>
      <c r="C113" s="61">
        <v>44166</v>
      </c>
      <c r="D113" s="62" t="str">
        <f ca="1" t="shared" si="4"/>
        <v>一年以上</v>
      </c>
      <c r="E113" s="313">
        <v>44176</v>
      </c>
      <c r="F113" s="59" t="s">
        <v>130</v>
      </c>
      <c r="G113" s="59" t="s">
        <v>125</v>
      </c>
      <c r="H113" s="63" t="s">
        <v>346</v>
      </c>
      <c r="I113" s="63" t="s">
        <v>346</v>
      </c>
      <c r="J113" s="314">
        <v>10800</v>
      </c>
      <c r="K113" s="59"/>
      <c r="L113" s="59" t="s">
        <v>73</v>
      </c>
      <c r="M113" s="59" t="s">
        <v>133</v>
      </c>
      <c r="N113" s="315">
        <v>10800</v>
      </c>
      <c r="O113" s="316">
        <f t="shared" si="6"/>
        <v>0</v>
      </c>
      <c r="P113" s="95">
        <v>44250</v>
      </c>
      <c r="Q113" s="61">
        <f t="shared" si="5"/>
        <v>44250</v>
      </c>
      <c r="R113" s="59"/>
      <c r="S113" s="59" t="s">
        <v>133</v>
      </c>
      <c r="T113" s="59"/>
      <c r="U113" s="59"/>
      <c r="V113" s="59"/>
      <c r="W113" s="68"/>
      <c r="X113" s="68"/>
      <c r="Y113" s="68"/>
    </row>
    <row r="114" s="17" customFormat="1" hidden="1" customHeight="1" spans="1:25">
      <c r="A114" s="59">
        <v>84</v>
      </c>
      <c r="B114" s="60" t="s">
        <v>347</v>
      </c>
      <c r="C114" s="61">
        <v>44166</v>
      </c>
      <c r="D114" s="62" t="str">
        <f ca="1" t="shared" si="4"/>
        <v>一年以上</v>
      </c>
      <c r="E114" s="313">
        <v>44179</v>
      </c>
      <c r="F114" s="59" t="s">
        <v>70</v>
      </c>
      <c r="G114" s="59" t="s">
        <v>340</v>
      </c>
      <c r="H114" s="63" t="s">
        <v>348</v>
      </c>
      <c r="I114" s="63" t="s">
        <v>348</v>
      </c>
      <c r="J114" s="314">
        <v>10000</v>
      </c>
      <c r="K114" s="59" t="s">
        <v>28</v>
      </c>
      <c r="L114" s="59" t="s">
        <v>73</v>
      </c>
      <c r="M114" s="59" t="s">
        <v>65</v>
      </c>
      <c r="N114" s="315">
        <v>9800</v>
      </c>
      <c r="O114" s="316">
        <f t="shared" si="6"/>
        <v>200</v>
      </c>
      <c r="P114" s="95">
        <v>44249</v>
      </c>
      <c r="Q114" s="61">
        <f t="shared" si="5"/>
        <v>44249</v>
      </c>
      <c r="R114" s="59" t="s">
        <v>349</v>
      </c>
      <c r="S114" s="59"/>
      <c r="T114" s="59" t="s">
        <v>300</v>
      </c>
      <c r="U114" s="59" t="str">
        <f>VLOOKUP(T114,[1]区域划分!$A$1:$C$39,3,0)</f>
        <v>林维</v>
      </c>
      <c r="V114" s="59"/>
      <c r="W114" s="68"/>
      <c r="X114" s="68"/>
      <c r="Y114" s="68"/>
    </row>
    <row r="115" s="17" customFormat="1" hidden="1" customHeight="1" spans="1:25">
      <c r="A115" s="59">
        <v>85</v>
      </c>
      <c r="B115" s="60" t="s">
        <v>350</v>
      </c>
      <c r="C115" s="61">
        <v>44166</v>
      </c>
      <c r="D115" s="62" t="str">
        <f ca="1" t="shared" si="4"/>
        <v>一年以上</v>
      </c>
      <c r="E115" s="313">
        <v>44181</v>
      </c>
      <c r="F115" s="59" t="s">
        <v>70</v>
      </c>
      <c r="G115" s="59" t="s">
        <v>119</v>
      </c>
      <c r="H115" s="63" t="s">
        <v>269</v>
      </c>
      <c r="I115" s="63" t="s">
        <v>269</v>
      </c>
      <c r="J115" s="314">
        <v>3000</v>
      </c>
      <c r="K115" s="59"/>
      <c r="L115" s="59" t="s">
        <v>96</v>
      </c>
      <c r="M115" s="59" t="s">
        <v>65</v>
      </c>
      <c r="N115" s="315">
        <v>3000</v>
      </c>
      <c r="O115" s="316">
        <f t="shared" si="6"/>
        <v>0</v>
      </c>
      <c r="P115" s="95">
        <v>44227</v>
      </c>
      <c r="Q115" s="61">
        <f t="shared" si="5"/>
        <v>44227</v>
      </c>
      <c r="R115" s="59"/>
      <c r="S115" s="59"/>
      <c r="T115" s="59"/>
      <c r="U115" s="59"/>
      <c r="V115" s="59"/>
      <c r="W115" s="68"/>
      <c r="X115" s="68"/>
      <c r="Y115" s="68"/>
    </row>
    <row r="116" s="17" customFormat="1" hidden="1" customHeight="1" spans="1:25">
      <c r="A116" s="59">
        <v>206</v>
      </c>
      <c r="B116" s="60" t="s">
        <v>351</v>
      </c>
      <c r="C116" s="61">
        <v>44166</v>
      </c>
      <c r="D116" s="62" t="str">
        <f ca="1" t="shared" si="4"/>
        <v>一年以上</v>
      </c>
      <c r="E116" s="313">
        <v>44181</v>
      </c>
      <c r="F116" s="59"/>
      <c r="G116" s="59" t="s">
        <v>297</v>
      </c>
      <c r="H116" s="63" t="s">
        <v>352</v>
      </c>
      <c r="I116" s="63" t="s">
        <v>352</v>
      </c>
      <c r="J116" s="314">
        <v>10000</v>
      </c>
      <c r="K116" s="59"/>
      <c r="L116" s="59" t="s">
        <v>73</v>
      </c>
      <c r="M116" s="59" t="s">
        <v>30</v>
      </c>
      <c r="N116" s="315">
        <v>10000</v>
      </c>
      <c r="O116" s="316">
        <f t="shared" si="6"/>
        <v>0</v>
      </c>
      <c r="P116" s="95">
        <v>44216</v>
      </c>
      <c r="Q116" s="61">
        <f t="shared" si="5"/>
        <v>44216</v>
      </c>
      <c r="R116" s="59"/>
      <c r="S116" s="59"/>
      <c r="T116" s="59"/>
      <c r="U116" s="59"/>
      <c r="V116" s="59"/>
      <c r="W116" s="68"/>
      <c r="X116" s="68"/>
      <c r="Y116" s="68"/>
    </row>
    <row r="117" s="17" customFormat="1" hidden="1" customHeight="1" spans="1:25">
      <c r="A117" s="59">
        <v>86</v>
      </c>
      <c r="B117" s="60" t="s">
        <v>353</v>
      </c>
      <c r="C117" s="61">
        <v>44166</v>
      </c>
      <c r="D117" s="62" t="str">
        <f ca="1" t="shared" si="4"/>
        <v>一年以上</v>
      </c>
      <c r="E117" s="313">
        <v>44182</v>
      </c>
      <c r="F117" s="59" t="s">
        <v>70</v>
      </c>
      <c r="G117" s="59" t="s">
        <v>219</v>
      </c>
      <c r="H117" s="63" t="s">
        <v>179</v>
      </c>
      <c r="I117" s="63" t="s">
        <v>179</v>
      </c>
      <c r="J117" s="314">
        <f>5000</f>
        <v>5000</v>
      </c>
      <c r="K117" s="59"/>
      <c r="L117" s="59" t="s">
        <v>96</v>
      </c>
      <c r="M117" s="59" t="s">
        <v>65</v>
      </c>
      <c r="N117" s="315">
        <v>5000</v>
      </c>
      <c r="O117" s="316">
        <f t="shared" si="6"/>
        <v>0</v>
      </c>
      <c r="P117" s="95">
        <v>44211</v>
      </c>
      <c r="Q117" s="61">
        <f t="shared" si="5"/>
        <v>44211</v>
      </c>
      <c r="R117" s="59"/>
      <c r="S117" s="59" t="s">
        <v>354</v>
      </c>
      <c r="T117" s="59"/>
      <c r="U117" s="59"/>
      <c r="V117" s="59"/>
      <c r="W117" s="68"/>
      <c r="X117" s="68"/>
      <c r="Y117" s="68"/>
    </row>
    <row r="118" s="17" customFormat="1" hidden="1" customHeight="1" spans="1:25">
      <c r="A118" s="59">
        <v>113</v>
      </c>
      <c r="B118" s="60" t="s">
        <v>355</v>
      </c>
      <c r="C118" s="61"/>
      <c r="D118" s="62" t="str">
        <f ca="1" t="shared" si="4"/>
        <v>一年以上</v>
      </c>
      <c r="E118" s="313">
        <v>44182</v>
      </c>
      <c r="F118" s="59" t="s">
        <v>70</v>
      </c>
      <c r="G118" s="59" t="s">
        <v>119</v>
      </c>
      <c r="H118" s="63" t="s">
        <v>179</v>
      </c>
      <c r="I118" s="63" t="s">
        <v>179</v>
      </c>
      <c r="J118" s="314">
        <v>1500</v>
      </c>
      <c r="K118" s="59" t="s">
        <v>356</v>
      </c>
      <c r="L118" s="59" t="s">
        <v>357</v>
      </c>
      <c r="M118" s="59" t="s">
        <v>65</v>
      </c>
      <c r="N118" s="315">
        <v>1500</v>
      </c>
      <c r="O118" s="316">
        <f t="shared" si="6"/>
        <v>0</v>
      </c>
      <c r="P118" s="95">
        <v>44237</v>
      </c>
      <c r="Q118" s="61">
        <f t="shared" si="5"/>
        <v>44237</v>
      </c>
      <c r="R118" s="59"/>
      <c r="S118" s="59"/>
      <c r="T118" s="59"/>
      <c r="U118" s="59"/>
      <c r="V118" s="59"/>
      <c r="W118" s="68"/>
      <c r="X118" s="68"/>
      <c r="Y118" s="68"/>
    </row>
    <row r="119" s="17" customFormat="1" hidden="1" customHeight="1" spans="1:25">
      <c r="A119" s="59">
        <v>207</v>
      </c>
      <c r="B119" s="60" t="s">
        <v>358</v>
      </c>
      <c r="C119" s="61">
        <v>44166</v>
      </c>
      <c r="D119" s="62" t="str">
        <f ca="1" t="shared" si="4"/>
        <v>一年以上</v>
      </c>
      <c r="E119" s="313">
        <v>44186</v>
      </c>
      <c r="F119" s="59"/>
      <c r="G119" s="59" t="s">
        <v>54</v>
      </c>
      <c r="H119" s="63" t="s">
        <v>325</v>
      </c>
      <c r="I119" s="63" t="s">
        <v>325</v>
      </c>
      <c r="J119" s="314">
        <v>5000</v>
      </c>
      <c r="K119" s="59"/>
      <c r="L119" s="59" t="s">
        <v>73</v>
      </c>
      <c r="M119" s="59" t="s">
        <v>30</v>
      </c>
      <c r="N119" s="315">
        <v>5000</v>
      </c>
      <c r="O119" s="316">
        <f t="shared" si="6"/>
        <v>0</v>
      </c>
      <c r="P119" s="95">
        <v>44217</v>
      </c>
      <c r="Q119" s="61">
        <f t="shared" si="5"/>
        <v>44217</v>
      </c>
      <c r="R119" s="59"/>
      <c r="S119" s="59"/>
      <c r="T119" s="59"/>
      <c r="U119" s="59"/>
      <c r="V119" s="59"/>
      <c r="W119" s="68"/>
      <c r="X119" s="68"/>
      <c r="Y119" s="68"/>
    </row>
    <row r="120" s="17" customFormat="1" hidden="1" customHeight="1" spans="1:25">
      <c r="A120" s="59">
        <v>208</v>
      </c>
      <c r="B120" s="60" t="s">
        <v>359</v>
      </c>
      <c r="C120" s="61">
        <v>44166</v>
      </c>
      <c r="D120" s="62" t="str">
        <f ca="1" t="shared" si="4"/>
        <v>一年以上</v>
      </c>
      <c r="E120" s="313">
        <v>44186</v>
      </c>
      <c r="F120" s="59"/>
      <c r="G120" s="59" t="s">
        <v>54</v>
      </c>
      <c r="H120" s="63" t="s">
        <v>360</v>
      </c>
      <c r="I120" s="63" t="s">
        <v>360</v>
      </c>
      <c r="J120" s="314">
        <v>10000</v>
      </c>
      <c r="K120" s="59"/>
      <c r="L120" s="59" t="s">
        <v>73</v>
      </c>
      <c r="M120" s="59" t="s">
        <v>30</v>
      </c>
      <c r="N120" s="315">
        <v>10000</v>
      </c>
      <c r="O120" s="316">
        <f t="shared" si="6"/>
        <v>0</v>
      </c>
      <c r="P120" s="95">
        <v>44251</v>
      </c>
      <c r="Q120" s="61">
        <f t="shared" si="5"/>
        <v>44251</v>
      </c>
      <c r="R120" s="59"/>
      <c r="S120" s="59"/>
      <c r="T120" s="59"/>
      <c r="U120" s="59"/>
      <c r="V120" s="59"/>
      <c r="W120" s="68"/>
      <c r="X120" s="68"/>
      <c r="Y120" s="68"/>
    </row>
    <row r="121" s="17" customFormat="1" hidden="1" customHeight="1" spans="1:25">
      <c r="A121" s="59">
        <v>209</v>
      </c>
      <c r="B121" s="60" t="s">
        <v>361</v>
      </c>
      <c r="C121" s="61">
        <v>44166</v>
      </c>
      <c r="D121" s="62" t="str">
        <f ca="1" t="shared" si="4"/>
        <v>一年以上</v>
      </c>
      <c r="E121" s="313">
        <v>44188</v>
      </c>
      <c r="F121" s="59"/>
      <c r="G121" s="59" t="s">
        <v>239</v>
      </c>
      <c r="H121" s="63" t="s">
        <v>362</v>
      </c>
      <c r="I121" s="63" t="s">
        <v>362</v>
      </c>
      <c r="J121" s="314">
        <v>3000</v>
      </c>
      <c r="K121" s="59"/>
      <c r="L121" s="59" t="s">
        <v>96</v>
      </c>
      <c r="M121" s="59" t="s">
        <v>30</v>
      </c>
      <c r="N121" s="315">
        <v>3000</v>
      </c>
      <c r="O121" s="316">
        <f t="shared" si="6"/>
        <v>0</v>
      </c>
      <c r="P121" s="95">
        <v>44201</v>
      </c>
      <c r="Q121" s="61">
        <f t="shared" si="5"/>
        <v>44201</v>
      </c>
      <c r="R121" s="59"/>
      <c r="S121" s="59"/>
      <c r="T121" s="59"/>
      <c r="U121" s="59"/>
      <c r="V121" s="59"/>
      <c r="W121" s="68"/>
      <c r="X121" s="68"/>
      <c r="Y121" s="68"/>
    </row>
    <row r="122" s="17" customFormat="1" hidden="1" customHeight="1" spans="1:25">
      <c r="A122" s="59">
        <v>87</v>
      </c>
      <c r="B122" s="60" t="s">
        <v>363</v>
      </c>
      <c r="C122" s="61">
        <v>44166</v>
      </c>
      <c r="D122" s="62" t="str">
        <f ca="1" t="shared" si="4"/>
        <v>一年以上</v>
      </c>
      <c r="E122" s="313">
        <v>44190</v>
      </c>
      <c r="F122" s="59" t="s">
        <v>70</v>
      </c>
      <c r="G122" s="59" t="s">
        <v>149</v>
      </c>
      <c r="H122" s="63" t="s">
        <v>152</v>
      </c>
      <c r="I122" s="63" t="s">
        <v>152</v>
      </c>
      <c r="J122" s="314">
        <v>10000</v>
      </c>
      <c r="K122" s="59"/>
      <c r="L122" s="59" t="s">
        <v>73</v>
      </c>
      <c r="M122" s="59" t="s">
        <v>65</v>
      </c>
      <c r="N122" s="315">
        <v>10000</v>
      </c>
      <c r="O122" s="316">
        <f t="shared" si="6"/>
        <v>0</v>
      </c>
      <c r="P122" s="95">
        <v>44233</v>
      </c>
      <c r="Q122" s="61">
        <f t="shared" si="5"/>
        <v>44233</v>
      </c>
      <c r="R122" s="59"/>
      <c r="S122" s="59" t="s">
        <v>364</v>
      </c>
      <c r="T122" s="59"/>
      <c r="U122" s="59"/>
      <c r="V122" s="59"/>
      <c r="W122" s="68"/>
      <c r="X122" s="68"/>
      <c r="Y122" s="68"/>
    </row>
    <row r="123" s="17" customFormat="1" hidden="1" customHeight="1" spans="1:25">
      <c r="A123" s="59">
        <v>88</v>
      </c>
      <c r="B123" s="60" t="s">
        <v>365</v>
      </c>
      <c r="C123" s="61">
        <v>44166</v>
      </c>
      <c r="D123" s="62" t="str">
        <f ca="1" t="shared" si="4"/>
        <v>一年以上</v>
      </c>
      <c r="E123" s="313">
        <v>44193</v>
      </c>
      <c r="F123" s="59" t="s">
        <v>82</v>
      </c>
      <c r="G123" s="59" t="s">
        <v>119</v>
      </c>
      <c r="H123" s="63" t="s">
        <v>366</v>
      </c>
      <c r="I123" s="63" t="s">
        <v>366</v>
      </c>
      <c r="J123" s="314">
        <v>2000</v>
      </c>
      <c r="K123" s="59" t="s">
        <v>28</v>
      </c>
      <c r="L123" s="59" t="s">
        <v>57</v>
      </c>
      <c r="M123" s="59" t="s">
        <v>65</v>
      </c>
      <c r="N123" s="315">
        <v>2000</v>
      </c>
      <c r="O123" s="316">
        <f t="shared" si="6"/>
        <v>0</v>
      </c>
      <c r="P123" s="95">
        <v>45069</v>
      </c>
      <c r="Q123" s="61">
        <f t="shared" si="5"/>
        <v>45069</v>
      </c>
      <c r="R123" s="59"/>
      <c r="S123" s="59" t="s">
        <v>367</v>
      </c>
      <c r="T123" s="59" t="s">
        <v>182</v>
      </c>
      <c r="U123" s="59" t="s">
        <v>125</v>
      </c>
      <c r="V123" s="59"/>
      <c r="W123" s="68"/>
      <c r="X123" s="68"/>
      <c r="Y123" s="68"/>
    </row>
    <row r="124" s="17" customFormat="1" hidden="1" customHeight="1" spans="1:25">
      <c r="A124" s="59">
        <v>210</v>
      </c>
      <c r="B124" s="60" t="s">
        <v>368</v>
      </c>
      <c r="C124" s="61">
        <v>44166</v>
      </c>
      <c r="D124" s="62" t="str">
        <f ca="1" t="shared" si="4"/>
        <v>一年以上</v>
      </c>
      <c r="E124" s="313">
        <v>44195</v>
      </c>
      <c r="F124" s="59"/>
      <c r="G124" s="59" t="s">
        <v>54</v>
      </c>
      <c r="H124" s="63" t="s">
        <v>313</v>
      </c>
      <c r="I124" s="63" t="s">
        <v>313</v>
      </c>
      <c r="J124" s="314">
        <v>3000</v>
      </c>
      <c r="K124" s="59"/>
      <c r="L124" s="59" t="s">
        <v>73</v>
      </c>
      <c r="M124" s="59" t="s">
        <v>30</v>
      </c>
      <c r="N124" s="315">
        <v>3000</v>
      </c>
      <c r="O124" s="316">
        <f t="shared" si="6"/>
        <v>0</v>
      </c>
      <c r="P124" s="95">
        <v>44280</v>
      </c>
      <c r="Q124" s="61">
        <f t="shared" si="5"/>
        <v>44280</v>
      </c>
      <c r="R124" s="59"/>
      <c r="S124" s="59"/>
      <c r="T124" s="59"/>
      <c r="U124" s="59"/>
      <c r="V124" s="59"/>
      <c r="W124" s="68"/>
      <c r="X124" s="68"/>
      <c r="Y124" s="68"/>
    </row>
    <row r="125" s="17" customFormat="1" hidden="1" customHeight="1" spans="1:25">
      <c r="A125" s="59">
        <v>89</v>
      </c>
      <c r="B125" s="60" t="s">
        <v>369</v>
      </c>
      <c r="C125" s="61">
        <v>44197</v>
      </c>
      <c r="D125" s="62" t="str">
        <f ca="1" t="shared" si="4"/>
        <v>一年以上</v>
      </c>
      <c r="E125" s="313">
        <v>44200</v>
      </c>
      <c r="F125" s="59" t="s">
        <v>70</v>
      </c>
      <c r="G125" s="59" t="s">
        <v>146</v>
      </c>
      <c r="H125" s="63" t="s">
        <v>231</v>
      </c>
      <c r="I125" s="63" t="s">
        <v>231</v>
      </c>
      <c r="J125" s="314">
        <v>5920</v>
      </c>
      <c r="K125" s="59"/>
      <c r="L125" s="59" t="s">
        <v>73</v>
      </c>
      <c r="M125" s="59" t="s">
        <v>65</v>
      </c>
      <c r="N125" s="315">
        <v>5920</v>
      </c>
      <c r="O125" s="316">
        <f t="shared" si="6"/>
        <v>0</v>
      </c>
      <c r="P125" s="95">
        <v>44614</v>
      </c>
      <c r="Q125" s="61">
        <f t="shared" si="5"/>
        <v>44614</v>
      </c>
      <c r="R125" s="59"/>
      <c r="S125" s="59" t="s">
        <v>370</v>
      </c>
      <c r="T125" s="59" t="s">
        <v>32</v>
      </c>
      <c r="U125" s="59" t="s">
        <v>371</v>
      </c>
      <c r="V125" s="59"/>
      <c r="W125" s="68"/>
      <c r="X125" s="68"/>
      <c r="Y125" s="68"/>
    </row>
    <row r="126" s="17" customFormat="1" hidden="1" customHeight="1" spans="1:25">
      <c r="A126" s="59">
        <v>90</v>
      </c>
      <c r="B126" s="60" t="s">
        <v>372</v>
      </c>
      <c r="C126" s="61">
        <v>44197</v>
      </c>
      <c r="D126" s="62" t="str">
        <f ca="1" t="shared" si="4"/>
        <v>一年以上</v>
      </c>
      <c r="E126" s="313">
        <v>44202</v>
      </c>
      <c r="F126" s="59" t="s">
        <v>82</v>
      </c>
      <c r="G126" s="59" t="s">
        <v>340</v>
      </c>
      <c r="H126" s="63" t="s">
        <v>144</v>
      </c>
      <c r="I126" s="63" t="s">
        <v>144</v>
      </c>
      <c r="J126" s="314">
        <v>4000</v>
      </c>
      <c r="K126" s="59" t="s">
        <v>28</v>
      </c>
      <c r="L126" s="59" t="s">
        <v>57</v>
      </c>
      <c r="M126" s="59" t="s">
        <v>65</v>
      </c>
      <c r="N126" s="315">
        <v>4000</v>
      </c>
      <c r="O126" s="316">
        <f t="shared" si="6"/>
        <v>0</v>
      </c>
      <c r="P126" s="95">
        <v>45181</v>
      </c>
      <c r="Q126" s="61">
        <f t="shared" si="5"/>
        <v>45181</v>
      </c>
      <c r="R126" s="59"/>
      <c r="S126" s="59" t="s">
        <v>373</v>
      </c>
      <c r="T126" s="59" t="s">
        <v>86</v>
      </c>
      <c r="U126" s="59" t="s">
        <v>87</v>
      </c>
      <c r="V126" s="59"/>
      <c r="W126" s="68"/>
      <c r="X126" s="68"/>
      <c r="Y126" s="68"/>
    </row>
    <row r="127" s="17" customFormat="1" hidden="1" customHeight="1" spans="1:25">
      <c r="A127" s="59">
        <v>211</v>
      </c>
      <c r="B127" s="60" t="s">
        <v>374</v>
      </c>
      <c r="C127" s="61">
        <v>44197</v>
      </c>
      <c r="D127" s="62" t="str">
        <f ca="1" t="shared" si="4"/>
        <v>一年以上</v>
      </c>
      <c r="E127" s="313">
        <v>44202</v>
      </c>
      <c r="F127" s="59"/>
      <c r="G127" s="59" t="s">
        <v>375</v>
      </c>
      <c r="H127" s="63" t="s">
        <v>376</v>
      </c>
      <c r="I127" s="63" t="s">
        <v>376</v>
      </c>
      <c r="J127" s="314">
        <v>36000</v>
      </c>
      <c r="K127" s="59"/>
      <c r="L127" s="59" t="s">
        <v>73</v>
      </c>
      <c r="M127" s="59" t="s">
        <v>30</v>
      </c>
      <c r="N127" s="315">
        <v>36000</v>
      </c>
      <c r="O127" s="316">
        <f t="shared" si="6"/>
        <v>0</v>
      </c>
      <c r="P127" s="95">
        <v>44223</v>
      </c>
      <c r="Q127" s="61">
        <f t="shared" si="5"/>
        <v>44223</v>
      </c>
      <c r="R127" s="59"/>
      <c r="S127" s="59"/>
      <c r="T127" s="59"/>
      <c r="U127" s="59"/>
      <c r="V127" s="59"/>
      <c r="W127" s="68"/>
      <c r="X127" s="68"/>
      <c r="Y127" s="68"/>
    </row>
    <row r="128" s="17" customFormat="1" hidden="1" customHeight="1" spans="1:25">
      <c r="A128" s="59">
        <v>91</v>
      </c>
      <c r="B128" s="169" t="s">
        <v>377</v>
      </c>
      <c r="C128" s="61">
        <v>44197</v>
      </c>
      <c r="D128" s="62" t="str">
        <f ca="1" t="shared" si="4"/>
        <v>一年以上</v>
      </c>
      <c r="E128" s="313">
        <v>44210</v>
      </c>
      <c r="F128" s="59" t="s">
        <v>282</v>
      </c>
      <c r="G128" s="59" t="s">
        <v>378</v>
      </c>
      <c r="H128" s="63" t="s">
        <v>379</v>
      </c>
      <c r="I128" s="63" t="s">
        <v>379</v>
      </c>
      <c r="J128" s="314">
        <v>500</v>
      </c>
      <c r="K128" s="59" t="s">
        <v>28</v>
      </c>
      <c r="L128" s="59" t="s">
        <v>73</v>
      </c>
      <c r="M128" s="59" t="s">
        <v>65</v>
      </c>
      <c r="N128" s="315"/>
      <c r="O128" s="316">
        <f t="shared" si="6"/>
        <v>500</v>
      </c>
      <c r="P128" s="95"/>
      <c r="Q128" s="61">
        <f t="shared" si="5"/>
        <v>0</v>
      </c>
      <c r="R128" s="59" t="s">
        <v>380</v>
      </c>
      <c r="S128" s="59"/>
      <c r="T128" s="59" t="s">
        <v>381</v>
      </c>
      <c r="U128" s="59" t="str">
        <f>VLOOKUP(T128,[1]区域划分!$A$1:$C$39,3,0)</f>
        <v>林维</v>
      </c>
      <c r="V128" s="59"/>
      <c r="W128" s="68"/>
      <c r="X128" s="68"/>
      <c r="Y128" s="68"/>
    </row>
    <row r="129" s="17" customFormat="1" hidden="1" customHeight="1" spans="1:25">
      <c r="A129" s="59">
        <v>92</v>
      </c>
      <c r="B129" s="60" t="s">
        <v>382</v>
      </c>
      <c r="C129" s="61">
        <v>44197</v>
      </c>
      <c r="D129" s="62" t="str">
        <f ca="1" t="shared" si="4"/>
        <v>一年以上</v>
      </c>
      <c r="E129" s="313">
        <v>44214</v>
      </c>
      <c r="F129" s="59" t="s">
        <v>70</v>
      </c>
      <c r="G129" s="59" t="s">
        <v>219</v>
      </c>
      <c r="H129" s="63" t="s">
        <v>383</v>
      </c>
      <c r="I129" s="63" t="s">
        <v>383</v>
      </c>
      <c r="J129" s="314">
        <v>2000</v>
      </c>
      <c r="K129" s="59"/>
      <c r="L129" s="59" t="s">
        <v>73</v>
      </c>
      <c r="M129" s="59" t="s">
        <v>65</v>
      </c>
      <c r="N129" s="315">
        <v>2000</v>
      </c>
      <c r="O129" s="316">
        <f t="shared" si="6"/>
        <v>0</v>
      </c>
      <c r="P129" s="95">
        <v>44433</v>
      </c>
      <c r="Q129" s="61">
        <f t="shared" si="5"/>
        <v>44433</v>
      </c>
      <c r="R129" s="59"/>
      <c r="S129" s="59"/>
      <c r="T129" s="59"/>
      <c r="U129" s="59"/>
      <c r="V129" s="59"/>
      <c r="W129" s="68"/>
      <c r="X129" s="68"/>
      <c r="Y129" s="68"/>
    </row>
    <row r="130" s="17" customFormat="1" hidden="1" customHeight="1" spans="1:25">
      <c r="A130" s="59">
        <v>212</v>
      </c>
      <c r="B130" s="169">
        <v>212</v>
      </c>
      <c r="C130" s="61">
        <v>44197</v>
      </c>
      <c r="D130" s="62" t="str">
        <f ca="1" t="shared" si="4"/>
        <v>一年以上</v>
      </c>
      <c r="E130" s="313">
        <v>44216</v>
      </c>
      <c r="F130" s="59"/>
      <c r="G130" s="59" t="s">
        <v>239</v>
      </c>
      <c r="H130" s="63" t="s">
        <v>384</v>
      </c>
      <c r="I130" s="63" t="s">
        <v>385</v>
      </c>
      <c r="J130" s="314">
        <v>5000</v>
      </c>
      <c r="K130" s="59" t="s">
        <v>28</v>
      </c>
      <c r="L130" s="59" t="s">
        <v>73</v>
      </c>
      <c r="M130" s="59" t="s">
        <v>30</v>
      </c>
      <c r="N130" s="315"/>
      <c r="O130" s="316">
        <f t="shared" si="6"/>
        <v>5000</v>
      </c>
      <c r="P130" s="95"/>
      <c r="Q130" s="61">
        <f t="shared" si="5"/>
        <v>0</v>
      </c>
      <c r="R130" s="59" t="s">
        <v>386</v>
      </c>
      <c r="S130" s="59" t="s">
        <v>387</v>
      </c>
      <c r="T130" s="59" t="s">
        <v>388</v>
      </c>
      <c r="U130" s="59" t="str">
        <f>VLOOKUP(T130,[1]区域划分!$A$1:$C$39,3,0)</f>
        <v>林维</v>
      </c>
      <c r="V130" s="59"/>
      <c r="W130" s="68"/>
      <c r="X130" s="68"/>
      <c r="Y130" s="68"/>
    </row>
    <row r="131" s="17" customFormat="1" hidden="1" customHeight="1" spans="1:25">
      <c r="A131" s="59">
        <v>93</v>
      </c>
      <c r="B131" s="60" t="s">
        <v>389</v>
      </c>
      <c r="C131" s="61">
        <v>44197</v>
      </c>
      <c r="D131" s="62" t="str">
        <f ca="1" t="shared" ref="D131:D194" si="7">IF(TODAY()-E131&lt;60,"2个月内",IF(TODAY()-E131&lt;180,"3-6个月",IF(TODAY()-E131&lt;360,"6个月-1年","一年以上")))</f>
        <v>一年以上</v>
      </c>
      <c r="E131" s="313">
        <v>44218</v>
      </c>
      <c r="F131" s="59" t="s">
        <v>70</v>
      </c>
      <c r="G131" s="59" t="s">
        <v>119</v>
      </c>
      <c r="H131" s="63" t="s">
        <v>179</v>
      </c>
      <c r="I131" s="63" t="s">
        <v>179</v>
      </c>
      <c r="J131" s="314">
        <v>3000</v>
      </c>
      <c r="K131" s="59"/>
      <c r="L131" s="59" t="s">
        <v>96</v>
      </c>
      <c r="M131" s="59" t="s">
        <v>65</v>
      </c>
      <c r="N131" s="315">
        <v>3000</v>
      </c>
      <c r="O131" s="316">
        <f t="shared" si="6"/>
        <v>0</v>
      </c>
      <c r="P131" s="95">
        <v>44277</v>
      </c>
      <c r="Q131" s="61">
        <f t="shared" ref="Q131:Q194" si="8">P131</f>
        <v>44277</v>
      </c>
      <c r="R131" s="59"/>
      <c r="S131" s="59"/>
      <c r="T131" s="59"/>
      <c r="U131" s="59"/>
      <c r="V131" s="59"/>
      <c r="W131" s="68"/>
      <c r="X131" s="68"/>
      <c r="Y131" s="68"/>
    </row>
    <row r="132" s="17" customFormat="1" hidden="1" customHeight="1" spans="1:25">
      <c r="A132" s="59">
        <v>346</v>
      </c>
      <c r="B132" s="60" t="s">
        <v>390</v>
      </c>
      <c r="C132" s="61">
        <v>44197</v>
      </c>
      <c r="D132" s="62" t="str">
        <f ca="1" t="shared" si="7"/>
        <v>一年以上</v>
      </c>
      <c r="E132" s="313">
        <v>44221</v>
      </c>
      <c r="F132" s="59" t="s">
        <v>130</v>
      </c>
      <c r="G132" s="59" t="s">
        <v>125</v>
      </c>
      <c r="H132" s="63" t="s">
        <v>132</v>
      </c>
      <c r="I132" s="63" t="s">
        <v>132</v>
      </c>
      <c r="J132" s="314">
        <v>11800</v>
      </c>
      <c r="K132" s="59"/>
      <c r="L132" s="59" t="s">
        <v>73</v>
      </c>
      <c r="M132" s="59" t="s">
        <v>133</v>
      </c>
      <c r="N132" s="315">
        <v>11800</v>
      </c>
      <c r="O132" s="316">
        <f t="shared" si="6"/>
        <v>0</v>
      </c>
      <c r="P132" s="95">
        <v>44405</v>
      </c>
      <c r="Q132" s="61">
        <f t="shared" si="8"/>
        <v>44405</v>
      </c>
      <c r="R132" s="59"/>
      <c r="S132" s="59" t="s">
        <v>133</v>
      </c>
      <c r="T132" s="59"/>
      <c r="U132" s="59"/>
      <c r="V132" s="59"/>
      <c r="W132" s="68"/>
      <c r="X132" s="68"/>
      <c r="Y132" s="68"/>
    </row>
    <row r="133" s="17" customFormat="1" hidden="1" customHeight="1" spans="1:25">
      <c r="A133" s="59">
        <v>94</v>
      </c>
      <c r="B133" s="60" t="s">
        <v>391</v>
      </c>
      <c r="C133" s="61">
        <v>44197</v>
      </c>
      <c r="D133" s="62" t="str">
        <f ca="1" t="shared" si="7"/>
        <v>一年以上</v>
      </c>
      <c r="E133" s="313">
        <v>44223</v>
      </c>
      <c r="F133" s="59" t="s">
        <v>82</v>
      </c>
      <c r="G133" s="59" t="s">
        <v>392</v>
      </c>
      <c r="H133" s="63" t="s">
        <v>393</v>
      </c>
      <c r="I133" s="63" t="s">
        <v>393</v>
      </c>
      <c r="J133" s="314">
        <v>2000</v>
      </c>
      <c r="K133" s="59" t="s">
        <v>28</v>
      </c>
      <c r="L133" s="59" t="s">
        <v>57</v>
      </c>
      <c r="M133" s="59" t="s">
        <v>65</v>
      </c>
      <c r="N133" s="315">
        <v>2000</v>
      </c>
      <c r="O133" s="316">
        <f t="shared" si="6"/>
        <v>0</v>
      </c>
      <c r="P133" s="95">
        <v>45257</v>
      </c>
      <c r="Q133" s="61">
        <f t="shared" si="8"/>
        <v>45257</v>
      </c>
      <c r="R133" s="59" t="s">
        <v>394</v>
      </c>
      <c r="S133" s="59" t="s">
        <v>395</v>
      </c>
      <c r="T133" s="59" t="s">
        <v>396</v>
      </c>
      <c r="U133" s="59" t="str">
        <f>VLOOKUP(T133,[1]区域划分!$A$1:$C$39,3,0)</f>
        <v>牛国庆</v>
      </c>
      <c r="V133" s="59"/>
      <c r="W133" s="68"/>
      <c r="X133" s="68"/>
      <c r="Y133" s="68"/>
    </row>
    <row r="134" s="17" customFormat="1" hidden="1" customHeight="1" spans="1:25">
      <c r="A134" s="59">
        <v>95</v>
      </c>
      <c r="B134" s="60" t="s">
        <v>397</v>
      </c>
      <c r="C134" s="61">
        <v>44197</v>
      </c>
      <c r="D134" s="62" t="str">
        <f ca="1" t="shared" si="7"/>
        <v>一年以上</v>
      </c>
      <c r="E134" s="313">
        <v>44225</v>
      </c>
      <c r="F134" s="59" t="s">
        <v>82</v>
      </c>
      <c r="G134" s="59" t="s">
        <v>224</v>
      </c>
      <c r="H134" s="63" t="s">
        <v>398</v>
      </c>
      <c r="I134" s="63" t="s">
        <v>399</v>
      </c>
      <c r="J134" s="314">
        <v>2000</v>
      </c>
      <c r="K134" s="59"/>
      <c r="L134" s="59" t="s">
        <v>73</v>
      </c>
      <c r="M134" s="59" t="s">
        <v>65</v>
      </c>
      <c r="N134" s="315">
        <v>2000</v>
      </c>
      <c r="O134" s="316">
        <f t="shared" si="6"/>
        <v>0</v>
      </c>
      <c r="P134" s="95">
        <v>44718</v>
      </c>
      <c r="Q134" s="61">
        <f t="shared" si="8"/>
        <v>44718</v>
      </c>
      <c r="R134" s="59" t="s">
        <v>400</v>
      </c>
      <c r="S134" s="59"/>
      <c r="T134" s="59" t="s">
        <v>49</v>
      </c>
      <c r="U134" s="59" t="s">
        <v>401</v>
      </c>
      <c r="V134" s="59"/>
      <c r="W134" s="68"/>
      <c r="X134" s="68"/>
      <c r="Y134" s="68"/>
    </row>
    <row r="135" s="17" customFormat="1" hidden="1" customHeight="1" spans="1:25">
      <c r="A135" s="59">
        <v>96</v>
      </c>
      <c r="B135" s="60" t="s">
        <v>402</v>
      </c>
      <c r="C135" s="61">
        <v>44228</v>
      </c>
      <c r="D135" s="62" t="str">
        <f ca="1" t="shared" si="7"/>
        <v>一年以上</v>
      </c>
      <c r="E135" s="313">
        <v>44228</v>
      </c>
      <c r="F135" s="59" t="s">
        <v>70</v>
      </c>
      <c r="G135" s="59" t="s">
        <v>403</v>
      </c>
      <c r="H135" s="63" t="s">
        <v>404</v>
      </c>
      <c r="I135" s="63" t="s">
        <v>404</v>
      </c>
      <c r="J135" s="314">
        <v>10000</v>
      </c>
      <c r="K135" s="59"/>
      <c r="L135" s="59" t="s">
        <v>73</v>
      </c>
      <c r="M135" s="59" t="s">
        <v>65</v>
      </c>
      <c r="N135" s="315">
        <v>10000</v>
      </c>
      <c r="O135" s="316">
        <f t="shared" si="6"/>
        <v>0</v>
      </c>
      <c r="P135" s="95">
        <v>44330</v>
      </c>
      <c r="Q135" s="61">
        <f t="shared" si="8"/>
        <v>44330</v>
      </c>
      <c r="R135" s="59"/>
      <c r="S135" s="59"/>
      <c r="T135" s="59"/>
      <c r="U135" s="59"/>
      <c r="V135" s="59"/>
      <c r="W135" s="68"/>
      <c r="X135" s="68"/>
      <c r="Y135" s="68"/>
    </row>
    <row r="136" s="17" customFormat="1" hidden="1" customHeight="1" spans="1:25">
      <c r="A136" s="59">
        <v>213</v>
      </c>
      <c r="B136" s="60" t="s">
        <v>405</v>
      </c>
      <c r="C136" s="61">
        <v>44228</v>
      </c>
      <c r="D136" s="62" t="str">
        <f ca="1" t="shared" si="7"/>
        <v>一年以上</v>
      </c>
      <c r="E136" s="313">
        <v>44228</v>
      </c>
      <c r="F136" s="59"/>
      <c r="G136" s="59" t="s">
        <v>401</v>
      </c>
      <c r="H136" s="63" t="s">
        <v>406</v>
      </c>
      <c r="I136" s="63" t="s">
        <v>406</v>
      </c>
      <c r="J136" s="314">
        <v>40000</v>
      </c>
      <c r="K136" s="59"/>
      <c r="L136" s="59" t="s">
        <v>73</v>
      </c>
      <c r="M136" s="59" t="s">
        <v>30</v>
      </c>
      <c r="N136" s="315">
        <v>40000</v>
      </c>
      <c r="O136" s="316">
        <f t="shared" si="6"/>
        <v>0</v>
      </c>
      <c r="P136" s="95">
        <v>44739</v>
      </c>
      <c r="Q136" s="61">
        <f t="shared" si="8"/>
        <v>44739</v>
      </c>
      <c r="R136" s="59" t="s">
        <v>310</v>
      </c>
      <c r="S136" s="59" t="s">
        <v>407</v>
      </c>
      <c r="T136" s="59"/>
      <c r="U136" s="59"/>
      <c r="V136" s="59"/>
      <c r="W136" s="68"/>
      <c r="X136" s="68"/>
      <c r="Y136" s="68"/>
    </row>
    <row r="137" s="17" customFormat="1" hidden="1" customHeight="1" spans="1:25">
      <c r="A137" s="59">
        <v>103</v>
      </c>
      <c r="B137" s="60" t="s">
        <v>408</v>
      </c>
      <c r="C137" s="61">
        <v>44228</v>
      </c>
      <c r="D137" s="62" t="str">
        <f ca="1" t="shared" si="7"/>
        <v>一年以上</v>
      </c>
      <c r="E137" s="313">
        <v>44245</v>
      </c>
      <c r="F137" s="59" t="s">
        <v>409</v>
      </c>
      <c r="G137" s="59" t="s">
        <v>410</v>
      </c>
      <c r="H137" s="63" t="s">
        <v>269</v>
      </c>
      <c r="I137" s="63" t="s">
        <v>269</v>
      </c>
      <c r="J137" s="314">
        <v>3000</v>
      </c>
      <c r="K137" s="59"/>
      <c r="L137" s="59" t="s">
        <v>96</v>
      </c>
      <c r="M137" s="59" t="s">
        <v>65</v>
      </c>
      <c r="N137" s="315">
        <v>3000</v>
      </c>
      <c r="O137" s="316">
        <f t="shared" si="6"/>
        <v>0</v>
      </c>
      <c r="P137" s="95">
        <f>E137</f>
        <v>44245</v>
      </c>
      <c r="Q137" s="61">
        <f t="shared" si="8"/>
        <v>44245</v>
      </c>
      <c r="R137" s="59"/>
      <c r="S137" s="59"/>
      <c r="T137" s="59"/>
      <c r="U137" s="59"/>
      <c r="V137" s="59"/>
      <c r="W137" s="68"/>
      <c r="X137" s="68"/>
      <c r="Y137" s="68"/>
    </row>
    <row r="138" s="17" customFormat="1" hidden="1" customHeight="1" spans="1:25">
      <c r="A138" s="59">
        <v>97</v>
      </c>
      <c r="B138" s="60" t="s">
        <v>411</v>
      </c>
      <c r="C138" s="61">
        <v>44228</v>
      </c>
      <c r="D138" s="62" t="str">
        <f ca="1" t="shared" si="7"/>
        <v>一年以上</v>
      </c>
      <c r="E138" s="313">
        <v>44246</v>
      </c>
      <c r="F138" s="59" t="s">
        <v>82</v>
      </c>
      <c r="G138" s="59" t="s">
        <v>412</v>
      </c>
      <c r="H138" s="63" t="s">
        <v>413</v>
      </c>
      <c r="I138" s="63" t="s">
        <v>413</v>
      </c>
      <c r="J138" s="314">
        <v>1000</v>
      </c>
      <c r="K138" s="59" t="s">
        <v>28</v>
      </c>
      <c r="L138" s="59" t="s">
        <v>57</v>
      </c>
      <c r="M138" s="59" t="s">
        <v>65</v>
      </c>
      <c r="N138" s="315">
        <v>1000</v>
      </c>
      <c r="O138" s="316">
        <f t="shared" ref="O138:O201" si="9">J138-N138</f>
        <v>0</v>
      </c>
      <c r="P138" s="95">
        <v>45285</v>
      </c>
      <c r="Q138" s="61">
        <f t="shared" si="8"/>
        <v>45285</v>
      </c>
      <c r="R138" s="59" t="s">
        <v>414</v>
      </c>
      <c r="S138" s="59" t="s">
        <v>415</v>
      </c>
      <c r="T138" s="59" t="s">
        <v>267</v>
      </c>
      <c r="U138" s="59" t="str">
        <f>VLOOKUP(T138,[1]区域划分!$A$1:$C$39,3,0)</f>
        <v>牛国庆</v>
      </c>
      <c r="V138" s="59" t="s">
        <v>416</v>
      </c>
      <c r="W138" s="68"/>
      <c r="X138" s="68"/>
      <c r="Y138" s="68"/>
    </row>
    <row r="139" s="17" customFormat="1" hidden="1" customHeight="1" spans="1:25">
      <c r="A139" s="59">
        <v>98</v>
      </c>
      <c r="B139" s="60" t="s">
        <v>417</v>
      </c>
      <c r="C139" s="61">
        <v>44228</v>
      </c>
      <c r="D139" s="62" t="str">
        <f ca="1" t="shared" si="7"/>
        <v>一年以上</v>
      </c>
      <c r="E139" s="313">
        <v>44246</v>
      </c>
      <c r="F139" s="59" t="s">
        <v>70</v>
      </c>
      <c r="G139" s="59" t="s">
        <v>224</v>
      </c>
      <c r="H139" s="63" t="s">
        <v>332</v>
      </c>
      <c r="I139" s="63" t="s">
        <v>332</v>
      </c>
      <c r="J139" s="314">
        <v>11800</v>
      </c>
      <c r="K139" s="59"/>
      <c r="L139" s="59" t="s">
        <v>73</v>
      </c>
      <c r="M139" s="59" t="s">
        <v>65</v>
      </c>
      <c r="N139" s="315">
        <v>11800</v>
      </c>
      <c r="O139" s="316">
        <f t="shared" si="9"/>
        <v>0</v>
      </c>
      <c r="P139" s="95">
        <v>44306</v>
      </c>
      <c r="Q139" s="61">
        <f t="shared" si="8"/>
        <v>44306</v>
      </c>
      <c r="R139" s="59"/>
      <c r="S139" s="59"/>
      <c r="T139" s="59"/>
      <c r="U139" s="59"/>
      <c r="V139" s="59"/>
      <c r="W139" s="68"/>
      <c r="X139" s="68"/>
      <c r="Y139" s="68"/>
    </row>
    <row r="140" s="17" customFormat="1" hidden="1" customHeight="1" spans="1:25">
      <c r="A140" s="59">
        <v>99</v>
      </c>
      <c r="B140" s="60" t="s">
        <v>418</v>
      </c>
      <c r="C140" s="61">
        <v>44228</v>
      </c>
      <c r="D140" s="62" t="str">
        <f ca="1" t="shared" si="7"/>
        <v>一年以上</v>
      </c>
      <c r="E140" s="313">
        <v>44246</v>
      </c>
      <c r="F140" s="59" t="s">
        <v>82</v>
      </c>
      <c r="G140" s="59" t="s">
        <v>340</v>
      </c>
      <c r="H140" s="63" t="s">
        <v>419</v>
      </c>
      <c r="I140" s="63" t="s">
        <v>419</v>
      </c>
      <c r="J140" s="314">
        <v>2500</v>
      </c>
      <c r="K140" s="59" t="s">
        <v>28</v>
      </c>
      <c r="L140" s="59" t="s">
        <v>57</v>
      </c>
      <c r="M140" s="59" t="s">
        <v>65</v>
      </c>
      <c r="N140" s="315">
        <v>2500</v>
      </c>
      <c r="O140" s="316">
        <f t="shared" si="9"/>
        <v>0</v>
      </c>
      <c r="P140" s="95">
        <v>44850</v>
      </c>
      <c r="Q140" s="61">
        <f t="shared" si="8"/>
        <v>44850</v>
      </c>
      <c r="R140" s="59" t="s">
        <v>420</v>
      </c>
      <c r="S140" s="59" t="s">
        <v>415</v>
      </c>
      <c r="T140" s="59" t="s">
        <v>171</v>
      </c>
      <c r="U140" s="59" t="s">
        <v>172</v>
      </c>
      <c r="V140" s="59"/>
      <c r="W140" s="68"/>
      <c r="X140" s="68"/>
      <c r="Y140" s="68"/>
    </row>
    <row r="141" s="17" customFormat="1" hidden="1" customHeight="1" spans="1:25">
      <c r="A141" s="59">
        <v>214</v>
      </c>
      <c r="B141" s="60" t="s">
        <v>421</v>
      </c>
      <c r="C141" s="61">
        <v>44228</v>
      </c>
      <c r="D141" s="62" t="str">
        <f ca="1" t="shared" si="7"/>
        <v>一年以上</v>
      </c>
      <c r="E141" s="313">
        <v>44246</v>
      </c>
      <c r="F141" s="59"/>
      <c r="G141" s="59" t="s">
        <v>125</v>
      </c>
      <c r="H141" s="63" t="s">
        <v>422</v>
      </c>
      <c r="I141" s="63" t="s">
        <v>422</v>
      </c>
      <c r="J141" s="314">
        <v>1500</v>
      </c>
      <c r="K141" s="59"/>
      <c r="L141" s="59" t="s">
        <v>73</v>
      </c>
      <c r="M141" s="59" t="s">
        <v>30</v>
      </c>
      <c r="N141" s="315">
        <v>1500</v>
      </c>
      <c r="O141" s="316">
        <f t="shared" si="9"/>
        <v>0</v>
      </c>
      <c r="P141" s="95">
        <v>44496</v>
      </c>
      <c r="Q141" s="61">
        <f t="shared" si="8"/>
        <v>44496</v>
      </c>
      <c r="R141" s="59"/>
      <c r="S141" s="59"/>
      <c r="T141" s="59"/>
      <c r="U141" s="59"/>
      <c r="V141" s="59"/>
      <c r="W141" s="68"/>
      <c r="X141" s="68"/>
      <c r="Y141" s="68"/>
    </row>
    <row r="142" s="17" customFormat="1" hidden="1" customHeight="1" spans="1:25">
      <c r="A142" s="59">
        <v>100</v>
      </c>
      <c r="B142" s="60" t="s">
        <v>423</v>
      </c>
      <c r="C142" s="61">
        <v>44228</v>
      </c>
      <c r="D142" s="62" t="str">
        <f ca="1" t="shared" si="7"/>
        <v>一年以上</v>
      </c>
      <c r="E142" s="313">
        <v>44251</v>
      </c>
      <c r="F142" s="59" t="s">
        <v>82</v>
      </c>
      <c r="G142" s="59" t="s">
        <v>340</v>
      </c>
      <c r="H142" s="63" t="s">
        <v>424</v>
      </c>
      <c r="I142" s="63" t="s">
        <v>424</v>
      </c>
      <c r="J142" s="314">
        <v>2500</v>
      </c>
      <c r="K142" s="59" t="s">
        <v>28</v>
      </c>
      <c r="L142" s="59" t="s">
        <v>57</v>
      </c>
      <c r="M142" s="59" t="s">
        <v>65</v>
      </c>
      <c r="N142" s="315">
        <v>2500</v>
      </c>
      <c r="O142" s="316">
        <f t="shared" si="9"/>
        <v>0</v>
      </c>
      <c r="P142" s="95">
        <v>44711</v>
      </c>
      <c r="Q142" s="61">
        <f t="shared" si="8"/>
        <v>44711</v>
      </c>
      <c r="R142" s="59"/>
      <c r="S142" s="59" t="s">
        <v>425</v>
      </c>
      <c r="T142" s="59" t="s">
        <v>171</v>
      </c>
      <c r="U142" s="59" t="s">
        <v>172</v>
      </c>
      <c r="V142" s="59"/>
      <c r="W142" s="68"/>
      <c r="X142" s="68"/>
      <c r="Y142" s="68"/>
    </row>
    <row r="143" s="17" customFormat="1" hidden="1" customHeight="1" spans="1:25">
      <c r="A143" s="59">
        <v>101</v>
      </c>
      <c r="B143" s="60" t="s">
        <v>426</v>
      </c>
      <c r="C143" s="61">
        <v>44228</v>
      </c>
      <c r="D143" s="62" t="str">
        <f ca="1" t="shared" si="7"/>
        <v>一年以上</v>
      </c>
      <c r="E143" s="313">
        <v>44251</v>
      </c>
      <c r="F143" s="59" t="s">
        <v>70</v>
      </c>
      <c r="G143" s="59" t="s">
        <v>259</v>
      </c>
      <c r="H143" s="63" t="s">
        <v>115</v>
      </c>
      <c r="I143" s="63" t="s">
        <v>115</v>
      </c>
      <c r="J143" s="314">
        <v>2000</v>
      </c>
      <c r="K143" s="59"/>
      <c r="L143" s="59" t="s">
        <v>73</v>
      </c>
      <c r="M143" s="59" t="s">
        <v>65</v>
      </c>
      <c r="N143" s="315">
        <v>2000</v>
      </c>
      <c r="O143" s="316">
        <f t="shared" si="9"/>
        <v>0</v>
      </c>
      <c r="P143" s="95">
        <v>44487</v>
      </c>
      <c r="Q143" s="61">
        <f t="shared" si="8"/>
        <v>44487</v>
      </c>
      <c r="R143" s="59"/>
      <c r="S143" s="59"/>
      <c r="T143" s="59"/>
      <c r="U143" s="59"/>
      <c r="V143" s="59"/>
      <c r="W143" s="68"/>
      <c r="X143" s="68"/>
      <c r="Y143" s="68"/>
    </row>
    <row r="144" s="17" customFormat="1" hidden="1" customHeight="1" spans="1:25">
      <c r="A144" s="59">
        <v>102</v>
      </c>
      <c r="B144" s="60" t="s">
        <v>427</v>
      </c>
      <c r="C144" s="61">
        <v>44228</v>
      </c>
      <c r="D144" s="62" t="str">
        <f ca="1" t="shared" si="7"/>
        <v>一年以上</v>
      </c>
      <c r="E144" s="313">
        <v>44252</v>
      </c>
      <c r="F144" s="59" t="s">
        <v>70</v>
      </c>
      <c r="G144" s="59" t="s">
        <v>92</v>
      </c>
      <c r="H144" s="63" t="s">
        <v>428</v>
      </c>
      <c r="I144" s="63" t="s">
        <v>428</v>
      </c>
      <c r="J144" s="314">
        <v>10000</v>
      </c>
      <c r="K144" s="59"/>
      <c r="L144" s="59" t="s">
        <v>73</v>
      </c>
      <c r="M144" s="59" t="s">
        <v>65</v>
      </c>
      <c r="N144" s="315">
        <v>10000</v>
      </c>
      <c r="O144" s="316">
        <f t="shared" si="9"/>
        <v>0</v>
      </c>
      <c r="P144" s="95">
        <v>44449</v>
      </c>
      <c r="Q144" s="61">
        <f t="shared" si="8"/>
        <v>44449</v>
      </c>
      <c r="R144" s="59"/>
      <c r="S144" s="59"/>
      <c r="T144" s="59"/>
      <c r="U144" s="59"/>
      <c r="V144" s="59"/>
      <c r="W144" s="68"/>
      <c r="X144" s="68"/>
      <c r="Y144" s="68"/>
    </row>
    <row r="145" s="17" customFormat="1" hidden="1" customHeight="1" spans="1:25">
      <c r="A145" s="59">
        <v>347</v>
      </c>
      <c r="B145" s="60" t="s">
        <v>429</v>
      </c>
      <c r="C145" s="61">
        <v>44228</v>
      </c>
      <c r="D145" s="62" t="str">
        <f ca="1" t="shared" si="7"/>
        <v>一年以上</v>
      </c>
      <c r="E145" s="313">
        <v>44252</v>
      </c>
      <c r="F145" s="59" t="s">
        <v>130</v>
      </c>
      <c r="G145" s="59" t="s">
        <v>401</v>
      </c>
      <c r="H145" s="63" t="s">
        <v>430</v>
      </c>
      <c r="I145" s="63" t="s">
        <v>430</v>
      </c>
      <c r="J145" s="314">
        <v>4400</v>
      </c>
      <c r="K145" s="59"/>
      <c r="L145" s="59" t="s">
        <v>73</v>
      </c>
      <c r="M145" s="59" t="s">
        <v>133</v>
      </c>
      <c r="N145" s="315">
        <v>4400</v>
      </c>
      <c r="O145" s="316">
        <f t="shared" si="9"/>
        <v>0</v>
      </c>
      <c r="P145" s="95">
        <v>44539</v>
      </c>
      <c r="Q145" s="61">
        <f t="shared" si="8"/>
        <v>44539</v>
      </c>
      <c r="R145" s="59"/>
      <c r="S145" s="59" t="s">
        <v>431</v>
      </c>
      <c r="T145" s="59"/>
      <c r="U145" s="59"/>
      <c r="V145" s="59"/>
      <c r="W145" s="68"/>
      <c r="X145" s="68"/>
      <c r="Y145" s="68"/>
    </row>
    <row r="146" s="17" customFormat="1" hidden="1" customHeight="1" spans="1:25">
      <c r="A146" s="59">
        <v>112</v>
      </c>
      <c r="B146" s="60" t="s">
        <v>432</v>
      </c>
      <c r="C146" s="61"/>
      <c r="D146" s="62" t="str">
        <f ca="1" t="shared" si="7"/>
        <v>一年以上</v>
      </c>
      <c r="E146" s="313">
        <v>44255</v>
      </c>
      <c r="F146" s="59" t="s">
        <v>70</v>
      </c>
      <c r="G146" s="59" t="s">
        <v>119</v>
      </c>
      <c r="H146" s="63" t="s">
        <v>179</v>
      </c>
      <c r="I146" s="63" t="s">
        <v>179</v>
      </c>
      <c r="J146" s="314">
        <v>1500</v>
      </c>
      <c r="K146" s="59" t="s">
        <v>356</v>
      </c>
      <c r="L146" s="59" t="s">
        <v>357</v>
      </c>
      <c r="M146" s="59" t="s">
        <v>65</v>
      </c>
      <c r="N146" s="315">
        <v>1500</v>
      </c>
      <c r="O146" s="316">
        <f t="shared" si="9"/>
        <v>0</v>
      </c>
      <c r="P146" s="95">
        <v>44267</v>
      </c>
      <c r="Q146" s="61">
        <f t="shared" si="8"/>
        <v>44267</v>
      </c>
      <c r="R146" s="59"/>
      <c r="S146" s="59"/>
      <c r="T146" s="59"/>
      <c r="U146" s="59"/>
      <c r="V146" s="59"/>
      <c r="W146" s="68"/>
      <c r="X146" s="68"/>
      <c r="Y146" s="68"/>
    </row>
    <row r="147" s="17" customFormat="1" hidden="1" customHeight="1" spans="1:25">
      <c r="A147" s="59">
        <v>104</v>
      </c>
      <c r="B147" s="60" t="s">
        <v>433</v>
      </c>
      <c r="C147" s="61">
        <v>44256</v>
      </c>
      <c r="D147" s="62" t="str">
        <f ca="1" t="shared" si="7"/>
        <v>一年以上</v>
      </c>
      <c r="E147" s="313">
        <v>44256</v>
      </c>
      <c r="F147" s="59" t="s">
        <v>70</v>
      </c>
      <c r="G147" s="59" t="s">
        <v>434</v>
      </c>
      <c r="H147" s="63" t="s">
        <v>435</v>
      </c>
      <c r="I147" s="63" t="s">
        <v>435</v>
      </c>
      <c r="J147" s="314">
        <v>5000</v>
      </c>
      <c r="K147" s="59"/>
      <c r="L147" s="59" t="s">
        <v>73</v>
      </c>
      <c r="M147" s="59" t="s">
        <v>65</v>
      </c>
      <c r="N147" s="315">
        <v>5000</v>
      </c>
      <c r="O147" s="316">
        <f t="shared" si="9"/>
        <v>0</v>
      </c>
      <c r="P147" s="95">
        <v>44341</v>
      </c>
      <c r="Q147" s="61">
        <f t="shared" si="8"/>
        <v>44341</v>
      </c>
      <c r="R147" s="59"/>
      <c r="S147" s="59"/>
      <c r="T147" s="59"/>
      <c r="U147" s="59"/>
      <c r="V147" s="59"/>
      <c r="W147" s="68"/>
      <c r="X147" s="68"/>
      <c r="Y147" s="68"/>
    </row>
    <row r="148" s="17" customFormat="1" hidden="1" customHeight="1" spans="1:25">
      <c r="A148" s="59">
        <v>105</v>
      </c>
      <c r="B148" s="60" t="s">
        <v>436</v>
      </c>
      <c r="C148" s="61">
        <v>44256</v>
      </c>
      <c r="D148" s="62" t="str">
        <f ca="1" t="shared" si="7"/>
        <v>一年以上</v>
      </c>
      <c r="E148" s="313">
        <v>44258</v>
      </c>
      <c r="F148" s="59" t="s">
        <v>70</v>
      </c>
      <c r="G148" s="59" t="s">
        <v>143</v>
      </c>
      <c r="H148" s="63" t="s">
        <v>136</v>
      </c>
      <c r="I148" s="63" t="s">
        <v>136</v>
      </c>
      <c r="J148" s="314">
        <v>3000</v>
      </c>
      <c r="K148" s="59"/>
      <c r="L148" s="59" t="s">
        <v>73</v>
      </c>
      <c r="M148" s="59" t="s">
        <v>65</v>
      </c>
      <c r="N148" s="315">
        <v>3000</v>
      </c>
      <c r="O148" s="316">
        <f t="shared" si="9"/>
        <v>0</v>
      </c>
      <c r="P148" s="95">
        <v>44466</v>
      </c>
      <c r="Q148" s="61">
        <f t="shared" si="8"/>
        <v>44466</v>
      </c>
      <c r="R148" s="59"/>
      <c r="S148" s="59"/>
      <c r="T148" s="59"/>
      <c r="U148" s="59"/>
      <c r="V148" s="59"/>
      <c r="W148" s="68"/>
      <c r="X148" s="68"/>
      <c r="Y148" s="68"/>
    </row>
    <row r="149" s="17" customFormat="1" hidden="1" customHeight="1" spans="1:25">
      <c r="A149" s="59">
        <v>106</v>
      </c>
      <c r="B149" s="60" t="s">
        <v>437</v>
      </c>
      <c r="C149" s="61">
        <v>44256</v>
      </c>
      <c r="D149" s="62" t="str">
        <f ca="1" t="shared" si="7"/>
        <v>一年以上</v>
      </c>
      <c r="E149" s="313">
        <v>44259</v>
      </c>
      <c r="F149" s="59" t="s">
        <v>130</v>
      </c>
      <c r="G149" s="59" t="s">
        <v>239</v>
      </c>
      <c r="H149" s="63" t="s">
        <v>438</v>
      </c>
      <c r="I149" s="63" t="s">
        <v>438</v>
      </c>
      <c r="J149" s="314">
        <v>2000</v>
      </c>
      <c r="K149" s="59"/>
      <c r="L149" s="59" t="s">
        <v>73</v>
      </c>
      <c r="M149" s="59" t="s">
        <v>65</v>
      </c>
      <c r="N149" s="315">
        <v>2000</v>
      </c>
      <c r="O149" s="316">
        <f t="shared" si="9"/>
        <v>0</v>
      </c>
      <c r="P149" s="95">
        <v>44336</v>
      </c>
      <c r="Q149" s="61">
        <f t="shared" si="8"/>
        <v>44336</v>
      </c>
      <c r="R149" s="59"/>
      <c r="S149" s="59"/>
      <c r="T149" s="59"/>
      <c r="U149" s="59"/>
      <c r="V149" s="59"/>
      <c r="W149" s="68"/>
      <c r="X149" s="68"/>
      <c r="Y149" s="68"/>
    </row>
    <row r="150" s="17" customFormat="1" hidden="1" customHeight="1" spans="1:25">
      <c r="A150" s="59">
        <v>107</v>
      </c>
      <c r="B150" s="60" t="s">
        <v>439</v>
      </c>
      <c r="C150" s="61">
        <v>44256</v>
      </c>
      <c r="D150" s="62" t="str">
        <f ca="1" t="shared" si="7"/>
        <v>一年以上</v>
      </c>
      <c r="E150" s="313">
        <v>44265</v>
      </c>
      <c r="F150" s="59" t="s">
        <v>82</v>
      </c>
      <c r="G150" s="59" t="s">
        <v>412</v>
      </c>
      <c r="H150" s="63" t="s">
        <v>313</v>
      </c>
      <c r="I150" s="63" t="s">
        <v>313</v>
      </c>
      <c r="J150" s="314">
        <v>2000</v>
      </c>
      <c r="K150" s="59" t="s">
        <v>28</v>
      </c>
      <c r="L150" s="59" t="s">
        <v>57</v>
      </c>
      <c r="M150" s="59" t="s">
        <v>65</v>
      </c>
      <c r="N150" s="315">
        <v>2000</v>
      </c>
      <c r="O150" s="316">
        <f t="shared" si="9"/>
        <v>0</v>
      </c>
      <c r="P150" s="95">
        <v>45006</v>
      </c>
      <c r="Q150" s="61">
        <f t="shared" si="8"/>
        <v>45006</v>
      </c>
      <c r="R150" s="59" t="s">
        <v>440</v>
      </c>
      <c r="S150" s="59" t="s">
        <v>441</v>
      </c>
      <c r="T150" s="59" t="s">
        <v>182</v>
      </c>
      <c r="U150" s="59" t="s">
        <v>125</v>
      </c>
      <c r="V150" s="59"/>
      <c r="W150" s="68"/>
      <c r="X150" s="68"/>
      <c r="Y150" s="68"/>
    </row>
    <row r="151" s="17" customFormat="1" hidden="1" customHeight="1" spans="1:25">
      <c r="A151" s="59">
        <v>108</v>
      </c>
      <c r="B151" s="60" t="s">
        <v>442</v>
      </c>
      <c r="C151" s="61">
        <v>44256</v>
      </c>
      <c r="D151" s="62" t="str">
        <f ca="1" t="shared" si="7"/>
        <v>一年以上</v>
      </c>
      <c r="E151" s="313">
        <v>44270</v>
      </c>
      <c r="F151" s="59" t="s">
        <v>70</v>
      </c>
      <c r="G151" s="59" t="s">
        <v>146</v>
      </c>
      <c r="H151" s="63" t="s">
        <v>443</v>
      </c>
      <c r="I151" s="63" t="s">
        <v>443</v>
      </c>
      <c r="J151" s="314">
        <v>1000</v>
      </c>
      <c r="K151" s="59"/>
      <c r="L151" s="59" t="s">
        <v>96</v>
      </c>
      <c r="M151" s="59" t="s">
        <v>65</v>
      </c>
      <c r="N151" s="315">
        <v>1000</v>
      </c>
      <c r="O151" s="316">
        <f t="shared" si="9"/>
        <v>0</v>
      </c>
      <c r="P151" s="95">
        <v>44490</v>
      </c>
      <c r="Q151" s="61">
        <f t="shared" si="8"/>
        <v>44490</v>
      </c>
      <c r="R151" s="59"/>
      <c r="S151" s="59"/>
      <c r="T151" s="59"/>
      <c r="U151" s="59"/>
      <c r="V151" s="59"/>
      <c r="W151" s="68"/>
      <c r="X151" s="68"/>
      <c r="Y151" s="68"/>
    </row>
    <row r="152" s="17" customFormat="1" hidden="1" customHeight="1" spans="1:25">
      <c r="A152" s="59">
        <v>109</v>
      </c>
      <c r="B152" s="60" t="s">
        <v>444</v>
      </c>
      <c r="C152" s="61">
        <v>44256</v>
      </c>
      <c r="D152" s="62" t="str">
        <f ca="1" t="shared" si="7"/>
        <v>一年以上</v>
      </c>
      <c r="E152" s="313">
        <v>44270</v>
      </c>
      <c r="F152" s="59" t="s">
        <v>282</v>
      </c>
      <c r="G152" s="59" t="s">
        <v>434</v>
      </c>
      <c r="H152" s="63" t="s">
        <v>177</v>
      </c>
      <c r="I152" s="63" t="s">
        <v>177</v>
      </c>
      <c r="J152" s="314">
        <v>5000</v>
      </c>
      <c r="K152" s="59" t="s">
        <v>28</v>
      </c>
      <c r="L152" s="59" t="s">
        <v>57</v>
      </c>
      <c r="M152" s="59" t="s">
        <v>65</v>
      </c>
      <c r="N152" s="315">
        <v>5000</v>
      </c>
      <c r="O152" s="316">
        <f t="shared" si="9"/>
        <v>0</v>
      </c>
      <c r="P152" s="95">
        <v>45008</v>
      </c>
      <c r="Q152" s="61">
        <f t="shared" si="8"/>
        <v>45008</v>
      </c>
      <c r="R152" s="59"/>
      <c r="S152" s="59" t="s">
        <v>445</v>
      </c>
      <c r="T152" s="59" t="s">
        <v>293</v>
      </c>
      <c r="U152" s="59" t="s">
        <v>294</v>
      </c>
      <c r="V152" s="59"/>
      <c r="W152" s="68"/>
      <c r="X152" s="68"/>
      <c r="Y152" s="68"/>
    </row>
    <row r="153" s="17" customFormat="1" hidden="1" customHeight="1" spans="1:25">
      <c r="A153" s="59">
        <v>110</v>
      </c>
      <c r="B153" s="60" t="s">
        <v>446</v>
      </c>
      <c r="C153" s="61">
        <v>44256</v>
      </c>
      <c r="D153" s="62" t="str">
        <f ca="1" t="shared" si="7"/>
        <v>一年以上</v>
      </c>
      <c r="E153" s="313">
        <v>44271</v>
      </c>
      <c r="F153" s="59" t="s">
        <v>70</v>
      </c>
      <c r="G153" s="59" t="s">
        <v>434</v>
      </c>
      <c r="H153" s="63" t="s">
        <v>275</v>
      </c>
      <c r="I153" s="63" t="s">
        <v>275</v>
      </c>
      <c r="J153" s="314">
        <v>2000</v>
      </c>
      <c r="K153" s="59"/>
      <c r="L153" s="59" t="s">
        <v>73</v>
      </c>
      <c r="M153" s="59" t="s">
        <v>65</v>
      </c>
      <c r="N153" s="315">
        <v>2000</v>
      </c>
      <c r="O153" s="316">
        <f t="shared" si="9"/>
        <v>0</v>
      </c>
      <c r="P153" s="95">
        <v>44342</v>
      </c>
      <c r="Q153" s="61">
        <f t="shared" si="8"/>
        <v>44342</v>
      </c>
      <c r="R153" s="59"/>
      <c r="S153" s="59"/>
      <c r="T153" s="59"/>
      <c r="U153" s="59"/>
      <c r="V153" s="59"/>
      <c r="W153" s="68"/>
      <c r="X153" s="68"/>
      <c r="Y153" s="68"/>
    </row>
    <row r="154" s="17" customFormat="1" hidden="1" customHeight="1" spans="1:25">
      <c r="A154" s="59">
        <v>111</v>
      </c>
      <c r="B154" s="60" t="s">
        <v>447</v>
      </c>
      <c r="C154" s="61">
        <v>44256</v>
      </c>
      <c r="D154" s="62" t="str">
        <f ca="1" t="shared" si="7"/>
        <v>一年以上</v>
      </c>
      <c r="E154" s="313">
        <v>44280</v>
      </c>
      <c r="F154" s="59" t="s">
        <v>70</v>
      </c>
      <c r="G154" s="59" t="s">
        <v>233</v>
      </c>
      <c r="H154" s="63" t="s">
        <v>448</v>
      </c>
      <c r="I154" s="63" t="s">
        <v>448</v>
      </c>
      <c r="J154" s="314">
        <v>10000</v>
      </c>
      <c r="K154" s="59"/>
      <c r="L154" s="59" t="s">
        <v>73</v>
      </c>
      <c r="M154" s="59" t="s">
        <v>65</v>
      </c>
      <c r="N154" s="315">
        <v>10000</v>
      </c>
      <c r="O154" s="316">
        <f t="shared" si="9"/>
        <v>0</v>
      </c>
      <c r="P154" s="95">
        <v>44316</v>
      </c>
      <c r="Q154" s="61">
        <f t="shared" si="8"/>
        <v>44316</v>
      </c>
      <c r="R154" s="59"/>
      <c r="S154" s="59"/>
      <c r="T154" s="59"/>
      <c r="U154" s="59"/>
      <c r="V154" s="59"/>
      <c r="W154" s="68"/>
      <c r="X154" s="68"/>
      <c r="Y154" s="68"/>
    </row>
    <row r="155" s="17" customFormat="1" hidden="1" customHeight="1" spans="1:25">
      <c r="A155" s="59">
        <v>215</v>
      </c>
      <c r="B155" s="60" t="s">
        <v>449</v>
      </c>
      <c r="C155" s="61">
        <v>44256</v>
      </c>
      <c r="D155" s="62" t="str">
        <f ca="1" t="shared" si="7"/>
        <v>一年以上</v>
      </c>
      <c r="E155" s="313">
        <v>44283</v>
      </c>
      <c r="F155" s="59"/>
      <c r="G155" s="59" t="s">
        <v>450</v>
      </c>
      <c r="H155" s="63" t="s">
        <v>430</v>
      </c>
      <c r="I155" s="63" t="s">
        <v>430</v>
      </c>
      <c r="J155" s="314">
        <v>7100</v>
      </c>
      <c r="K155" s="59"/>
      <c r="L155" s="59" t="s">
        <v>73</v>
      </c>
      <c r="M155" s="59" t="s">
        <v>30</v>
      </c>
      <c r="N155" s="315">
        <v>7100</v>
      </c>
      <c r="O155" s="316">
        <f t="shared" si="9"/>
        <v>0</v>
      </c>
      <c r="P155" s="95">
        <v>44539</v>
      </c>
      <c r="Q155" s="61">
        <f t="shared" si="8"/>
        <v>44539</v>
      </c>
      <c r="R155" s="59"/>
      <c r="S155" s="59"/>
      <c r="T155" s="59"/>
      <c r="U155" s="59"/>
      <c r="V155" s="59"/>
      <c r="W155" s="68"/>
      <c r="X155" s="68"/>
      <c r="Y155" s="68"/>
    </row>
    <row r="156" s="17" customFormat="1" hidden="1" customHeight="1" spans="1:25">
      <c r="A156" s="59">
        <v>114</v>
      </c>
      <c r="B156" s="60" t="s">
        <v>451</v>
      </c>
      <c r="C156" s="61">
        <v>44287</v>
      </c>
      <c r="D156" s="62" t="str">
        <f ca="1" t="shared" si="7"/>
        <v>一年以上</v>
      </c>
      <c r="E156" s="313">
        <v>44300</v>
      </c>
      <c r="F156" s="59" t="s">
        <v>70</v>
      </c>
      <c r="G156" s="59" t="s">
        <v>452</v>
      </c>
      <c r="H156" s="63" t="s">
        <v>247</v>
      </c>
      <c r="I156" s="63" t="s">
        <v>247</v>
      </c>
      <c r="J156" s="314">
        <v>2000</v>
      </c>
      <c r="K156" s="59"/>
      <c r="L156" s="59" t="s">
        <v>96</v>
      </c>
      <c r="M156" s="59" t="s">
        <v>65</v>
      </c>
      <c r="N156" s="315">
        <v>2000</v>
      </c>
      <c r="O156" s="316">
        <f t="shared" si="9"/>
        <v>0</v>
      </c>
      <c r="P156" s="95">
        <v>44476</v>
      </c>
      <c r="Q156" s="61">
        <f t="shared" si="8"/>
        <v>44476</v>
      </c>
      <c r="R156" s="59"/>
      <c r="S156" s="59"/>
      <c r="T156" s="59"/>
      <c r="U156" s="59"/>
      <c r="V156" s="59"/>
      <c r="W156" s="68"/>
      <c r="X156" s="68"/>
      <c r="Y156" s="68"/>
    </row>
    <row r="157" s="17" customFormat="1" hidden="1" customHeight="1" spans="1:25">
      <c r="A157" s="59">
        <v>115</v>
      </c>
      <c r="B157" s="60" t="s">
        <v>453</v>
      </c>
      <c r="C157" s="61">
        <v>44287</v>
      </c>
      <c r="D157" s="62" t="str">
        <f ca="1" t="shared" si="7"/>
        <v>一年以上</v>
      </c>
      <c r="E157" s="313">
        <v>44301</v>
      </c>
      <c r="F157" s="59" t="s">
        <v>70</v>
      </c>
      <c r="G157" s="59" t="s">
        <v>104</v>
      </c>
      <c r="H157" s="63" t="s">
        <v>454</v>
      </c>
      <c r="I157" s="63" t="s">
        <v>454</v>
      </c>
      <c r="J157" s="314">
        <v>5000</v>
      </c>
      <c r="K157" s="59"/>
      <c r="L157" s="59" t="s">
        <v>96</v>
      </c>
      <c r="M157" s="59" t="s">
        <v>65</v>
      </c>
      <c r="N157" s="315">
        <v>5000</v>
      </c>
      <c r="O157" s="316">
        <f t="shared" si="9"/>
        <v>0</v>
      </c>
      <c r="P157" s="95">
        <v>44315</v>
      </c>
      <c r="Q157" s="61">
        <f t="shared" si="8"/>
        <v>44315</v>
      </c>
      <c r="R157" s="59"/>
      <c r="S157" s="59"/>
      <c r="T157" s="59"/>
      <c r="U157" s="59"/>
      <c r="V157" s="59"/>
      <c r="W157" s="68"/>
      <c r="X157" s="68"/>
      <c r="Y157" s="68"/>
    </row>
    <row r="158" s="17" customFormat="1" hidden="1" customHeight="1" spans="1:25">
      <c r="A158" s="59">
        <v>348</v>
      </c>
      <c r="B158" s="60" t="s">
        <v>455</v>
      </c>
      <c r="C158" s="61">
        <v>44287</v>
      </c>
      <c r="D158" s="62" t="str">
        <f ca="1" t="shared" si="7"/>
        <v>一年以上</v>
      </c>
      <c r="E158" s="313">
        <v>44314</v>
      </c>
      <c r="F158" s="59" t="s">
        <v>130</v>
      </c>
      <c r="G158" s="59" t="s">
        <v>456</v>
      </c>
      <c r="H158" s="63" t="s">
        <v>457</v>
      </c>
      <c r="I158" s="63" t="s">
        <v>457</v>
      </c>
      <c r="J158" s="314">
        <v>14400</v>
      </c>
      <c r="K158" s="59" t="s">
        <v>356</v>
      </c>
      <c r="L158" s="59" t="s">
        <v>458</v>
      </c>
      <c r="M158" s="59" t="s">
        <v>133</v>
      </c>
      <c r="N158" s="315">
        <v>14400</v>
      </c>
      <c r="O158" s="316">
        <f t="shared" si="9"/>
        <v>0</v>
      </c>
      <c r="P158" s="95">
        <v>44575</v>
      </c>
      <c r="Q158" s="61">
        <f t="shared" si="8"/>
        <v>44575</v>
      </c>
      <c r="R158" s="59"/>
      <c r="S158" s="59" t="s">
        <v>133</v>
      </c>
      <c r="T158" s="59"/>
      <c r="U158" s="59"/>
      <c r="V158" s="59"/>
      <c r="W158" s="68"/>
      <c r="X158" s="68"/>
      <c r="Y158" s="68"/>
    </row>
    <row r="159" s="17" customFormat="1" hidden="1" customHeight="1" spans="1:25">
      <c r="A159" s="59">
        <v>116</v>
      </c>
      <c r="B159" s="60" t="s">
        <v>459</v>
      </c>
      <c r="C159" s="61">
        <v>44317</v>
      </c>
      <c r="D159" s="62" t="str">
        <f ca="1" t="shared" si="7"/>
        <v>一年以上</v>
      </c>
      <c r="E159" s="313">
        <v>44326</v>
      </c>
      <c r="F159" s="59" t="s">
        <v>282</v>
      </c>
      <c r="G159" s="59" t="s">
        <v>460</v>
      </c>
      <c r="H159" s="63" t="s">
        <v>406</v>
      </c>
      <c r="I159" s="63" t="s">
        <v>406</v>
      </c>
      <c r="J159" s="314">
        <v>15000</v>
      </c>
      <c r="K159" s="59" t="s">
        <v>28</v>
      </c>
      <c r="L159" s="59" t="s">
        <v>461</v>
      </c>
      <c r="M159" s="59" t="s">
        <v>65</v>
      </c>
      <c r="N159" s="315">
        <v>14000</v>
      </c>
      <c r="O159" s="316">
        <f t="shared" si="9"/>
        <v>1000</v>
      </c>
      <c r="P159" s="95">
        <v>45439</v>
      </c>
      <c r="Q159" s="61">
        <f t="shared" si="8"/>
        <v>45439</v>
      </c>
      <c r="R159" s="59" t="s">
        <v>462</v>
      </c>
      <c r="S159" s="59"/>
      <c r="T159" s="59" t="s">
        <v>38</v>
      </c>
      <c r="U159" s="59" t="str">
        <f>VLOOKUP(T159,[1]区域划分!$A$1:$C$39,3,0)</f>
        <v>方渊</v>
      </c>
      <c r="V159" s="59"/>
      <c r="W159" s="68"/>
      <c r="X159" s="68"/>
      <c r="Y159" s="68"/>
    </row>
    <row r="160" s="17" customFormat="1" hidden="1" customHeight="1" spans="1:25">
      <c r="A160" s="59">
        <v>117</v>
      </c>
      <c r="B160" s="60" t="s">
        <v>463</v>
      </c>
      <c r="C160" s="61">
        <v>44317</v>
      </c>
      <c r="D160" s="62" t="str">
        <f ca="1" t="shared" si="7"/>
        <v>一年以上</v>
      </c>
      <c r="E160" s="313">
        <v>44333</v>
      </c>
      <c r="F160" s="59" t="s">
        <v>70</v>
      </c>
      <c r="G160" s="59" t="s">
        <v>149</v>
      </c>
      <c r="H160" s="63" t="s">
        <v>275</v>
      </c>
      <c r="I160" s="63" t="s">
        <v>275</v>
      </c>
      <c r="J160" s="314">
        <v>2000</v>
      </c>
      <c r="K160" s="59" t="s">
        <v>28</v>
      </c>
      <c r="L160" s="59" t="s">
        <v>461</v>
      </c>
      <c r="M160" s="59" t="s">
        <v>65</v>
      </c>
      <c r="N160" s="315">
        <v>2000</v>
      </c>
      <c r="O160" s="316">
        <f t="shared" si="9"/>
        <v>0</v>
      </c>
      <c r="P160" s="95">
        <v>44449</v>
      </c>
      <c r="Q160" s="61">
        <f t="shared" si="8"/>
        <v>44449</v>
      </c>
      <c r="R160" s="59"/>
      <c r="S160" s="59"/>
      <c r="T160" s="59"/>
      <c r="U160" s="59"/>
      <c r="V160" s="59"/>
      <c r="W160" s="68"/>
      <c r="X160" s="68"/>
      <c r="Y160" s="68"/>
    </row>
    <row r="161" s="17" customFormat="1" hidden="1" customHeight="1" spans="1:25">
      <c r="A161" s="59">
        <v>118</v>
      </c>
      <c r="B161" s="60" t="s">
        <v>464</v>
      </c>
      <c r="C161" s="61">
        <v>44317</v>
      </c>
      <c r="D161" s="62" t="str">
        <f ca="1" t="shared" si="7"/>
        <v>一年以上</v>
      </c>
      <c r="E161" s="313">
        <v>44335</v>
      </c>
      <c r="F161" s="59" t="s">
        <v>70</v>
      </c>
      <c r="G161" s="59" t="s">
        <v>190</v>
      </c>
      <c r="H161" s="63" t="s">
        <v>138</v>
      </c>
      <c r="I161" s="63" t="s">
        <v>138</v>
      </c>
      <c r="J161" s="314">
        <v>5400</v>
      </c>
      <c r="K161" s="59" t="s">
        <v>28</v>
      </c>
      <c r="L161" s="59" t="s">
        <v>461</v>
      </c>
      <c r="M161" s="59" t="s">
        <v>65</v>
      </c>
      <c r="N161" s="315">
        <v>5400</v>
      </c>
      <c r="O161" s="316">
        <f t="shared" si="9"/>
        <v>0</v>
      </c>
      <c r="P161" s="95">
        <v>44484</v>
      </c>
      <c r="Q161" s="61">
        <f t="shared" si="8"/>
        <v>44484</v>
      </c>
      <c r="R161" s="59"/>
      <c r="S161" s="59"/>
      <c r="T161" s="59"/>
      <c r="U161" s="59"/>
      <c r="V161" s="59"/>
      <c r="W161" s="68"/>
      <c r="X161" s="68"/>
      <c r="Y161" s="68"/>
    </row>
    <row r="162" s="17" customFormat="1" hidden="1" customHeight="1" spans="1:25">
      <c r="A162" s="59">
        <v>216</v>
      </c>
      <c r="B162" s="60" t="s">
        <v>465</v>
      </c>
      <c r="C162" s="61">
        <v>44317</v>
      </c>
      <c r="D162" s="62" t="str">
        <f ca="1" t="shared" si="7"/>
        <v>一年以上</v>
      </c>
      <c r="E162" s="313">
        <v>44340</v>
      </c>
      <c r="F162" s="59"/>
      <c r="G162" s="59" t="s">
        <v>450</v>
      </c>
      <c r="H162" s="63" t="s">
        <v>215</v>
      </c>
      <c r="I162" s="63" t="s">
        <v>215</v>
      </c>
      <c r="J162" s="314">
        <v>10000</v>
      </c>
      <c r="K162" s="59" t="s">
        <v>28</v>
      </c>
      <c r="L162" s="59" t="s">
        <v>466</v>
      </c>
      <c r="M162" s="59" t="s">
        <v>30</v>
      </c>
      <c r="N162" s="315">
        <v>10000</v>
      </c>
      <c r="O162" s="316">
        <f t="shared" si="9"/>
        <v>0</v>
      </c>
      <c r="P162" s="95">
        <v>41250</v>
      </c>
      <c r="Q162" s="61">
        <f t="shared" si="8"/>
        <v>41250</v>
      </c>
      <c r="R162" s="59"/>
      <c r="S162" s="59"/>
      <c r="T162" s="59"/>
      <c r="U162" s="59"/>
      <c r="V162" s="59"/>
      <c r="W162" s="68"/>
      <c r="X162" s="68"/>
      <c r="Y162" s="68"/>
    </row>
    <row r="163" s="17" customFormat="1" hidden="1" customHeight="1" spans="1:25">
      <c r="A163" s="59">
        <v>217</v>
      </c>
      <c r="B163" s="60" t="s">
        <v>467</v>
      </c>
      <c r="C163" s="61">
        <v>44348</v>
      </c>
      <c r="D163" s="62" t="str">
        <f ca="1" t="shared" si="7"/>
        <v>一年以上</v>
      </c>
      <c r="E163" s="313">
        <v>44357</v>
      </c>
      <c r="F163" s="59"/>
      <c r="G163" s="59" t="s">
        <v>239</v>
      </c>
      <c r="H163" s="63" t="s">
        <v>325</v>
      </c>
      <c r="I163" s="63" t="s">
        <v>325</v>
      </c>
      <c r="J163" s="314">
        <v>2000</v>
      </c>
      <c r="K163" s="59" t="s">
        <v>356</v>
      </c>
      <c r="L163" s="59" t="s">
        <v>468</v>
      </c>
      <c r="M163" s="59" t="s">
        <v>30</v>
      </c>
      <c r="N163" s="315">
        <v>2000</v>
      </c>
      <c r="O163" s="316">
        <f t="shared" si="9"/>
        <v>0</v>
      </c>
      <c r="P163" s="95">
        <v>44897</v>
      </c>
      <c r="Q163" s="61">
        <f t="shared" si="8"/>
        <v>44897</v>
      </c>
      <c r="R163" s="59"/>
      <c r="S163" s="59"/>
      <c r="T163" s="59"/>
      <c r="U163" s="59"/>
      <c r="V163" s="59"/>
      <c r="W163" s="68"/>
      <c r="X163" s="68"/>
      <c r="Y163" s="68"/>
    </row>
    <row r="164" s="17" customFormat="1" hidden="1" customHeight="1" spans="1:25">
      <c r="A164" s="59">
        <v>119</v>
      </c>
      <c r="B164" s="60" t="s">
        <v>469</v>
      </c>
      <c r="C164" s="61">
        <v>44348</v>
      </c>
      <c r="D164" s="62" t="str">
        <f ca="1" t="shared" si="7"/>
        <v>一年以上</v>
      </c>
      <c r="E164" s="313">
        <v>44365</v>
      </c>
      <c r="F164" s="59" t="s">
        <v>70</v>
      </c>
      <c r="G164" s="59" t="s">
        <v>146</v>
      </c>
      <c r="H164" s="63" t="s">
        <v>470</v>
      </c>
      <c r="I164" s="63" t="s">
        <v>470</v>
      </c>
      <c r="J164" s="314">
        <v>10000</v>
      </c>
      <c r="K164" s="59" t="s">
        <v>28</v>
      </c>
      <c r="L164" s="59" t="s">
        <v>461</v>
      </c>
      <c r="M164" s="59" t="s">
        <v>65</v>
      </c>
      <c r="N164" s="315">
        <v>10000</v>
      </c>
      <c r="O164" s="316">
        <f t="shared" si="9"/>
        <v>0</v>
      </c>
      <c r="P164" s="95">
        <v>44497</v>
      </c>
      <c r="Q164" s="61">
        <f t="shared" si="8"/>
        <v>44497</v>
      </c>
      <c r="R164" s="59"/>
      <c r="S164" s="59"/>
      <c r="T164" s="59"/>
      <c r="U164" s="59"/>
      <c r="V164" s="59"/>
      <c r="W164" s="68"/>
      <c r="X164" s="68"/>
      <c r="Y164" s="68"/>
    </row>
    <row r="165" s="17" customFormat="1" hidden="1" customHeight="1" spans="1:25">
      <c r="A165" s="59">
        <v>120</v>
      </c>
      <c r="B165" s="60" t="s">
        <v>471</v>
      </c>
      <c r="C165" s="61">
        <v>44348</v>
      </c>
      <c r="D165" s="62" t="str">
        <f ca="1" t="shared" si="7"/>
        <v>一年以上</v>
      </c>
      <c r="E165" s="313">
        <v>44375</v>
      </c>
      <c r="F165" s="59" t="s">
        <v>70</v>
      </c>
      <c r="G165" s="59" t="s">
        <v>104</v>
      </c>
      <c r="H165" s="63" t="s">
        <v>472</v>
      </c>
      <c r="I165" s="63" t="s">
        <v>472</v>
      </c>
      <c r="J165" s="314">
        <v>5000</v>
      </c>
      <c r="K165" s="59"/>
      <c r="L165" s="59" t="s">
        <v>96</v>
      </c>
      <c r="M165" s="59" t="s">
        <v>65</v>
      </c>
      <c r="N165" s="315">
        <v>5000</v>
      </c>
      <c r="O165" s="316">
        <f t="shared" si="9"/>
        <v>0</v>
      </c>
      <c r="P165" s="95">
        <v>44483</v>
      </c>
      <c r="Q165" s="61">
        <f t="shared" si="8"/>
        <v>44483</v>
      </c>
      <c r="R165" s="59"/>
      <c r="S165" s="59"/>
      <c r="T165" s="59"/>
      <c r="U165" s="59"/>
      <c r="V165" s="59"/>
      <c r="W165" s="68"/>
      <c r="X165" s="68"/>
      <c r="Y165" s="68"/>
    </row>
    <row r="166" s="17" customFormat="1" hidden="1" customHeight="1" spans="1:25">
      <c r="A166" s="59">
        <v>218</v>
      </c>
      <c r="B166" s="60" t="s">
        <v>473</v>
      </c>
      <c r="C166" s="61">
        <v>44348</v>
      </c>
      <c r="D166" s="62" t="str">
        <f ca="1" t="shared" si="7"/>
        <v>一年以上</v>
      </c>
      <c r="E166" s="313">
        <v>44375</v>
      </c>
      <c r="F166" s="59"/>
      <c r="G166" s="59" t="s">
        <v>54</v>
      </c>
      <c r="H166" s="63" t="s">
        <v>366</v>
      </c>
      <c r="I166" s="63" t="s">
        <v>366</v>
      </c>
      <c r="J166" s="314">
        <v>5000</v>
      </c>
      <c r="K166" s="59" t="s">
        <v>356</v>
      </c>
      <c r="L166" s="59" t="s">
        <v>474</v>
      </c>
      <c r="M166" s="59" t="s">
        <v>30</v>
      </c>
      <c r="N166" s="315">
        <v>5000</v>
      </c>
      <c r="O166" s="316">
        <f t="shared" si="9"/>
        <v>0</v>
      </c>
      <c r="P166" s="95">
        <v>44454</v>
      </c>
      <c r="Q166" s="61">
        <f t="shared" si="8"/>
        <v>44454</v>
      </c>
      <c r="R166" s="59"/>
      <c r="S166" s="59" t="s">
        <v>62</v>
      </c>
      <c r="T166" s="59"/>
      <c r="U166" s="59"/>
      <c r="V166" s="59"/>
      <c r="W166" s="68"/>
      <c r="X166" s="68"/>
      <c r="Y166" s="68"/>
    </row>
    <row r="167" s="17" customFormat="1" hidden="1" customHeight="1" spans="1:25">
      <c r="A167" s="59">
        <v>219</v>
      </c>
      <c r="B167" s="60" t="s">
        <v>475</v>
      </c>
      <c r="C167" s="61">
        <v>44378</v>
      </c>
      <c r="D167" s="62" t="str">
        <f ca="1" t="shared" si="7"/>
        <v>一年以上</v>
      </c>
      <c r="E167" s="313">
        <v>44384</v>
      </c>
      <c r="F167" s="59"/>
      <c r="G167" s="59" t="s">
        <v>239</v>
      </c>
      <c r="H167" s="63" t="s">
        <v>476</v>
      </c>
      <c r="I167" s="63" t="s">
        <v>476</v>
      </c>
      <c r="J167" s="314">
        <v>4000</v>
      </c>
      <c r="K167" s="59" t="s">
        <v>28</v>
      </c>
      <c r="L167" s="59" t="s">
        <v>461</v>
      </c>
      <c r="M167" s="59" t="s">
        <v>30</v>
      </c>
      <c r="N167" s="315">
        <v>4000</v>
      </c>
      <c r="O167" s="316">
        <f t="shared" si="9"/>
        <v>0</v>
      </c>
      <c r="P167" s="95">
        <v>44432</v>
      </c>
      <c r="Q167" s="61">
        <f t="shared" si="8"/>
        <v>44432</v>
      </c>
      <c r="R167" s="59"/>
      <c r="S167" s="59" t="s">
        <v>62</v>
      </c>
      <c r="T167" s="59"/>
      <c r="U167" s="59"/>
      <c r="V167" s="59"/>
      <c r="W167" s="68"/>
      <c r="X167" s="68"/>
      <c r="Y167" s="68"/>
    </row>
    <row r="168" s="17" customFormat="1" hidden="1" customHeight="1" spans="1:25">
      <c r="A168" s="59">
        <v>121</v>
      </c>
      <c r="B168" s="60" t="s">
        <v>477</v>
      </c>
      <c r="C168" s="61">
        <v>44378</v>
      </c>
      <c r="D168" s="62" t="str">
        <f ca="1" t="shared" si="7"/>
        <v>一年以上</v>
      </c>
      <c r="E168" s="313">
        <v>44391</v>
      </c>
      <c r="F168" s="59" t="s">
        <v>70</v>
      </c>
      <c r="G168" s="59" t="s">
        <v>340</v>
      </c>
      <c r="H168" s="63" t="s">
        <v>188</v>
      </c>
      <c r="I168" s="63" t="s">
        <v>188</v>
      </c>
      <c r="J168" s="314">
        <v>7500</v>
      </c>
      <c r="K168" s="59" t="s">
        <v>28</v>
      </c>
      <c r="L168" s="59" t="s">
        <v>461</v>
      </c>
      <c r="M168" s="59" t="s">
        <v>65</v>
      </c>
      <c r="N168" s="315">
        <v>7500</v>
      </c>
      <c r="O168" s="316">
        <f t="shared" si="9"/>
        <v>0</v>
      </c>
      <c r="P168" s="95">
        <v>44424</v>
      </c>
      <c r="Q168" s="61">
        <f t="shared" si="8"/>
        <v>44424</v>
      </c>
      <c r="R168" s="59"/>
      <c r="S168" s="59"/>
      <c r="T168" s="59"/>
      <c r="U168" s="59"/>
      <c r="V168" s="59"/>
      <c r="W168" s="68"/>
      <c r="X168" s="68"/>
      <c r="Y168" s="68"/>
    </row>
    <row r="169" s="17" customFormat="1" hidden="1" customHeight="1" spans="1:25">
      <c r="A169" s="59">
        <v>220</v>
      </c>
      <c r="B169" s="60" t="s">
        <v>478</v>
      </c>
      <c r="C169" s="61">
        <v>44378</v>
      </c>
      <c r="D169" s="62" t="str">
        <f ca="1" t="shared" si="7"/>
        <v>一年以上</v>
      </c>
      <c r="E169" s="313">
        <v>44400</v>
      </c>
      <c r="F169" s="59"/>
      <c r="G169" s="59" t="s">
        <v>479</v>
      </c>
      <c r="H169" s="63" t="s">
        <v>40</v>
      </c>
      <c r="I169" s="63" t="s">
        <v>40</v>
      </c>
      <c r="J169" s="314">
        <v>2000</v>
      </c>
      <c r="K169" s="59" t="s">
        <v>28</v>
      </c>
      <c r="L169" s="59" t="s">
        <v>466</v>
      </c>
      <c r="M169" s="59" t="s">
        <v>30</v>
      </c>
      <c r="N169" s="315">
        <v>2000</v>
      </c>
      <c r="O169" s="316">
        <f t="shared" si="9"/>
        <v>0</v>
      </c>
      <c r="P169" s="95">
        <v>44732</v>
      </c>
      <c r="Q169" s="61">
        <f t="shared" si="8"/>
        <v>44732</v>
      </c>
      <c r="R169" s="59" t="s">
        <v>480</v>
      </c>
      <c r="S169" s="59" t="s">
        <v>481</v>
      </c>
      <c r="T169" s="59"/>
      <c r="U169" s="59"/>
      <c r="V169" s="59"/>
      <c r="W169" s="68"/>
      <c r="X169" s="68"/>
      <c r="Y169" s="68"/>
    </row>
    <row r="170" s="17" customFormat="1" hidden="1" customHeight="1" spans="1:25">
      <c r="A170" s="59">
        <v>122</v>
      </c>
      <c r="B170" s="60" t="s">
        <v>482</v>
      </c>
      <c r="C170" s="61">
        <v>44378</v>
      </c>
      <c r="D170" s="62" t="str">
        <f ca="1" t="shared" si="7"/>
        <v>一年以上</v>
      </c>
      <c r="E170" s="313">
        <v>44403</v>
      </c>
      <c r="F170" s="59" t="s">
        <v>82</v>
      </c>
      <c r="G170" s="59" t="s">
        <v>146</v>
      </c>
      <c r="H170" s="63" t="s">
        <v>483</v>
      </c>
      <c r="I170" s="63" t="s">
        <v>483</v>
      </c>
      <c r="J170" s="314">
        <v>10000</v>
      </c>
      <c r="K170" s="59" t="s">
        <v>356</v>
      </c>
      <c r="L170" s="59" t="s">
        <v>458</v>
      </c>
      <c r="M170" s="59" t="s">
        <v>65</v>
      </c>
      <c r="N170" s="315">
        <v>10000</v>
      </c>
      <c r="O170" s="316">
        <f t="shared" si="9"/>
        <v>0</v>
      </c>
      <c r="P170" s="95">
        <v>45071</v>
      </c>
      <c r="Q170" s="61">
        <f t="shared" si="8"/>
        <v>45071</v>
      </c>
      <c r="R170" s="59" t="s">
        <v>484</v>
      </c>
      <c r="S170" s="59" t="s">
        <v>485</v>
      </c>
      <c r="T170" s="59" t="s">
        <v>182</v>
      </c>
      <c r="U170" s="59" t="s">
        <v>371</v>
      </c>
      <c r="V170" s="59"/>
      <c r="W170" s="68"/>
      <c r="X170" s="68"/>
      <c r="Y170" s="68"/>
    </row>
    <row r="171" s="17" customFormat="1" hidden="1" customHeight="1" spans="1:25">
      <c r="A171" s="59">
        <v>123</v>
      </c>
      <c r="B171" s="60" t="s">
        <v>486</v>
      </c>
      <c r="C171" s="61">
        <v>44378</v>
      </c>
      <c r="D171" s="62" t="str">
        <f ca="1" t="shared" si="7"/>
        <v>一年以上</v>
      </c>
      <c r="E171" s="313">
        <v>44406</v>
      </c>
      <c r="F171" s="59" t="s">
        <v>70</v>
      </c>
      <c r="G171" s="59" t="s">
        <v>487</v>
      </c>
      <c r="H171" s="63" t="s">
        <v>428</v>
      </c>
      <c r="I171" s="63" t="s">
        <v>428</v>
      </c>
      <c r="J171" s="314">
        <v>10000</v>
      </c>
      <c r="K171" s="59"/>
      <c r="L171" s="59" t="s">
        <v>488</v>
      </c>
      <c r="M171" s="59" t="s">
        <v>65</v>
      </c>
      <c r="N171" s="315">
        <v>10000</v>
      </c>
      <c r="O171" s="316">
        <f t="shared" si="9"/>
        <v>0</v>
      </c>
      <c r="P171" s="95">
        <v>44449</v>
      </c>
      <c r="Q171" s="61">
        <f t="shared" si="8"/>
        <v>44449</v>
      </c>
      <c r="R171" s="59"/>
      <c r="S171" s="59"/>
      <c r="T171" s="59"/>
      <c r="U171" s="59"/>
      <c r="V171" s="59"/>
      <c r="W171" s="68"/>
      <c r="X171" s="68"/>
      <c r="Y171" s="68"/>
    </row>
    <row r="172" s="17" customFormat="1" hidden="1" customHeight="1" spans="1:25">
      <c r="A172" s="59">
        <v>221</v>
      </c>
      <c r="B172" s="60" t="s">
        <v>489</v>
      </c>
      <c r="C172" s="61">
        <v>44409</v>
      </c>
      <c r="D172" s="62" t="str">
        <f ca="1" t="shared" si="7"/>
        <v>一年以上</v>
      </c>
      <c r="E172" s="313">
        <v>44417</v>
      </c>
      <c r="F172" s="59"/>
      <c r="G172" s="59" t="s">
        <v>301</v>
      </c>
      <c r="H172" s="63" t="s">
        <v>490</v>
      </c>
      <c r="I172" s="63" t="s">
        <v>490</v>
      </c>
      <c r="J172" s="314">
        <v>1000</v>
      </c>
      <c r="K172" s="59" t="s">
        <v>28</v>
      </c>
      <c r="L172" s="59" t="s">
        <v>466</v>
      </c>
      <c r="M172" s="59" t="s">
        <v>30</v>
      </c>
      <c r="N172" s="315">
        <v>1000</v>
      </c>
      <c r="O172" s="316">
        <f t="shared" si="9"/>
        <v>0</v>
      </c>
      <c r="P172" s="95">
        <v>44453</v>
      </c>
      <c r="Q172" s="61">
        <f t="shared" si="8"/>
        <v>44453</v>
      </c>
      <c r="R172" s="59"/>
      <c r="S172" s="59" t="s">
        <v>491</v>
      </c>
      <c r="T172" s="59"/>
      <c r="U172" s="59"/>
      <c r="V172" s="59"/>
      <c r="W172" s="68"/>
      <c r="X172" s="68"/>
      <c r="Y172" s="68"/>
    </row>
    <row r="173" s="17" customFormat="1" hidden="1" customHeight="1" spans="1:25">
      <c r="A173" s="59">
        <v>349</v>
      </c>
      <c r="B173" s="60" t="s">
        <v>492</v>
      </c>
      <c r="C173" s="61">
        <v>44409</v>
      </c>
      <c r="D173" s="62" t="str">
        <f ca="1" t="shared" si="7"/>
        <v>一年以上</v>
      </c>
      <c r="E173" s="313">
        <v>44417</v>
      </c>
      <c r="F173" s="59" t="s">
        <v>130</v>
      </c>
      <c r="G173" s="59" t="s">
        <v>301</v>
      </c>
      <c r="H173" s="63" t="s">
        <v>490</v>
      </c>
      <c r="I173" s="63" t="s">
        <v>490</v>
      </c>
      <c r="J173" s="314">
        <v>1000</v>
      </c>
      <c r="K173" s="59" t="s">
        <v>28</v>
      </c>
      <c r="L173" s="59" t="s">
        <v>466</v>
      </c>
      <c r="M173" s="59" t="s">
        <v>133</v>
      </c>
      <c r="N173" s="315">
        <v>1000</v>
      </c>
      <c r="O173" s="316">
        <f t="shared" si="9"/>
        <v>0</v>
      </c>
      <c r="P173" s="95">
        <v>44453</v>
      </c>
      <c r="Q173" s="61">
        <f t="shared" si="8"/>
        <v>44453</v>
      </c>
      <c r="R173" s="59"/>
      <c r="S173" s="59" t="s">
        <v>493</v>
      </c>
      <c r="T173" s="59"/>
      <c r="U173" s="59"/>
      <c r="V173" s="59"/>
      <c r="W173" s="68"/>
      <c r="X173" s="68"/>
      <c r="Y173" s="68"/>
    </row>
    <row r="174" s="17" customFormat="1" hidden="1" customHeight="1" spans="1:25">
      <c r="A174" s="59">
        <v>124</v>
      </c>
      <c r="B174" s="60" t="s">
        <v>494</v>
      </c>
      <c r="C174" s="61">
        <v>44409</v>
      </c>
      <c r="D174" s="62" t="str">
        <f ca="1" t="shared" si="7"/>
        <v>一年以上</v>
      </c>
      <c r="E174" s="313">
        <v>44419</v>
      </c>
      <c r="F174" s="59" t="s">
        <v>82</v>
      </c>
      <c r="G174" s="59" t="s">
        <v>146</v>
      </c>
      <c r="H174" s="63" t="s">
        <v>495</v>
      </c>
      <c r="I174" s="63" t="s">
        <v>495</v>
      </c>
      <c r="J174" s="314">
        <v>2000</v>
      </c>
      <c r="K174" s="59" t="s">
        <v>28</v>
      </c>
      <c r="L174" s="59" t="s">
        <v>496</v>
      </c>
      <c r="M174" s="59" t="s">
        <v>65</v>
      </c>
      <c r="N174" s="315">
        <v>2000</v>
      </c>
      <c r="O174" s="316">
        <f t="shared" si="9"/>
        <v>0</v>
      </c>
      <c r="P174" s="95">
        <v>45281</v>
      </c>
      <c r="Q174" s="61">
        <f t="shared" si="8"/>
        <v>45281</v>
      </c>
      <c r="R174" s="59" t="s">
        <v>497</v>
      </c>
      <c r="S174" s="59" t="s">
        <v>498</v>
      </c>
      <c r="T174" s="59" t="s">
        <v>182</v>
      </c>
      <c r="U174" s="59" t="str">
        <f>VLOOKUP(T174,[1]区域划分!$A$1:$C$39,3,0)</f>
        <v>汪瑞青</v>
      </c>
      <c r="V174" s="59"/>
      <c r="W174" s="68"/>
      <c r="X174" s="68"/>
      <c r="Y174" s="68"/>
    </row>
    <row r="175" s="17" customFormat="1" hidden="1" customHeight="1" spans="1:25">
      <c r="A175" s="59">
        <v>222</v>
      </c>
      <c r="B175" s="60" t="s">
        <v>499</v>
      </c>
      <c r="C175" s="61">
        <v>44409</v>
      </c>
      <c r="D175" s="62" t="str">
        <f ca="1" t="shared" si="7"/>
        <v>一年以上</v>
      </c>
      <c r="E175" s="313">
        <v>44419</v>
      </c>
      <c r="F175" s="59"/>
      <c r="G175" s="59" t="s">
        <v>301</v>
      </c>
      <c r="H175" s="63" t="s">
        <v>490</v>
      </c>
      <c r="I175" s="63" t="s">
        <v>490</v>
      </c>
      <c r="J175" s="314">
        <v>1000</v>
      </c>
      <c r="K175" s="59"/>
      <c r="L175" s="59" t="s">
        <v>488</v>
      </c>
      <c r="M175" s="59" t="s">
        <v>30</v>
      </c>
      <c r="N175" s="315">
        <v>1000</v>
      </c>
      <c r="O175" s="316">
        <f t="shared" si="9"/>
        <v>0</v>
      </c>
      <c r="P175" s="95">
        <v>44428</v>
      </c>
      <c r="Q175" s="61">
        <f t="shared" si="8"/>
        <v>44428</v>
      </c>
      <c r="R175" s="59"/>
      <c r="S175" s="59" t="s">
        <v>500</v>
      </c>
      <c r="T175" s="59"/>
      <c r="U175" s="59"/>
      <c r="V175" s="59"/>
      <c r="W175" s="68"/>
      <c r="X175" s="68"/>
      <c r="Y175" s="68"/>
    </row>
    <row r="176" s="17" customFormat="1" hidden="1" customHeight="1" spans="1:25">
      <c r="A176" s="59">
        <v>223</v>
      </c>
      <c r="B176" s="60" t="s">
        <v>501</v>
      </c>
      <c r="C176" s="61">
        <v>44409</v>
      </c>
      <c r="D176" s="62" t="str">
        <f ca="1" t="shared" si="7"/>
        <v>一年以上</v>
      </c>
      <c r="E176" s="313">
        <v>44419</v>
      </c>
      <c r="F176" s="59"/>
      <c r="G176" s="59" t="s">
        <v>301</v>
      </c>
      <c r="H176" s="63" t="s">
        <v>490</v>
      </c>
      <c r="I176" s="63" t="s">
        <v>490</v>
      </c>
      <c r="J176" s="314">
        <v>1000</v>
      </c>
      <c r="K176" s="59"/>
      <c r="L176" s="59" t="s">
        <v>488</v>
      </c>
      <c r="M176" s="59" t="s">
        <v>30</v>
      </c>
      <c r="N176" s="315">
        <v>1000</v>
      </c>
      <c r="O176" s="316">
        <f t="shared" si="9"/>
        <v>0</v>
      </c>
      <c r="P176" s="95">
        <v>44428</v>
      </c>
      <c r="Q176" s="61">
        <f t="shared" si="8"/>
        <v>44428</v>
      </c>
      <c r="R176" s="59"/>
      <c r="S176" s="59" t="s">
        <v>500</v>
      </c>
      <c r="T176" s="59"/>
      <c r="U176" s="59"/>
      <c r="V176" s="59"/>
      <c r="W176" s="68"/>
      <c r="X176" s="68"/>
      <c r="Y176" s="68"/>
    </row>
    <row r="177" s="17" customFormat="1" hidden="1" customHeight="1" spans="1:25">
      <c r="A177" s="59">
        <v>224</v>
      </c>
      <c r="B177" s="60" t="s">
        <v>502</v>
      </c>
      <c r="C177" s="61">
        <v>44409</v>
      </c>
      <c r="D177" s="62" t="str">
        <f ca="1" t="shared" si="7"/>
        <v>一年以上</v>
      </c>
      <c r="E177" s="313">
        <v>44424</v>
      </c>
      <c r="F177" s="59"/>
      <c r="G177" s="59" t="s">
        <v>54</v>
      </c>
      <c r="H177" s="63" t="s">
        <v>366</v>
      </c>
      <c r="I177" s="63" t="s">
        <v>366</v>
      </c>
      <c r="J177" s="314">
        <v>5000</v>
      </c>
      <c r="K177" s="59" t="s">
        <v>356</v>
      </c>
      <c r="L177" s="59" t="s">
        <v>503</v>
      </c>
      <c r="M177" s="59" t="s">
        <v>30</v>
      </c>
      <c r="N177" s="315">
        <v>5000</v>
      </c>
      <c r="O177" s="316">
        <f t="shared" si="9"/>
        <v>0</v>
      </c>
      <c r="P177" s="95">
        <v>44581</v>
      </c>
      <c r="Q177" s="61">
        <f t="shared" si="8"/>
        <v>44581</v>
      </c>
      <c r="R177" s="59"/>
      <c r="S177" s="59" t="s">
        <v>30</v>
      </c>
      <c r="T177" s="59"/>
      <c r="U177" s="59"/>
      <c r="V177" s="59"/>
      <c r="W177" s="68"/>
      <c r="X177" s="68"/>
      <c r="Y177" s="68"/>
    </row>
    <row r="178" s="17" customFormat="1" hidden="1" customHeight="1" spans="1:25">
      <c r="A178" s="59">
        <v>125</v>
      </c>
      <c r="B178" s="60" t="s">
        <v>504</v>
      </c>
      <c r="C178" s="61">
        <v>44409</v>
      </c>
      <c r="D178" s="62" t="str">
        <f ca="1" t="shared" si="7"/>
        <v>一年以上</v>
      </c>
      <c r="E178" s="313">
        <v>44428</v>
      </c>
      <c r="F178" s="59" t="s">
        <v>82</v>
      </c>
      <c r="G178" s="59" t="s">
        <v>452</v>
      </c>
      <c r="H178" s="63" t="s">
        <v>505</v>
      </c>
      <c r="I178" s="63" t="s">
        <v>505</v>
      </c>
      <c r="J178" s="314">
        <v>2000</v>
      </c>
      <c r="K178" s="59" t="s">
        <v>356</v>
      </c>
      <c r="L178" s="59" t="s">
        <v>96</v>
      </c>
      <c r="M178" s="59" t="s">
        <v>65</v>
      </c>
      <c r="N178" s="315">
        <v>2000</v>
      </c>
      <c r="O178" s="316">
        <f t="shared" si="9"/>
        <v>0</v>
      </c>
      <c r="P178" s="95">
        <v>44826</v>
      </c>
      <c r="Q178" s="61">
        <f t="shared" si="8"/>
        <v>44826</v>
      </c>
      <c r="R178" s="59"/>
      <c r="S178" s="59" t="s">
        <v>65</v>
      </c>
      <c r="T178" s="59" t="s">
        <v>44</v>
      </c>
      <c r="U178" s="59" t="s">
        <v>506</v>
      </c>
      <c r="V178" s="59"/>
      <c r="W178" s="68"/>
      <c r="X178" s="68"/>
      <c r="Y178" s="68"/>
    </row>
    <row r="179" s="17" customFormat="1" hidden="1" customHeight="1" spans="1:25">
      <c r="A179" s="59">
        <v>350</v>
      </c>
      <c r="B179" s="60" t="s">
        <v>507</v>
      </c>
      <c r="C179" s="61">
        <v>44409</v>
      </c>
      <c r="D179" s="62" t="str">
        <f ca="1" t="shared" si="7"/>
        <v>一年以上</v>
      </c>
      <c r="E179" s="313">
        <v>44428</v>
      </c>
      <c r="F179" s="59" t="s">
        <v>130</v>
      </c>
      <c r="G179" s="59" t="s">
        <v>125</v>
      </c>
      <c r="H179" s="63" t="s">
        <v>132</v>
      </c>
      <c r="I179" s="63" t="s">
        <v>132</v>
      </c>
      <c r="J179" s="314">
        <v>13000</v>
      </c>
      <c r="K179" s="59" t="s">
        <v>28</v>
      </c>
      <c r="L179" s="59" t="s">
        <v>461</v>
      </c>
      <c r="M179" s="59" t="s">
        <v>133</v>
      </c>
      <c r="N179" s="315">
        <v>13000</v>
      </c>
      <c r="O179" s="316">
        <f t="shared" si="9"/>
        <v>0</v>
      </c>
      <c r="P179" s="95">
        <v>44490</v>
      </c>
      <c r="Q179" s="61">
        <f t="shared" si="8"/>
        <v>44490</v>
      </c>
      <c r="R179" s="59"/>
      <c r="S179" s="59" t="s">
        <v>133</v>
      </c>
      <c r="T179" s="59"/>
      <c r="U179" s="59"/>
      <c r="V179" s="59"/>
      <c r="W179" s="68"/>
      <c r="X179" s="68"/>
      <c r="Y179" s="68"/>
    </row>
    <row r="180" s="17" customFormat="1" hidden="1" customHeight="1" spans="1:25">
      <c r="A180" s="59">
        <v>225</v>
      </c>
      <c r="B180" s="60" t="s">
        <v>508</v>
      </c>
      <c r="C180" s="61">
        <v>44409</v>
      </c>
      <c r="D180" s="62" t="str">
        <f ca="1" t="shared" si="7"/>
        <v>一年以上</v>
      </c>
      <c r="E180" s="313">
        <v>44433</v>
      </c>
      <c r="F180" s="59"/>
      <c r="G180" s="59" t="s">
        <v>301</v>
      </c>
      <c r="H180" s="63" t="s">
        <v>509</v>
      </c>
      <c r="I180" s="63" t="s">
        <v>509</v>
      </c>
      <c r="J180" s="314">
        <v>1000</v>
      </c>
      <c r="K180" s="59" t="s">
        <v>28</v>
      </c>
      <c r="L180" s="59" t="s">
        <v>461</v>
      </c>
      <c r="M180" s="59" t="s">
        <v>30</v>
      </c>
      <c r="N180" s="315">
        <v>1000</v>
      </c>
      <c r="O180" s="316">
        <f t="shared" si="9"/>
        <v>0</v>
      </c>
      <c r="P180" s="95">
        <v>44439</v>
      </c>
      <c r="Q180" s="61">
        <f t="shared" si="8"/>
        <v>44439</v>
      </c>
      <c r="R180" s="59"/>
      <c r="S180" s="59" t="s">
        <v>510</v>
      </c>
      <c r="T180" s="59"/>
      <c r="U180" s="59"/>
      <c r="V180" s="59"/>
      <c r="W180" s="68"/>
      <c r="X180" s="68"/>
      <c r="Y180" s="68"/>
    </row>
    <row r="181" s="17" customFormat="1" hidden="1" customHeight="1" spans="1:25">
      <c r="A181" s="59">
        <v>126</v>
      </c>
      <c r="B181" s="60" t="s">
        <v>511</v>
      </c>
      <c r="C181" s="61">
        <v>44409</v>
      </c>
      <c r="D181" s="62" t="str">
        <f ca="1" t="shared" si="7"/>
        <v>一年以上</v>
      </c>
      <c r="E181" s="313">
        <v>44434</v>
      </c>
      <c r="F181" s="59" t="s">
        <v>70</v>
      </c>
      <c r="G181" s="59" t="s">
        <v>119</v>
      </c>
      <c r="H181" s="63" t="s">
        <v>113</v>
      </c>
      <c r="I181" s="63" t="s">
        <v>113</v>
      </c>
      <c r="J181" s="314">
        <v>2000</v>
      </c>
      <c r="K181" s="59" t="s">
        <v>28</v>
      </c>
      <c r="L181" s="59" t="s">
        <v>461</v>
      </c>
      <c r="M181" s="59" t="s">
        <v>65</v>
      </c>
      <c r="N181" s="315">
        <v>2000</v>
      </c>
      <c r="O181" s="316">
        <f t="shared" si="9"/>
        <v>0</v>
      </c>
      <c r="P181" s="95">
        <v>44453</v>
      </c>
      <c r="Q181" s="61">
        <f t="shared" si="8"/>
        <v>44453</v>
      </c>
      <c r="R181" s="59"/>
      <c r="S181" s="59"/>
      <c r="T181" s="59"/>
      <c r="U181" s="59"/>
      <c r="V181" s="59"/>
      <c r="W181" s="68"/>
      <c r="X181" s="68"/>
      <c r="Y181" s="68"/>
    </row>
    <row r="182" s="17" customFormat="1" hidden="1" customHeight="1" spans="1:25">
      <c r="A182" s="59">
        <v>361</v>
      </c>
      <c r="B182" s="60" t="s">
        <v>512</v>
      </c>
      <c r="C182" s="61">
        <v>44409</v>
      </c>
      <c r="D182" s="62" t="str">
        <f ca="1" t="shared" si="7"/>
        <v>一年以上</v>
      </c>
      <c r="E182" s="313">
        <v>44434</v>
      </c>
      <c r="F182" s="59"/>
      <c r="G182" s="59" t="s">
        <v>513</v>
      </c>
      <c r="H182" s="63" t="s">
        <v>514</v>
      </c>
      <c r="I182" s="63" t="s">
        <v>514</v>
      </c>
      <c r="J182" s="314">
        <v>100</v>
      </c>
      <c r="K182" s="59" t="s">
        <v>28</v>
      </c>
      <c r="L182" s="59" t="s">
        <v>461</v>
      </c>
      <c r="M182" s="59" t="s">
        <v>515</v>
      </c>
      <c r="N182" s="315">
        <v>100</v>
      </c>
      <c r="O182" s="316">
        <f t="shared" si="9"/>
        <v>0</v>
      </c>
      <c r="P182" s="95">
        <f>E182</f>
        <v>44434</v>
      </c>
      <c r="Q182" s="61">
        <f t="shared" si="8"/>
        <v>44434</v>
      </c>
      <c r="R182" s="59"/>
      <c r="S182" s="59" t="s">
        <v>515</v>
      </c>
      <c r="T182" s="59"/>
      <c r="U182" s="59"/>
      <c r="V182" s="59"/>
      <c r="W182" s="68"/>
      <c r="X182" s="68"/>
      <c r="Y182" s="68"/>
    </row>
    <row r="183" s="17" customFormat="1" hidden="1" customHeight="1" spans="1:25">
      <c r="A183" s="59">
        <v>127</v>
      </c>
      <c r="B183" s="60" t="s">
        <v>516</v>
      </c>
      <c r="C183" s="61">
        <v>44409</v>
      </c>
      <c r="D183" s="62" t="str">
        <f ca="1" t="shared" si="7"/>
        <v>一年以上</v>
      </c>
      <c r="E183" s="313">
        <v>44438</v>
      </c>
      <c r="F183" s="59" t="s">
        <v>70</v>
      </c>
      <c r="G183" s="59" t="s">
        <v>233</v>
      </c>
      <c r="H183" s="63" t="s">
        <v>517</v>
      </c>
      <c r="I183" s="63" t="s">
        <v>517</v>
      </c>
      <c r="J183" s="314">
        <v>2000</v>
      </c>
      <c r="K183" s="59"/>
      <c r="L183" s="59" t="s">
        <v>96</v>
      </c>
      <c r="M183" s="59" t="s">
        <v>65</v>
      </c>
      <c r="N183" s="315">
        <v>2000</v>
      </c>
      <c r="O183" s="316">
        <f t="shared" si="9"/>
        <v>0</v>
      </c>
      <c r="P183" s="95">
        <v>44441</v>
      </c>
      <c r="Q183" s="61">
        <f t="shared" si="8"/>
        <v>44441</v>
      </c>
      <c r="R183" s="59"/>
      <c r="S183" s="59"/>
      <c r="T183" s="59"/>
      <c r="U183" s="59"/>
      <c r="V183" s="59"/>
      <c r="W183" s="68"/>
      <c r="X183" s="68"/>
      <c r="Y183" s="68"/>
    </row>
    <row r="184" s="17" customFormat="1" hidden="1" customHeight="1" spans="1:25">
      <c r="A184" s="59">
        <v>226</v>
      </c>
      <c r="B184" s="60" t="s">
        <v>518</v>
      </c>
      <c r="C184" s="61">
        <v>44440</v>
      </c>
      <c r="D184" s="62" t="str">
        <f ca="1" t="shared" si="7"/>
        <v>一年以上</v>
      </c>
      <c r="E184" s="313">
        <v>44440</v>
      </c>
      <c r="F184" s="59"/>
      <c r="G184" s="59" t="s">
        <v>519</v>
      </c>
      <c r="H184" s="63" t="s">
        <v>520</v>
      </c>
      <c r="I184" s="63" t="s">
        <v>520</v>
      </c>
      <c r="J184" s="314">
        <v>5000</v>
      </c>
      <c r="K184" s="59" t="s">
        <v>356</v>
      </c>
      <c r="L184" s="59" t="s">
        <v>521</v>
      </c>
      <c r="M184" s="59" t="s">
        <v>30</v>
      </c>
      <c r="N184" s="315">
        <v>5000</v>
      </c>
      <c r="O184" s="316">
        <f t="shared" si="9"/>
        <v>0</v>
      </c>
      <c r="P184" s="95">
        <v>44614</v>
      </c>
      <c r="Q184" s="61">
        <f t="shared" si="8"/>
        <v>44614</v>
      </c>
      <c r="R184" s="59" t="s">
        <v>522</v>
      </c>
      <c r="S184" s="59" t="s">
        <v>523</v>
      </c>
      <c r="T184" s="59"/>
      <c r="U184" s="59"/>
      <c r="V184" s="59"/>
      <c r="W184" s="68"/>
      <c r="X184" s="68"/>
      <c r="Y184" s="68"/>
    </row>
    <row r="185" s="17" customFormat="1" hidden="1" customHeight="1" spans="1:25">
      <c r="A185" s="59">
        <v>128</v>
      </c>
      <c r="B185" s="60" t="s">
        <v>524</v>
      </c>
      <c r="C185" s="61">
        <v>44440</v>
      </c>
      <c r="D185" s="62" t="str">
        <f ca="1" t="shared" si="7"/>
        <v>一年以上</v>
      </c>
      <c r="E185" s="313">
        <v>44448</v>
      </c>
      <c r="F185" s="59" t="s">
        <v>282</v>
      </c>
      <c r="G185" s="59" t="s">
        <v>525</v>
      </c>
      <c r="H185" s="63" t="s">
        <v>490</v>
      </c>
      <c r="I185" s="63" t="s">
        <v>490</v>
      </c>
      <c r="J185" s="314">
        <v>10000</v>
      </c>
      <c r="K185" s="59" t="s">
        <v>28</v>
      </c>
      <c r="L185" s="59" t="s">
        <v>461</v>
      </c>
      <c r="M185" s="59" t="s">
        <v>65</v>
      </c>
      <c r="N185" s="315">
        <v>10000</v>
      </c>
      <c r="O185" s="316">
        <f t="shared" si="9"/>
        <v>0</v>
      </c>
      <c r="P185" s="95">
        <v>44638</v>
      </c>
      <c r="Q185" s="61">
        <f t="shared" si="8"/>
        <v>44638</v>
      </c>
      <c r="R185" s="59"/>
      <c r="S185" s="59" t="s">
        <v>65</v>
      </c>
      <c r="T185" s="59" t="s">
        <v>32</v>
      </c>
      <c r="U185" s="59" t="s">
        <v>301</v>
      </c>
      <c r="V185" s="59"/>
      <c r="W185" s="68"/>
      <c r="X185" s="68"/>
      <c r="Y185" s="68"/>
    </row>
    <row r="186" s="17" customFormat="1" hidden="1" customHeight="1" spans="1:25">
      <c r="A186" s="59">
        <v>129</v>
      </c>
      <c r="B186" s="60" t="s">
        <v>526</v>
      </c>
      <c r="C186" s="61">
        <v>44440</v>
      </c>
      <c r="D186" s="62" t="str">
        <f ca="1" t="shared" si="7"/>
        <v>一年以上</v>
      </c>
      <c r="E186" s="313">
        <v>44449</v>
      </c>
      <c r="F186" s="59" t="s">
        <v>70</v>
      </c>
      <c r="G186" s="59" t="s">
        <v>224</v>
      </c>
      <c r="H186" s="63" t="s">
        <v>154</v>
      </c>
      <c r="I186" s="63" t="s">
        <v>154</v>
      </c>
      <c r="J186" s="314">
        <v>2000</v>
      </c>
      <c r="K186" s="59" t="s">
        <v>28</v>
      </c>
      <c r="L186" s="59" t="s">
        <v>461</v>
      </c>
      <c r="M186" s="59" t="s">
        <v>65</v>
      </c>
      <c r="N186" s="315">
        <v>2000</v>
      </c>
      <c r="O186" s="316">
        <f t="shared" si="9"/>
        <v>0</v>
      </c>
      <c r="P186" s="95">
        <v>44496</v>
      </c>
      <c r="Q186" s="61">
        <f t="shared" si="8"/>
        <v>44496</v>
      </c>
      <c r="R186" s="59"/>
      <c r="S186" s="59"/>
      <c r="T186" s="59"/>
      <c r="U186" s="59"/>
      <c r="V186" s="59"/>
      <c r="W186" s="68"/>
      <c r="X186" s="68"/>
      <c r="Y186" s="68"/>
    </row>
    <row r="187" s="17" customFormat="1" hidden="1" customHeight="1" spans="1:25">
      <c r="A187" s="59">
        <v>227</v>
      </c>
      <c r="B187" s="60" t="s">
        <v>527</v>
      </c>
      <c r="C187" s="61">
        <v>44440</v>
      </c>
      <c r="D187" s="62" t="str">
        <f ca="1" t="shared" si="7"/>
        <v>一年以上</v>
      </c>
      <c r="E187" s="313">
        <v>44454</v>
      </c>
      <c r="F187" s="59"/>
      <c r="G187" s="59" t="s">
        <v>301</v>
      </c>
      <c r="H187" s="63" t="s">
        <v>509</v>
      </c>
      <c r="I187" s="63" t="s">
        <v>509</v>
      </c>
      <c r="J187" s="314">
        <v>12000</v>
      </c>
      <c r="K187" s="59" t="s">
        <v>28</v>
      </c>
      <c r="L187" s="59" t="s">
        <v>461</v>
      </c>
      <c r="M187" s="59" t="s">
        <v>30</v>
      </c>
      <c r="N187" s="315">
        <v>12000</v>
      </c>
      <c r="O187" s="316">
        <f t="shared" si="9"/>
        <v>0</v>
      </c>
      <c r="P187" s="95">
        <v>44512</v>
      </c>
      <c r="Q187" s="61">
        <f t="shared" si="8"/>
        <v>44512</v>
      </c>
      <c r="R187" s="59"/>
      <c r="S187" s="59" t="s">
        <v>510</v>
      </c>
      <c r="T187" s="59"/>
      <c r="U187" s="59"/>
      <c r="V187" s="59"/>
      <c r="W187" s="68"/>
      <c r="X187" s="68"/>
      <c r="Y187" s="68"/>
    </row>
    <row r="188" s="17" customFormat="1" hidden="1" customHeight="1" spans="1:25">
      <c r="A188" s="59">
        <v>362</v>
      </c>
      <c r="B188" s="60" t="s">
        <v>528</v>
      </c>
      <c r="C188" s="61">
        <v>44440</v>
      </c>
      <c r="D188" s="62" t="str">
        <f ca="1" t="shared" si="7"/>
        <v>一年以上</v>
      </c>
      <c r="E188" s="313">
        <v>44455</v>
      </c>
      <c r="F188" s="59"/>
      <c r="G188" s="59" t="s">
        <v>54</v>
      </c>
      <c r="H188" s="63" t="s">
        <v>60</v>
      </c>
      <c r="I188" s="63" t="s">
        <v>60</v>
      </c>
      <c r="J188" s="314">
        <v>300</v>
      </c>
      <c r="K188" s="59" t="s">
        <v>28</v>
      </c>
      <c r="L188" s="59" t="s">
        <v>461</v>
      </c>
      <c r="M188" s="59" t="s">
        <v>515</v>
      </c>
      <c r="N188" s="315">
        <v>300</v>
      </c>
      <c r="O188" s="316">
        <f t="shared" si="9"/>
        <v>0</v>
      </c>
      <c r="P188" s="95">
        <f>E188</f>
        <v>44455</v>
      </c>
      <c r="Q188" s="61">
        <f t="shared" si="8"/>
        <v>44455</v>
      </c>
      <c r="R188" s="59"/>
      <c r="S188" s="59" t="s">
        <v>529</v>
      </c>
      <c r="T188" s="59"/>
      <c r="U188" s="59"/>
      <c r="V188" s="59"/>
      <c r="W188" s="68"/>
      <c r="X188" s="68"/>
      <c r="Y188" s="68"/>
    </row>
    <row r="189" s="17" customFormat="1" hidden="1" customHeight="1" spans="1:25">
      <c r="A189" s="59">
        <v>228</v>
      </c>
      <c r="B189" s="60" t="s">
        <v>530</v>
      </c>
      <c r="C189" s="61">
        <v>44440</v>
      </c>
      <c r="D189" s="62" t="str">
        <f ca="1" t="shared" si="7"/>
        <v>一年以上</v>
      </c>
      <c r="E189" s="313">
        <v>44456</v>
      </c>
      <c r="F189" s="59"/>
      <c r="G189" s="59" t="s">
        <v>54</v>
      </c>
      <c r="H189" s="63" t="s">
        <v>193</v>
      </c>
      <c r="I189" s="63" t="s">
        <v>193</v>
      </c>
      <c r="J189" s="314">
        <v>15000</v>
      </c>
      <c r="K189" s="59" t="s">
        <v>28</v>
      </c>
      <c r="L189" s="59" t="s">
        <v>461</v>
      </c>
      <c r="M189" s="59" t="s">
        <v>30</v>
      </c>
      <c r="N189" s="315">
        <v>15000</v>
      </c>
      <c r="O189" s="316">
        <f t="shared" si="9"/>
        <v>0</v>
      </c>
      <c r="P189" s="95">
        <v>44627</v>
      </c>
      <c r="Q189" s="61">
        <f t="shared" si="8"/>
        <v>44627</v>
      </c>
      <c r="R189" s="59"/>
      <c r="S189" s="59" t="s">
        <v>531</v>
      </c>
      <c r="T189" s="59"/>
      <c r="U189" s="59"/>
      <c r="V189" s="59"/>
      <c r="W189" s="68"/>
      <c r="X189" s="68"/>
      <c r="Y189" s="68"/>
    </row>
    <row r="190" s="17" customFormat="1" hidden="1" customHeight="1" spans="1:25">
      <c r="A190" s="59">
        <v>229</v>
      </c>
      <c r="B190" s="60" t="s">
        <v>532</v>
      </c>
      <c r="C190" s="61">
        <v>44440</v>
      </c>
      <c r="D190" s="62" t="str">
        <f ca="1" t="shared" si="7"/>
        <v>一年以上</v>
      </c>
      <c r="E190" s="313">
        <v>44456</v>
      </c>
      <c r="F190" s="59"/>
      <c r="G190" s="59" t="s">
        <v>294</v>
      </c>
      <c r="H190" s="63" t="s">
        <v>265</v>
      </c>
      <c r="I190" s="63" t="s">
        <v>90</v>
      </c>
      <c r="J190" s="314">
        <v>50000</v>
      </c>
      <c r="K190" s="59" t="s">
        <v>28</v>
      </c>
      <c r="L190" s="59" t="s">
        <v>461</v>
      </c>
      <c r="M190" s="59" t="s">
        <v>30</v>
      </c>
      <c r="N190" s="315">
        <v>50000</v>
      </c>
      <c r="O190" s="316">
        <f t="shared" si="9"/>
        <v>0</v>
      </c>
      <c r="P190" s="95">
        <v>45554</v>
      </c>
      <c r="Q190" s="61">
        <f t="shared" si="8"/>
        <v>45554</v>
      </c>
      <c r="R190" s="59"/>
      <c r="S190" s="59" t="s">
        <v>62</v>
      </c>
      <c r="T190" s="59" t="s">
        <v>267</v>
      </c>
      <c r="U190" s="59" t="str">
        <f>VLOOKUP(T190,[1]区域划分!$A$1:$C$39,3,0)</f>
        <v>牛国庆</v>
      </c>
      <c r="V190" s="59"/>
      <c r="W190" s="68"/>
      <c r="X190" s="68"/>
      <c r="Y190" s="68"/>
    </row>
    <row r="191" s="17" customFormat="1" hidden="1" customHeight="1" spans="1:25">
      <c r="A191" s="59">
        <v>230</v>
      </c>
      <c r="B191" s="60" t="s">
        <v>533</v>
      </c>
      <c r="C191" s="61">
        <v>44440</v>
      </c>
      <c r="D191" s="62" t="str">
        <f ca="1" t="shared" si="7"/>
        <v>一年以上</v>
      </c>
      <c r="E191" s="313">
        <v>44457</v>
      </c>
      <c r="F191" s="59"/>
      <c r="G191" s="59" t="s">
        <v>534</v>
      </c>
      <c r="H191" s="63" t="s">
        <v>34</v>
      </c>
      <c r="I191" s="63" t="s">
        <v>34</v>
      </c>
      <c r="J191" s="314">
        <v>50000</v>
      </c>
      <c r="K191" s="59" t="s">
        <v>28</v>
      </c>
      <c r="L191" s="59" t="s">
        <v>461</v>
      </c>
      <c r="M191" s="59" t="s">
        <v>30</v>
      </c>
      <c r="N191" s="315">
        <v>50000</v>
      </c>
      <c r="O191" s="316">
        <f t="shared" si="9"/>
        <v>0</v>
      </c>
      <c r="P191" s="95">
        <v>44523</v>
      </c>
      <c r="Q191" s="61">
        <f t="shared" si="8"/>
        <v>44523</v>
      </c>
      <c r="R191" s="59"/>
      <c r="S191" s="59"/>
      <c r="T191" s="59"/>
      <c r="U191" s="59"/>
      <c r="V191" s="59"/>
      <c r="W191" s="68"/>
      <c r="X191" s="68"/>
      <c r="Y191" s="68"/>
    </row>
    <row r="192" s="17" customFormat="1" hidden="1" customHeight="1" spans="1:25">
      <c r="A192" s="59">
        <v>231</v>
      </c>
      <c r="B192" s="60" t="s">
        <v>535</v>
      </c>
      <c r="C192" s="61">
        <v>44440</v>
      </c>
      <c r="D192" s="62" t="str">
        <f ca="1" t="shared" si="7"/>
        <v>一年以上</v>
      </c>
      <c r="E192" s="313">
        <v>44457</v>
      </c>
      <c r="F192" s="59"/>
      <c r="G192" s="59" t="s">
        <v>534</v>
      </c>
      <c r="H192" s="63" t="s">
        <v>34</v>
      </c>
      <c r="I192" s="63" t="s">
        <v>34</v>
      </c>
      <c r="J192" s="314">
        <v>50000</v>
      </c>
      <c r="K192" s="59" t="s">
        <v>28</v>
      </c>
      <c r="L192" s="59" t="s">
        <v>461</v>
      </c>
      <c r="M192" s="59" t="s">
        <v>30</v>
      </c>
      <c r="N192" s="315">
        <v>50000</v>
      </c>
      <c r="O192" s="316">
        <f t="shared" si="9"/>
        <v>0</v>
      </c>
      <c r="P192" s="95">
        <v>44523</v>
      </c>
      <c r="Q192" s="61">
        <f t="shared" si="8"/>
        <v>44523</v>
      </c>
      <c r="R192" s="59"/>
      <c r="S192" s="59"/>
      <c r="T192" s="59"/>
      <c r="U192" s="59"/>
      <c r="V192" s="59"/>
      <c r="W192" s="68"/>
      <c r="X192" s="68"/>
      <c r="Y192" s="68"/>
    </row>
    <row r="193" s="17" customFormat="1" hidden="1" customHeight="1" spans="1:25">
      <c r="A193" s="59">
        <v>232</v>
      </c>
      <c r="B193" s="60" t="s">
        <v>536</v>
      </c>
      <c r="C193" s="61">
        <v>44440</v>
      </c>
      <c r="D193" s="62" t="str">
        <f ca="1" t="shared" si="7"/>
        <v>一年以上</v>
      </c>
      <c r="E193" s="313">
        <v>44457</v>
      </c>
      <c r="F193" s="59"/>
      <c r="G193" s="59" t="s">
        <v>537</v>
      </c>
      <c r="H193" s="63" t="s">
        <v>34</v>
      </c>
      <c r="I193" s="63" t="s">
        <v>34</v>
      </c>
      <c r="J193" s="314">
        <v>50000</v>
      </c>
      <c r="K193" s="59" t="s">
        <v>338</v>
      </c>
      <c r="L193" s="59" t="s">
        <v>538</v>
      </c>
      <c r="M193" s="59" t="s">
        <v>30</v>
      </c>
      <c r="N193" s="315">
        <v>50000</v>
      </c>
      <c r="O193" s="316">
        <f t="shared" si="9"/>
        <v>0</v>
      </c>
      <c r="P193" s="95">
        <v>44895</v>
      </c>
      <c r="Q193" s="61">
        <f t="shared" si="8"/>
        <v>44895</v>
      </c>
      <c r="R193" s="59" t="s">
        <v>310</v>
      </c>
      <c r="S193" s="59" t="s">
        <v>62</v>
      </c>
      <c r="T193" s="59"/>
      <c r="U193" s="59"/>
      <c r="V193" s="59"/>
      <c r="W193" s="68"/>
      <c r="X193" s="68"/>
      <c r="Y193" s="68"/>
    </row>
    <row r="194" s="17" customFormat="1" hidden="1" customHeight="1" spans="1:25">
      <c r="A194" s="59">
        <v>233</v>
      </c>
      <c r="B194" s="60" t="s">
        <v>539</v>
      </c>
      <c r="C194" s="61">
        <v>44440</v>
      </c>
      <c r="D194" s="62" t="str">
        <f ca="1" t="shared" si="7"/>
        <v>一年以上</v>
      </c>
      <c r="E194" s="313">
        <v>44461</v>
      </c>
      <c r="F194" s="59"/>
      <c r="G194" s="59" t="s">
        <v>537</v>
      </c>
      <c r="H194" s="63" t="s">
        <v>540</v>
      </c>
      <c r="I194" s="63" t="s">
        <v>540</v>
      </c>
      <c r="J194" s="314">
        <v>50000</v>
      </c>
      <c r="K194" s="59" t="s">
        <v>338</v>
      </c>
      <c r="L194" s="59" t="s">
        <v>538</v>
      </c>
      <c r="M194" s="59" t="s">
        <v>30</v>
      </c>
      <c r="N194" s="315">
        <v>50000</v>
      </c>
      <c r="O194" s="316">
        <f t="shared" si="9"/>
        <v>0</v>
      </c>
      <c r="P194" s="95">
        <v>44517</v>
      </c>
      <c r="Q194" s="61">
        <f t="shared" si="8"/>
        <v>44517</v>
      </c>
      <c r="R194" s="59"/>
      <c r="S194" s="59" t="s">
        <v>541</v>
      </c>
      <c r="T194" s="59"/>
      <c r="U194" s="59"/>
      <c r="V194" s="59"/>
      <c r="W194" s="68"/>
      <c r="X194" s="68"/>
      <c r="Y194" s="68"/>
    </row>
    <row r="195" s="17" customFormat="1" hidden="1" customHeight="1" spans="1:25">
      <c r="A195" s="59">
        <v>363</v>
      </c>
      <c r="B195" s="60" t="s">
        <v>542</v>
      </c>
      <c r="C195" s="61">
        <v>44440</v>
      </c>
      <c r="D195" s="62" t="str">
        <f ca="1" t="shared" ref="D195:D258" si="10">IF(TODAY()-E195&lt;60,"2个月内",IF(TODAY()-E195&lt;180,"3-6个月",IF(TODAY()-E195&lt;360,"6个月-1年","一年以上")))</f>
        <v>一年以上</v>
      </c>
      <c r="E195" s="313">
        <v>44461</v>
      </c>
      <c r="F195" s="59"/>
      <c r="G195" s="59" t="s">
        <v>537</v>
      </c>
      <c r="H195" s="63" t="s">
        <v>543</v>
      </c>
      <c r="I195" s="63" t="s">
        <v>543</v>
      </c>
      <c r="J195" s="314">
        <v>500</v>
      </c>
      <c r="K195" s="59" t="s">
        <v>338</v>
      </c>
      <c r="L195" s="59" t="s">
        <v>538</v>
      </c>
      <c r="M195" s="59" t="s">
        <v>515</v>
      </c>
      <c r="N195" s="315">
        <v>500</v>
      </c>
      <c r="O195" s="316">
        <f t="shared" si="9"/>
        <v>0</v>
      </c>
      <c r="P195" s="95">
        <f>E195</f>
        <v>44461</v>
      </c>
      <c r="Q195" s="61">
        <f t="shared" ref="Q195:Q258" si="11">P195</f>
        <v>44461</v>
      </c>
      <c r="R195" s="59"/>
      <c r="S195" s="59" t="s">
        <v>544</v>
      </c>
      <c r="T195" s="59"/>
      <c r="U195" s="59"/>
      <c r="V195" s="59"/>
      <c r="W195" s="68"/>
      <c r="X195" s="68"/>
      <c r="Y195" s="68"/>
    </row>
    <row r="196" s="17" customFormat="1" hidden="1" customHeight="1" spans="1:25">
      <c r="A196" s="59">
        <v>364</v>
      </c>
      <c r="B196" s="60" t="s">
        <v>545</v>
      </c>
      <c r="C196" s="61">
        <v>44440</v>
      </c>
      <c r="D196" s="62" t="str">
        <f ca="1" t="shared" si="10"/>
        <v>一年以上</v>
      </c>
      <c r="E196" s="313">
        <v>44466</v>
      </c>
      <c r="F196" s="59"/>
      <c r="G196" s="59" t="s">
        <v>87</v>
      </c>
      <c r="H196" s="63" t="s">
        <v>546</v>
      </c>
      <c r="I196" s="63" t="s">
        <v>546</v>
      </c>
      <c r="J196" s="314">
        <v>300</v>
      </c>
      <c r="K196" s="59" t="s">
        <v>28</v>
      </c>
      <c r="L196" s="59" t="s">
        <v>461</v>
      </c>
      <c r="M196" s="59" t="s">
        <v>515</v>
      </c>
      <c r="N196" s="315">
        <v>300</v>
      </c>
      <c r="O196" s="316">
        <f t="shared" si="9"/>
        <v>0</v>
      </c>
      <c r="P196" s="95">
        <f>E196</f>
        <v>44466</v>
      </c>
      <c r="Q196" s="61">
        <f t="shared" si="11"/>
        <v>44466</v>
      </c>
      <c r="R196" s="59"/>
      <c r="S196" s="59" t="s">
        <v>547</v>
      </c>
      <c r="T196" s="59"/>
      <c r="U196" s="59"/>
      <c r="V196" s="59"/>
      <c r="W196" s="68"/>
      <c r="X196" s="68"/>
      <c r="Y196" s="68"/>
    </row>
    <row r="197" s="17" customFormat="1" hidden="1" customHeight="1" spans="1:25">
      <c r="A197" s="59">
        <v>365</v>
      </c>
      <c r="B197" s="60" t="s">
        <v>548</v>
      </c>
      <c r="C197" s="61">
        <v>44440</v>
      </c>
      <c r="D197" s="62" t="str">
        <f ca="1" t="shared" si="10"/>
        <v>一年以上</v>
      </c>
      <c r="E197" s="313">
        <v>44466</v>
      </c>
      <c r="F197" s="59"/>
      <c r="G197" s="59" t="s">
        <v>537</v>
      </c>
      <c r="H197" s="63" t="s">
        <v>546</v>
      </c>
      <c r="I197" s="63" t="s">
        <v>546</v>
      </c>
      <c r="J197" s="314">
        <v>300</v>
      </c>
      <c r="K197" s="59" t="s">
        <v>338</v>
      </c>
      <c r="L197" s="59" t="s">
        <v>538</v>
      </c>
      <c r="M197" s="59" t="s">
        <v>515</v>
      </c>
      <c r="N197" s="315">
        <v>300</v>
      </c>
      <c r="O197" s="316">
        <f t="shared" si="9"/>
        <v>0</v>
      </c>
      <c r="P197" s="95">
        <f>E197</f>
        <v>44466</v>
      </c>
      <c r="Q197" s="61">
        <f t="shared" si="11"/>
        <v>44466</v>
      </c>
      <c r="R197" s="59"/>
      <c r="S197" s="59" t="s">
        <v>547</v>
      </c>
      <c r="T197" s="59"/>
      <c r="U197" s="59"/>
      <c r="V197" s="59"/>
      <c r="W197" s="68"/>
      <c r="X197" s="68"/>
      <c r="Y197" s="68"/>
    </row>
    <row r="198" s="17" customFormat="1" hidden="1" customHeight="1" spans="1:25">
      <c r="A198" s="59">
        <v>130</v>
      </c>
      <c r="B198" s="60" t="s">
        <v>549</v>
      </c>
      <c r="C198" s="61">
        <v>44440</v>
      </c>
      <c r="D198" s="62" t="str">
        <f ca="1" t="shared" si="10"/>
        <v>一年以上</v>
      </c>
      <c r="E198" s="313">
        <v>44467</v>
      </c>
      <c r="F198" s="59" t="s">
        <v>70</v>
      </c>
      <c r="G198" s="59" t="s">
        <v>119</v>
      </c>
      <c r="H198" s="63" t="s">
        <v>113</v>
      </c>
      <c r="I198" s="63" t="s">
        <v>113</v>
      </c>
      <c r="J198" s="314">
        <v>3000</v>
      </c>
      <c r="K198" s="59" t="s">
        <v>356</v>
      </c>
      <c r="L198" s="59" t="s">
        <v>503</v>
      </c>
      <c r="M198" s="59" t="s">
        <v>65</v>
      </c>
      <c r="N198" s="315">
        <v>3000</v>
      </c>
      <c r="O198" s="316">
        <f t="shared" si="9"/>
        <v>0</v>
      </c>
      <c r="P198" s="95">
        <v>44495</v>
      </c>
      <c r="Q198" s="61">
        <f t="shared" si="11"/>
        <v>44495</v>
      </c>
      <c r="R198" s="59"/>
      <c r="S198" s="59" t="s">
        <v>65</v>
      </c>
      <c r="T198" s="59"/>
      <c r="U198" s="59"/>
      <c r="V198" s="59"/>
      <c r="W198" s="68"/>
      <c r="X198" s="68"/>
      <c r="Y198" s="68"/>
    </row>
    <row r="199" s="17" customFormat="1" hidden="1" customHeight="1" spans="1:25">
      <c r="A199" s="59">
        <v>366</v>
      </c>
      <c r="B199" s="60" t="s">
        <v>550</v>
      </c>
      <c r="C199" s="61">
        <v>44440</v>
      </c>
      <c r="D199" s="62" t="str">
        <f ca="1" t="shared" si="10"/>
        <v>一年以上</v>
      </c>
      <c r="E199" s="313">
        <v>44467</v>
      </c>
      <c r="F199" s="59"/>
      <c r="G199" s="59" t="s">
        <v>87</v>
      </c>
      <c r="H199" s="63" t="s">
        <v>546</v>
      </c>
      <c r="I199" s="63" t="s">
        <v>546</v>
      </c>
      <c r="J199" s="314">
        <v>300</v>
      </c>
      <c r="K199" s="59" t="s">
        <v>28</v>
      </c>
      <c r="L199" s="59" t="s">
        <v>461</v>
      </c>
      <c r="M199" s="59" t="s">
        <v>515</v>
      </c>
      <c r="N199" s="315">
        <v>300</v>
      </c>
      <c r="O199" s="316">
        <f t="shared" si="9"/>
        <v>0</v>
      </c>
      <c r="P199" s="95">
        <f>E199</f>
        <v>44467</v>
      </c>
      <c r="Q199" s="61">
        <f t="shared" si="11"/>
        <v>44467</v>
      </c>
      <c r="R199" s="59"/>
      <c r="S199" s="59" t="s">
        <v>547</v>
      </c>
      <c r="T199" s="59"/>
      <c r="U199" s="59"/>
      <c r="V199" s="59"/>
      <c r="W199" s="68"/>
      <c r="X199" s="68"/>
      <c r="Y199" s="68"/>
    </row>
    <row r="200" s="17" customFormat="1" hidden="1" customHeight="1" spans="1:25">
      <c r="A200" s="59">
        <v>367</v>
      </c>
      <c r="B200" s="60" t="s">
        <v>551</v>
      </c>
      <c r="C200" s="61">
        <v>44440</v>
      </c>
      <c r="D200" s="62" t="str">
        <f ca="1" t="shared" si="10"/>
        <v>一年以上</v>
      </c>
      <c r="E200" s="313">
        <v>44467</v>
      </c>
      <c r="F200" s="59"/>
      <c r="G200" s="59" t="s">
        <v>537</v>
      </c>
      <c r="H200" s="63" t="s">
        <v>546</v>
      </c>
      <c r="I200" s="63" t="s">
        <v>546</v>
      </c>
      <c r="J200" s="314">
        <v>300</v>
      </c>
      <c r="K200" s="59" t="s">
        <v>338</v>
      </c>
      <c r="L200" s="59" t="s">
        <v>538</v>
      </c>
      <c r="M200" s="59" t="s">
        <v>515</v>
      </c>
      <c r="N200" s="315">
        <v>300</v>
      </c>
      <c r="O200" s="316">
        <f t="shared" si="9"/>
        <v>0</v>
      </c>
      <c r="P200" s="95">
        <f>E200</f>
        <v>44467</v>
      </c>
      <c r="Q200" s="61">
        <f t="shared" si="11"/>
        <v>44467</v>
      </c>
      <c r="R200" s="59"/>
      <c r="S200" s="59" t="s">
        <v>547</v>
      </c>
      <c r="T200" s="59"/>
      <c r="U200" s="59"/>
      <c r="V200" s="59"/>
      <c r="W200" s="68"/>
      <c r="X200" s="68"/>
      <c r="Y200" s="68"/>
    </row>
    <row r="201" s="17" customFormat="1" hidden="1" customHeight="1" spans="1:25">
      <c r="A201" s="59">
        <v>234</v>
      </c>
      <c r="B201" s="60" t="s">
        <v>552</v>
      </c>
      <c r="C201" s="61">
        <v>44440</v>
      </c>
      <c r="D201" s="62" t="str">
        <f ca="1" t="shared" si="10"/>
        <v>一年以上</v>
      </c>
      <c r="E201" s="313">
        <v>44469</v>
      </c>
      <c r="F201" s="59"/>
      <c r="G201" s="59" t="s">
        <v>172</v>
      </c>
      <c r="H201" s="63" t="s">
        <v>209</v>
      </c>
      <c r="I201" s="63" t="s">
        <v>209</v>
      </c>
      <c r="J201" s="314">
        <v>100000</v>
      </c>
      <c r="K201" s="59" t="s">
        <v>28</v>
      </c>
      <c r="L201" s="59" t="s">
        <v>466</v>
      </c>
      <c r="M201" s="59" t="s">
        <v>30</v>
      </c>
      <c r="N201" s="315">
        <v>100000</v>
      </c>
      <c r="O201" s="316">
        <f t="shared" si="9"/>
        <v>0</v>
      </c>
      <c r="P201" s="95">
        <v>44943</v>
      </c>
      <c r="Q201" s="61">
        <f t="shared" si="11"/>
        <v>44943</v>
      </c>
      <c r="R201" s="59" t="s">
        <v>553</v>
      </c>
      <c r="S201" s="59" t="s">
        <v>62</v>
      </c>
      <c r="T201" s="59" t="s">
        <v>171</v>
      </c>
      <c r="U201" s="59"/>
      <c r="V201" s="59"/>
      <c r="W201" s="68"/>
      <c r="X201" s="68"/>
      <c r="Y201" s="68"/>
    </row>
    <row r="202" s="17" customFormat="1" hidden="1" customHeight="1" spans="1:25">
      <c r="A202" s="59">
        <v>235</v>
      </c>
      <c r="B202" s="60" t="s">
        <v>554</v>
      </c>
      <c r="C202" s="61">
        <v>44440</v>
      </c>
      <c r="D202" s="62" t="str">
        <f ca="1" t="shared" si="10"/>
        <v>一年以上</v>
      </c>
      <c r="E202" s="313">
        <v>44469</v>
      </c>
      <c r="F202" s="59"/>
      <c r="G202" s="59" t="s">
        <v>87</v>
      </c>
      <c r="H202" s="63" t="s">
        <v>555</v>
      </c>
      <c r="I202" s="63" t="s">
        <v>555</v>
      </c>
      <c r="J202" s="314">
        <v>3400</v>
      </c>
      <c r="K202" s="59" t="s">
        <v>28</v>
      </c>
      <c r="L202" s="59" t="s">
        <v>466</v>
      </c>
      <c r="M202" s="59" t="s">
        <v>30</v>
      </c>
      <c r="N202" s="315">
        <v>3400</v>
      </c>
      <c r="O202" s="316">
        <f t="shared" ref="O202:O265" si="12">J202-N202</f>
        <v>0</v>
      </c>
      <c r="P202" s="95">
        <v>44512</v>
      </c>
      <c r="Q202" s="61">
        <f t="shared" si="11"/>
        <v>44512</v>
      </c>
      <c r="R202" s="59"/>
      <c r="S202" s="59" t="s">
        <v>556</v>
      </c>
      <c r="T202" s="59"/>
      <c r="U202" s="59"/>
      <c r="V202" s="59"/>
      <c r="W202" s="68"/>
      <c r="X202" s="68"/>
      <c r="Y202" s="68"/>
    </row>
    <row r="203" s="17" customFormat="1" hidden="1" customHeight="1" spans="1:25">
      <c r="A203" s="59">
        <v>368</v>
      </c>
      <c r="B203" s="60" t="s">
        <v>557</v>
      </c>
      <c r="C203" s="61">
        <v>44440</v>
      </c>
      <c r="D203" s="62" t="str">
        <f ca="1" t="shared" si="10"/>
        <v>一年以上</v>
      </c>
      <c r="E203" s="313">
        <v>44469</v>
      </c>
      <c r="F203" s="59"/>
      <c r="G203" s="59" t="s">
        <v>537</v>
      </c>
      <c r="H203" s="63" t="s">
        <v>209</v>
      </c>
      <c r="I203" s="63" t="s">
        <v>209</v>
      </c>
      <c r="J203" s="314">
        <v>1000</v>
      </c>
      <c r="K203" s="59" t="s">
        <v>338</v>
      </c>
      <c r="L203" s="59" t="s">
        <v>538</v>
      </c>
      <c r="M203" s="59" t="s">
        <v>515</v>
      </c>
      <c r="N203" s="315">
        <v>1000</v>
      </c>
      <c r="O203" s="316">
        <f t="shared" si="12"/>
        <v>0</v>
      </c>
      <c r="P203" s="95">
        <f>E203</f>
        <v>44469</v>
      </c>
      <c r="Q203" s="61">
        <f t="shared" si="11"/>
        <v>44469</v>
      </c>
      <c r="R203" s="59"/>
      <c r="S203" s="59" t="s">
        <v>515</v>
      </c>
      <c r="T203" s="59"/>
      <c r="U203" s="59"/>
      <c r="V203" s="59"/>
      <c r="W203" s="68"/>
      <c r="X203" s="68"/>
      <c r="Y203" s="68"/>
    </row>
    <row r="204" s="17" customFormat="1" hidden="1" customHeight="1" spans="1:25">
      <c r="A204" s="59">
        <v>369</v>
      </c>
      <c r="B204" s="60" t="s">
        <v>558</v>
      </c>
      <c r="C204" s="61">
        <v>44440</v>
      </c>
      <c r="D204" s="62" t="str">
        <f ca="1" t="shared" si="10"/>
        <v>一年以上</v>
      </c>
      <c r="E204" s="313">
        <v>44469</v>
      </c>
      <c r="F204" s="59"/>
      <c r="G204" s="59" t="s">
        <v>172</v>
      </c>
      <c r="H204" s="63" t="s">
        <v>209</v>
      </c>
      <c r="I204" s="63" t="s">
        <v>209</v>
      </c>
      <c r="J204" s="314">
        <v>1000</v>
      </c>
      <c r="K204" s="59" t="s">
        <v>28</v>
      </c>
      <c r="L204" s="59" t="s">
        <v>466</v>
      </c>
      <c r="M204" s="59" t="s">
        <v>515</v>
      </c>
      <c r="N204" s="315">
        <v>1000</v>
      </c>
      <c r="O204" s="316">
        <f t="shared" si="12"/>
        <v>0</v>
      </c>
      <c r="P204" s="95">
        <f>E204</f>
        <v>44469</v>
      </c>
      <c r="Q204" s="61">
        <f t="shared" si="11"/>
        <v>44469</v>
      </c>
      <c r="R204" s="59"/>
      <c r="S204" s="59" t="s">
        <v>515</v>
      </c>
      <c r="T204" s="59"/>
      <c r="U204" s="59"/>
      <c r="V204" s="59"/>
      <c r="W204" s="68"/>
      <c r="X204" s="68"/>
      <c r="Y204" s="68"/>
    </row>
    <row r="205" s="17" customFormat="1" hidden="1" customHeight="1" spans="1:25">
      <c r="A205" s="59">
        <v>370</v>
      </c>
      <c r="B205" s="60" t="s">
        <v>559</v>
      </c>
      <c r="C205" s="61">
        <v>44440</v>
      </c>
      <c r="D205" s="62" t="str">
        <f ca="1" t="shared" si="10"/>
        <v>一年以上</v>
      </c>
      <c r="E205" s="313">
        <v>44469</v>
      </c>
      <c r="F205" s="59"/>
      <c r="G205" s="59" t="s">
        <v>172</v>
      </c>
      <c r="H205" s="63" t="s">
        <v>209</v>
      </c>
      <c r="I205" s="63" t="s">
        <v>209</v>
      </c>
      <c r="J205" s="314">
        <v>1000</v>
      </c>
      <c r="K205" s="59" t="s">
        <v>28</v>
      </c>
      <c r="L205" s="59" t="s">
        <v>466</v>
      </c>
      <c r="M205" s="59" t="s">
        <v>515</v>
      </c>
      <c r="N205" s="315">
        <v>1000</v>
      </c>
      <c r="O205" s="316">
        <f t="shared" si="12"/>
        <v>0</v>
      </c>
      <c r="P205" s="95">
        <f>E205</f>
        <v>44469</v>
      </c>
      <c r="Q205" s="61">
        <f t="shared" si="11"/>
        <v>44469</v>
      </c>
      <c r="R205" s="59"/>
      <c r="S205" s="59" t="s">
        <v>515</v>
      </c>
      <c r="T205" s="59"/>
      <c r="U205" s="59"/>
      <c r="V205" s="59"/>
      <c r="W205" s="68"/>
      <c r="X205" s="68"/>
      <c r="Y205" s="68"/>
    </row>
    <row r="206" s="17" customFormat="1" hidden="1" customHeight="1" spans="1:25">
      <c r="A206" s="59">
        <v>237</v>
      </c>
      <c r="B206" s="60" t="s">
        <v>560</v>
      </c>
      <c r="C206" s="61">
        <v>44470</v>
      </c>
      <c r="D206" s="62" t="str">
        <f ca="1" t="shared" si="10"/>
        <v>一年以上</v>
      </c>
      <c r="E206" s="313">
        <v>44480</v>
      </c>
      <c r="F206" s="59"/>
      <c r="G206" s="59" t="s">
        <v>537</v>
      </c>
      <c r="H206" s="63" t="s">
        <v>40</v>
      </c>
      <c r="I206" s="63" t="s">
        <v>40</v>
      </c>
      <c r="J206" s="314">
        <v>10000</v>
      </c>
      <c r="K206" s="59" t="s">
        <v>338</v>
      </c>
      <c r="L206" s="59" t="s">
        <v>538</v>
      </c>
      <c r="M206" s="59" t="s">
        <v>30</v>
      </c>
      <c r="N206" s="315">
        <v>10000</v>
      </c>
      <c r="O206" s="316">
        <f t="shared" si="12"/>
        <v>0</v>
      </c>
      <c r="P206" s="95">
        <v>44735</v>
      </c>
      <c r="Q206" s="61">
        <f t="shared" si="11"/>
        <v>44735</v>
      </c>
      <c r="R206" s="59" t="s">
        <v>481</v>
      </c>
      <c r="S206" s="59" t="s">
        <v>561</v>
      </c>
      <c r="T206" s="59"/>
      <c r="U206" s="59"/>
      <c r="V206" s="59"/>
      <c r="W206" s="68"/>
      <c r="X206" s="68"/>
      <c r="Y206" s="68"/>
    </row>
    <row r="207" s="17" customFormat="1" hidden="1" customHeight="1" spans="1:25">
      <c r="A207" s="59">
        <v>371</v>
      </c>
      <c r="B207" s="60" t="s">
        <v>562</v>
      </c>
      <c r="C207" s="61">
        <v>44470</v>
      </c>
      <c r="D207" s="62" t="str">
        <f ca="1" t="shared" si="10"/>
        <v>一年以上</v>
      </c>
      <c r="E207" s="313">
        <v>44480</v>
      </c>
      <c r="F207" s="59"/>
      <c r="G207" s="59" t="s">
        <v>537</v>
      </c>
      <c r="H207" s="63" t="s">
        <v>40</v>
      </c>
      <c r="I207" s="63" t="s">
        <v>40</v>
      </c>
      <c r="J207" s="314">
        <v>100</v>
      </c>
      <c r="K207" s="59" t="s">
        <v>338</v>
      </c>
      <c r="L207" s="59" t="s">
        <v>538</v>
      </c>
      <c r="M207" s="59" t="s">
        <v>515</v>
      </c>
      <c r="N207" s="315">
        <v>100</v>
      </c>
      <c r="O207" s="316">
        <f t="shared" si="12"/>
        <v>0</v>
      </c>
      <c r="P207" s="95">
        <f>E207</f>
        <v>44480</v>
      </c>
      <c r="Q207" s="61">
        <f t="shared" si="11"/>
        <v>44480</v>
      </c>
      <c r="R207" s="59"/>
      <c r="S207" s="59" t="s">
        <v>515</v>
      </c>
      <c r="T207" s="59"/>
      <c r="U207" s="59"/>
      <c r="V207" s="59"/>
      <c r="W207" s="68"/>
      <c r="X207" s="68"/>
      <c r="Y207" s="68"/>
    </row>
    <row r="208" s="17" customFormat="1" hidden="1" customHeight="1" spans="1:25">
      <c r="A208" s="59">
        <v>236</v>
      </c>
      <c r="B208" s="60" t="s">
        <v>563</v>
      </c>
      <c r="C208" s="61">
        <v>44470</v>
      </c>
      <c r="D208" s="62" t="str">
        <f ca="1" t="shared" si="10"/>
        <v>一年以上</v>
      </c>
      <c r="E208" s="313">
        <v>44481</v>
      </c>
      <c r="F208" s="59"/>
      <c r="G208" s="59" t="s">
        <v>54</v>
      </c>
      <c r="H208" s="63" t="s">
        <v>564</v>
      </c>
      <c r="I208" s="63" t="s">
        <v>564</v>
      </c>
      <c r="J208" s="314">
        <v>7400</v>
      </c>
      <c r="K208" s="59" t="s">
        <v>356</v>
      </c>
      <c r="L208" s="59" t="s">
        <v>565</v>
      </c>
      <c r="M208" s="59" t="s">
        <v>30</v>
      </c>
      <c r="N208" s="315">
        <v>7400</v>
      </c>
      <c r="O208" s="316">
        <f t="shared" si="12"/>
        <v>0</v>
      </c>
      <c r="P208" s="95">
        <v>44735</v>
      </c>
      <c r="Q208" s="61">
        <f t="shared" si="11"/>
        <v>44735</v>
      </c>
      <c r="R208" s="59"/>
      <c r="S208" s="59"/>
      <c r="T208" s="59"/>
      <c r="U208" s="59"/>
      <c r="V208" s="59"/>
      <c r="W208" s="68"/>
      <c r="X208" s="68"/>
      <c r="Y208" s="68"/>
    </row>
    <row r="209" s="17" customFormat="1" hidden="1" customHeight="1" spans="1:25">
      <c r="A209" s="59">
        <v>131</v>
      </c>
      <c r="B209" s="60" t="s">
        <v>566</v>
      </c>
      <c r="C209" s="61">
        <v>44470</v>
      </c>
      <c r="D209" s="62" t="str">
        <f ca="1" t="shared" si="10"/>
        <v>一年以上</v>
      </c>
      <c r="E209" s="313">
        <v>44487</v>
      </c>
      <c r="F209" s="59" t="s">
        <v>70</v>
      </c>
      <c r="G209" s="59" t="s">
        <v>487</v>
      </c>
      <c r="H209" s="63" t="s">
        <v>517</v>
      </c>
      <c r="I209" s="63" t="s">
        <v>517</v>
      </c>
      <c r="J209" s="314">
        <v>2000</v>
      </c>
      <c r="K209" s="59"/>
      <c r="L209" s="59" t="s">
        <v>96</v>
      </c>
      <c r="M209" s="59" t="s">
        <v>65</v>
      </c>
      <c r="N209" s="315">
        <v>2000</v>
      </c>
      <c r="O209" s="316">
        <f t="shared" si="12"/>
        <v>0</v>
      </c>
      <c r="P209" s="95">
        <f>E209</f>
        <v>44487</v>
      </c>
      <c r="Q209" s="61">
        <f t="shared" si="11"/>
        <v>44487</v>
      </c>
      <c r="R209" s="59"/>
      <c r="S209" s="59" t="s">
        <v>65</v>
      </c>
      <c r="T209" s="59" t="s">
        <v>567</v>
      </c>
      <c r="U209" s="59" t="s">
        <v>506</v>
      </c>
      <c r="V209" s="59"/>
      <c r="W209" s="68"/>
      <c r="X209" s="68"/>
      <c r="Y209" s="68"/>
    </row>
    <row r="210" s="17" customFormat="1" hidden="1" customHeight="1" spans="1:25">
      <c r="A210" s="59">
        <v>238</v>
      </c>
      <c r="B210" s="60" t="s">
        <v>568</v>
      </c>
      <c r="C210" s="61">
        <v>44470</v>
      </c>
      <c r="D210" s="62" t="str">
        <f ca="1" t="shared" si="10"/>
        <v>一年以上</v>
      </c>
      <c r="E210" s="313">
        <v>44487</v>
      </c>
      <c r="F210" s="59"/>
      <c r="G210" s="59" t="s">
        <v>569</v>
      </c>
      <c r="H210" s="63" t="s">
        <v>570</v>
      </c>
      <c r="I210" s="63" t="s">
        <v>570</v>
      </c>
      <c r="J210" s="314">
        <v>2000</v>
      </c>
      <c r="K210" s="59" t="s">
        <v>28</v>
      </c>
      <c r="L210" s="59" t="s">
        <v>466</v>
      </c>
      <c r="M210" s="59" t="s">
        <v>30</v>
      </c>
      <c r="N210" s="315">
        <v>2000</v>
      </c>
      <c r="O210" s="316">
        <f t="shared" si="12"/>
        <v>0</v>
      </c>
      <c r="P210" s="95">
        <v>44589</v>
      </c>
      <c r="Q210" s="61">
        <f t="shared" si="11"/>
        <v>44589</v>
      </c>
      <c r="R210" s="59"/>
      <c r="S210" s="59" t="s">
        <v>30</v>
      </c>
      <c r="T210" s="59"/>
      <c r="U210" s="59"/>
      <c r="V210" s="59"/>
      <c r="W210" s="68"/>
      <c r="X210" s="68"/>
      <c r="Y210" s="68"/>
    </row>
    <row r="211" s="17" customFormat="1" hidden="1" customHeight="1" spans="1:25">
      <c r="A211" s="59">
        <v>239</v>
      </c>
      <c r="B211" s="60" t="s">
        <v>571</v>
      </c>
      <c r="C211" s="61">
        <v>44470</v>
      </c>
      <c r="D211" s="62" t="str">
        <f ca="1" t="shared" si="10"/>
        <v>一年以上</v>
      </c>
      <c r="E211" s="313">
        <v>44487</v>
      </c>
      <c r="F211" s="59"/>
      <c r="G211" s="59" t="s">
        <v>371</v>
      </c>
      <c r="H211" s="63" t="s">
        <v>483</v>
      </c>
      <c r="I211" s="63" t="s">
        <v>483</v>
      </c>
      <c r="J211" s="314">
        <v>10000</v>
      </c>
      <c r="K211" s="59" t="s">
        <v>28</v>
      </c>
      <c r="L211" s="59" t="s">
        <v>466</v>
      </c>
      <c r="M211" s="59" t="s">
        <v>30</v>
      </c>
      <c r="N211" s="315">
        <v>10000</v>
      </c>
      <c r="O211" s="316">
        <f t="shared" si="12"/>
        <v>0</v>
      </c>
      <c r="P211" s="95">
        <v>45051</v>
      </c>
      <c r="Q211" s="61">
        <f t="shared" si="11"/>
        <v>45051</v>
      </c>
      <c r="R211" s="59"/>
      <c r="S211" s="59"/>
      <c r="T211" s="59" t="s">
        <v>182</v>
      </c>
      <c r="U211" s="59"/>
      <c r="V211" s="59"/>
      <c r="W211" s="68"/>
      <c r="X211" s="68"/>
      <c r="Y211" s="68"/>
    </row>
    <row r="212" s="17" customFormat="1" hidden="1" customHeight="1" spans="1:25">
      <c r="A212" s="59">
        <v>240</v>
      </c>
      <c r="B212" s="60" t="s">
        <v>572</v>
      </c>
      <c r="C212" s="61">
        <v>44470</v>
      </c>
      <c r="D212" s="62" t="str">
        <f ca="1" t="shared" si="10"/>
        <v>一年以上</v>
      </c>
      <c r="E212" s="313">
        <v>44494</v>
      </c>
      <c r="F212" s="59"/>
      <c r="G212" s="59" t="s">
        <v>506</v>
      </c>
      <c r="H212" s="63" t="s">
        <v>325</v>
      </c>
      <c r="I212" s="63" t="s">
        <v>325</v>
      </c>
      <c r="J212" s="314">
        <v>1000</v>
      </c>
      <c r="K212" s="59" t="s">
        <v>356</v>
      </c>
      <c r="L212" s="59" t="s">
        <v>565</v>
      </c>
      <c r="M212" s="59" t="s">
        <v>30</v>
      </c>
      <c r="N212" s="315">
        <v>1000</v>
      </c>
      <c r="O212" s="316">
        <f t="shared" si="12"/>
        <v>0</v>
      </c>
      <c r="P212" s="95">
        <v>44550</v>
      </c>
      <c r="Q212" s="61">
        <f t="shared" si="11"/>
        <v>44550</v>
      </c>
      <c r="R212" s="59"/>
      <c r="S212" s="59" t="s">
        <v>30</v>
      </c>
      <c r="T212" s="59"/>
      <c r="U212" s="59"/>
      <c r="V212" s="59"/>
      <c r="W212" s="68"/>
      <c r="X212" s="68"/>
      <c r="Y212" s="68"/>
    </row>
    <row r="213" s="17" customFormat="1" hidden="1" customHeight="1" spans="1:25">
      <c r="A213" s="59">
        <v>341</v>
      </c>
      <c r="B213" s="60" t="s">
        <v>573</v>
      </c>
      <c r="C213" s="61">
        <v>44470</v>
      </c>
      <c r="D213" s="62" t="str">
        <f ca="1" t="shared" si="10"/>
        <v>一年以上</v>
      </c>
      <c r="E213" s="313">
        <v>44495</v>
      </c>
      <c r="F213" s="59" t="s">
        <v>130</v>
      </c>
      <c r="G213" s="59" t="s">
        <v>456</v>
      </c>
      <c r="H213" s="63" t="s">
        <v>574</v>
      </c>
      <c r="I213" s="63" t="s">
        <v>574</v>
      </c>
      <c r="J213" s="314">
        <v>5000</v>
      </c>
      <c r="K213" s="59" t="s">
        <v>28</v>
      </c>
      <c r="L213" s="59" t="s">
        <v>575</v>
      </c>
      <c r="M213" s="59" t="s">
        <v>133</v>
      </c>
      <c r="N213" s="315">
        <v>5000</v>
      </c>
      <c r="O213" s="316">
        <f t="shared" si="12"/>
        <v>0</v>
      </c>
      <c r="P213" s="95">
        <v>44650</v>
      </c>
      <c r="Q213" s="61">
        <f t="shared" si="11"/>
        <v>44650</v>
      </c>
      <c r="R213" s="59"/>
      <c r="S213" s="59"/>
      <c r="T213" s="59"/>
      <c r="U213" s="59"/>
      <c r="V213" s="59"/>
      <c r="W213" s="68"/>
      <c r="X213" s="68"/>
      <c r="Y213" s="68"/>
    </row>
    <row r="214" s="17" customFormat="1" hidden="1" customHeight="1" spans="1:25">
      <c r="A214" s="59">
        <v>241</v>
      </c>
      <c r="B214" s="60" t="s">
        <v>576</v>
      </c>
      <c r="C214" s="61">
        <v>44470</v>
      </c>
      <c r="D214" s="62" t="str">
        <f ca="1" t="shared" si="10"/>
        <v>一年以上</v>
      </c>
      <c r="E214" s="313">
        <v>44498</v>
      </c>
      <c r="F214" s="59"/>
      <c r="G214" s="59" t="s">
        <v>239</v>
      </c>
      <c r="H214" s="63" t="s">
        <v>577</v>
      </c>
      <c r="I214" s="63" t="s">
        <v>578</v>
      </c>
      <c r="J214" s="314">
        <v>10000</v>
      </c>
      <c r="K214" s="59" t="s">
        <v>28</v>
      </c>
      <c r="L214" s="59" t="s">
        <v>466</v>
      </c>
      <c r="M214" s="59" t="s">
        <v>30</v>
      </c>
      <c r="N214" s="315">
        <v>10000</v>
      </c>
      <c r="O214" s="316">
        <f t="shared" si="12"/>
        <v>0</v>
      </c>
      <c r="P214" s="95">
        <v>44501</v>
      </c>
      <c r="Q214" s="61">
        <f t="shared" si="11"/>
        <v>44501</v>
      </c>
      <c r="R214" s="59"/>
      <c r="S214" s="59" t="s">
        <v>30</v>
      </c>
      <c r="T214" s="59"/>
      <c r="U214" s="59"/>
      <c r="V214" s="59"/>
      <c r="W214" s="68"/>
      <c r="X214" s="68"/>
      <c r="Y214" s="68"/>
    </row>
    <row r="215" s="17" customFormat="1" hidden="1" customHeight="1" spans="1:25">
      <c r="A215" s="59">
        <v>242</v>
      </c>
      <c r="B215" s="169" t="s">
        <v>579</v>
      </c>
      <c r="C215" s="61">
        <v>44470</v>
      </c>
      <c r="D215" s="62" t="str">
        <f ca="1" t="shared" si="10"/>
        <v>一年以上</v>
      </c>
      <c r="E215" s="313">
        <v>44498</v>
      </c>
      <c r="F215" s="59" t="s">
        <v>130</v>
      </c>
      <c r="G215" s="59" t="s">
        <v>301</v>
      </c>
      <c r="H215" s="63" t="s">
        <v>577</v>
      </c>
      <c r="I215" s="63" t="s">
        <v>578</v>
      </c>
      <c r="J215" s="314">
        <v>10000</v>
      </c>
      <c r="K215" s="59" t="s">
        <v>338</v>
      </c>
      <c r="L215" s="59" t="s">
        <v>538</v>
      </c>
      <c r="M215" s="59" t="s">
        <v>30</v>
      </c>
      <c r="N215" s="315">
        <v>10000</v>
      </c>
      <c r="O215" s="316">
        <f t="shared" si="12"/>
        <v>0</v>
      </c>
      <c r="P215" s="95">
        <v>46079</v>
      </c>
      <c r="Q215" s="61">
        <f t="shared" si="11"/>
        <v>46079</v>
      </c>
      <c r="R215" s="59"/>
      <c r="S215" s="59" t="s">
        <v>580</v>
      </c>
      <c r="T215" s="59" t="s">
        <v>581</v>
      </c>
      <c r="U215" s="59" t="str">
        <f>VLOOKUP(T215,[1]区域划分!$A$1:$C$39,3,0)</f>
        <v>新疆</v>
      </c>
      <c r="V215" s="59"/>
      <c r="W215" s="68"/>
      <c r="X215" s="68"/>
      <c r="Y215" s="68"/>
    </row>
    <row r="216" s="17" customFormat="1" hidden="1" customHeight="1" spans="1:25">
      <c r="A216" s="59">
        <v>372</v>
      </c>
      <c r="B216" s="60" t="s">
        <v>582</v>
      </c>
      <c r="C216" s="61">
        <v>44470</v>
      </c>
      <c r="D216" s="62" t="str">
        <f ca="1" t="shared" si="10"/>
        <v>一年以上</v>
      </c>
      <c r="E216" s="313">
        <v>44498</v>
      </c>
      <c r="F216" s="59"/>
      <c r="G216" s="59" t="s">
        <v>208</v>
      </c>
      <c r="H216" s="63" t="s">
        <v>583</v>
      </c>
      <c r="I216" s="63" t="s">
        <v>583</v>
      </c>
      <c r="J216" s="314">
        <v>500</v>
      </c>
      <c r="K216" s="59" t="s">
        <v>28</v>
      </c>
      <c r="L216" s="59" t="s">
        <v>466</v>
      </c>
      <c r="M216" s="59" t="s">
        <v>515</v>
      </c>
      <c r="N216" s="315">
        <v>500</v>
      </c>
      <c r="O216" s="316">
        <f t="shared" si="12"/>
        <v>0</v>
      </c>
      <c r="P216" s="95">
        <v>44573</v>
      </c>
      <c r="Q216" s="61">
        <f t="shared" si="11"/>
        <v>44573</v>
      </c>
      <c r="R216" s="59"/>
      <c r="S216" s="59" t="s">
        <v>584</v>
      </c>
      <c r="T216" s="59"/>
      <c r="U216" s="59"/>
      <c r="V216" s="59"/>
      <c r="W216" s="68"/>
      <c r="X216" s="68"/>
      <c r="Y216" s="68"/>
    </row>
    <row r="217" s="17" customFormat="1" hidden="1" customHeight="1" spans="1:25">
      <c r="A217" s="59">
        <v>373</v>
      </c>
      <c r="B217" s="60" t="s">
        <v>585</v>
      </c>
      <c r="C217" s="61">
        <v>44470</v>
      </c>
      <c r="D217" s="62" t="str">
        <f ca="1" t="shared" si="10"/>
        <v>一年以上</v>
      </c>
      <c r="E217" s="313">
        <v>44498</v>
      </c>
      <c r="F217" s="59"/>
      <c r="G217" s="59" t="s">
        <v>537</v>
      </c>
      <c r="H217" s="63" t="s">
        <v>583</v>
      </c>
      <c r="I217" s="63" t="s">
        <v>583</v>
      </c>
      <c r="J217" s="314">
        <v>500</v>
      </c>
      <c r="K217" s="59" t="s">
        <v>338</v>
      </c>
      <c r="L217" s="59" t="s">
        <v>538</v>
      </c>
      <c r="M217" s="59" t="s">
        <v>515</v>
      </c>
      <c r="N217" s="315">
        <v>500</v>
      </c>
      <c r="O217" s="316">
        <f t="shared" si="12"/>
        <v>0</v>
      </c>
      <c r="P217" s="95">
        <v>44573</v>
      </c>
      <c r="Q217" s="61">
        <f t="shared" si="11"/>
        <v>44573</v>
      </c>
      <c r="R217" s="59"/>
      <c r="S217" s="59" t="s">
        <v>584</v>
      </c>
      <c r="T217" s="59"/>
      <c r="U217" s="59"/>
      <c r="V217" s="59"/>
      <c r="W217" s="68"/>
      <c r="X217" s="68"/>
      <c r="Y217" s="68"/>
    </row>
    <row r="218" s="17" customFormat="1" hidden="1" customHeight="1" spans="1:25">
      <c r="A218" s="59">
        <v>243</v>
      </c>
      <c r="B218" s="60" t="s">
        <v>586</v>
      </c>
      <c r="C218" s="61">
        <v>44501</v>
      </c>
      <c r="D218" s="62" t="str">
        <f ca="1" t="shared" si="10"/>
        <v>一年以上</v>
      </c>
      <c r="E218" s="313">
        <v>44501</v>
      </c>
      <c r="F218" s="59"/>
      <c r="G218" s="59" t="s">
        <v>239</v>
      </c>
      <c r="H218" s="63" t="s">
        <v>577</v>
      </c>
      <c r="I218" s="63" t="s">
        <v>578</v>
      </c>
      <c r="J218" s="314">
        <v>10000</v>
      </c>
      <c r="K218" s="59" t="s">
        <v>28</v>
      </c>
      <c r="L218" s="59" t="s">
        <v>466</v>
      </c>
      <c r="M218" s="59" t="s">
        <v>30</v>
      </c>
      <c r="N218" s="315">
        <v>10000</v>
      </c>
      <c r="O218" s="316">
        <f t="shared" si="12"/>
        <v>0</v>
      </c>
      <c r="P218" s="95">
        <v>44645</v>
      </c>
      <c r="Q218" s="61">
        <f t="shared" si="11"/>
        <v>44645</v>
      </c>
      <c r="R218" s="59"/>
      <c r="S218" s="59"/>
      <c r="T218" s="59"/>
      <c r="U218" s="59"/>
      <c r="V218" s="59"/>
      <c r="W218" s="68"/>
      <c r="X218" s="68"/>
      <c r="Y218" s="68"/>
    </row>
    <row r="219" s="17" customFormat="1" hidden="1" customHeight="1" spans="1:25">
      <c r="A219" s="59">
        <v>351</v>
      </c>
      <c r="B219" s="60" t="s">
        <v>587</v>
      </c>
      <c r="C219" s="61">
        <v>44501</v>
      </c>
      <c r="D219" s="62" t="str">
        <f ca="1" t="shared" si="10"/>
        <v>一年以上</v>
      </c>
      <c r="E219" s="313">
        <v>44503</v>
      </c>
      <c r="F219" s="59" t="s">
        <v>130</v>
      </c>
      <c r="G219" s="59" t="s">
        <v>87</v>
      </c>
      <c r="H219" s="63" t="s">
        <v>555</v>
      </c>
      <c r="I219" s="63" t="s">
        <v>555</v>
      </c>
      <c r="J219" s="314">
        <v>6000</v>
      </c>
      <c r="K219" s="59" t="s">
        <v>28</v>
      </c>
      <c r="L219" s="59" t="s">
        <v>588</v>
      </c>
      <c r="M219" s="59" t="s">
        <v>133</v>
      </c>
      <c r="N219" s="315">
        <v>6000</v>
      </c>
      <c r="O219" s="316">
        <f t="shared" si="12"/>
        <v>0</v>
      </c>
      <c r="P219" s="95">
        <v>44791</v>
      </c>
      <c r="Q219" s="61">
        <f t="shared" si="11"/>
        <v>44791</v>
      </c>
      <c r="R219" s="59"/>
      <c r="S219" s="59" t="s">
        <v>589</v>
      </c>
      <c r="T219" s="59"/>
      <c r="U219" s="59"/>
      <c r="V219" s="59"/>
      <c r="W219" s="68"/>
      <c r="X219" s="68"/>
      <c r="Y219" s="68"/>
    </row>
    <row r="220" s="17" customFormat="1" hidden="1" customHeight="1" spans="1:25">
      <c r="A220" s="59">
        <v>374</v>
      </c>
      <c r="B220" s="60" t="s">
        <v>590</v>
      </c>
      <c r="C220" s="61">
        <v>44501</v>
      </c>
      <c r="D220" s="62" t="str">
        <f ca="1" t="shared" si="10"/>
        <v>一年以上</v>
      </c>
      <c r="E220" s="313">
        <v>44503</v>
      </c>
      <c r="F220" s="59"/>
      <c r="G220" s="59" t="s">
        <v>591</v>
      </c>
      <c r="H220" s="63" t="s">
        <v>592</v>
      </c>
      <c r="I220" s="63" t="s">
        <v>592</v>
      </c>
      <c r="J220" s="314">
        <v>200</v>
      </c>
      <c r="K220" s="59" t="s">
        <v>28</v>
      </c>
      <c r="L220" s="59" t="s">
        <v>588</v>
      </c>
      <c r="M220" s="59" t="s">
        <v>515</v>
      </c>
      <c r="N220" s="315">
        <v>200</v>
      </c>
      <c r="O220" s="316">
        <f t="shared" si="12"/>
        <v>0</v>
      </c>
      <c r="P220" s="95">
        <f>E220</f>
        <v>44503</v>
      </c>
      <c r="Q220" s="61">
        <f t="shared" si="11"/>
        <v>44503</v>
      </c>
      <c r="R220" s="59"/>
      <c r="S220" s="59" t="s">
        <v>515</v>
      </c>
      <c r="T220" s="59"/>
      <c r="U220" s="59"/>
      <c r="V220" s="59"/>
      <c r="W220" s="68"/>
      <c r="X220" s="68"/>
      <c r="Y220" s="68"/>
    </row>
    <row r="221" s="17" customFormat="1" hidden="1" customHeight="1" spans="1:25">
      <c r="A221" s="59">
        <v>132</v>
      </c>
      <c r="B221" s="60" t="s">
        <v>593</v>
      </c>
      <c r="C221" s="61">
        <v>44501</v>
      </c>
      <c r="D221" s="62" t="str">
        <f ca="1" t="shared" si="10"/>
        <v>一年以上</v>
      </c>
      <c r="E221" s="313">
        <v>44508</v>
      </c>
      <c r="F221" s="59" t="s">
        <v>282</v>
      </c>
      <c r="G221" s="59" t="s">
        <v>233</v>
      </c>
      <c r="H221" s="63" t="s">
        <v>594</v>
      </c>
      <c r="I221" s="63" t="s">
        <v>594</v>
      </c>
      <c r="J221" s="314">
        <v>9500</v>
      </c>
      <c r="K221" s="59" t="s">
        <v>28</v>
      </c>
      <c r="L221" s="59" t="s">
        <v>461</v>
      </c>
      <c r="M221" s="59" t="s">
        <v>65</v>
      </c>
      <c r="N221" s="315">
        <v>9500</v>
      </c>
      <c r="O221" s="316">
        <f t="shared" si="12"/>
        <v>0</v>
      </c>
      <c r="P221" s="95">
        <v>44760</v>
      </c>
      <c r="Q221" s="61">
        <f t="shared" si="11"/>
        <v>44760</v>
      </c>
      <c r="R221" s="59"/>
      <c r="S221" s="59" t="s">
        <v>65</v>
      </c>
      <c r="T221" s="59"/>
      <c r="U221" s="59"/>
      <c r="V221" s="59"/>
      <c r="W221" s="68"/>
      <c r="X221" s="68"/>
      <c r="Y221" s="68"/>
    </row>
    <row r="222" s="17" customFormat="1" hidden="1" customHeight="1" spans="1:25">
      <c r="A222" s="59">
        <v>244</v>
      </c>
      <c r="B222" s="60" t="s">
        <v>595</v>
      </c>
      <c r="C222" s="61">
        <v>44501</v>
      </c>
      <c r="D222" s="62" t="str">
        <f ca="1" t="shared" si="10"/>
        <v>一年以上</v>
      </c>
      <c r="E222" s="313">
        <v>44508</v>
      </c>
      <c r="F222" s="59" t="s">
        <v>130</v>
      </c>
      <c r="G222" s="59" t="s">
        <v>591</v>
      </c>
      <c r="H222" s="63" t="s">
        <v>596</v>
      </c>
      <c r="I222" s="63" t="s">
        <v>596</v>
      </c>
      <c r="J222" s="314">
        <v>10000</v>
      </c>
      <c r="K222" s="59" t="s">
        <v>28</v>
      </c>
      <c r="L222" s="59" t="s">
        <v>57</v>
      </c>
      <c r="M222" s="59" t="s">
        <v>30</v>
      </c>
      <c r="N222" s="315">
        <v>10000</v>
      </c>
      <c r="O222" s="316">
        <f t="shared" si="12"/>
        <v>0</v>
      </c>
      <c r="P222" s="95">
        <v>44756</v>
      </c>
      <c r="Q222" s="61">
        <f t="shared" si="11"/>
        <v>44756</v>
      </c>
      <c r="R222" s="59" t="s">
        <v>481</v>
      </c>
      <c r="S222" s="59" t="s">
        <v>597</v>
      </c>
      <c r="T222" s="59"/>
      <c r="U222" s="59"/>
      <c r="V222" s="59"/>
      <c r="W222" s="68"/>
      <c r="X222" s="68"/>
      <c r="Y222" s="68"/>
    </row>
    <row r="223" s="17" customFormat="1" hidden="1" customHeight="1" spans="1:25">
      <c r="A223" s="59">
        <v>133</v>
      </c>
      <c r="B223" s="60" t="s">
        <v>598</v>
      </c>
      <c r="C223" s="61">
        <v>44501</v>
      </c>
      <c r="D223" s="62" t="str">
        <f ca="1" t="shared" si="10"/>
        <v>一年以上</v>
      </c>
      <c r="E223" s="313">
        <v>44510</v>
      </c>
      <c r="F223" s="59" t="s">
        <v>282</v>
      </c>
      <c r="G223" s="59" t="s">
        <v>340</v>
      </c>
      <c r="H223" s="63" t="s">
        <v>577</v>
      </c>
      <c r="I223" s="63" t="s">
        <v>578</v>
      </c>
      <c r="J223" s="314">
        <v>2000</v>
      </c>
      <c r="K223" s="59" t="s">
        <v>28</v>
      </c>
      <c r="L223" s="59" t="s">
        <v>461</v>
      </c>
      <c r="M223" s="59" t="s">
        <v>65</v>
      </c>
      <c r="N223" s="315">
        <v>2000</v>
      </c>
      <c r="O223" s="316">
        <f t="shared" si="12"/>
        <v>0</v>
      </c>
      <c r="P223" s="95">
        <v>44756</v>
      </c>
      <c r="Q223" s="61">
        <f t="shared" si="11"/>
        <v>44756</v>
      </c>
      <c r="R223" s="59"/>
      <c r="S223" s="59" t="s">
        <v>65</v>
      </c>
      <c r="T223" s="59" t="s">
        <v>581</v>
      </c>
      <c r="U223" s="59" t="s">
        <v>239</v>
      </c>
      <c r="V223" s="59"/>
      <c r="W223" s="68"/>
      <c r="X223" s="68"/>
      <c r="Y223" s="68"/>
    </row>
    <row r="224" s="17" customFormat="1" hidden="1" customHeight="1" spans="1:25">
      <c r="A224" s="59">
        <v>134</v>
      </c>
      <c r="B224" s="60" t="s">
        <v>599</v>
      </c>
      <c r="C224" s="61">
        <v>44501</v>
      </c>
      <c r="D224" s="62" t="str">
        <f ca="1" t="shared" si="10"/>
        <v>一年以上</v>
      </c>
      <c r="E224" s="313">
        <v>44512</v>
      </c>
      <c r="F224" s="59" t="s">
        <v>130</v>
      </c>
      <c r="G224" s="59" t="s">
        <v>537</v>
      </c>
      <c r="H224" s="63" t="s">
        <v>600</v>
      </c>
      <c r="I224" s="63" t="s">
        <v>600</v>
      </c>
      <c r="J224" s="314">
        <v>2500</v>
      </c>
      <c r="K224" s="59" t="s">
        <v>28</v>
      </c>
      <c r="L224" s="59" t="s">
        <v>57</v>
      </c>
      <c r="M224" s="59" t="s">
        <v>65</v>
      </c>
      <c r="N224" s="315">
        <v>2500</v>
      </c>
      <c r="O224" s="316">
        <f t="shared" si="12"/>
        <v>0</v>
      </c>
      <c r="P224" s="95">
        <v>44645</v>
      </c>
      <c r="Q224" s="61">
        <f t="shared" si="11"/>
        <v>44645</v>
      </c>
      <c r="R224" s="59"/>
      <c r="S224" s="59" t="s">
        <v>65</v>
      </c>
      <c r="T224" s="59" t="s">
        <v>293</v>
      </c>
      <c r="U224" s="59" t="s">
        <v>294</v>
      </c>
      <c r="V224" s="59" t="s">
        <v>601</v>
      </c>
      <c r="W224" s="68"/>
      <c r="X224" s="68"/>
      <c r="Y224" s="68"/>
    </row>
    <row r="225" s="17" customFormat="1" hidden="1" customHeight="1" spans="1:25">
      <c r="A225" s="59">
        <v>245</v>
      </c>
      <c r="B225" s="60" t="s">
        <v>602</v>
      </c>
      <c r="C225" s="61">
        <v>44501</v>
      </c>
      <c r="D225" s="62" t="str">
        <f ca="1" t="shared" si="10"/>
        <v>一年以上</v>
      </c>
      <c r="E225" s="313">
        <v>44512</v>
      </c>
      <c r="F225" s="59"/>
      <c r="G225" s="59" t="s">
        <v>450</v>
      </c>
      <c r="H225" s="63" t="s">
        <v>603</v>
      </c>
      <c r="I225" s="63" t="s">
        <v>603</v>
      </c>
      <c r="J225" s="314">
        <v>5000</v>
      </c>
      <c r="K225" s="59" t="s">
        <v>28</v>
      </c>
      <c r="L225" s="59" t="s">
        <v>57</v>
      </c>
      <c r="M225" s="59" t="s">
        <v>30</v>
      </c>
      <c r="N225" s="315">
        <v>5000</v>
      </c>
      <c r="O225" s="316">
        <f t="shared" si="12"/>
        <v>0</v>
      </c>
      <c r="P225" s="95">
        <v>45217</v>
      </c>
      <c r="Q225" s="61">
        <f t="shared" si="11"/>
        <v>45217</v>
      </c>
      <c r="R225" s="59" t="s">
        <v>481</v>
      </c>
      <c r="S225" s="59" t="s">
        <v>597</v>
      </c>
      <c r="T225" s="59" t="s">
        <v>38</v>
      </c>
      <c r="U225" s="59"/>
      <c r="V225" s="59"/>
      <c r="W225" s="68"/>
      <c r="X225" s="68"/>
      <c r="Y225" s="68"/>
    </row>
    <row r="226" s="17" customFormat="1" hidden="1" customHeight="1" spans="1:25">
      <c r="A226" s="59">
        <v>135</v>
      </c>
      <c r="B226" s="60" t="s">
        <v>604</v>
      </c>
      <c r="C226" s="61">
        <v>44501</v>
      </c>
      <c r="D226" s="62" t="str">
        <f ca="1" t="shared" si="10"/>
        <v>一年以上</v>
      </c>
      <c r="E226" s="313">
        <v>44514</v>
      </c>
      <c r="F226" s="59" t="s">
        <v>282</v>
      </c>
      <c r="G226" s="59" t="s">
        <v>487</v>
      </c>
      <c r="H226" s="63" t="s">
        <v>605</v>
      </c>
      <c r="I226" s="63" t="s">
        <v>605</v>
      </c>
      <c r="J226" s="314">
        <v>9750</v>
      </c>
      <c r="K226" s="59" t="s">
        <v>28</v>
      </c>
      <c r="L226" s="59" t="s">
        <v>57</v>
      </c>
      <c r="M226" s="59" t="s">
        <v>65</v>
      </c>
      <c r="N226" s="315">
        <v>9750</v>
      </c>
      <c r="O226" s="316">
        <f t="shared" si="12"/>
        <v>0</v>
      </c>
      <c r="P226" s="95">
        <v>44652</v>
      </c>
      <c r="Q226" s="61">
        <f t="shared" si="11"/>
        <v>44652</v>
      </c>
      <c r="R226" s="59"/>
      <c r="S226" s="59" t="s">
        <v>65</v>
      </c>
      <c r="T226" s="59" t="s">
        <v>86</v>
      </c>
      <c r="U226" s="59" t="s">
        <v>87</v>
      </c>
      <c r="V226" s="59" t="s">
        <v>606</v>
      </c>
      <c r="W226" s="68"/>
      <c r="X226" s="68"/>
      <c r="Y226" s="68"/>
    </row>
    <row r="227" s="17" customFormat="1" hidden="1" customHeight="1" spans="1:25">
      <c r="A227" s="59">
        <v>136</v>
      </c>
      <c r="B227" s="60" t="s">
        <v>607</v>
      </c>
      <c r="C227" s="61">
        <v>44501</v>
      </c>
      <c r="D227" s="62" t="str">
        <f ca="1" t="shared" si="10"/>
        <v>一年以上</v>
      </c>
      <c r="E227" s="313">
        <v>44514</v>
      </c>
      <c r="F227" s="59" t="s">
        <v>82</v>
      </c>
      <c r="G227" s="59" t="s">
        <v>608</v>
      </c>
      <c r="H227" s="63" t="s">
        <v>605</v>
      </c>
      <c r="I227" s="63" t="s">
        <v>605</v>
      </c>
      <c r="J227" s="314">
        <v>12500</v>
      </c>
      <c r="K227" s="59" t="s">
        <v>28</v>
      </c>
      <c r="L227" s="59" t="s">
        <v>57</v>
      </c>
      <c r="M227" s="59" t="s">
        <v>65</v>
      </c>
      <c r="N227" s="315">
        <v>12500</v>
      </c>
      <c r="O227" s="316">
        <f t="shared" si="12"/>
        <v>0</v>
      </c>
      <c r="P227" s="95">
        <v>44652</v>
      </c>
      <c r="Q227" s="61">
        <f t="shared" si="11"/>
        <v>44652</v>
      </c>
      <c r="R227" s="59"/>
      <c r="S227" s="59" t="s">
        <v>65</v>
      </c>
      <c r="T227" s="59" t="s">
        <v>86</v>
      </c>
      <c r="U227" s="59" t="s">
        <v>87</v>
      </c>
      <c r="V227" s="59" t="s">
        <v>609</v>
      </c>
      <c r="W227" s="68"/>
      <c r="X227" s="68"/>
      <c r="Y227" s="68"/>
    </row>
    <row r="228" s="17" customFormat="1" hidden="1" customHeight="1" spans="1:25">
      <c r="A228" s="59">
        <v>137</v>
      </c>
      <c r="B228" s="60" t="s">
        <v>610</v>
      </c>
      <c r="C228" s="61">
        <v>44501</v>
      </c>
      <c r="D228" s="62" t="str">
        <f ca="1" t="shared" si="10"/>
        <v>一年以上</v>
      </c>
      <c r="E228" s="313">
        <v>44515</v>
      </c>
      <c r="F228" s="59" t="s">
        <v>70</v>
      </c>
      <c r="G228" s="59" t="s">
        <v>611</v>
      </c>
      <c r="H228" s="63" t="s">
        <v>612</v>
      </c>
      <c r="I228" s="63" t="s">
        <v>612</v>
      </c>
      <c r="J228" s="314">
        <v>2000</v>
      </c>
      <c r="K228" s="59" t="s">
        <v>28</v>
      </c>
      <c r="L228" s="59" t="s">
        <v>57</v>
      </c>
      <c r="M228" s="59" t="s">
        <v>65</v>
      </c>
      <c r="N228" s="315">
        <v>2000</v>
      </c>
      <c r="O228" s="316">
        <f t="shared" si="12"/>
        <v>0</v>
      </c>
      <c r="P228" s="95">
        <v>44539</v>
      </c>
      <c r="Q228" s="61">
        <f t="shared" si="11"/>
        <v>44539</v>
      </c>
      <c r="R228" s="59"/>
      <c r="S228" s="59" t="s">
        <v>65</v>
      </c>
      <c r="T228" s="59"/>
      <c r="U228" s="59"/>
      <c r="V228" s="59"/>
      <c r="W228" s="68"/>
      <c r="X228" s="68"/>
      <c r="Y228" s="68"/>
    </row>
    <row r="229" s="17" customFormat="1" hidden="1" customHeight="1" spans="1:25">
      <c r="A229" s="59">
        <v>246</v>
      </c>
      <c r="B229" s="60" t="s">
        <v>613</v>
      </c>
      <c r="C229" s="61">
        <v>44501</v>
      </c>
      <c r="D229" s="62" t="str">
        <f ca="1" t="shared" si="10"/>
        <v>一年以上</v>
      </c>
      <c r="E229" s="313">
        <v>44515</v>
      </c>
      <c r="F229" s="59"/>
      <c r="G229" s="59" t="s">
        <v>614</v>
      </c>
      <c r="H229" s="63" t="s">
        <v>615</v>
      </c>
      <c r="I229" s="63" t="s">
        <v>615</v>
      </c>
      <c r="J229" s="314">
        <v>5000</v>
      </c>
      <c r="K229" s="59" t="s">
        <v>356</v>
      </c>
      <c r="L229" s="59" t="s">
        <v>458</v>
      </c>
      <c r="M229" s="59" t="s">
        <v>30</v>
      </c>
      <c r="N229" s="315">
        <v>5000</v>
      </c>
      <c r="O229" s="316">
        <f t="shared" si="12"/>
        <v>0</v>
      </c>
      <c r="P229" s="95">
        <v>44525</v>
      </c>
      <c r="Q229" s="61">
        <f t="shared" si="11"/>
        <v>44525</v>
      </c>
      <c r="R229" s="59"/>
      <c r="S229" s="59" t="s">
        <v>30</v>
      </c>
      <c r="T229" s="59"/>
      <c r="U229" s="59"/>
      <c r="V229" s="59"/>
      <c r="W229" s="68"/>
      <c r="X229" s="68"/>
      <c r="Y229" s="68"/>
    </row>
    <row r="230" s="17" customFormat="1" hidden="1" customHeight="1" spans="1:25">
      <c r="A230" s="59">
        <v>247</v>
      </c>
      <c r="B230" s="60" t="s">
        <v>616</v>
      </c>
      <c r="C230" s="61">
        <v>44501</v>
      </c>
      <c r="D230" s="62" t="str">
        <f ca="1" t="shared" si="10"/>
        <v>一年以上</v>
      </c>
      <c r="E230" s="313">
        <v>44515</v>
      </c>
      <c r="F230" s="59"/>
      <c r="G230" s="59" t="s">
        <v>450</v>
      </c>
      <c r="H230" s="63" t="s">
        <v>34</v>
      </c>
      <c r="I230" s="63" t="s">
        <v>34</v>
      </c>
      <c r="J230" s="314">
        <v>50000</v>
      </c>
      <c r="K230" s="59" t="s">
        <v>28</v>
      </c>
      <c r="L230" s="59" t="s">
        <v>57</v>
      </c>
      <c r="M230" s="59" t="s">
        <v>30</v>
      </c>
      <c r="N230" s="315">
        <v>50000</v>
      </c>
      <c r="O230" s="316">
        <f t="shared" si="12"/>
        <v>0</v>
      </c>
      <c r="P230" s="95">
        <v>44560</v>
      </c>
      <c r="Q230" s="61">
        <f t="shared" si="11"/>
        <v>44560</v>
      </c>
      <c r="R230" s="59"/>
      <c r="S230" s="59"/>
      <c r="T230" s="59"/>
      <c r="U230" s="59"/>
      <c r="V230" s="59"/>
      <c r="W230" s="68"/>
      <c r="X230" s="68"/>
      <c r="Y230" s="68"/>
    </row>
    <row r="231" s="17" customFormat="1" hidden="1" customHeight="1" spans="1:25">
      <c r="A231" s="59">
        <v>248</v>
      </c>
      <c r="B231" s="60" t="s">
        <v>617</v>
      </c>
      <c r="C231" s="61">
        <v>44501</v>
      </c>
      <c r="D231" s="62" t="str">
        <f ca="1" t="shared" si="10"/>
        <v>一年以上</v>
      </c>
      <c r="E231" s="313">
        <v>44515</v>
      </c>
      <c r="F231" s="59"/>
      <c r="G231" s="59" t="s">
        <v>450</v>
      </c>
      <c r="H231" s="63" t="s">
        <v>34</v>
      </c>
      <c r="I231" s="63" t="s">
        <v>34</v>
      </c>
      <c r="J231" s="314">
        <v>50000</v>
      </c>
      <c r="K231" s="59" t="s">
        <v>28</v>
      </c>
      <c r="L231" s="59" t="s">
        <v>57</v>
      </c>
      <c r="M231" s="59" t="s">
        <v>30</v>
      </c>
      <c r="N231" s="315">
        <v>50000</v>
      </c>
      <c r="O231" s="316">
        <f t="shared" si="12"/>
        <v>0</v>
      </c>
      <c r="P231" s="95">
        <v>44560</v>
      </c>
      <c r="Q231" s="61">
        <f t="shared" si="11"/>
        <v>44560</v>
      </c>
      <c r="R231" s="59"/>
      <c r="S231" s="59" t="s">
        <v>30</v>
      </c>
      <c r="T231" s="59"/>
      <c r="U231" s="59"/>
      <c r="V231" s="59"/>
      <c r="W231" s="68"/>
      <c r="X231" s="68"/>
      <c r="Y231" s="68"/>
    </row>
    <row r="232" s="17" customFormat="1" hidden="1" customHeight="1" spans="1:25">
      <c r="A232" s="59">
        <v>375</v>
      </c>
      <c r="B232" s="60" t="s">
        <v>618</v>
      </c>
      <c r="C232" s="61">
        <v>44501</v>
      </c>
      <c r="D232" s="62" t="str">
        <f ca="1" t="shared" si="10"/>
        <v>一年以上</v>
      </c>
      <c r="E232" s="313">
        <v>44515</v>
      </c>
      <c r="F232" s="59"/>
      <c r="G232" s="59" t="s">
        <v>450</v>
      </c>
      <c r="H232" s="63" t="s">
        <v>34</v>
      </c>
      <c r="I232" s="63" t="s">
        <v>34</v>
      </c>
      <c r="J232" s="314">
        <v>1000</v>
      </c>
      <c r="K232" s="59" t="s">
        <v>28</v>
      </c>
      <c r="L232" s="59" t="s">
        <v>57</v>
      </c>
      <c r="M232" s="59" t="s">
        <v>515</v>
      </c>
      <c r="N232" s="315">
        <v>1000</v>
      </c>
      <c r="O232" s="316">
        <f t="shared" si="12"/>
        <v>0</v>
      </c>
      <c r="P232" s="95">
        <f>E232</f>
        <v>44515</v>
      </c>
      <c r="Q232" s="61">
        <f t="shared" si="11"/>
        <v>44515</v>
      </c>
      <c r="R232" s="59"/>
      <c r="S232" s="59" t="s">
        <v>515</v>
      </c>
      <c r="T232" s="59"/>
      <c r="U232" s="59"/>
      <c r="V232" s="59"/>
      <c r="W232" s="68"/>
      <c r="X232" s="68"/>
      <c r="Y232" s="68"/>
    </row>
    <row r="233" s="17" customFormat="1" hidden="1" customHeight="1" spans="1:25">
      <c r="A233" s="59">
        <v>376</v>
      </c>
      <c r="B233" s="60" t="s">
        <v>619</v>
      </c>
      <c r="C233" s="61">
        <v>44501</v>
      </c>
      <c r="D233" s="62" t="str">
        <f ca="1" t="shared" si="10"/>
        <v>一年以上</v>
      </c>
      <c r="E233" s="313">
        <v>44515</v>
      </c>
      <c r="F233" s="59"/>
      <c r="G233" s="59" t="s">
        <v>450</v>
      </c>
      <c r="H233" s="63" t="s">
        <v>34</v>
      </c>
      <c r="I233" s="63" t="s">
        <v>34</v>
      </c>
      <c r="J233" s="314">
        <v>1000</v>
      </c>
      <c r="K233" s="59" t="s">
        <v>28</v>
      </c>
      <c r="L233" s="59" t="s">
        <v>57</v>
      </c>
      <c r="M233" s="59" t="s">
        <v>515</v>
      </c>
      <c r="N233" s="315">
        <v>1000</v>
      </c>
      <c r="O233" s="316">
        <f t="shared" si="12"/>
        <v>0</v>
      </c>
      <c r="P233" s="95">
        <f>E233</f>
        <v>44515</v>
      </c>
      <c r="Q233" s="61">
        <f t="shared" si="11"/>
        <v>44515</v>
      </c>
      <c r="R233" s="59"/>
      <c r="S233" s="59" t="s">
        <v>515</v>
      </c>
      <c r="T233" s="59"/>
      <c r="U233" s="59"/>
      <c r="V233" s="59"/>
      <c r="W233" s="68"/>
      <c r="X233" s="68"/>
      <c r="Y233" s="68"/>
    </row>
    <row r="234" s="17" customFormat="1" hidden="1" customHeight="1" spans="1:25">
      <c r="A234" s="59">
        <v>138</v>
      </c>
      <c r="B234" s="60" t="s">
        <v>620</v>
      </c>
      <c r="C234" s="61">
        <v>44501</v>
      </c>
      <c r="D234" s="62" t="str">
        <f ca="1" t="shared" si="10"/>
        <v>一年以上</v>
      </c>
      <c r="E234" s="313">
        <v>44517</v>
      </c>
      <c r="F234" s="59" t="s">
        <v>70</v>
      </c>
      <c r="G234" s="59" t="s">
        <v>621</v>
      </c>
      <c r="H234" s="63" t="s">
        <v>366</v>
      </c>
      <c r="I234" s="63" t="s">
        <v>366</v>
      </c>
      <c r="J234" s="314">
        <v>10000</v>
      </c>
      <c r="K234" s="59" t="s">
        <v>356</v>
      </c>
      <c r="L234" s="59" t="s">
        <v>458</v>
      </c>
      <c r="M234" s="59" t="s">
        <v>65</v>
      </c>
      <c r="N234" s="315">
        <f>9600+400</f>
        <v>10000</v>
      </c>
      <c r="O234" s="316">
        <f t="shared" si="12"/>
        <v>0</v>
      </c>
      <c r="P234" s="95">
        <v>45069</v>
      </c>
      <c r="Q234" s="61">
        <f t="shared" si="11"/>
        <v>45069</v>
      </c>
      <c r="R234" s="59" t="s">
        <v>622</v>
      </c>
      <c r="S234" s="59" t="s">
        <v>623</v>
      </c>
      <c r="T234" s="59" t="s">
        <v>182</v>
      </c>
      <c r="U234" s="59" t="s">
        <v>125</v>
      </c>
      <c r="V234" s="59"/>
      <c r="W234" s="68"/>
      <c r="X234" s="68"/>
      <c r="Y234" s="68"/>
    </row>
    <row r="235" s="17" customFormat="1" hidden="1" customHeight="1" spans="1:25">
      <c r="A235" s="59">
        <v>249</v>
      </c>
      <c r="B235" s="60" t="s">
        <v>624</v>
      </c>
      <c r="C235" s="61">
        <v>44501</v>
      </c>
      <c r="D235" s="62" t="str">
        <f ca="1" t="shared" si="10"/>
        <v>一年以上</v>
      </c>
      <c r="E235" s="313">
        <v>44517</v>
      </c>
      <c r="F235" s="59"/>
      <c r="G235" s="59" t="s">
        <v>614</v>
      </c>
      <c r="H235" s="63" t="s">
        <v>352</v>
      </c>
      <c r="I235" s="63" t="s">
        <v>352</v>
      </c>
      <c r="J235" s="314">
        <v>10000</v>
      </c>
      <c r="K235" s="59" t="s">
        <v>28</v>
      </c>
      <c r="L235" s="59" t="s">
        <v>57</v>
      </c>
      <c r="M235" s="59" t="s">
        <v>30</v>
      </c>
      <c r="N235" s="315">
        <v>10000</v>
      </c>
      <c r="O235" s="316">
        <f t="shared" si="12"/>
        <v>0</v>
      </c>
      <c r="P235" s="95">
        <v>44921</v>
      </c>
      <c r="Q235" s="61">
        <f t="shared" si="11"/>
        <v>44921</v>
      </c>
      <c r="R235" s="59" t="s">
        <v>625</v>
      </c>
      <c r="S235" s="59" t="s">
        <v>62</v>
      </c>
      <c r="T235" s="59"/>
      <c r="U235" s="59"/>
      <c r="V235" s="59"/>
      <c r="W235" s="68"/>
      <c r="X235" s="68"/>
      <c r="Y235" s="68"/>
    </row>
    <row r="236" s="17" customFormat="1" hidden="1" customHeight="1" spans="1:25">
      <c r="A236" s="59">
        <v>250</v>
      </c>
      <c r="B236" s="60" t="s">
        <v>626</v>
      </c>
      <c r="C236" s="61">
        <v>44501</v>
      </c>
      <c r="D236" s="62" t="str">
        <f ca="1" t="shared" si="10"/>
        <v>一年以上</v>
      </c>
      <c r="E236" s="313">
        <v>44517</v>
      </c>
      <c r="F236" s="59"/>
      <c r="G236" s="59" t="s">
        <v>614</v>
      </c>
      <c r="H236" s="63" t="s">
        <v>352</v>
      </c>
      <c r="I236" s="63" t="s">
        <v>352</v>
      </c>
      <c r="J236" s="314">
        <v>10000</v>
      </c>
      <c r="K236" s="59" t="s">
        <v>338</v>
      </c>
      <c r="L236" s="59" t="s">
        <v>627</v>
      </c>
      <c r="M236" s="59" t="s">
        <v>30</v>
      </c>
      <c r="N236" s="315">
        <v>10000</v>
      </c>
      <c r="O236" s="316">
        <f t="shared" si="12"/>
        <v>0</v>
      </c>
      <c r="P236" s="95">
        <v>44207</v>
      </c>
      <c r="Q236" s="61">
        <f t="shared" si="11"/>
        <v>44207</v>
      </c>
      <c r="R236" s="59"/>
      <c r="S236" s="59" t="s">
        <v>30</v>
      </c>
      <c r="T236" s="59"/>
      <c r="U236" s="59"/>
      <c r="V236" s="59"/>
      <c r="W236" s="68"/>
      <c r="X236" s="68"/>
      <c r="Y236" s="68"/>
    </row>
    <row r="237" s="17" customFormat="1" hidden="1" customHeight="1" spans="1:25">
      <c r="A237" s="59">
        <v>251</v>
      </c>
      <c r="B237" s="60" t="s">
        <v>628</v>
      </c>
      <c r="C237" s="61">
        <v>44501</v>
      </c>
      <c r="D237" s="62" t="str">
        <f ca="1" t="shared" si="10"/>
        <v>一年以上</v>
      </c>
      <c r="E237" s="313">
        <v>44517</v>
      </c>
      <c r="F237" s="59"/>
      <c r="G237" s="59" t="s">
        <v>614</v>
      </c>
      <c r="H237" s="63" t="s">
        <v>564</v>
      </c>
      <c r="I237" s="63" t="s">
        <v>564</v>
      </c>
      <c r="J237" s="314">
        <v>11600</v>
      </c>
      <c r="K237" s="59" t="s">
        <v>356</v>
      </c>
      <c r="L237" s="59" t="s">
        <v>629</v>
      </c>
      <c r="M237" s="59" t="s">
        <v>30</v>
      </c>
      <c r="N237" s="315">
        <v>11600</v>
      </c>
      <c r="O237" s="316">
        <f t="shared" si="12"/>
        <v>0</v>
      </c>
      <c r="P237" s="95">
        <v>44771</v>
      </c>
      <c r="Q237" s="61">
        <f t="shared" si="11"/>
        <v>44771</v>
      </c>
      <c r="R237" s="59"/>
      <c r="S237" s="59"/>
      <c r="T237" s="59"/>
      <c r="U237" s="59"/>
      <c r="V237" s="59"/>
      <c r="W237" s="68"/>
      <c r="X237" s="68"/>
      <c r="Y237" s="68"/>
    </row>
    <row r="238" s="17" customFormat="1" hidden="1" customHeight="1" spans="1:25">
      <c r="A238" s="59">
        <v>377</v>
      </c>
      <c r="B238" s="60" t="s">
        <v>630</v>
      </c>
      <c r="C238" s="61">
        <v>44501</v>
      </c>
      <c r="D238" s="62" t="str">
        <f ca="1" t="shared" si="10"/>
        <v>一年以上</v>
      </c>
      <c r="E238" s="313">
        <v>44517</v>
      </c>
      <c r="F238" s="59"/>
      <c r="G238" s="59" t="s">
        <v>614</v>
      </c>
      <c r="H238" s="63" t="s">
        <v>352</v>
      </c>
      <c r="I238" s="63" t="s">
        <v>352</v>
      </c>
      <c r="J238" s="314">
        <v>200</v>
      </c>
      <c r="K238" s="59" t="s">
        <v>28</v>
      </c>
      <c r="L238" s="59" t="s">
        <v>57</v>
      </c>
      <c r="M238" s="59" t="s">
        <v>515</v>
      </c>
      <c r="N238" s="315">
        <v>200</v>
      </c>
      <c r="O238" s="316">
        <f t="shared" si="12"/>
        <v>0</v>
      </c>
      <c r="P238" s="95">
        <f>E238</f>
        <v>44517</v>
      </c>
      <c r="Q238" s="61">
        <f t="shared" si="11"/>
        <v>44517</v>
      </c>
      <c r="R238" s="59"/>
      <c r="S238" s="59" t="s">
        <v>515</v>
      </c>
      <c r="T238" s="59"/>
      <c r="U238" s="59"/>
      <c r="V238" s="59"/>
      <c r="W238" s="68"/>
      <c r="X238" s="68"/>
      <c r="Y238" s="68"/>
    </row>
    <row r="239" s="17" customFormat="1" hidden="1" customHeight="1" spans="1:25">
      <c r="A239" s="59">
        <v>378</v>
      </c>
      <c r="B239" s="60" t="s">
        <v>631</v>
      </c>
      <c r="C239" s="61">
        <v>44501</v>
      </c>
      <c r="D239" s="62" t="str">
        <f ca="1" t="shared" si="10"/>
        <v>一年以上</v>
      </c>
      <c r="E239" s="313">
        <v>44517</v>
      </c>
      <c r="F239" s="59" t="s">
        <v>632</v>
      </c>
      <c r="G239" s="59" t="s">
        <v>614</v>
      </c>
      <c r="H239" s="63" t="s">
        <v>352</v>
      </c>
      <c r="I239" s="63" t="s">
        <v>352</v>
      </c>
      <c r="J239" s="314">
        <v>200</v>
      </c>
      <c r="K239" s="59" t="s">
        <v>338</v>
      </c>
      <c r="L239" s="59" t="s">
        <v>627</v>
      </c>
      <c r="M239" s="59" t="s">
        <v>515</v>
      </c>
      <c r="N239" s="315">
        <v>200</v>
      </c>
      <c r="O239" s="316">
        <f t="shared" si="12"/>
        <v>0</v>
      </c>
      <c r="P239" s="95">
        <f>E239</f>
        <v>44517</v>
      </c>
      <c r="Q239" s="61">
        <f t="shared" si="11"/>
        <v>44517</v>
      </c>
      <c r="R239" s="59"/>
      <c r="S239" s="59" t="s">
        <v>515</v>
      </c>
      <c r="T239" s="59"/>
      <c r="U239" s="59"/>
      <c r="V239" s="59"/>
      <c r="W239" s="68"/>
      <c r="X239" s="68"/>
      <c r="Y239" s="68"/>
    </row>
    <row r="240" s="17" customFormat="1" hidden="1" customHeight="1" spans="1:25">
      <c r="A240" s="59">
        <v>379</v>
      </c>
      <c r="B240" s="60" t="s">
        <v>633</v>
      </c>
      <c r="C240" s="61">
        <v>44501</v>
      </c>
      <c r="D240" s="62" t="str">
        <f ca="1" t="shared" si="10"/>
        <v>一年以上</v>
      </c>
      <c r="E240" s="313">
        <v>44517</v>
      </c>
      <c r="F240" s="59" t="s">
        <v>130</v>
      </c>
      <c r="G240" s="59" t="s">
        <v>239</v>
      </c>
      <c r="H240" s="63" t="s">
        <v>634</v>
      </c>
      <c r="I240" s="63" t="s">
        <v>634</v>
      </c>
      <c r="J240" s="314">
        <v>200</v>
      </c>
      <c r="K240" s="59"/>
      <c r="L240" s="59" t="s">
        <v>96</v>
      </c>
      <c r="M240" s="59" t="s">
        <v>515</v>
      </c>
      <c r="N240" s="315">
        <v>200</v>
      </c>
      <c r="O240" s="316">
        <f t="shared" si="12"/>
        <v>0</v>
      </c>
      <c r="P240" s="95">
        <f>E240</f>
        <v>44517</v>
      </c>
      <c r="Q240" s="61">
        <f t="shared" si="11"/>
        <v>44517</v>
      </c>
      <c r="R240" s="59"/>
      <c r="S240" s="59" t="s">
        <v>515</v>
      </c>
      <c r="T240" s="59"/>
      <c r="U240" s="59"/>
      <c r="V240" s="59"/>
      <c r="W240" s="68"/>
      <c r="X240" s="68"/>
      <c r="Y240" s="68"/>
    </row>
    <row r="241" s="17" customFormat="1" hidden="1" customHeight="1" spans="1:25">
      <c r="A241" s="59">
        <v>252</v>
      </c>
      <c r="B241" s="60" t="s">
        <v>635</v>
      </c>
      <c r="C241" s="61">
        <v>44501</v>
      </c>
      <c r="D241" s="62" t="str">
        <f ca="1" t="shared" si="10"/>
        <v>一年以上</v>
      </c>
      <c r="E241" s="313">
        <v>44518</v>
      </c>
      <c r="F241" s="59"/>
      <c r="G241" s="59" t="s">
        <v>450</v>
      </c>
      <c r="H241" s="63" t="s">
        <v>362</v>
      </c>
      <c r="I241" s="63" t="s">
        <v>362</v>
      </c>
      <c r="J241" s="314">
        <v>10000</v>
      </c>
      <c r="K241" s="59" t="s">
        <v>28</v>
      </c>
      <c r="L241" s="59" t="s">
        <v>57</v>
      </c>
      <c r="M241" s="59" t="s">
        <v>30</v>
      </c>
      <c r="N241" s="315">
        <v>10000</v>
      </c>
      <c r="O241" s="316">
        <f t="shared" si="12"/>
        <v>0</v>
      </c>
      <c r="P241" s="95">
        <v>44519</v>
      </c>
      <c r="Q241" s="61">
        <f t="shared" si="11"/>
        <v>44519</v>
      </c>
      <c r="R241" s="59"/>
      <c r="S241" s="59" t="s">
        <v>30</v>
      </c>
      <c r="T241" s="59"/>
      <c r="U241" s="59"/>
      <c r="V241" s="59"/>
      <c r="W241" s="68"/>
      <c r="X241" s="68"/>
      <c r="Y241" s="68"/>
    </row>
    <row r="242" s="17" customFormat="1" hidden="1" customHeight="1" spans="1:25">
      <c r="A242" s="59">
        <v>253</v>
      </c>
      <c r="B242" s="60" t="s">
        <v>636</v>
      </c>
      <c r="C242" s="61">
        <v>44501</v>
      </c>
      <c r="D242" s="62" t="str">
        <f ca="1" t="shared" si="10"/>
        <v>一年以上</v>
      </c>
      <c r="E242" s="313">
        <v>44518</v>
      </c>
      <c r="F242" s="59"/>
      <c r="G242" s="59" t="s">
        <v>614</v>
      </c>
      <c r="H242" s="63" t="s">
        <v>637</v>
      </c>
      <c r="I242" s="63" t="s">
        <v>637</v>
      </c>
      <c r="J242" s="314">
        <v>50000</v>
      </c>
      <c r="K242" s="59" t="s">
        <v>28</v>
      </c>
      <c r="L242" s="59" t="s">
        <v>57</v>
      </c>
      <c r="M242" s="59" t="s">
        <v>30</v>
      </c>
      <c r="N242" s="315">
        <v>50000</v>
      </c>
      <c r="O242" s="316">
        <f t="shared" si="12"/>
        <v>0</v>
      </c>
      <c r="P242" s="95">
        <v>44555</v>
      </c>
      <c r="Q242" s="61">
        <f t="shared" si="11"/>
        <v>44555</v>
      </c>
      <c r="R242" s="59"/>
      <c r="S242" s="59" t="s">
        <v>30</v>
      </c>
      <c r="T242" s="59"/>
      <c r="U242" s="59"/>
      <c r="V242" s="59"/>
      <c r="W242" s="68"/>
      <c r="X242" s="68"/>
      <c r="Y242" s="68"/>
    </row>
    <row r="243" s="17" customFormat="1" hidden="1" customHeight="1" spans="1:25">
      <c r="A243" s="59">
        <v>254</v>
      </c>
      <c r="B243" s="60" t="s">
        <v>638</v>
      </c>
      <c r="C243" s="61">
        <v>44501</v>
      </c>
      <c r="D243" s="62" t="str">
        <f ca="1" t="shared" si="10"/>
        <v>一年以上</v>
      </c>
      <c r="E243" s="313">
        <v>44519</v>
      </c>
      <c r="F243" s="59"/>
      <c r="G243" s="59" t="s">
        <v>614</v>
      </c>
      <c r="H243" s="63" t="s">
        <v>639</v>
      </c>
      <c r="I243" s="63" t="s">
        <v>639</v>
      </c>
      <c r="J243" s="314">
        <v>2000</v>
      </c>
      <c r="K243" s="59" t="s">
        <v>28</v>
      </c>
      <c r="L243" s="59" t="s">
        <v>57</v>
      </c>
      <c r="M243" s="59" t="s">
        <v>30</v>
      </c>
      <c r="N243" s="315">
        <v>2000</v>
      </c>
      <c r="O243" s="316">
        <f t="shared" si="12"/>
        <v>0</v>
      </c>
      <c r="P243" s="95">
        <v>44579</v>
      </c>
      <c r="Q243" s="61">
        <f t="shared" si="11"/>
        <v>44579</v>
      </c>
      <c r="R243" s="59"/>
      <c r="S243" s="59" t="s">
        <v>30</v>
      </c>
      <c r="T243" s="59"/>
      <c r="U243" s="59"/>
      <c r="V243" s="59"/>
      <c r="W243" s="68"/>
      <c r="X243" s="68"/>
      <c r="Y243" s="68"/>
    </row>
    <row r="244" s="17" customFormat="1" hidden="1" customHeight="1" spans="1:25">
      <c r="A244" s="59">
        <v>380</v>
      </c>
      <c r="B244" s="60" t="s">
        <v>640</v>
      </c>
      <c r="C244" s="61">
        <v>44501</v>
      </c>
      <c r="D244" s="62" t="str">
        <f ca="1" t="shared" si="10"/>
        <v>一年以上</v>
      </c>
      <c r="E244" s="313">
        <v>44522</v>
      </c>
      <c r="F244" s="59" t="s">
        <v>632</v>
      </c>
      <c r="G244" s="59" t="s">
        <v>450</v>
      </c>
      <c r="H244" s="63" t="s">
        <v>641</v>
      </c>
      <c r="I244" s="63" t="s">
        <v>641</v>
      </c>
      <c r="J244" s="314">
        <v>600</v>
      </c>
      <c r="K244" s="59" t="s">
        <v>28</v>
      </c>
      <c r="L244" s="59" t="s">
        <v>57</v>
      </c>
      <c r="M244" s="59" t="s">
        <v>515</v>
      </c>
      <c r="N244" s="315">
        <v>600</v>
      </c>
      <c r="O244" s="316">
        <f t="shared" si="12"/>
        <v>0</v>
      </c>
      <c r="P244" s="95">
        <f>E244</f>
        <v>44522</v>
      </c>
      <c r="Q244" s="61">
        <f t="shared" si="11"/>
        <v>44522</v>
      </c>
      <c r="R244" s="59"/>
      <c r="S244" s="59" t="s">
        <v>515</v>
      </c>
      <c r="T244" s="59"/>
      <c r="U244" s="59"/>
      <c r="V244" s="59"/>
      <c r="W244" s="68"/>
      <c r="X244" s="68"/>
      <c r="Y244" s="68"/>
    </row>
    <row r="245" s="17" customFormat="1" hidden="1" customHeight="1" spans="1:25">
      <c r="A245" s="59">
        <v>381</v>
      </c>
      <c r="B245" s="60" t="s">
        <v>642</v>
      </c>
      <c r="C245" s="61">
        <v>44501</v>
      </c>
      <c r="D245" s="62" t="str">
        <f ca="1" t="shared" si="10"/>
        <v>一年以上</v>
      </c>
      <c r="E245" s="313">
        <v>44522</v>
      </c>
      <c r="F245" s="59" t="s">
        <v>632</v>
      </c>
      <c r="G245" s="59" t="s">
        <v>450</v>
      </c>
      <c r="H245" s="63" t="s">
        <v>643</v>
      </c>
      <c r="I245" s="63" t="s">
        <v>643</v>
      </c>
      <c r="J245" s="314">
        <v>400</v>
      </c>
      <c r="K245" s="59" t="s">
        <v>28</v>
      </c>
      <c r="L245" s="59" t="s">
        <v>57</v>
      </c>
      <c r="M245" s="59" t="s">
        <v>515</v>
      </c>
      <c r="N245" s="315">
        <v>400</v>
      </c>
      <c r="O245" s="316">
        <f t="shared" si="12"/>
        <v>0</v>
      </c>
      <c r="P245" s="95">
        <f>E245</f>
        <v>44522</v>
      </c>
      <c r="Q245" s="61">
        <f t="shared" si="11"/>
        <v>44522</v>
      </c>
      <c r="R245" s="59"/>
      <c r="S245" s="59" t="s">
        <v>515</v>
      </c>
      <c r="T245" s="59"/>
      <c r="U245" s="59"/>
      <c r="V245" s="59"/>
      <c r="W245" s="68"/>
      <c r="X245" s="68"/>
      <c r="Y245" s="68"/>
    </row>
    <row r="246" s="17" customFormat="1" hidden="1" customHeight="1" spans="1:25">
      <c r="A246" s="59">
        <v>255</v>
      </c>
      <c r="B246" s="60" t="s">
        <v>644</v>
      </c>
      <c r="C246" s="61">
        <v>44501</v>
      </c>
      <c r="D246" s="62" t="str">
        <f ca="1" t="shared" si="10"/>
        <v>一年以上</v>
      </c>
      <c r="E246" s="313">
        <v>44523</v>
      </c>
      <c r="F246" s="59"/>
      <c r="G246" s="59" t="s">
        <v>450</v>
      </c>
      <c r="H246" s="63" t="s">
        <v>641</v>
      </c>
      <c r="I246" s="63" t="s">
        <v>641</v>
      </c>
      <c r="J246" s="314">
        <v>2000</v>
      </c>
      <c r="K246" s="59" t="s">
        <v>28</v>
      </c>
      <c r="L246" s="59" t="s">
        <v>57</v>
      </c>
      <c r="M246" s="59" t="s">
        <v>30</v>
      </c>
      <c r="N246" s="315">
        <v>2000</v>
      </c>
      <c r="O246" s="316">
        <f t="shared" si="12"/>
        <v>0</v>
      </c>
      <c r="P246" s="95">
        <v>44539</v>
      </c>
      <c r="Q246" s="61">
        <f t="shared" si="11"/>
        <v>44539</v>
      </c>
      <c r="R246" s="59"/>
      <c r="S246" s="59" t="s">
        <v>30</v>
      </c>
      <c r="T246" s="59"/>
      <c r="U246" s="59"/>
      <c r="V246" s="59"/>
      <c r="W246" s="68"/>
      <c r="X246" s="68"/>
      <c r="Y246" s="68"/>
    </row>
    <row r="247" s="17" customFormat="1" hidden="1" customHeight="1" spans="1:25">
      <c r="A247" s="59">
        <v>256</v>
      </c>
      <c r="B247" s="60" t="s">
        <v>645</v>
      </c>
      <c r="C247" s="61">
        <v>44501</v>
      </c>
      <c r="D247" s="62" t="str">
        <f ca="1" t="shared" si="10"/>
        <v>一年以上</v>
      </c>
      <c r="E247" s="313">
        <v>44523</v>
      </c>
      <c r="F247" s="59"/>
      <c r="G247" s="59" t="s">
        <v>450</v>
      </c>
      <c r="H247" s="63" t="s">
        <v>641</v>
      </c>
      <c r="I247" s="63" t="s">
        <v>641</v>
      </c>
      <c r="J247" s="314">
        <v>8000</v>
      </c>
      <c r="K247" s="59" t="s">
        <v>28</v>
      </c>
      <c r="L247" s="59" t="s">
        <v>57</v>
      </c>
      <c r="M247" s="59" t="s">
        <v>30</v>
      </c>
      <c r="N247" s="315">
        <v>8000</v>
      </c>
      <c r="O247" s="316">
        <f t="shared" si="12"/>
        <v>0</v>
      </c>
      <c r="P247" s="95">
        <v>44539</v>
      </c>
      <c r="Q247" s="61">
        <f t="shared" si="11"/>
        <v>44539</v>
      </c>
      <c r="R247" s="59"/>
      <c r="S247" s="59" t="s">
        <v>30</v>
      </c>
      <c r="T247" s="59"/>
      <c r="U247" s="59"/>
      <c r="V247" s="59"/>
      <c r="W247" s="68"/>
      <c r="X247" s="68"/>
      <c r="Y247" s="68"/>
    </row>
    <row r="248" s="17" customFormat="1" hidden="1" customHeight="1" spans="1:25">
      <c r="A248" s="59">
        <v>257</v>
      </c>
      <c r="B248" s="60" t="s">
        <v>646</v>
      </c>
      <c r="C248" s="61">
        <v>44501</v>
      </c>
      <c r="D248" s="62" t="str">
        <f ca="1" t="shared" si="10"/>
        <v>一年以上</v>
      </c>
      <c r="E248" s="313">
        <v>44523</v>
      </c>
      <c r="F248" s="59"/>
      <c r="G248" s="59" t="s">
        <v>450</v>
      </c>
      <c r="H248" s="63" t="s">
        <v>643</v>
      </c>
      <c r="I248" s="63" t="s">
        <v>643</v>
      </c>
      <c r="J248" s="314">
        <v>10000</v>
      </c>
      <c r="K248" s="59" t="s">
        <v>28</v>
      </c>
      <c r="L248" s="59" t="s">
        <v>57</v>
      </c>
      <c r="M248" s="59" t="s">
        <v>30</v>
      </c>
      <c r="N248" s="315">
        <v>10000</v>
      </c>
      <c r="O248" s="316">
        <f t="shared" si="12"/>
        <v>0</v>
      </c>
      <c r="P248" s="95">
        <v>41247</v>
      </c>
      <c r="Q248" s="61">
        <f t="shared" si="11"/>
        <v>41247</v>
      </c>
      <c r="R248" s="59"/>
      <c r="S248" s="59" t="s">
        <v>30</v>
      </c>
      <c r="T248" s="59"/>
      <c r="U248" s="59"/>
      <c r="V248" s="59"/>
      <c r="W248" s="68"/>
      <c r="X248" s="68"/>
      <c r="Y248" s="68"/>
    </row>
    <row r="249" s="17" customFormat="1" hidden="1" customHeight="1" spans="1:25">
      <c r="A249" s="59">
        <v>258</v>
      </c>
      <c r="B249" s="60" t="s">
        <v>647</v>
      </c>
      <c r="C249" s="61">
        <v>44501</v>
      </c>
      <c r="D249" s="62" t="str">
        <f ca="1" t="shared" si="10"/>
        <v>一年以上</v>
      </c>
      <c r="E249" s="313">
        <v>44523</v>
      </c>
      <c r="F249" s="59"/>
      <c r="G249" s="59" t="s">
        <v>450</v>
      </c>
      <c r="H249" s="63" t="s">
        <v>648</v>
      </c>
      <c r="I249" s="63" t="s">
        <v>648</v>
      </c>
      <c r="J249" s="314">
        <v>10000</v>
      </c>
      <c r="K249" s="59" t="s">
        <v>28</v>
      </c>
      <c r="L249" s="59" t="s">
        <v>57</v>
      </c>
      <c r="M249" s="59" t="s">
        <v>30</v>
      </c>
      <c r="N249" s="315">
        <v>10000</v>
      </c>
      <c r="O249" s="316">
        <f t="shared" si="12"/>
        <v>0</v>
      </c>
      <c r="P249" s="95">
        <v>44552</v>
      </c>
      <c r="Q249" s="61">
        <f t="shared" si="11"/>
        <v>44552</v>
      </c>
      <c r="R249" s="59"/>
      <c r="S249" s="59" t="s">
        <v>30</v>
      </c>
      <c r="T249" s="59"/>
      <c r="U249" s="59"/>
      <c r="V249" s="59"/>
      <c r="W249" s="68"/>
      <c r="X249" s="68"/>
      <c r="Y249" s="68"/>
    </row>
    <row r="250" s="17" customFormat="1" hidden="1" customHeight="1" spans="1:25">
      <c r="A250" s="59">
        <v>259</v>
      </c>
      <c r="B250" s="60" t="s">
        <v>649</v>
      </c>
      <c r="C250" s="61">
        <v>44501</v>
      </c>
      <c r="D250" s="62" t="str">
        <f ca="1" t="shared" si="10"/>
        <v>一年以上</v>
      </c>
      <c r="E250" s="313">
        <v>44523</v>
      </c>
      <c r="F250" s="59" t="s">
        <v>632</v>
      </c>
      <c r="G250" s="59" t="s">
        <v>450</v>
      </c>
      <c r="H250" s="63" t="s">
        <v>650</v>
      </c>
      <c r="I250" s="63" t="s">
        <v>651</v>
      </c>
      <c r="J250" s="314">
        <v>1500</v>
      </c>
      <c r="K250" s="59" t="s">
        <v>28</v>
      </c>
      <c r="L250" s="59" t="s">
        <v>57</v>
      </c>
      <c r="M250" s="59" t="s">
        <v>30</v>
      </c>
      <c r="N250" s="315">
        <v>1500</v>
      </c>
      <c r="O250" s="316">
        <f t="shared" si="12"/>
        <v>0</v>
      </c>
      <c r="P250" s="95">
        <v>45804</v>
      </c>
      <c r="Q250" s="61">
        <f t="shared" si="11"/>
        <v>45804</v>
      </c>
      <c r="R250" s="59" t="s">
        <v>481</v>
      </c>
      <c r="S250" s="59" t="s">
        <v>652</v>
      </c>
      <c r="T250" s="59" t="s">
        <v>581</v>
      </c>
      <c r="U250" s="59" t="str">
        <f>VLOOKUP(T250,[1]区域划分!$A$1:$C$39,3,0)</f>
        <v>新疆</v>
      </c>
      <c r="V250" s="370" t="s">
        <v>653</v>
      </c>
      <c r="W250" s="68"/>
      <c r="X250" s="68"/>
      <c r="Y250" s="68"/>
    </row>
    <row r="251" s="17" customFormat="1" hidden="1" customHeight="1" spans="1:25">
      <c r="A251" s="59">
        <v>260</v>
      </c>
      <c r="B251" s="60" t="s">
        <v>654</v>
      </c>
      <c r="C251" s="61">
        <v>44501</v>
      </c>
      <c r="D251" s="62" t="str">
        <f ca="1" t="shared" si="10"/>
        <v>一年以上</v>
      </c>
      <c r="E251" s="313">
        <v>44523</v>
      </c>
      <c r="F251" s="59"/>
      <c r="G251" s="59" t="s">
        <v>614</v>
      </c>
      <c r="H251" s="63" t="s">
        <v>639</v>
      </c>
      <c r="I251" s="63" t="s">
        <v>639</v>
      </c>
      <c r="J251" s="314">
        <v>6000</v>
      </c>
      <c r="K251" s="59" t="s">
        <v>28</v>
      </c>
      <c r="L251" s="59" t="s">
        <v>57</v>
      </c>
      <c r="M251" s="59" t="s">
        <v>30</v>
      </c>
      <c r="N251" s="315">
        <v>6000</v>
      </c>
      <c r="O251" s="316">
        <f t="shared" si="12"/>
        <v>0</v>
      </c>
      <c r="P251" s="95">
        <v>44567</v>
      </c>
      <c r="Q251" s="61">
        <f t="shared" si="11"/>
        <v>44567</v>
      </c>
      <c r="R251" s="59"/>
      <c r="S251" s="59" t="s">
        <v>30</v>
      </c>
      <c r="T251" s="59"/>
      <c r="U251" s="59"/>
      <c r="V251" s="59"/>
      <c r="W251" s="68"/>
      <c r="X251" s="68"/>
      <c r="Y251" s="68"/>
    </row>
    <row r="252" s="17" customFormat="1" hidden="1" customHeight="1" spans="1:25">
      <c r="A252" s="59">
        <v>261</v>
      </c>
      <c r="B252" s="60" t="s">
        <v>655</v>
      </c>
      <c r="C252" s="61">
        <v>44501</v>
      </c>
      <c r="D252" s="62" t="str">
        <f ca="1" t="shared" si="10"/>
        <v>一年以上</v>
      </c>
      <c r="E252" s="313">
        <v>44523</v>
      </c>
      <c r="F252" s="59"/>
      <c r="G252" s="59" t="s">
        <v>614</v>
      </c>
      <c r="H252" s="63" t="s">
        <v>639</v>
      </c>
      <c r="I252" s="63" t="s">
        <v>639</v>
      </c>
      <c r="J252" s="314">
        <v>6000</v>
      </c>
      <c r="K252" s="59" t="s">
        <v>28</v>
      </c>
      <c r="L252" s="59" t="s">
        <v>57</v>
      </c>
      <c r="M252" s="59" t="s">
        <v>30</v>
      </c>
      <c r="N252" s="315">
        <v>6000</v>
      </c>
      <c r="O252" s="316">
        <f t="shared" si="12"/>
        <v>0</v>
      </c>
      <c r="P252" s="95">
        <v>44567</v>
      </c>
      <c r="Q252" s="61">
        <f t="shared" si="11"/>
        <v>44567</v>
      </c>
      <c r="R252" s="59"/>
      <c r="S252" s="59" t="s">
        <v>30</v>
      </c>
      <c r="T252" s="59"/>
      <c r="U252" s="59"/>
      <c r="V252" s="59"/>
      <c r="W252" s="68"/>
      <c r="X252" s="68"/>
      <c r="Y252" s="68"/>
    </row>
    <row r="253" s="17" customFormat="1" hidden="1" customHeight="1" spans="1:25">
      <c r="A253" s="59">
        <v>262</v>
      </c>
      <c r="B253" s="60" t="s">
        <v>656</v>
      </c>
      <c r="C253" s="61">
        <v>44501</v>
      </c>
      <c r="D253" s="62" t="str">
        <f ca="1" t="shared" si="10"/>
        <v>一年以上</v>
      </c>
      <c r="E253" s="313">
        <v>44523</v>
      </c>
      <c r="F253" s="59"/>
      <c r="G253" s="59" t="s">
        <v>614</v>
      </c>
      <c r="H253" s="63" t="s">
        <v>657</v>
      </c>
      <c r="I253" s="63" t="s">
        <v>657</v>
      </c>
      <c r="J253" s="314">
        <v>5000</v>
      </c>
      <c r="K253" s="59" t="s">
        <v>356</v>
      </c>
      <c r="L253" s="59" t="s">
        <v>458</v>
      </c>
      <c r="M253" s="59" t="s">
        <v>30</v>
      </c>
      <c r="N253" s="315">
        <v>5000</v>
      </c>
      <c r="O253" s="316">
        <f t="shared" si="12"/>
        <v>0</v>
      </c>
      <c r="P253" s="95">
        <v>44586</v>
      </c>
      <c r="Q253" s="61">
        <f t="shared" si="11"/>
        <v>44586</v>
      </c>
      <c r="R253" s="59"/>
      <c r="S253" s="59" t="s">
        <v>30</v>
      </c>
      <c r="T253" s="59"/>
      <c r="U253" s="59"/>
      <c r="V253" s="59"/>
      <c r="W253" s="68"/>
      <c r="X253" s="68"/>
      <c r="Y253" s="68"/>
    </row>
    <row r="254" s="17" customFormat="1" hidden="1" customHeight="1" spans="1:25">
      <c r="A254" s="59">
        <v>263</v>
      </c>
      <c r="B254" s="60" t="s">
        <v>658</v>
      </c>
      <c r="C254" s="61">
        <v>44501</v>
      </c>
      <c r="D254" s="62" t="str">
        <f ca="1" t="shared" si="10"/>
        <v>一年以上</v>
      </c>
      <c r="E254" s="313">
        <v>44524</v>
      </c>
      <c r="F254" s="59"/>
      <c r="G254" s="59" t="s">
        <v>450</v>
      </c>
      <c r="H254" s="63" t="s">
        <v>650</v>
      </c>
      <c r="I254" s="63" t="s">
        <v>650</v>
      </c>
      <c r="J254" s="314">
        <v>1500</v>
      </c>
      <c r="K254" s="59"/>
      <c r="L254" s="59" t="s">
        <v>96</v>
      </c>
      <c r="M254" s="59" t="s">
        <v>30</v>
      </c>
      <c r="N254" s="315">
        <v>1500</v>
      </c>
      <c r="O254" s="316">
        <f t="shared" si="12"/>
        <v>0</v>
      </c>
      <c r="P254" s="95">
        <f>E254</f>
        <v>44524</v>
      </c>
      <c r="Q254" s="61">
        <f t="shared" si="11"/>
        <v>44524</v>
      </c>
      <c r="R254" s="59"/>
      <c r="S254" s="59" t="s">
        <v>30</v>
      </c>
      <c r="T254" s="59"/>
      <c r="U254" s="59"/>
      <c r="V254" s="59"/>
      <c r="W254" s="68"/>
      <c r="X254" s="68"/>
      <c r="Y254" s="68"/>
    </row>
    <row r="255" s="17" customFormat="1" hidden="1" customHeight="1" spans="1:25">
      <c r="A255" s="59">
        <v>382</v>
      </c>
      <c r="B255" s="60" t="s">
        <v>659</v>
      </c>
      <c r="C255" s="61">
        <v>44501</v>
      </c>
      <c r="D255" s="62" t="str">
        <f ca="1" t="shared" si="10"/>
        <v>一年以上</v>
      </c>
      <c r="E255" s="313">
        <v>44525</v>
      </c>
      <c r="F255" s="59" t="s">
        <v>632</v>
      </c>
      <c r="G255" s="59" t="s">
        <v>450</v>
      </c>
      <c r="H255" s="63" t="s">
        <v>660</v>
      </c>
      <c r="I255" s="63" t="s">
        <v>660</v>
      </c>
      <c r="J255" s="314">
        <v>860</v>
      </c>
      <c r="K255" s="59" t="s">
        <v>28</v>
      </c>
      <c r="L255" s="59" t="s">
        <v>57</v>
      </c>
      <c r="M255" s="59" t="s">
        <v>515</v>
      </c>
      <c r="N255" s="315">
        <v>860</v>
      </c>
      <c r="O255" s="316">
        <f t="shared" si="12"/>
        <v>0</v>
      </c>
      <c r="P255" s="95">
        <f>E255</f>
        <v>44525</v>
      </c>
      <c r="Q255" s="61">
        <f t="shared" si="11"/>
        <v>44525</v>
      </c>
      <c r="R255" s="59"/>
      <c r="S255" s="59" t="s">
        <v>661</v>
      </c>
      <c r="T255" s="59"/>
      <c r="U255" s="59"/>
      <c r="V255" s="59"/>
      <c r="W255" s="68"/>
      <c r="X255" s="68"/>
      <c r="Y255" s="68"/>
    </row>
    <row r="256" s="17" customFormat="1" hidden="1" customHeight="1" spans="1:25">
      <c r="A256" s="59">
        <v>139</v>
      </c>
      <c r="B256" s="60" t="s">
        <v>662</v>
      </c>
      <c r="C256" s="61">
        <v>44501</v>
      </c>
      <c r="D256" s="62" t="str">
        <f ca="1" t="shared" si="10"/>
        <v>一年以上</v>
      </c>
      <c r="E256" s="313">
        <v>44526</v>
      </c>
      <c r="F256" s="59" t="s">
        <v>282</v>
      </c>
      <c r="G256" s="59" t="s">
        <v>340</v>
      </c>
      <c r="H256" s="63" t="s">
        <v>663</v>
      </c>
      <c r="I256" s="63" t="s">
        <v>663</v>
      </c>
      <c r="J256" s="314">
        <v>20000</v>
      </c>
      <c r="K256" s="59" t="s">
        <v>28</v>
      </c>
      <c r="L256" s="59" t="s">
        <v>57</v>
      </c>
      <c r="M256" s="59" t="s">
        <v>65</v>
      </c>
      <c r="N256" s="315">
        <v>20000</v>
      </c>
      <c r="O256" s="316">
        <f t="shared" si="12"/>
        <v>0</v>
      </c>
      <c r="P256" s="95">
        <v>44924</v>
      </c>
      <c r="Q256" s="61">
        <f t="shared" si="11"/>
        <v>44924</v>
      </c>
      <c r="R256" s="59"/>
      <c r="S256" s="59"/>
      <c r="T256" s="59" t="s">
        <v>581</v>
      </c>
      <c r="U256" s="59" t="s">
        <v>239</v>
      </c>
      <c r="V256" s="59"/>
      <c r="W256" s="68"/>
      <c r="X256" s="68"/>
      <c r="Y256" s="68"/>
    </row>
    <row r="257" s="17" customFormat="1" hidden="1" customHeight="1" spans="1:25">
      <c r="A257" s="59">
        <v>264</v>
      </c>
      <c r="B257" s="60" t="s">
        <v>664</v>
      </c>
      <c r="C257" s="61">
        <v>44501</v>
      </c>
      <c r="D257" s="62" t="str">
        <f ca="1" t="shared" si="10"/>
        <v>一年以上</v>
      </c>
      <c r="E257" s="313">
        <v>44529</v>
      </c>
      <c r="F257" s="59"/>
      <c r="G257" s="59" t="s">
        <v>614</v>
      </c>
      <c r="H257" s="63" t="s">
        <v>665</v>
      </c>
      <c r="I257" s="63" t="s">
        <v>665</v>
      </c>
      <c r="J257" s="314">
        <v>5000</v>
      </c>
      <c r="K257" s="59" t="s">
        <v>356</v>
      </c>
      <c r="L257" s="59" t="s">
        <v>458</v>
      </c>
      <c r="M257" s="59" t="s">
        <v>30</v>
      </c>
      <c r="N257" s="315">
        <v>5000</v>
      </c>
      <c r="O257" s="316">
        <f t="shared" si="12"/>
        <v>0</v>
      </c>
      <c r="P257" s="95">
        <v>44582</v>
      </c>
      <c r="Q257" s="61">
        <f t="shared" si="11"/>
        <v>44582</v>
      </c>
      <c r="R257" s="59"/>
      <c r="S257" s="59" t="s">
        <v>30</v>
      </c>
      <c r="T257" s="59"/>
      <c r="U257" s="59"/>
      <c r="V257" s="59"/>
      <c r="W257" s="68"/>
      <c r="X257" s="68"/>
      <c r="Y257" s="68"/>
    </row>
    <row r="258" s="17" customFormat="1" hidden="1" customHeight="1" spans="1:25">
      <c r="A258" s="59">
        <v>265</v>
      </c>
      <c r="B258" s="60" t="s">
        <v>666</v>
      </c>
      <c r="C258" s="61">
        <v>44501</v>
      </c>
      <c r="D258" s="62" t="str">
        <f ca="1" t="shared" si="10"/>
        <v>一年以上</v>
      </c>
      <c r="E258" s="313">
        <v>44529</v>
      </c>
      <c r="F258" s="59"/>
      <c r="G258" s="59" t="s">
        <v>614</v>
      </c>
      <c r="H258" s="63" t="s">
        <v>667</v>
      </c>
      <c r="I258" s="63" t="s">
        <v>667</v>
      </c>
      <c r="J258" s="314">
        <v>5000</v>
      </c>
      <c r="K258" s="59" t="s">
        <v>356</v>
      </c>
      <c r="L258" s="59" t="s">
        <v>458</v>
      </c>
      <c r="M258" s="59" t="s">
        <v>30</v>
      </c>
      <c r="N258" s="315">
        <v>5000</v>
      </c>
      <c r="O258" s="316">
        <f t="shared" si="12"/>
        <v>0</v>
      </c>
      <c r="P258" s="95">
        <v>44545</v>
      </c>
      <c r="Q258" s="61">
        <f t="shared" si="11"/>
        <v>44545</v>
      </c>
      <c r="R258" s="59"/>
      <c r="S258" s="59" t="s">
        <v>30</v>
      </c>
      <c r="T258" s="59"/>
      <c r="U258" s="59"/>
      <c r="V258" s="59"/>
      <c r="W258" s="68"/>
      <c r="X258" s="68"/>
      <c r="Y258" s="68"/>
    </row>
    <row r="259" s="17" customFormat="1" hidden="1" customHeight="1" spans="1:25">
      <c r="A259" s="59">
        <v>266</v>
      </c>
      <c r="B259" s="60" t="s">
        <v>668</v>
      </c>
      <c r="C259" s="61">
        <v>44501</v>
      </c>
      <c r="D259" s="62" t="str">
        <f ca="1" t="shared" ref="D259:D322" si="13">IF(TODAY()-E259&lt;60,"2个月内",IF(TODAY()-E259&lt;180,"3-6个月",IF(TODAY()-E259&lt;360,"6个月-1年","一年以上")))</f>
        <v>一年以上</v>
      </c>
      <c r="E259" s="313">
        <v>44529</v>
      </c>
      <c r="F259" s="59"/>
      <c r="G259" s="59" t="s">
        <v>450</v>
      </c>
      <c r="H259" s="63" t="s">
        <v>669</v>
      </c>
      <c r="I259" s="63" t="s">
        <v>669</v>
      </c>
      <c r="J259" s="314">
        <v>18000</v>
      </c>
      <c r="K259" s="59" t="s">
        <v>28</v>
      </c>
      <c r="L259" s="59" t="s">
        <v>57</v>
      </c>
      <c r="M259" s="59" t="s">
        <v>30</v>
      </c>
      <c r="N259" s="315">
        <v>18000</v>
      </c>
      <c r="O259" s="316">
        <f t="shared" si="12"/>
        <v>0</v>
      </c>
      <c r="P259" s="95">
        <v>44664</v>
      </c>
      <c r="Q259" s="61">
        <f t="shared" ref="Q259:Q322" si="14">P259</f>
        <v>44664</v>
      </c>
      <c r="R259" s="59"/>
      <c r="S259" s="59" t="s">
        <v>670</v>
      </c>
      <c r="T259" s="59"/>
      <c r="U259" s="59"/>
      <c r="V259" s="59"/>
      <c r="W259" s="68"/>
      <c r="X259" s="68"/>
      <c r="Y259" s="68"/>
    </row>
    <row r="260" s="17" customFormat="1" hidden="1" customHeight="1" spans="1:25">
      <c r="A260" s="59">
        <v>267</v>
      </c>
      <c r="B260" s="60" t="s">
        <v>671</v>
      </c>
      <c r="C260" s="61">
        <v>44501</v>
      </c>
      <c r="D260" s="62" t="str">
        <f ca="1" t="shared" si="13"/>
        <v>一年以上</v>
      </c>
      <c r="E260" s="313">
        <v>44529</v>
      </c>
      <c r="F260" s="59"/>
      <c r="G260" s="59" t="s">
        <v>450</v>
      </c>
      <c r="H260" s="63" t="s">
        <v>672</v>
      </c>
      <c r="I260" s="63" t="s">
        <v>672</v>
      </c>
      <c r="J260" s="314">
        <v>10000</v>
      </c>
      <c r="K260" s="59" t="s">
        <v>28</v>
      </c>
      <c r="L260" s="59" t="s">
        <v>57</v>
      </c>
      <c r="M260" s="59" t="s">
        <v>30</v>
      </c>
      <c r="N260" s="315">
        <v>10000</v>
      </c>
      <c r="O260" s="316">
        <f t="shared" si="12"/>
        <v>0</v>
      </c>
      <c r="P260" s="95">
        <v>44736</v>
      </c>
      <c r="Q260" s="61">
        <f t="shared" si="14"/>
        <v>44736</v>
      </c>
      <c r="R260" s="59" t="s">
        <v>481</v>
      </c>
      <c r="S260" s="59" t="s">
        <v>481</v>
      </c>
      <c r="T260" s="59"/>
      <c r="U260" s="59"/>
      <c r="V260" s="59"/>
      <c r="W260" s="68"/>
      <c r="X260" s="68"/>
      <c r="Y260" s="68"/>
    </row>
    <row r="261" s="17" customFormat="1" hidden="1" customHeight="1" spans="1:25">
      <c r="A261" s="59">
        <v>268</v>
      </c>
      <c r="B261" s="60" t="s">
        <v>673</v>
      </c>
      <c r="C261" s="61">
        <v>44501</v>
      </c>
      <c r="D261" s="62" t="str">
        <f ca="1" t="shared" si="13"/>
        <v>一年以上</v>
      </c>
      <c r="E261" s="313">
        <v>44529</v>
      </c>
      <c r="F261" s="59"/>
      <c r="G261" s="59" t="s">
        <v>450</v>
      </c>
      <c r="H261" s="63" t="s">
        <v>674</v>
      </c>
      <c r="I261" s="63" t="s">
        <v>674</v>
      </c>
      <c r="J261" s="314">
        <v>20000</v>
      </c>
      <c r="K261" s="59" t="s">
        <v>28</v>
      </c>
      <c r="L261" s="59" t="s">
        <v>57</v>
      </c>
      <c r="M261" s="59" t="s">
        <v>30</v>
      </c>
      <c r="N261" s="315">
        <v>20000</v>
      </c>
      <c r="O261" s="316">
        <f t="shared" si="12"/>
        <v>0</v>
      </c>
      <c r="P261" s="95">
        <v>44536</v>
      </c>
      <c r="Q261" s="61">
        <f t="shared" si="14"/>
        <v>44536</v>
      </c>
      <c r="R261" s="59"/>
      <c r="S261" s="59" t="s">
        <v>30</v>
      </c>
      <c r="T261" s="59"/>
      <c r="U261" s="59"/>
      <c r="V261" s="59"/>
      <c r="W261" s="68"/>
      <c r="X261" s="68"/>
      <c r="Y261" s="68"/>
    </row>
    <row r="262" s="17" customFormat="1" hidden="1" customHeight="1" spans="1:25">
      <c r="A262" s="59">
        <v>383</v>
      </c>
      <c r="B262" s="60" t="s">
        <v>675</v>
      </c>
      <c r="C262" s="61">
        <v>44501</v>
      </c>
      <c r="D262" s="62" t="str">
        <f ca="1" t="shared" si="13"/>
        <v>一年以上</v>
      </c>
      <c r="E262" s="313">
        <v>44529</v>
      </c>
      <c r="F262" s="59" t="s">
        <v>632</v>
      </c>
      <c r="G262" s="59" t="s">
        <v>450</v>
      </c>
      <c r="H262" s="63" t="s">
        <v>669</v>
      </c>
      <c r="I262" s="63" t="s">
        <v>669</v>
      </c>
      <c r="J262" s="314">
        <v>200</v>
      </c>
      <c r="K262" s="59" t="s">
        <v>28</v>
      </c>
      <c r="L262" s="59" t="s">
        <v>57</v>
      </c>
      <c r="M262" s="59" t="s">
        <v>515</v>
      </c>
      <c r="N262" s="315">
        <v>200</v>
      </c>
      <c r="O262" s="316">
        <f t="shared" si="12"/>
        <v>0</v>
      </c>
      <c r="P262" s="95">
        <f>E262</f>
        <v>44529</v>
      </c>
      <c r="Q262" s="61">
        <f t="shared" si="14"/>
        <v>44529</v>
      </c>
      <c r="R262" s="59"/>
      <c r="S262" s="59" t="s">
        <v>515</v>
      </c>
      <c r="T262" s="59"/>
      <c r="U262" s="59"/>
      <c r="V262" s="59"/>
      <c r="W262" s="68"/>
      <c r="X262" s="68"/>
      <c r="Y262" s="68"/>
    </row>
    <row r="263" s="17" customFormat="1" hidden="1" customHeight="1" spans="1:25">
      <c r="A263" s="59">
        <v>384</v>
      </c>
      <c r="B263" s="60" t="s">
        <v>676</v>
      </c>
      <c r="C263" s="61">
        <v>44501</v>
      </c>
      <c r="D263" s="62" t="str">
        <f ca="1" t="shared" si="13"/>
        <v>一年以上</v>
      </c>
      <c r="E263" s="313">
        <v>44529</v>
      </c>
      <c r="F263" s="59" t="s">
        <v>632</v>
      </c>
      <c r="G263" s="59" t="s">
        <v>450</v>
      </c>
      <c r="H263" s="63" t="s">
        <v>677</v>
      </c>
      <c r="I263" s="63" t="s">
        <v>677</v>
      </c>
      <c r="J263" s="314">
        <v>200</v>
      </c>
      <c r="K263" s="59" t="s">
        <v>28</v>
      </c>
      <c r="L263" s="59" t="s">
        <v>57</v>
      </c>
      <c r="M263" s="59" t="s">
        <v>515</v>
      </c>
      <c r="N263" s="315">
        <v>200</v>
      </c>
      <c r="O263" s="316">
        <f t="shared" si="12"/>
        <v>0</v>
      </c>
      <c r="P263" s="95">
        <f>E263</f>
        <v>44529</v>
      </c>
      <c r="Q263" s="61">
        <f t="shared" si="14"/>
        <v>44529</v>
      </c>
      <c r="R263" s="59"/>
      <c r="S263" s="59" t="s">
        <v>515</v>
      </c>
      <c r="T263" s="59"/>
      <c r="U263" s="59"/>
      <c r="V263" s="59"/>
      <c r="W263" s="68"/>
      <c r="X263" s="68"/>
      <c r="Y263" s="68"/>
    </row>
    <row r="264" s="17" customFormat="1" hidden="1" customHeight="1" spans="1:25">
      <c r="A264" s="59">
        <v>385</v>
      </c>
      <c r="B264" s="60" t="s">
        <v>678</v>
      </c>
      <c r="C264" s="61">
        <v>44501</v>
      </c>
      <c r="D264" s="62" t="str">
        <f ca="1" t="shared" si="13"/>
        <v>一年以上</v>
      </c>
      <c r="E264" s="313">
        <v>44529</v>
      </c>
      <c r="F264" s="59" t="s">
        <v>632</v>
      </c>
      <c r="G264" s="59" t="s">
        <v>614</v>
      </c>
      <c r="H264" s="63" t="s">
        <v>679</v>
      </c>
      <c r="I264" s="63" t="s">
        <v>679</v>
      </c>
      <c r="J264" s="314">
        <v>500</v>
      </c>
      <c r="K264" s="59" t="s">
        <v>28</v>
      </c>
      <c r="L264" s="59" t="s">
        <v>57</v>
      </c>
      <c r="M264" s="59" t="s">
        <v>515</v>
      </c>
      <c r="N264" s="315">
        <v>500</v>
      </c>
      <c r="O264" s="316">
        <f t="shared" si="12"/>
        <v>0</v>
      </c>
      <c r="P264" s="95">
        <f>E264</f>
        <v>44529</v>
      </c>
      <c r="Q264" s="61">
        <f t="shared" si="14"/>
        <v>44529</v>
      </c>
      <c r="R264" s="59"/>
      <c r="S264" s="59" t="s">
        <v>515</v>
      </c>
      <c r="T264" s="59"/>
      <c r="U264" s="59"/>
      <c r="V264" s="59"/>
      <c r="W264" s="68"/>
      <c r="X264" s="68"/>
      <c r="Y264" s="68"/>
    </row>
    <row r="265" s="17" customFormat="1" hidden="1" customHeight="1" spans="1:25">
      <c r="A265" s="59">
        <v>269</v>
      </c>
      <c r="B265" s="60" t="s">
        <v>680</v>
      </c>
      <c r="C265" s="61">
        <v>44531</v>
      </c>
      <c r="D265" s="62" t="str">
        <f ca="1" t="shared" si="13"/>
        <v>一年以上</v>
      </c>
      <c r="E265" s="313">
        <v>44531</v>
      </c>
      <c r="F265" s="59" t="s">
        <v>632</v>
      </c>
      <c r="G265" s="59" t="s">
        <v>450</v>
      </c>
      <c r="H265" s="63" t="s">
        <v>362</v>
      </c>
      <c r="I265" s="63" t="s">
        <v>362</v>
      </c>
      <c r="J265" s="314">
        <v>10000</v>
      </c>
      <c r="K265" s="59" t="s">
        <v>28</v>
      </c>
      <c r="L265" s="59" t="s">
        <v>57</v>
      </c>
      <c r="M265" s="59" t="s">
        <v>30</v>
      </c>
      <c r="N265" s="315">
        <v>10000</v>
      </c>
      <c r="O265" s="316">
        <f t="shared" si="12"/>
        <v>0</v>
      </c>
      <c r="P265" s="95">
        <v>45987</v>
      </c>
      <c r="Q265" s="61">
        <f t="shared" si="14"/>
        <v>45987</v>
      </c>
      <c r="R265" s="59" t="s">
        <v>481</v>
      </c>
      <c r="S265" s="59" t="s">
        <v>30</v>
      </c>
      <c r="T265" s="59" t="s">
        <v>581</v>
      </c>
      <c r="U265" s="59" t="str">
        <f>VLOOKUP(T265,[1]区域划分!$A$1:$C$39,3,0)</f>
        <v>新疆</v>
      </c>
      <c r="V265" s="59"/>
      <c r="W265" s="68"/>
      <c r="X265" s="68"/>
      <c r="Y265" s="68"/>
    </row>
    <row r="266" s="17" customFormat="1" hidden="1" customHeight="1" spans="1:25">
      <c r="A266" s="59">
        <v>140</v>
      </c>
      <c r="B266" s="60" t="s">
        <v>681</v>
      </c>
      <c r="C266" s="61">
        <v>44531</v>
      </c>
      <c r="D266" s="62" t="str">
        <f ca="1" t="shared" si="13"/>
        <v>一年以上</v>
      </c>
      <c r="E266" s="313">
        <v>44532</v>
      </c>
      <c r="F266" s="59" t="s">
        <v>282</v>
      </c>
      <c r="G266" s="59" t="s">
        <v>233</v>
      </c>
      <c r="H266" s="63" t="s">
        <v>115</v>
      </c>
      <c r="I266" s="63" t="s">
        <v>115</v>
      </c>
      <c r="J266" s="314">
        <v>2000</v>
      </c>
      <c r="K266" s="59" t="s">
        <v>356</v>
      </c>
      <c r="L266" s="59" t="s">
        <v>458</v>
      </c>
      <c r="M266" s="59" t="s">
        <v>65</v>
      </c>
      <c r="N266" s="315">
        <v>2000</v>
      </c>
      <c r="O266" s="316">
        <f t="shared" ref="O266:O329" si="15">J266-N266</f>
        <v>0</v>
      </c>
      <c r="P266" s="95">
        <v>44818</v>
      </c>
      <c r="Q266" s="61">
        <f t="shared" si="14"/>
        <v>44818</v>
      </c>
      <c r="R266" s="59"/>
      <c r="S266" s="59"/>
      <c r="T266" s="59" t="s">
        <v>381</v>
      </c>
      <c r="U266" s="59" t="s">
        <v>239</v>
      </c>
      <c r="V266" s="59"/>
      <c r="W266" s="68"/>
      <c r="X266" s="68"/>
      <c r="Y266" s="68"/>
    </row>
    <row r="267" s="17" customFormat="1" hidden="1" customHeight="1" spans="1:25">
      <c r="A267" s="59">
        <v>270</v>
      </c>
      <c r="B267" s="60" t="s">
        <v>682</v>
      </c>
      <c r="C267" s="61">
        <v>44531</v>
      </c>
      <c r="D267" s="62" t="str">
        <f ca="1" t="shared" si="13"/>
        <v>一年以上</v>
      </c>
      <c r="E267" s="313">
        <v>44532</v>
      </c>
      <c r="F267" s="59"/>
      <c r="G267" s="59" t="s">
        <v>450</v>
      </c>
      <c r="H267" s="63" t="s">
        <v>683</v>
      </c>
      <c r="I267" s="63" t="s">
        <v>683</v>
      </c>
      <c r="J267" s="314">
        <v>10000</v>
      </c>
      <c r="K267" s="59" t="s">
        <v>28</v>
      </c>
      <c r="L267" s="59" t="s">
        <v>57</v>
      </c>
      <c r="M267" s="59" t="s">
        <v>30</v>
      </c>
      <c r="N267" s="315">
        <v>10000</v>
      </c>
      <c r="O267" s="316">
        <f t="shared" si="15"/>
        <v>0</v>
      </c>
      <c r="P267" s="95">
        <v>44553</v>
      </c>
      <c r="Q267" s="61">
        <f t="shared" si="14"/>
        <v>44553</v>
      </c>
      <c r="R267" s="59"/>
      <c r="S267" s="59" t="s">
        <v>30</v>
      </c>
      <c r="T267" s="59"/>
      <c r="U267" s="59"/>
      <c r="V267" s="59"/>
      <c r="W267" s="68"/>
      <c r="X267" s="68"/>
      <c r="Y267" s="68"/>
    </row>
    <row r="268" s="17" customFormat="1" hidden="1" customHeight="1" spans="1:25">
      <c r="A268" s="59">
        <v>271</v>
      </c>
      <c r="B268" s="60" t="s">
        <v>684</v>
      </c>
      <c r="C268" s="61">
        <v>44531</v>
      </c>
      <c r="D268" s="62" t="str">
        <f ca="1" t="shared" si="13"/>
        <v>一年以上</v>
      </c>
      <c r="E268" s="313">
        <v>44533</v>
      </c>
      <c r="F268" s="59" t="s">
        <v>632</v>
      </c>
      <c r="G268" s="59" t="s">
        <v>450</v>
      </c>
      <c r="H268" s="63" t="s">
        <v>677</v>
      </c>
      <c r="I268" s="63" t="s">
        <v>677</v>
      </c>
      <c r="J268" s="314">
        <v>20000</v>
      </c>
      <c r="K268" s="59" t="s">
        <v>28</v>
      </c>
      <c r="L268" s="59" t="s">
        <v>57</v>
      </c>
      <c r="M268" s="59" t="s">
        <v>30</v>
      </c>
      <c r="N268" s="315">
        <v>20000</v>
      </c>
      <c r="O268" s="316">
        <f t="shared" si="15"/>
        <v>0</v>
      </c>
      <c r="P268" s="95">
        <v>44649</v>
      </c>
      <c r="Q268" s="61">
        <f t="shared" si="14"/>
        <v>44649</v>
      </c>
      <c r="R268" s="59"/>
      <c r="S268" s="59"/>
      <c r="T268" s="59"/>
      <c r="U268" s="59"/>
      <c r="V268" s="59"/>
      <c r="W268" s="68"/>
      <c r="X268" s="68"/>
      <c r="Y268" s="68"/>
    </row>
    <row r="269" s="17" customFormat="1" hidden="1" customHeight="1" spans="1:25">
      <c r="A269" s="59">
        <v>272</v>
      </c>
      <c r="B269" s="60" t="s">
        <v>685</v>
      </c>
      <c r="C269" s="61">
        <v>44531</v>
      </c>
      <c r="D269" s="62" t="str">
        <f ca="1" t="shared" si="13"/>
        <v>一年以上</v>
      </c>
      <c r="E269" s="313">
        <v>44533</v>
      </c>
      <c r="F269" s="59"/>
      <c r="G269" s="59" t="s">
        <v>614</v>
      </c>
      <c r="H269" s="63" t="s">
        <v>686</v>
      </c>
      <c r="I269" s="63" t="s">
        <v>686</v>
      </c>
      <c r="J269" s="314">
        <v>1000</v>
      </c>
      <c r="K269" s="59" t="s">
        <v>356</v>
      </c>
      <c r="L269" s="59" t="s">
        <v>458</v>
      </c>
      <c r="M269" s="59" t="s">
        <v>30</v>
      </c>
      <c r="N269" s="315">
        <v>1000</v>
      </c>
      <c r="O269" s="316">
        <f t="shared" si="15"/>
        <v>0</v>
      </c>
      <c r="P269" s="95">
        <v>45299</v>
      </c>
      <c r="Q269" s="61">
        <f t="shared" si="14"/>
        <v>45299</v>
      </c>
      <c r="R269" s="59"/>
      <c r="S269" s="59"/>
      <c r="T269" s="59" t="s">
        <v>182</v>
      </c>
      <c r="U269" s="59" t="str">
        <f>VLOOKUP(T269,[1]区域划分!$A$1:$C$39,3,0)</f>
        <v>汪瑞青</v>
      </c>
      <c r="V269" s="59"/>
      <c r="W269" s="68"/>
      <c r="X269" s="68"/>
      <c r="Y269" s="68"/>
    </row>
    <row r="270" s="17" customFormat="1" hidden="1" customHeight="1" spans="1:25">
      <c r="A270" s="59">
        <v>386</v>
      </c>
      <c r="B270" s="60" t="s">
        <v>687</v>
      </c>
      <c r="C270" s="61">
        <v>44531</v>
      </c>
      <c r="D270" s="62" t="str">
        <f ca="1" t="shared" si="13"/>
        <v>一年以上</v>
      </c>
      <c r="E270" s="313">
        <v>44533</v>
      </c>
      <c r="F270" s="59" t="s">
        <v>632</v>
      </c>
      <c r="G270" s="59" t="s">
        <v>614</v>
      </c>
      <c r="H270" s="63" t="s">
        <v>679</v>
      </c>
      <c r="I270" s="63" t="s">
        <v>679</v>
      </c>
      <c r="J270" s="314">
        <v>500</v>
      </c>
      <c r="K270" s="59" t="s">
        <v>338</v>
      </c>
      <c r="L270" s="59" t="s">
        <v>627</v>
      </c>
      <c r="M270" s="59" t="s">
        <v>515</v>
      </c>
      <c r="N270" s="315">
        <v>500</v>
      </c>
      <c r="O270" s="316">
        <f t="shared" si="15"/>
        <v>0</v>
      </c>
      <c r="P270" s="95">
        <f>E270</f>
        <v>44533</v>
      </c>
      <c r="Q270" s="61">
        <f t="shared" si="14"/>
        <v>44533</v>
      </c>
      <c r="R270" s="59"/>
      <c r="S270" s="59" t="s">
        <v>515</v>
      </c>
      <c r="T270" s="59"/>
      <c r="U270" s="59"/>
      <c r="V270" s="59"/>
      <c r="W270" s="68"/>
      <c r="X270" s="68"/>
      <c r="Y270" s="68"/>
    </row>
    <row r="271" s="17" customFormat="1" hidden="1" customHeight="1" spans="1:25">
      <c r="A271" s="59">
        <v>387</v>
      </c>
      <c r="B271" s="60" t="s">
        <v>688</v>
      </c>
      <c r="C271" s="61">
        <v>44531</v>
      </c>
      <c r="D271" s="62" t="str">
        <f ca="1" t="shared" si="13"/>
        <v>一年以上</v>
      </c>
      <c r="E271" s="313">
        <v>44533</v>
      </c>
      <c r="F271" s="59" t="s">
        <v>632</v>
      </c>
      <c r="G271" s="59" t="s">
        <v>614</v>
      </c>
      <c r="H271" s="63" t="s">
        <v>689</v>
      </c>
      <c r="I271" s="63" t="s">
        <v>689</v>
      </c>
      <c r="J271" s="314">
        <v>500</v>
      </c>
      <c r="K271" s="59" t="s">
        <v>28</v>
      </c>
      <c r="L271" s="59" t="s">
        <v>57</v>
      </c>
      <c r="M271" s="59" t="s">
        <v>515</v>
      </c>
      <c r="N271" s="315">
        <v>500</v>
      </c>
      <c r="O271" s="316">
        <f t="shared" si="15"/>
        <v>0</v>
      </c>
      <c r="P271" s="95">
        <f>E271</f>
        <v>44533</v>
      </c>
      <c r="Q271" s="61">
        <f t="shared" si="14"/>
        <v>44533</v>
      </c>
      <c r="R271" s="59"/>
      <c r="S271" s="59" t="s">
        <v>515</v>
      </c>
      <c r="T271" s="59"/>
      <c r="U271" s="59"/>
      <c r="V271" s="59"/>
      <c r="W271" s="68"/>
      <c r="X271" s="68"/>
      <c r="Y271" s="68"/>
    </row>
    <row r="272" s="17" customFormat="1" hidden="1" customHeight="1" spans="1:25">
      <c r="A272" s="59">
        <v>273</v>
      </c>
      <c r="B272" s="60" t="s">
        <v>690</v>
      </c>
      <c r="C272" s="61">
        <v>44531</v>
      </c>
      <c r="D272" s="62" t="str">
        <f ca="1" t="shared" si="13"/>
        <v>一年以上</v>
      </c>
      <c r="E272" s="313">
        <v>44536</v>
      </c>
      <c r="F272" s="59"/>
      <c r="G272" s="59" t="s">
        <v>614</v>
      </c>
      <c r="H272" s="63" t="s">
        <v>691</v>
      </c>
      <c r="I272" s="63" t="s">
        <v>691</v>
      </c>
      <c r="J272" s="314">
        <v>1000</v>
      </c>
      <c r="K272" s="59" t="s">
        <v>356</v>
      </c>
      <c r="L272" s="59" t="s">
        <v>458</v>
      </c>
      <c r="M272" s="59" t="s">
        <v>30</v>
      </c>
      <c r="N272" s="315">
        <v>1000</v>
      </c>
      <c r="O272" s="316">
        <f t="shared" si="15"/>
        <v>0</v>
      </c>
      <c r="P272" s="95">
        <v>44581</v>
      </c>
      <c r="Q272" s="61">
        <f t="shared" si="14"/>
        <v>44581</v>
      </c>
      <c r="R272" s="59"/>
      <c r="S272" s="59" t="s">
        <v>30</v>
      </c>
      <c r="T272" s="59"/>
      <c r="U272" s="59"/>
      <c r="V272" s="59"/>
      <c r="W272" s="68"/>
      <c r="X272" s="68"/>
      <c r="Y272" s="68"/>
    </row>
    <row r="273" s="17" customFormat="1" hidden="1" customHeight="1" spans="1:25">
      <c r="A273" s="59">
        <v>274</v>
      </c>
      <c r="B273" s="60" t="s">
        <v>692</v>
      </c>
      <c r="C273" s="61">
        <v>44531</v>
      </c>
      <c r="D273" s="62" t="str">
        <f ca="1" t="shared" si="13"/>
        <v>一年以上</v>
      </c>
      <c r="E273" s="313">
        <v>44536</v>
      </c>
      <c r="F273" s="59"/>
      <c r="G273" s="59" t="s">
        <v>614</v>
      </c>
      <c r="H273" s="63" t="s">
        <v>691</v>
      </c>
      <c r="I273" s="63" t="s">
        <v>691</v>
      </c>
      <c r="J273" s="314">
        <v>1000</v>
      </c>
      <c r="K273" s="59" t="s">
        <v>356</v>
      </c>
      <c r="L273" s="59" t="s">
        <v>458</v>
      </c>
      <c r="M273" s="59" t="s">
        <v>30</v>
      </c>
      <c r="N273" s="315">
        <v>1000</v>
      </c>
      <c r="O273" s="316">
        <f t="shared" si="15"/>
        <v>0</v>
      </c>
      <c r="P273" s="95">
        <v>44581</v>
      </c>
      <c r="Q273" s="61">
        <f t="shared" si="14"/>
        <v>44581</v>
      </c>
      <c r="R273" s="59"/>
      <c r="S273" s="59" t="s">
        <v>30</v>
      </c>
      <c r="T273" s="59"/>
      <c r="U273" s="59"/>
      <c r="V273" s="59"/>
      <c r="W273" s="68"/>
      <c r="X273" s="68"/>
      <c r="Y273" s="68"/>
    </row>
    <row r="274" s="17" customFormat="1" hidden="1" customHeight="1" spans="1:25">
      <c r="A274" s="59">
        <v>275</v>
      </c>
      <c r="B274" s="60" t="s">
        <v>693</v>
      </c>
      <c r="C274" s="61">
        <v>44531</v>
      </c>
      <c r="D274" s="62" t="str">
        <f ca="1" t="shared" si="13"/>
        <v>一年以上</v>
      </c>
      <c r="E274" s="313">
        <v>44538</v>
      </c>
      <c r="F274" s="59"/>
      <c r="G274" s="59" t="s">
        <v>450</v>
      </c>
      <c r="H274" s="63" t="s">
        <v>634</v>
      </c>
      <c r="I274" s="63" t="s">
        <v>634</v>
      </c>
      <c r="J274" s="314">
        <v>10000</v>
      </c>
      <c r="K274" s="59" t="s">
        <v>28</v>
      </c>
      <c r="L274" s="59" t="s">
        <v>57</v>
      </c>
      <c r="M274" s="59" t="s">
        <v>30</v>
      </c>
      <c r="N274" s="315">
        <v>10000</v>
      </c>
      <c r="O274" s="316">
        <f t="shared" si="15"/>
        <v>0</v>
      </c>
      <c r="P274" s="95">
        <v>44546</v>
      </c>
      <c r="Q274" s="61">
        <f t="shared" si="14"/>
        <v>44546</v>
      </c>
      <c r="R274" s="59"/>
      <c r="S274" s="59" t="s">
        <v>30</v>
      </c>
      <c r="T274" s="59"/>
      <c r="U274" s="59"/>
      <c r="V274" s="59"/>
      <c r="W274" s="68"/>
      <c r="X274" s="68"/>
      <c r="Y274" s="68"/>
    </row>
    <row r="275" s="17" customFormat="1" hidden="1" customHeight="1" spans="1:25">
      <c r="A275" s="59">
        <v>276</v>
      </c>
      <c r="B275" s="60" t="s">
        <v>694</v>
      </c>
      <c r="C275" s="61">
        <v>44531</v>
      </c>
      <c r="D275" s="62" t="str">
        <f ca="1" t="shared" si="13"/>
        <v>一年以上</v>
      </c>
      <c r="E275" s="313">
        <v>44538</v>
      </c>
      <c r="F275" s="59"/>
      <c r="G275" s="59" t="s">
        <v>450</v>
      </c>
      <c r="H275" s="63" t="s">
        <v>577</v>
      </c>
      <c r="I275" s="63" t="s">
        <v>578</v>
      </c>
      <c r="J275" s="314">
        <v>10000</v>
      </c>
      <c r="K275" s="59" t="s">
        <v>28</v>
      </c>
      <c r="L275" s="59" t="s">
        <v>57</v>
      </c>
      <c r="M275" s="59" t="s">
        <v>30</v>
      </c>
      <c r="N275" s="315">
        <v>10000</v>
      </c>
      <c r="O275" s="316">
        <f t="shared" si="15"/>
        <v>0</v>
      </c>
      <c r="P275" s="95">
        <v>44579</v>
      </c>
      <c r="Q275" s="61">
        <f t="shared" si="14"/>
        <v>44579</v>
      </c>
      <c r="R275" s="59"/>
      <c r="S275" s="59" t="s">
        <v>30</v>
      </c>
      <c r="T275" s="59"/>
      <c r="U275" s="59"/>
      <c r="V275" s="59"/>
      <c r="W275" s="68"/>
      <c r="X275" s="68"/>
      <c r="Y275" s="68"/>
    </row>
    <row r="276" s="17" customFormat="1" hidden="1" customHeight="1" spans="1:25">
      <c r="A276" s="59">
        <v>277</v>
      </c>
      <c r="B276" s="60" t="s">
        <v>695</v>
      </c>
      <c r="C276" s="61">
        <v>44531</v>
      </c>
      <c r="D276" s="62" t="str">
        <f ca="1" t="shared" si="13"/>
        <v>一年以上</v>
      </c>
      <c r="E276" s="313">
        <v>44539</v>
      </c>
      <c r="F276" s="59"/>
      <c r="G276" s="59" t="s">
        <v>614</v>
      </c>
      <c r="H276" s="63" t="s">
        <v>696</v>
      </c>
      <c r="I276" s="63" t="s">
        <v>696</v>
      </c>
      <c r="J276" s="314">
        <v>5000</v>
      </c>
      <c r="K276" s="59" t="s">
        <v>356</v>
      </c>
      <c r="L276" s="59" t="s">
        <v>458</v>
      </c>
      <c r="M276" s="59" t="s">
        <v>30</v>
      </c>
      <c r="N276" s="315">
        <v>5000</v>
      </c>
      <c r="O276" s="316">
        <f t="shared" si="15"/>
        <v>0</v>
      </c>
      <c r="P276" s="95">
        <v>44579</v>
      </c>
      <c r="Q276" s="61">
        <f t="shared" si="14"/>
        <v>44579</v>
      </c>
      <c r="R276" s="59"/>
      <c r="S276" s="59" t="s">
        <v>30</v>
      </c>
      <c r="T276" s="59"/>
      <c r="U276" s="59"/>
      <c r="V276" s="59"/>
      <c r="W276" s="68"/>
      <c r="X276" s="68"/>
      <c r="Y276" s="68"/>
    </row>
    <row r="277" s="17" customFormat="1" hidden="1" customHeight="1" spans="1:25">
      <c r="A277" s="59">
        <v>278</v>
      </c>
      <c r="B277" s="60" t="s">
        <v>697</v>
      </c>
      <c r="C277" s="61">
        <v>44531</v>
      </c>
      <c r="D277" s="62" t="str">
        <f ca="1" t="shared" si="13"/>
        <v>一年以上</v>
      </c>
      <c r="E277" s="313">
        <v>44539</v>
      </c>
      <c r="F277" s="59"/>
      <c r="G277" s="59" t="s">
        <v>614</v>
      </c>
      <c r="H277" s="63" t="s">
        <v>696</v>
      </c>
      <c r="I277" s="63" t="s">
        <v>696</v>
      </c>
      <c r="J277" s="314">
        <v>6000</v>
      </c>
      <c r="K277" s="59" t="s">
        <v>356</v>
      </c>
      <c r="L277" s="59" t="s">
        <v>458</v>
      </c>
      <c r="M277" s="59" t="s">
        <v>30</v>
      </c>
      <c r="N277" s="315">
        <v>6000</v>
      </c>
      <c r="O277" s="316">
        <f t="shared" si="15"/>
        <v>0</v>
      </c>
      <c r="P277" s="95">
        <v>44579</v>
      </c>
      <c r="Q277" s="61">
        <f t="shared" si="14"/>
        <v>44579</v>
      </c>
      <c r="R277" s="59"/>
      <c r="S277" s="59" t="s">
        <v>30</v>
      </c>
      <c r="T277" s="59"/>
      <c r="U277" s="59"/>
      <c r="V277" s="59"/>
      <c r="W277" s="68"/>
      <c r="X277" s="68"/>
      <c r="Y277" s="68"/>
    </row>
    <row r="278" s="17" customFormat="1" hidden="1" customHeight="1" spans="1:25">
      <c r="A278" s="59">
        <v>279</v>
      </c>
      <c r="B278" s="60" t="s">
        <v>698</v>
      </c>
      <c r="C278" s="61">
        <v>44531</v>
      </c>
      <c r="D278" s="62" t="str">
        <f ca="1" t="shared" si="13"/>
        <v>一年以上</v>
      </c>
      <c r="E278" s="313">
        <v>44540</v>
      </c>
      <c r="F278" s="59"/>
      <c r="G278" s="59" t="s">
        <v>614</v>
      </c>
      <c r="H278" s="63" t="s">
        <v>193</v>
      </c>
      <c r="I278" s="63" t="s">
        <v>193</v>
      </c>
      <c r="J278" s="314">
        <v>5000</v>
      </c>
      <c r="K278" s="59" t="s">
        <v>356</v>
      </c>
      <c r="L278" s="59" t="s">
        <v>458</v>
      </c>
      <c r="M278" s="59" t="s">
        <v>30</v>
      </c>
      <c r="N278" s="315">
        <v>5000</v>
      </c>
      <c r="O278" s="316">
        <f t="shared" si="15"/>
        <v>0</v>
      </c>
      <c r="P278" s="95">
        <v>45922</v>
      </c>
      <c r="Q278" s="61">
        <f t="shared" si="14"/>
        <v>45922</v>
      </c>
      <c r="R278" s="59" t="s">
        <v>699</v>
      </c>
      <c r="S278" s="59" t="s">
        <v>700</v>
      </c>
      <c r="T278" s="59" t="s">
        <v>701</v>
      </c>
      <c r="U278" s="59" t="str">
        <f>VLOOKUP(T278,[1]区域划分!$A$1:$C$39,3,0)</f>
        <v>汪瑞青</v>
      </c>
      <c r="V278" s="59"/>
      <c r="W278" s="68"/>
      <c r="X278" s="68"/>
      <c r="Y278" s="68"/>
    </row>
    <row r="279" s="17" customFormat="1" hidden="1" customHeight="1" spans="1:25">
      <c r="A279" s="59">
        <v>141</v>
      </c>
      <c r="B279" s="169" t="s">
        <v>702</v>
      </c>
      <c r="C279" s="61">
        <v>44531</v>
      </c>
      <c r="D279" s="62" t="str">
        <f ca="1" t="shared" si="13"/>
        <v>一年以上</v>
      </c>
      <c r="E279" s="313">
        <v>44546</v>
      </c>
      <c r="F279" s="59" t="s">
        <v>282</v>
      </c>
      <c r="G279" s="59" t="s">
        <v>109</v>
      </c>
      <c r="H279" s="63" t="s">
        <v>174</v>
      </c>
      <c r="I279" s="63" t="s">
        <v>174</v>
      </c>
      <c r="J279" s="314">
        <v>2000</v>
      </c>
      <c r="K279" s="59" t="s">
        <v>356</v>
      </c>
      <c r="L279" s="59" t="s">
        <v>458</v>
      </c>
      <c r="M279" s="59" t="s">
        <v>65</v>
      </c>
      <c r="N279" s="315"/>
      <c r="O279" s="316">
        <f t="shared" si="15"/>
        <v>2000</v>
      </c>
      <c r="P279" s="95"/>
      <c r="Q279" s="61">
        <f t="shared" si="14"/>
        <v>0</v>
      </c>
      <c r="R279" s="59" t="s">
        <v>703</v>
      </c>
      <c r="S279" s="59" t="s">
        <v>704</v>
      </c>
      <c r="T279" s="59" t="s">
        <v>182</v>
      </c>
      <c r="U279" s="59" t="str">
        <f>VLOOKUP(T279,[1]区域划分!$A$1:$C$39,3,0)</f>
        <v>汪瑞青</v>
      </c>
      <c r="V279" s="59"/>
      <c r="W279" s="68"/>
      <c r="X279" s="68"/>
      <c r="Y279" s="68"/>
    </row>
    <row r="280" s="17" customFormat="1" hidden="1" customHeight="1" spans="1:25">
      <c r="A280" s="59">
        <v>280</v>
      </c>
      <c r="B280" s="60" t="s">
        <v>705</v>
      </c>
      <c r="C280" s="61">
        <v>44531</v>
      </c>
      <c r="D280" s="62" t="str">
        <f ca="1" t="shared" si="13"/>
        <v>一年以上</v>
      </c>
      <c r="E280" s="313">
        <v>44546</v>
      </c>
      <c r="F280" s="59"/>
      <c r="G280" s="59" t="s">
        <v>614</v>
      </c>
      <c r="H280" s="63" t="s">
        <v>706</v>
      </c>
      <c r="I280" s="63" t="s">
        <v>706</v>
      </c>
      <c r="J280" s="314">
        <v>3000</v>
      </c>
      <c r="K280" s="59" t="s">
        <v>28</v>
      </c>
      <c r="L280" s="59" t="s">
        <v>57</v>
      </c>
      <c r="M280" s="59" t="s">
        <v>30</v>
      </c>
      <c r="N280" s="315">
        <v>3000</v>
      </c>
      <c r="O280" s="316">
        <f t="shared" si="15"/>
        <v>0</v>
      </c>
      <c r="P280" s="95">
        <v>44553</v>
      </c>
      <c r="Q280" s="61">
        <f t="shared" si="14"/>
        <v>44553</v>
      </c>
      <c r="R280" s="59"/>
      <c r="S280" s="59" t="s">
        <v>30</v>
      </c>
      <c r="T280" s="59"/>
      <c r="U280" s="59"/>
      <c r="V280" s="59"/>
      <c r="W280" s="68"/>
      <c r="X280" s="68"/>
      <c r="Y280" s="68"/>
    </row>
    <row r="281" s="17" customFormat="1" hidden="1" customHeight="1" spans="1:25">
      <c r="A281" s="59">
        <v>281</v>
      </c>
      <c r="B281" s="60" t="s">
        <v>707</v>
      </c>
      <c r="C281" s="61">
        <v>44531</v>
      </c>
      <c r="D281" s="62" t="str">
        <f ca="1" t="shared" si="13"/>
        <v>一年以上</v>
      </c>
      <c r="E281" s="313">
        <v>44547</v>
      </c>
      <c r="F281" s="59"/>
      <c r="G281" s="59" t="s">
        <v>450</v>
      </c>
      <c r="H281" s="63" t="s">
        <v>708</v>
      </c>
      <c r="I281" s="63" t="s">
        <v>708</v>
      </c>
      <c r="J281" s="314">
        <v>4000</v>
      </c>
      <c r="K281" s="59" t="s">
        <v>28</v>
      </c>
      <c r="L281" s="59" t="s">
        <v>57</v>
      </c>
      <c r="M281" s="59" t="s">
        <v>30</v>
      </c>
      <c r="N281" s="315">
        <v>4000</v>
      </c>
      <c r="O281" s="316">
        <f t="shared" si="15"/>
        <v>0</v>
      </c>
      <c r="P281" s="95">
        <v>44616</v>
      </c>
      <c r="Q281" s="61">
        <f t="shared" si="14"/>
        <v>44616</v>
      </c>
      <c r="R281" s="59"/>
      <c r="S281" s="59" t="s">
        <v>709</v>
      </c>
      <c r="T281" s="59"/>
      <c r="U281" s="59"/>
      <c r="V281" s="59"/>
      <c r="W281" s="68"/>
      <c r="X281" s="68"/>
      <c r="Y281" s="68"/>
    </row>
    <row r="282" s="17" customFormat="1" hidden="1" customHeight="1" spans="1:25">
      <c r="A282" s="59">
        <v>388</v>
      </c>
      <c r="B282" s="60" t="s">
        <v>710</v>
      </c>
      <c r="C282" s="61">
        <v>44531</v>
      </c>
      <c r="D282" s="62" t="str">
        <f ca="1" t="shared" si="13"/>
        <v>一年以上</v>
      </c>
      <c r="E282" s="313">
        <v>44547</v>
      </c>
      <c r="F282" s="59" t="s">
        <v>632</v>
      </c>
      <c r="G282" s="59" t="s">
        <v>450</v>
      </c>
      <c r="H282" s="63" t="s">
        <v>708</v>
      </c>
      <c r="I282" s="63" t="s">
        <v>708</v>
      </c>
      <c r="J282" s="314">
        <v>600</v>
      </c>
      <c r="K282" s="59" t="s">
        <v>28</v>
      </c>
      <c r="L282" s="59" t="s">
        <v>57</v>
      </c>
      <c r="M282" s="59" t="s">
        <v>515</v>
      </c>
      <c r="N282" s="315">
        <v>600</v>
      </c>
      <c r="O282" s="316">
        <f t="shared" si="15"/>
        <v>0</v>
      </c>
      <c r="P282" s="95">
        <v>44728</v>
      </c>
      <c r="Q282" s="61">
        <f t="shared" si="14"/>
        <v>44728</v>
      </c>
      <c r="R282" s="59"/>
      <c r="S282" s="59" t="s">
        <v>711</v>
      </c>
      <c r="T282" s="59"/>
      <c r="U282" s="59"/>
      <c r="V282" s="59"/>
      <c r="W282" s="68"/>
      <c r="X282" s="68"/>
      <c r="Y282" s="68"/>
    </row>
    <row r="283" s="17" customFormat="1" hidden="1" customHeight="1" spans="1:25">
      <c r="A283" s="59">
        <v>143</v>
      </c>
      <c r="B283" s="60" t="s">
        <v>712</v>
      </c>
      <c r="C283" s="61">
        <v>44531</v>
      </c>
      <c r="D283" s="62" t="str">
        <f ca="1" t="shared" si="13"/>
        <v>一年以上</v>
      </c>
      <c r="E283" s="313">
        <v>44548</v>
      </c>
      <c r="F283" s="59" t="s">
        <v>282</v>
      </c>
      <c r="G283" s="59" t="s">
        <v>219</v>
      </c>
      <c r="H283" s="63" t="s">
        <v>577</v>
      </c>
      <c r="I283" s="63" t="s">
        <v>578</v>
      </c>
      <c r="J283" s="314">
        <v>5000</v>
      </c>
      <c r="K283" s="59" t="s">
        <v>28</v>
      </c>
      <c r="L283" s="59" t="s">
        <v>57</v>
      </c>
      <c r="M283" s="59" t="s">
        <v>65</v>
      </c>
      <c r="N283" s="315">
        <v>5000</v>
      </c>
      <c r="O283" s="316">
        <f t="shared" si="15"/>
        <v>0</v>
      </c>
      <c r="P283" s="95">
        <v>44756</v>
      </c>
      <c r="Q283" s="61">
        <f t="shared" si="14"/>
        <v>44756</v>
      </c>
      <c r="R283" s="59"/>
      <c r="S283" s="59" t="s">
        <v>65</v>
      </c>
      <c r="T283" s="59"/>
      <c r="U283" s="59"/>
      <c r="V283" s="59"/>
      <c r="W283" s="68"/>
      <c r="X283" s="68"/>
      <c r="Y283" s="68"/>
    </row>
    <row r="284" s="17" customFormat="1" hidden="1" customHeight="1" spans="1:25">
      <c r="A284" s="59">
        <v>144</v>
      </c>
      <c r="B284" s="60" t="s">
        <v>713</v>
      </c>
      <c r="C284" s="61">
        <v>44531</v>
      </c>
      <c r="D284" s="62" t="str">
        <f ca="1" t="shared" si="13"/>
        <v>一年以上</v>
      </c>
      <c r="E284" s="313">
        <v>44548</v>
      </c>
      <c r="F284" s="59" t="s">
        <v>282</v>
      </c>
      <c r="G284" s="59" t="s">
        <v>224</v>
      </c>
      <c r="H284" s="63" t="s">
        <v>696</v>
      </c>
      <c r="I284" s="63" t="s">
        <v>696</v>
      </c>
      <c r="J284" s="314">
        <v>5000</v>
      </c>
      <c r="K284" s="59" t="s">
        <v>356</v>
      </c>
      <c r="L284" s="59" t="s">
        <v>458</v>
      </c>
      <c r="M284" s="59" t="s">
        <v>65</v>
      </c>
      <c r="N284" s="315">
        <v>5000</v>
      </c>
      <c r="O284" s="316">
        <f t="shared" si="15"/>
        <v>0</v>
      </c>
      <c r="P284" s="95">
        <v>44712</v>
      </c>
      <c r="Q284" s="61">
        <f t="shared" si="14"/>
        <v>44712</v>
      </c>
      <c r="R284" s="59"/>
      <c r="S284" s="59" t="s">
        <v>65</v>
      </c>
      <c r="T284" s="59"/>
      <c r="U284" s="59"/>
      <c r="V284" s="59"/>
      <c r="W284" s="68"/>
      <c r="X284" s="68"/>
      <c r="Y284" s="68"/>
    </row>
    <row r="285" s="17" customFormat="1" hidden="1" customHeight="1" spans="1:25">
      <c r="A285" s="59">
        <v>282</v>
      </c>
      <c r="B285" s="60" t="s">
        <v>714</v>
      </c>
      <c r="C285" s="61">
        <v>44531</v>
      </c>
      <c r="D285" s="62" t="str">
        <f ca="1" t="shared" si="13"/>
        <v>一年以上</v>
      </c>
      <c r="E285" s="313">
        <v>44550</v>
      </c>
      <c r="F285" s="59"/>
      <c r="G285" s="59" t="s">
        <v>450</v>
      </c>
      <c r="H285" s="63" t="s">
        <v>634</v>
      </c>
      <c r="I285" s="63" t="s">
        <v>634</v>
      </c>
      <c r="J285" s="314">
        <v>10000</v>
      </c>
      <c r="K285" s="59" t="s">
        <v>28</v>
      </c>
      <c r="L285" s="59" t="s">
        <v>57</v>
      </c>
      <c r="M285" s="59" t="s">
        <v>30</v>
      </c>
      <c r="N285" s="315">
        <v>10000</v>
      </c>
      <c r="O285" s="316">
        <f t="shared" si="15"/>
        <v>0</v>
      </c>
      <c r="P285" s="95">
        <v>44560</v>
      </c>
      <c r="Q285" s="61">
        <f t="shared" si="14"/>
        <v>44560</v>
      </c>
      <c r="R285" s="59"/>
      <c r="S285" s="59" t="s">
        <v>30</v>
      </c>
      <c r="T285" s="59"/>
      <c r="U285" s="59"/>
      <c r="V285" s="59"/>
      <c r="W285" s="68"/>
      <c r="X285" s="68"/>
      <c r="Y285" s="68"/>
    </row>
    <row r="286" s="17" customFormat="1" hidden="1" customHeight="1" spans="1:25">
      <c r="A286" s="59">
        <v>283</v>
      </c>
      <c r="B286" s="60" t="s">
        <v>715</v>
      </c>
      <c r="C286" s="61">
        <v>44531</v>
      </c>
      <c r="D286" s="62" t="str">
        <f ca="1" t="shared" si="13"/>
        <v>一年以上</v>
      </c>
      <c r="E286" s="313">
        <v>44550</v>
      </c>
      <c r="F286" s="59"/>
      <c r="G286" s="59" t="s">
        <v>614</v>
      </c>
      <c r="H286" s="63" t="s">
        <v>689</v>
      </c>
      <c r="I286" s="63" t="s">
        <v>689</v>
      </c>
      <c r="J286" s="314">
        <v>5000</v>
      </c>
      <c r="K286" s="59" t="s">
        <v>356</v>
      </c>
      <c r="L286" s="59" t="s">
        <v>458</v>
      </c>
      <c r="M286" s="59" t="s">
        <v>30</v>
      </c>
      <c r="N286" s="315">
        <v>5000</v>
      </c>
      <c r="O286" s="316">
        <f t="shared" si="15"/>
        <v>0</v>
      </c>
      <c r="P286" s="95">
        <v>44586</v>
      </c>
      <c r="Q286" s="61">
        <f t="shared" si="14"/>
        <v>44586</v>
      </c>
      <c r="R286" s="59"/>
      <c r="S286" s="59"/>
      <c r="T286" s="59"/>
      <c r="U286" s="59"/>
      <c r="V286" s="59"/>
      <c r="W286" s="68"/>
      <c r="X286" s="68"/>
      <c r="Y286" s="68"/>
    </row>
    <row r="287" s="17" customFormat="1" hidden="1" customHeight="1" spans="1:25">
      <c r="A287" s="59">
        <v>389</v>
      </c>
      <c r="B287" s="60" t="s">
        <v>716</v>
      </c>
      <c r="C287" s="61">
        <v>44531</v>
      </c>
      <c r="D287" s="62" t="str">
        <f ca="1" t="shared" si="13"/>
        <v>一年以上</v>
      </c>
      <c r="E287" s="313">
        <v>44550</v>
      </c>
      <c r="F287" s="59" t="s">
        <v>632</v>
      </c>
      <c r="G287" s="59" t="s">
        <v>450</v>
      </c>
      <c r="H287" s="63" t="s">
        <v>634</v>
      </c>
      <c r="I287" s="63" t="s">
        <v>634</v>
      </c>
      <c r="J287" s="314">
        <v>200</v>
      </c>
      <c r="K287" s="59" t="s">
        <v>28</v>
      </c>
      <c r="L287" s="59" t="s">
        <v>57</v>
      </c>
      <c r="M287" s="59" t="s">
        <v>515</v>
      </c>
      <c r="N287" s="315">
        <v>200</v>
      </c>
      <c r="O287" s="316">
        <f t="shared" si="15"/>
        <v>0</v>
      </c>
      <c r="P287" s="95">
        <f>E287</f>
        <v>44550</v>
      </c>
      <c r="Q287" s="61">
        <f t="shared" si="14"/>
        <v>44550</v>
      </c>
      <c r="R287" s="59"/>
      <c r="S287" s="59" t="s">
        <v>515</v>
      </c>
      <c r="T287" s="59"/>
      <c r="U287" s="59"/>
      <c r="V287" s="59"/>
      <c r="W287" s="68"/>
      <c r="X287" s="68"/>
      <c r="Y287" s="68"/>
    </row>
    <row r="288" s="17" customFormat="1" hidden="1" customHeight="1" spans="1:25">
      <c r="A288" s="59">
        <v>284</v>
      </c>
      <c r="B288" s="60" t="s">
        <v>717</v>
      </c>
      <c r="C288" s="61">
        <v>44531</v>
      </c>
      <c r="D288" s="62" t="str">
        <f ca="1" t="shared" si="13"/>
        <v>一年以上</v>
      </c>
      <c r="E288" s="313">
        <v>44552</v>
      </c>
      <c r="F288" s="59"/>
      <c r="G288" s="59" t="s">
        <v>614</v>
      </c>
      <c r="H288" s="63" t="s">
        <v>689</v>
      </c>
      <c r="I288" s="63" t="s">
        <v>689</v>
      </c>
      <c r="J288" s="314">
        <v>10000</v>
      </c>
      <c r="K288" s="59" t="s">
        <v>28</v>
      </c>
      <c r="L288" s="59" t="s">
        <v>57</v>
      </c>
      <c r="M288" s="59" t="s">
        <v>30</v>
      </c>
      <c r="N288" s="315">
        <v>10000</v>
      </c>
      <c r="O288" s="316">
        <f t="shared" si="15"/>
        <v>0</v>
      </c>
      <c r="P288" s="95">
        <v>46079</v>
      </c>
      <c r="Q288" s="61">
        <f t="shared" si="14"/>
        <v>46079</v>
      </c>
      <c r="R288" s="59" t="s">
        <v>718</v>
      </c>
      <c r="S288" s="59" t="s">
        <v>719</v>
      </c>
      <c r="T288" s="59" t="s">
        <v>720</v>
      </c>
      <c r="U288" s="59" t="str">
        <f>VLOOKUP(T288,[1]区域划分!$A$1:$C$39,3,0)</f>
        <v>杨春龙</v>
      </c>
      <c r="V288" s="59"/>
      <c r="W288" s="68"/>
      <c r="X288" s="68"/>
      <c r="Y288" s="68"/>
    </row>
    <row r="289" s="17" customFormat="1" hidden="1" customHeight="1" spans="1:25">
      <c r="A289" s="59">
        <v>285</v>
      </c>
      <c r="B289" s="60" t="s">
        <v>721</v>
      </c>
      <c r="C289" s="61">
        <v>44531</v>
      </c>
      <c r="D289" s="62" t="str">
        <f ca="1" t="shared" si="13"/>
        <v>一年以上</v>
      </c>
      <c r="E289" s="313">
        <v>44552</v>
      </c>
      <c r="F289" s="59"/>
      <c r="G289" s="59" t="s">
        <v>614</v>
      </c>
      <c r="H289" s="63" t="s">
        <v>722</v>
      </c>
      <c r="I289" s="63" t="s">
        <v>722</v>
      </c>
      <c r="J289" s="314">
        <v>10000</v>
      </c>
      <c r="K289" s="59" t="s">
        <v>338</v>
      </c>
      <c r="L289" s="59" t="s">
        <v>627</v>
      </c>
      <c r="M289" s="59" t="s">
        <v>30</v>
      </c>
      <c r="N289" s="315">
        <v>10000</v>
      </c>
      <c r="O289" s="316">
        <f t="shared" si="15"/>
        <v>0</v>
      </c>
      <c r="P289" s="95">
        <v>44645</v>
      </c>
      <c r="Q289" s="61">
        <f t="shared" si="14"/>
        <v>44645</v>
      </c>
      <c r="R289" s="59"/>
      <c r="S289" s="59" t="s">
        <v>723</v>
      </c>
      <c r="T289" s="59"/>
      <c r="U289" s="59"/>
      <c r="V289" s="59"/>
      <c r="W289" s="68"/>
      <c r="X289" s="68"/>
      <c r="Y289" s="68"/>
    </row>
    <row r="290" s="17" customFormat="1" hidden="1" customHeight="1" spans="1:25">
      <c r="A290" s="59">
        <v>142</v>
      </c>
      <c r="B290" s="60" t="s">
        <v>724</v>
      </c>
      <c r="C290" s="61">
        <v>44531</v>
      </c>
      <c r="D290" s="62" t="str">
        <f ca="1" t="shared" si="13"/>
        <v>一年以上</v>
      </c>
      <c r="E290" s="313">
        <v>44553</v>
      </c>
      <c r="F290" s="59" t="s">
        <v>70</v>
      </c>
      <c r="G290" s="59" t="s">
        <v>83</v>
      </c>
      <c r="H290" s="63" t="s">
        <v>657</v>
      </c>
      <c r="I290" s="63" t="s">
        <v>657</v>
      </c>
      <c r="J290" s="314">
        <v>3000</v>
      </c>
      <c r="K290" s="59" t="s">
        <v>356</v>
      </c>
      <c r="L290" s="59" t="s">
        <v>458</v>
      </c>
      <c r="M290" s="59" t="s">
        <v>65</v>
      </c>
      <c r="N290" s="315">
        <v>3000</v>
      </c>
      <c r="O290" s="316">
        <f t="shared" si="15"/>
        <v>0</v>
      </c>
      <c r="P290" s="95">
        <v>44617</v>
      </c>
      <c r="Q290" s="61">
        <f t="shared" si="14"/>
        <v>44617</v>
      </c>
      <c r="R290" s="59"/>
      <c r="S290" s="59" t="s">
        <v>65</v>
      </c>
      <c r="T290" s="59" t="s">
        <v>300</v>
      </c>
      <c r="U290" s="59" t="s">
        <v>301</v>
      </c>
      <c r="V290" s="59"/>
      <c r="W290" s="68"/>
      <c r="X290" s="68"/>
      <c r="Y290" s="68"/>
    </row>
    <row r="291" s="17" customFormat="1" hidden="1" customHeight="1" spans="1:25">
      <c r="A291" s="59">
        <v>286</v>
      </c>
      <c r="B291" s="60" t="s">
        <v>725</v>
      </c>
      <c r="C291" s="61">
        <v>44531</v>
      </c>
      <c r="D291" s="62" t="str">
        <f ca="1" t="shared" si="13"/>
        <v>一年以上</v>
      </c>
      <c r="E291" s="313">
        <v>44553</v>
      </c>
      <c r="F291" s="59"/>
      <c r="G291" s="59" t="s">
        <v>450</v>
      </c>
      <c r="H291" s="63" t="s">
        <v>726</v>
      </c>
      <c r="I291" s="63" t="s">
        <v>727</v>
      </c>
      <c r="J291" s="314">
        <v>400</v>
      </c>
      <c r="K291" s="59" t="s">
        <v>28</v>
      </c>
      <c r="L291" s="59" t="s">
        <v>57</v>
      </c>
      <c r="M291" s="59" t="s">
        <v>30</v>
      </c>
      <c r="N291" s="315">
        <v>400</v>
      </c>
      <c r="O291" s="316">
        <f t="shared" si="15"/>
        <v>0</v>
      </c>
      <c r="P291" s="95">
        <v>46079</v>
      </c>
      <c r="Q291" s="61">
        <f t="shared" si="14"/>
        <v>46079</v>
      </c>
      <c r="R291" s="59" t="s">
        <v>728</v>
      </c>
      <c r="S291" s="59" t="s">
        <v>729</v>
      </c>
      <c r="T291" s="59" t="s">
        <v>32</v>
      </c>
      <c r="U291" s="59" t="str">
        <f>VLOOKUP(T291,[1]区域划分!$A$1:$C$39,3,0)</f>
        <v>方渊</v>
      </c>
      <c r="V291" s="59"/>
      <c r="W291" s="68"/>
      <c r="X291" s="68"/>
      <c r="Y291" s="68"/>
    </row>
    <row r="292" s="17" customFormat="1" hidden="1" customHeight="1" spans="1:25">
      <c r="A292" s="59">
        <v>287</v>
      </c>
      <c r="B292" s="60" t="s">
        <v>730</v>
      </c>
      <c r="C292" s="61">
        <v>44531</v>
      </c>
      <c r="D292" s="62" t="str">
        <f ca="1" t="shared" si="13"/>
        <v>一年以上</v>
      </c>
      <c r="E292" s="313">
        <v>44553</v>
      </c>
      <c r="F292" s="59"/>
      <c r="G292" s="59" t="s">
        <v>614</v>
      </c>
      <c r="H292" s="63" t="s">
        <v>325</v>
      </c>
      <c r="I292" s="63" t="s">
        <v>325</v>
      </c>
      <c r="J292" s="314">
        <v>1000</v>
      </c>
      <c r="K292" s="59" t="s">
        <v>356</v>
      </c>
      <c r="L292" s="59" t="s">
        <v>458</v>
      </c>
      <c r="M292" s="59" t="s">
        <v>30</v>
      </c>
      <c r="N292" s="315">
        <v>1000</v>
      </c>
      <c r="O292" s="316">
        <f t="shared" si="15"/>
        <v>0</v>
      </c>
      <c r="P292" s="95">
        <v>44897</v>
      </c>
      <c r="Q292" s="61">
        <f t="shared" si="14"/>
        <v>44897</v>
      </c>
      <c r="R292" s="59"/>
      <c r="S292" s="59" t="s">
        <v>731</v>
      </c>
      <c r="T292" s="59"/>
      <c r="U292" s="59"/>
      <c r="V292" s="59"/>
      <c r="W292" s="68"/>
      <c r="X292" s="68"/>
      <c r="Y292" s="68"/>
    </row>
    <row r="293" s="17" customFormat="1" hidden="1" customHeight="1" spans="1:25">
      <c r="A293" s="59">
        <v>288</v>
      </c>
      <c r="B293" s="60" t="s">
        <v>732</v>
      </c>
      <c r="C293" s="61">
        <v>44531</v>
      </c>
      <c r="D293" s="62" t="str">
        <f ca="1" t="shared" si="13"/>
        <v>一年以上</v>
      </c>
      <c r="E293" s="313">
        <v>44553</v>
      </c>
      <c r="F293" s="59"/>
      <c r="G293" s="59" t="s">
        <v>614</v>
      </c>
      <c r="H293" s="63" t="s">
        <v>325</v>
      </c>
      <c r="I293" s="63" t="s">
        <v>325</v>
      </c>
      <c r="J293" s="314">
        <v>2000</v>
      </c>
      <c r="K293" s="59" t="s">
        <v>356</v>
      </c>
      <c r="L293" s="59" t="s">
        <v>458</v>
      </c>
      <c r="M293" s="59" t="s">
        <v>30</v>
      </c>
      <c r="N293" s="315">
        <v>2000</v>
      </c>
      <c r="O293" s="316">
        <f t="shared" si="15"/>
        <v>0</v>
      </c>
      <c r="P293" s="95">
        <v>44579</v>
      </c>
      <c r="Q293" s="61">
        <f t="shared" si="14"/>
        <v>44579</v>
      </c>
      <c r="R293" s="59"/>
      <c r="S293" s="59" t="s">
        <v>30</v>
      </c>
      <c r="T293" s="59"/>
      <c r="U293" s="59"/>
      <c r="V293" s="59"/>
      <c r="W293" s="68"/>
      <c r="X293" s="68"/>
      <c r="Y293" s="68"/>
    </row>
    <row r="294" s="17" customFormat="1" hidden="1" customHeight="1" spans="1:25">
      <c r="A294" s="59">
        <v>289</v>
      </c>
      <c r="B294" s="60" t="s">
        <v>733</v>
      </c>
      <c r="C294" s="61">
        <v>44531</v>
      </c>
      <c r="D294" s="62" t="str">
        <f ca="1" t="shared" si="13"/>
        <v>一年以上</v>
      </c>
      <c r="E294" s="313">
        <v>44557</v>
      </c>
      <c r="F294" s="59"/>
      <c r="G294" s="59" t="s">
        <v>614</v>
      </c>
      <c r="H294" s="63" t="s">
        <v>706</v>
      </c>
      <c r="I294" s="63" t="s">
        <v>706</v>
      </c>
      <c r="J294" s="314">
        <v>3000</v>
      </c>
      <c r="K294" s="59" t="s">
        <v>356</v>
      </c>
      <c r="L294" s="59" t="s">
        <v>458</v>
      </c>
      <c r="M294" s="59" t="s">
        <v>30</v>
      </c>
      <c r="N294" s="315">
        <v>3000</v>
      </c>
      <c r="O294" s="316">
        <f t="shared" si="15"/>
        <v>0</v>
      </c>
      <c r="P294" s="95">
        <v>44581</v>
      </c>
      <c r="Q294" s="61">
        <f t="shared" si="14"/>
        <v>44581</v>
      </c>
      <c r="R294" s="59"/>
      <c r="S294" s="59" t="s">
        <v>30</v>
      </c>
      <c r="T294" s="59"/>
      <c r="U294" s="59"/>
      <c r="V294" s="59"/>
      <c r="W294" s="68"/>
      <c r="X294" s="68"/>
      <c r="Y294" s="68"/>
    </row>
    <row r="295" s="17" customFormat="1" hidden="1" customHeight="1" spans="1:25">
      <c r="A295" s="59">
        <v>290</v>
      </c>
      <c r="B295" s="60" t="s">
        <v>734</v>
      </c>
      <c r="C295" s="61">
        <v>44531</v>
      </c>
      <c r="D295" s="62" t="str">
        <f ca="1" t="shared" si="13"/>
        <v>一年以上</v>
      </c>
      <c r="E295" s="313">
        <v>44557</v>
      </c>
      <c r="F295" s="59"/>
      <c r="G295" s="59" t="s">
        <v>614</v>
      </c>
      <c r="H295" s="63" t="s">
        <v>706</v>
      </c>
      <c r="I295" s="63" t="s">
        <v>706</v>
      </c>
      <c r="J295" s="314">
        <v>3000</v>
      </c>
      <c r="K295" s="59" t="s">
        <v>356</v>
      </c>
      <c r="L295" s="59" t="s">
        <v>458</v>
      </c>
      <c r="M295" s="59" t="s">
        <v>30</v>
      </c>
      <c r="N295" s="315">
        <v>3000</v>
      </c>
      <c r="O295" s="316">
        <f t="shared" si="15"/>
        <v>0</v>
      </c>
      <c r="P295" s="95">
        <v>44581</v>
      </c>
      <c r="Q295" s="61">
        <f t="shared" si="14"/>
        <v>44581</v>
      </c>
      <c r="R295" s="59"/>
      <c r="S295" s="59" t="s">
        <v>30</v>
      </c>
      <c r="T295" s="59"/>
      <c r="U295" s="59"/>
      <c r="V295" s="59"/>
      <c r="W295" s="68"/>
      <c r="X295" s="68"/>
      <c r="Y295" s="68"/>
    </row>
    <row r="296" s="17" customFormat="1" hidden="1" customHeight="1" spans="1:25">
      <c r="A296" s="59">
        <v>291</v>
      </c>
      <c r="B296" s="60" t="s">
        <v>735</v>
      </c>
      <c r="C296" s="61">
        <v>44531</v>
      </c>
      <c r="D296" s="62" t="str">
        <f ca="1" t="shared" si="13"/>
        <v>一年以上</v>
      </c>
      <c r="E296" s="313">
        <v>44557</v>
      </c>
      <c r="F296" s="59"/>
      <c r="G296" s="59" t="s">
        <v>614</v>
      </c>
      <c r="H296" s="63" t="s">
        <v>706</v>
      </c>
      <c r="I296" s="63" t="s">
        <v>706</v>
      </c>
      <c r="J296" s="314">
        <v>5000</v>
      </c>
      <c r="K296" s="59" t="s">
        <v>356</v>
      </c>
      <c r="L296" s="59" t="s">
        <v>458</v>
      </c>
      <c r="M296" s="59" t="s">
        <v>30</v>
      </c>
      <c r="N296" s="315">
        <v>5000</v>
      </c>
      <c r="O296" s="316">
        <f t="shared" si="15"/>
        <v>0</v>
      </c>
      <c r="P296" s="95">
        <v>44581</v>
      </c>
      <c r="Q296" s="61">
        <f t="shared" si="14"/>
        <v>44581</v>
      </c>
      <c r="R296" s="59"/>
      <c r="S296" s="59" t="s">
        <v>30</v>
      </c>
      <c r="T296" s="59"/>
      <c r="U296" s="59"/>
      <c r="V296" s="59"/>
      <c r="W296" s="68"/>
      <c r="X296" s="68"/>
      <c r="Y296" s="68"/>
    </row>
    <row r="297" s="17" customFormat="1" hidden="1" customHeight="1" spans="1:25">
      <c r="A297" s="59">
        <v>145</v>
      </c>
      <c r="B297" s="60" t="s">
        <v>736</v>
      </c>
      <c r="C297" s="61">
        <v>44531</v>
      </c>
      <c r="D297" s="62" t="str">
        <f ca="1" t="shared" si="13"/>
        <v>一年以上</v>
      </c>
      <c r="E297" s="313">
        <v>44558</v>
      </c>
      <c r="F297" s="59" t="s">
        <v>70</v>
      </c>
      <c r="G297" s="59" t="s">
        <v>434</v>
      </c>
      <c r="H297" s="63" t="s">
        <v>141</v>
      </c>
      <c r="I297" s="63" t="s">
        <v>141</v>
      </c>
      <c r="J297" s="314">
        <v>10000</v>
      </c>
      <c r="K297" s="59" t="s">
        <v>28</v>
      </c>
      <c r="L297" s="59" t="s">
        <v>73</v>
      </c>
      <c r="M297" s="59" t="s">
        <v>65</v>
      </c>
      <c r="N297" s="315">
        <v>9500</v>
      </c>
      <c r="O297" s="316">
        <f t="shared" si="15"/>
        <v>500</v>
      </c>
      <c r="P297" s="95">
        <v>44582</v>
      </c>
      <c r="Q297" s="61">
        <f t="shared" si="14"/>
        <v>44582</v>
      </c>
      <c r="R297" s="59" t="s">
        <v>737</v>
      </c>
      <c r="S297" s="59"/>
      <c r="T297" s="59" t="s">
        <v>300</v>
      </c>
      <c r="U297" s="59" t="str">
        <f>VLOOKUP(T297,[1]区域划分!$A$1:$C$39,3,0)</f>
        <v>林维</v>
      </c>
      <c r="V297" s="59"/>
      <c r="W297" s="68"/>
      <c r="X297" s="68"/>
      <c r="Y297" s="68"/>
    </row>
    <row r="298" s="17" customFormat="1" hidden="1" customHeight="1" spans="1:25">
      <c r="A298" s="59">
        <v>352</v>
      </c>
      <c r="B298" s="60" t="s">
        <v>738</v>
      </c>
      <c r="C298" s="61">
        <v>44531</v>
      </c>
      <c r="D298" s="62" t="str">
        <f ca="1" t="shared" si="13"/>
        <v>一年以上</v>
      </c>
      <c r="E298" s="313">
        <v>44559</v>
      </c>
      <c r="F298" s="59" t="s">
        <v>130</v>
      </c>
      <c r="G298" s="59" t="s">
        <v>208</v>
      </c>
      <c r="H298" s="63" t="s">
        <v>739</v>
      </c>
      <c r="I298" s="63" t="s">
        <v>739</v>
      </c>
      <c r="J298" s="314">
        <v>9800</v>
      </c>
      <c r="K298" s="59" t="s">
        <v>28</v>
      </c>
      <c r="L298" s="59" t="s">
        <v>57</v>
      </c>
      <c r="M298" s="59" t="s">
        <v>133</v>
      </c>
      <c r="N298" s="315">
        <v>9800</v>
      </c>
      <c r="O298" s="316">
        <f t="shared" si="15"/>
        <v>0</v>
      </c>
      <c r="P298" s="95">
        <v>44826</v>
      </c>
      <c r="Q298" s="61">
        <f t="shared" si="14"/>
        <v>44826</v>
      </c>
      <c r="R298" s="59"/>
      <c r="S298" s="59" t="s">
        <v>740</v>
      </c>
      <c r="T298" s="59"/>
      <c r="U298" s="59"/>
      <c r="V298" s="59"/>
      <c r="W298" s="68"/>
      <c r="X298" s="68"/>
      <c r="Y298" s="68"/>
    </row>
    <row r="299" s="17" customFormat="1" hidden="1" customHeight="1" spans="1:25">
      <c r="A299" s="59">
        <v>146</v>
      </c>
      <c r="B299" s="60" t="s">
        <v>741</v>
      </c>
      <c r="C299" s="61">
        <v>44562</v>
      </c>
      <c r="D299" s="62" t="str">
        <f ca="1" t="shared" si="13"/>
        <v>一年以上</v>
      </c>
      <c r="E299" s="313">
        <v>44565</v>
      </c>
      <c r="F299" s="59" t="s">
        <v>70</v>
      </c>
      <c r="G299" s="59" t="s">
        <v>119</v>
      </c>
      <c r="H299" s="63" t="s">
        <v>742</v>
      </c>
      <c r="I299" s="63" t="s">
        <v>742</v>
      </c>
      <c r="J299" s="314">
        <v>10000</v>
      </c>
      <c r="K299" s="59" t="s">
        <v>28</v>
      </c>
      <c r="L299" s="59" t="s">
        <v>743</v>
      </c>
      <c r="M299" s="59" t="s">
        <v>65</v>
      </c>
      <c r="N299" s="315">
        <v>10000</v>
      </c>
      <c r="O299" s="316">
        <f t="shared" si="15"/>
        <v>0</v>
      </c>
      <c r="P299" s="95">
        <v>45833</v>
      </c>
      <c r="Q299" s="61">
        <f t="shared" si="14"/>
        <v>45833</v>
      </c>
      <c r="R299" s="59" t="s">
        <v>744</v>
      </c>
      <c r="S299" s="59"/>
      <c r="T299" s="59" t="s">
        <v>581</v>
      </c>
      <c r="U299" s="59" t="str">
        <f>VLOOKUP(T299,[1]区域划分!$A$1:$C$39,3,0)</f>
        <v>新疆</v>
      </c>
      <c r="V299" s="59"/>
      <c r="W299" s="68"/>
      <c r="X299" s="68"/>
      <c r="Y299" s="68"/>
    </row>
    <row r="300" s="17" customFormat="1" hidden="1" customHeight="1" spans="1:25">
      <c r="A300" s="59">
        <v>292</v>
      </c>
      <c r="B300" s="60" t="s">
        <v>745</v>
      </c>
      <c r="C300" s="61">
        <v>44562</v>
      </c>
      <c r="D300" s="62" t="str">
        <f ca="1" t="shared" si="13"/>
        <v>一年以上</v>
      </c>
      <c r="E300" s="313">
        <v>44565</v>
      </c>
      <c r="F300" s="59"/>
      <c r="G300" s="59" t="s">
        <v>614</v>
      </c>
      <c r="H300" s="63" t="s">
        <v>706</v>
      </c>
      <c r="I300" s="63" t="s">
        <v>706</v>
      </c>
      <c r="J300" s="314">
        <v>5000</v>
      </c>
      <c r="K300" s="59" t="s">
        <v>356</v>
      </c>
      <c r="L300" s="59" t="s">
        <v>458</v>
      </c>
      <c r="M300" s="59" t="s">
        <v>30</v>
      </c>
      <c r="N300" s="315">
        <v>5000</v>
      </c>
      <c r="O300" s="316">
        <f t="shared" si="15"/>
        <v>0</v>
      </c>
      <c r="P300" s="95">
        <v>44581</v>
      </c>
      <c r="Q300" s="61">
        <f t="shared" si="14"/>
        <v>44581</v>
      </c>
      <c r="R300" s="59"/>
      <c r="S300" s="59" t="s">
        <v>30</v>
      </c>
      <c r="T300" s="59"/>
      <c r="U300" s="59"/>
      <c r="V300" s="59"/>
      <c r="W300" s="68"/>
      <c r="X300" s="68"/>
      <c r="Y300" s="68"/>
    </row>
    <row r="301" s="17" customFormat="1" hidden="1" customHeight="1" spans="1:25">
      <c r="A301" s="59">
        <v>293</v>
      </c>
      <c r="B301" s="60" t="s">
        <v>746</v>
      </c>
      <c r="C301" s="61">
        <v>44562</v>
      </c>
      <c r="D301" s="62" t="str">
        <f ca="1" t="shared" si="13"/>
        <v>一年以上</v>
      </c>
      <c r="E301" s="313">
        <v>44565</v>
      </c>
      <c r="F301" s="59"/>
      <c r="G301" s="59" t="s">
        <v>614</v>
      </c>
      <c r="H301" s="63" t="s">
        <v>706</v>
      </c>
      <c r="I301" s="63" t="s">
        <v>706</v>
      </c>
      <c r="J301" s="314">
        <v>5000</v>
      </c>
      <c r="K301" s="59" t="s">
        <v>356</v>
      </c>
      <c r="L301" s="59" t="s">
        <v>458</v>
      </c>
      <c r="M301" s="59" t="s">
        <v>30</v>
      </c>
      <c r="N301" s="315">
        <v>5000</v>
      </c>
      <c r="O301" s="316">
        <f t="shared" si="15"/>
        <v>0</v>
      </c>
      <c r="P301" s="95">
        <v>44581</v>
      </c>
      <c r="Q301" s="61">
        <f t="shared" si="14"/>
        <v>44581</v>
      </c>
      <c r="R301" s="59"/>
      <c r="S301" s="59" t="s">
        <v>30</v>
      </c>
      <c r="T301" s="59"/>
      <c r="U301" s="59"/>
      <c r="V301" s="59"/>
      <c r="W301" s="68"/>
      <c r="X301" s="68"/>
      <c r="Y301" s="68"/>
    </row>
    <row r="302" s="17" customFormat="1" hidden="1" customHeight="1" spans="1:25">
      <c r="A302" s="59">
        <v>294</v>
      </c>
      <c r="B302" s="60" t="s">
        <v>747</v>
      </c>
      <c r="C302" s="61">
        <v>44562</v>
      </c>
      <c r="D302" s="62" t="str">
        <f ca="1" t="shared" si="13"/>
        <v>一年以上</v>
      </c>
      <c r="E302" s="313">
        <v>44567</v>
      </c>
      <c r="F302" s="59"/>
      <c r="G302" s="59" t="s">
        <v>614</v>
      </c>
      <c r="H302" s="63" t="s">
        <v>706</v>
      </c>
      <c r="I302" s="63" t="s">
        <v>706</v>
      </c>
      <c r="J302" s="314">
        <v>5000</v>
      </c>
      <c r="K302" s="59" t="s">
        <v>356</v>
      </c>
      <c r="L302" s="59" t="s">
        <v>458</v>
      </c>
      <c r="M302" s="59" t="s">
        <v>30</v>
      </c>
      <c r="N302" s="315">
        <v>5000</v>
      </c>
      <c r="O302" s="316">
        <f t="shared" si="15"/>
        <v>0</v>
      </c>
      <c r="P302" s="95">
        <v>44581</v>
      </c>
      <c r="Q302" s="61">
        <f t="shared" si="14"/>
        <v>44581</v>
      </c>
      <c r="R302" s="59"/>
      <c r="S302" s="59" t="s">
        <v>30</v>
      </c>
      <c r="T302" s="59"/>
      <c r="U302" s="59"/>
      <c r="V302" s="59"/>
      <c r="W302" s="68"/>
      <c r="X302" s="68"/>
      <c r="Y302" s="68"/>
    </row>
    <row r="303" s="17" customFormat="1" hidden="1" customHeight="1" spans="1:25">
      <c r="A303" s="59">
        <v>295</v>
      </c>
      <c r="B303" s="60" t="s">
        <v>748</v>
      </c>
      <c r="C303" s="61">
        <v>44562</v>
      </c>
      <c r="D303" s="62" t="str">
        <f ca="1" t="shared" si="13"/>
        <v>一年以上</v>
      </c>
      <c r="E303" s="313">
        <v>44571</v>
      </c>
      <c r="F303" s="59"/>
      <c r="G303" s="59" t="s">
        <v>614</v>
      </c>
      <c r="H303" s="63" t="s">
        <v>283</v>
      </c>
      <c r="I303" s="63" t="s">
        <v>283</v>
      </c>
      <c r="J303" s="314">
        <v>5000</v>
      </c>
      <c r="K303" s="59" t="s">
        <v>356</v>
      </c>
      <c r="L303" s="59" t="s">
        <v>458</v>
      </c>
      <c r="M303" s="59" t="s">
        <v>30</v>
      </c>
      <c r="N303" s="315">
        <v>5000</v>
      </c>
      <c r="O303" s="316">
        <f t="shared" si="15"/>
        <v>0</v>
      </c>
      <c r="P303" s="95">
        <v>44657</v>
      </c>
      <c r="Q303" s="61">
        <f t="shared" si="14"/>
        <v>44657</v>
      </c>
      <c r="R303" s="59"/>
      <c r="S303" s="59" t="s">
        <v>749</v>
      </c>
      <c r="T303" s="59"/>
      <c r="U303" s="59"/>
      <c r="V303" s="59"/>
      <c r="W303" s="68"/>
      <c r="X303" s="68"/>
      <c r="Y303" s="68"/>
    </row>
    <row r="304" s="17" customFormat="1" hidden="1" customHeight="1" spans="1:25">
      <c r="A304" s="59">
        <v>316</v>
      </c>
      <c r="B304" s="60" t="s">
        <v>750</v>
      </c>
      <c r="C304" s="61">
        <v>44562</v>
      </c>
      <c r="D304" s="62" t="str">
        <f ca="1" t="shared" si="13"/>
        <v>一年以上</v>
      </c>
      <c r="E304" s="313">
        <v>44572</v>
      </c>
      <c r="F304" s="59" t="s">
        <v>282</v>
      </c>
      <c r="G304" s="59" t="s">
        <v>104</v>
      </c>
      <c r="H304" s="63" t="s">
        <v>325</v>
      </c>
      <c r="I304" s="63" t="s">
        <v>325</v>
      </c>
      <c r="J304" s="314">
        <v>2000</v>
      </c>
      <c r="K304" s="59" t="s">
        <v>356</v>
      </c>
      <c r="L304" s="59" t="s">
        <v>458</v>
      </c>
      <c r="M304" s="59" t="s">
        <v>65</v>
      </c>
      <c r="N304" s="315">
        <v>2000</v>
      </c>
      <c r="O304" s="316">
        <f t="shared" si="15"/>
        <v>0</v>
      </c>
      <c r="P304" s="95">
        <v>44897</v>
      </c>
      <c r="Q304" s="61">
        <f t="shared" si="14"/>
        <v>44897</v>
      </c>
      <c r="R304" s="59" t="s">
        <v>751</v>
      </c>
      <c r="S304" s="59" t="s">
        <v>65</v>
      </c>
      <c r="T304" s="59"/>
      <c r="U304" s="59"/>
      <c r="V304" s="59"/>
      <c r="W304" s="68"/>
      <c r="X304" s="68"/>
      <c r="Y304" s="68"/>
    </row>
    <row r="305" s="17" customFormat="1" hidden="1" customHeight="1" spans="1:25">
      <c r="A305" s="59">
        <v>390</v>
      </c>
      <c r="B305" s="60" t="s">
        <v>752</v>
      </c>
      <c r="C305" s="61">
        <v>44562</v>
      </c>
      <c r="D305" s="62" t="str">
        <f ca="1" t="shared" si="13"/>
        <v>一年以上</v>
      </c>
      <c r="E305" s="313">
        <v>44572</v>
      </c>
      <c r="F305" s="59" t="s">
        <v>632</v>
      </c>
      <c r="G305" s="59" t="s">
        <v>450</v>
      </c>
      <c r="H305" s="63" t="s">
        <v>753</v>
      </c>
      <c r="I305" s="63" t="s">
        <v>753</v>
      </c>
      <c r="J305" s="314">
        <v>1000</v>
      </c>
      <c r="K305" s="59"/>
      <c r="L305" s="59" t="s">
        <v>96</v>
      </c>
      <c r="M305" s="59" t="s">
        <v>515</v>
      </c>
      <c r="N305" s="315">
        <v>1000</v>
      </c>
      <c r="O305" s="316">
        <f t="shared" si="15"/>
        <v>0</v>
      </c>
      <c r="P305" s="95">
        <f>E305</f>
        <v>44572</v>
      </c>
      <c r="Q305" s="61">
        <f t="shared" si="14"/>
        <v>44572</v>
      </c>
      <c r="R305" s="59"/>
      <c r="S305" s="59" t="s">
        <v>754</v>
      </c>
      <c r="T305" s="59"/>
      <c r="U305" s="59"/>
      <c r="V305" s="59"/>
      <c r="W305" s="68"/>
      <c r="X305" s="68"/>
      <c r="Y305" s="68"/>
    </row>
    <row r="306" s="17" customFormat="1" hidden="1" customHeight="1" spans="1:25">
      <c r="A306" s="59">
        <v>147</v>
      </c>
      <c r="B306" s="60" t="s">
        <v>755</v>
      </c>
      <c r="C306" s="61">
        <v>44562</v>
      </c>
      <c r="D306" s="62" t="str">
        <f ca="1" t="shared" si="13"/>
        <v>一年以上</v>
      </c>
      <c r="E306" s="313">
        <v>44573</v>
      </c>
      <c r="F306" s="59" t="s">
        <v>282</v>
      </c>
      <c r="G306" s="59" t="s">
        <v>756</v>
      </c>
      <c r="H306" s="63" t="s">
        <v>234</v>
      </c>
      <c r="I306" s="63" t="s">
        <v>234</v>
      </c>
      <c r="J306" s="314">
        <v>7500</v>
      </c>
      <c r="K306" s="59" t="s">
        <v>356</v>
      </c>
      <c r="L306" s="59" t="s">
        <v>458</v>
      </c>
      <c r="M306" s="59" t="s">
        <v>65</v>
      </c>
      <c r="N306" s="315">
        <v>7500</v>
      </c>
      <c r="O306" s="316">
        <f t="shared" si="15"/>
        <v>0</v>
      </c>
      <c r="P306" s="95">
        <v>45464</v>
      </c>
      <c r="Q306" s="61">
        <f t="shared" si="14"/>
        <v>45464</v>
      </c>
      <c r="R306" s="59" t="s">
        <v>757</v>
      </c>
      <c r="S306" s="59" t="s">
        <v>65</v>
      </c>
      <c r="T306" s="59" t="s">
        <v>182</v>
      </c>
      <c r="U306" s="59" t="str">
        <f>VLOOKUP(T306,[1]区域划分!$A$1:$C$39,3,0)</f>
        <v>汪瑞青</v>
      </c>
      <c r="V306" s="59" t="s">
        <v>237</v>
      </c>
      <c r="W306" s="68"/>
      <c r="X306" s="68"/>
      <c r="Y306" s="68"/>
    </row>
    <row r="307" s="17" customFormat="1" hidden="1" customHeight="1" spans="1:25">
      <c r="A307" s="59">
        <v>296</v>
      </c>
      <c r="B307" s="60" t="s">
        <v>758</v>
      </c>
      <c r="C307" s="61">
        <v>44562</v>
      </c>
      <c r="D307" s="62" t="str">
        <f ca="1" t="shared" si="13"/>
        <v>一年以上</v>
      </c>
      <c r="E307" s="313">
        <v>44573</v>
      </c>
      <c r="F307" s="59"/>
      <c r="G307" s="59" t="s">
        <v>450</v>
      </c>
      <c r="H307" s="63" t="s">
        <v>759</v>
      </c>
      <c r="I307" s="63" t="s">
        <v>759</v>
      </c>
      <c r="J307" s="314">
        <v>30000</v>
      </c>
      <c r="K307" s="59" t="s">
        <v>28</v>
      </c>
      <c r="L307" s="59" t="s">
        <v>57</v>
      </c>
      <c r="M307" s="59" t="s">
        <v>30</v>
      </c>
      <c r="N307" s="315">
        <v>30000</v>
      </c>
      <c r="O307" s="316">
        <f t="shared" si="15"/>
        <v>0</v>
      </c>
      <c r="P307" s="95">
        <v>44635</v>
      </c>
      <c r="Q307" s="61">
        <f t="shared" si="14"/>
        <v>44635</v>
      </c>
      <c r="R307" s="59"/>
      <c r="S307" s="59" t="s">
        <v>760</v>
      </c>
      <c r="T307" s="59"/>
      <c r="U307" s="59"/>
      <c r="V307" s="59"/>
      <c r="W307" s="68"/>
      <c r="X307" s="68"/>
      <c r="Y307" s="68"/>
    </row>
    <row r="308" s="17" customFormat="1" hidden="1" customHeight="1" spans="1:25">
      <c r="A308" s="59">
        <v>148</v>
      </c>
      <c r="B308" s="60" t="s">
        <v>761</v>
      </c>
      <c r="C308" s="61">
        <v>44562</v>
      </c>
      <c r="D308" s="62" t="str">
        <f ca="1" t="shared" si="13"/>
        <v>一年以上</v>
      </c>
      <c r="E308" s="313">
        <v>44575</v>
      </c>
      <c r="F308" s="59" t="s">
        <v>122</v>
      </c>
      <c r="G308" s="59" t="s">
        <v>762</v>
      </c>
      <c r="H308" s="63" t="s">
        <v>419</v>
      </c>
      <c r="I308" s="63" t="s">
        <v>419</v>
      </c>
      <c r="J308" s="314">
        <v>3150</v>
      </c>
      <c r="K308" s="59" t="s">
        <v>28</v>
      </c>
      <c r="L308" s="59" t="s">
        <v>57</v>
      </c>
      <c r="M308" s="59" t="s">
        <v>65</v>
      </c>
      <c r="N308" s="315">
        <v>3150</v>
      </c>
      <c r="O308" s="316">
        <f t="shared" si="15"/>
        <v>0</v>
      </c>
      <c r="P308" s="95">
        <v>44850</v>
      </c>
      <c r="Q308" s="61">
        <f t="shared" si="14"/>
        <v>44850</v>
      </c>
      <c r="R308" s="59"/>
      <c r="S308" s="59" t="s">
        <v>65</v>
      </c>
      <c r="T308" s="59"/>
      <c r="U308" s="59"/>
      <c r="V308" s="59"/>
      <c r="W308" s="68"/>
      <c r="X308" s="68"/>
      <c r="Y308" s="68"/>
    </row>
    <row r="309" s="17" customFormat="1" hidden="1" customHeight="1" spans="1:25">
      <c r="A309" s="59">
        <v>297</v>
      </c>
      <c r="B309" s="60" t="s">
        <v>763</v>
      </c>
      <c r="C309" s="61">
        <v>44562</v>
      </c>
      <c r="D309" s="62" t="str">
        <f ca="1" t="shared" si="13"/>
        <v>一年以上</v>
      </c>
      <c r="E309" s="313">
        <v>44575</v>
      </c>
      <c r="F309" s="59"/>
      <c r="G309" s="59" t="s">
        <v>450</v>
      </c>
      <c r="H309" s="63" t="s">
        <v>188</v>
      </c>
      <c r="I309" s="63" t="s">
        <v>188</v>
      </c>
      <c r="J309" s="314">
        <v>5000</v>
      </c>
      <c r="K309" s="59" t="s">
        <v>28</v>
      </c>
      <c r="L309" s="59" t="s">
        <v>57</v>
      </c>
      <c r="M309" s="59" t="s">
        <v>30</v>
      </c>
      <c r="N309" s="315">
        <v>5000</v>
      </c>
      <c r="O309" s="316">
        <f t="shared" si="15"/>
        <v>0</v>
      </c>
      <c r="P309" s="95">
        <v>44616</v>
      </c>
      <c r="Q309" s="61">
        <f t="shared" si="14"/>
        <v>44616</v>
      </c>
      <c r="R309" s="59"/>
      <c r="S309" s="59" t="s">
        <v>764</v>
      </c>
      <c r="T309" s="59"/>
      <c r="U309" s="59"/>
      <c r="V309" s="59"/>
      <c r="W309" s="68"/>
      <c r="X309" s="68"/>
      <c r="Y309" s="68"/>
    </row>
    <row r="310" s="17" customFormat="1" hidden="1" customHeight="1" spans="1:25">
      <c r="A310" s="59">
        <v>298</v>
      </c>
      <c r="B310" s="60" t="s">
        <v>765</v>
      </c>
      <c r="C310" s="61">
        <v>44562</v>
      </c>
      <c r="D310" s="62" t="str">
        <f ca="1" t="shared" si="13"/>
        <v>一年以上</v>
      </c>
      <c r="E310" s="313">
        <v>44576</v>
      </c>
      <c r="F310" s="59"/>
      <c r="G310" s="59" t="s">
        <v>450</v>
      </c>
      <c r="H310" s="63" t="s">
        <v>188</v>
      </c>
      <c r="I310" s="63" t="s">
        <v>188</v>
      </c>
      <c r="J310" s="314">
        <v>5000</v>
      </c>
      <c r="K310" s="59" t="s">
        <v>338</v>
      </c>
      <c r="L310" s="59" t="s">
        <v>627</v>
      </c>
      <c r="M310" s="59" t="s">
        <v>30</v>
      </c>
      <c r="N310" s="315">
        <v>5000</v>
      </c>
      <c r="O310" s="316">
        <f t="shared" si="15"/>
        <v>0</v>
      </c>
      <c r="P310" s="95">
        <v>44613</v>
      </c>
      <c r="Q310" s="61">
        <f t="shared" si="14"/>
        <v>44613</v>
      </c>
      <c r="R310" s="59"/>
      <c r="S310" s="59" t="s">
        <v>766</v>
      </c>
      <c r="T310" s="59"/>
      <c r="U310" s="59"/>
      <c r="V310" s="59"/>
      <c r="W310" s="68"/>
      <c r="X310" s="68"/>
      <c r="Y310" s="68"/>
    </row>
    <row r="311" s="17" customFormat="1" hidden="1" customHeight="1" spans="1:25">
      <c r="A311" s="59">
        <v>149</v>
      </c>
      <c r="B311" s="60" t="s">
        <v>767</v>
      </c>
      <c r="C311" s="61">
        <v>44562</v>
      </c>
      <c r="D311" s="62" t="str">
        <f ca="1" t="shared" si="13"/>
        <v>一年以上</v>
      </c>
      <c r="E311" s="313">
        <v>44578</v>
      </c>
      <c r="F311" s="59" t="s">
        <v>282</v>
      </c>
      <c r="G311" s="59" t="s">
        <v>340</v>
      </c>
      <c r="H311" s="63" t="s">
        <v>768</v>
      </c>
      <c r="I311" s="63" t="s">
        <v>768</v>
      </c>
      <c r="J311" s="314">
        <v>5000</v>
      </c>
      <c r="K311" s="59" t="s">
        <v>28</v>
      </c>
      <c r="L311" s="59" t="s">
        <v>57</v>
      </c>
      <c r="M311" s="59" t="s">
        <v>65</v>
      </c>
      <c r="N311" s="315">
        <v>5000</v>
      </c>
      <c r="O311" s="316">
        <f t="shared" si="15"/>
        <v>0</v>
      </c>
      <c r="P311" s="95">
        <v>44727</v>
      </c>
      <c r="Q311" s="61">
        <f t="shared" si="14"/>
        <v>44727</v>
      </c>
      <c r="R311" s="59"/>
      <c r="S311" s="59" t="s">
        <v>65</v>
      </c>
      <c r="T311" s="59"/>
      <c r="U311" s="59"/>
      <c r="V311" s="59"/>
      <c r="W311" s="68"/>
      <c r="X311" s="68"/>
      <c r="Y311" s="68"/>
    </row>
    <row r="312" s="17" customFormat="1" hidden="1" customHeight="1" spans="1:25">
      <c r="A312" s="59">
        <v>150</v>
      </c>
      <c r="B312" s="60" t="s">
        <v>769</v>
      </c>
      <c r="C312" s="61">
        <v>44562</v>
      </c>
      <c r="D312" s="62" t="str">
        <f ca="1" t="shared" si="13"/>
        <v>一年以上</v>
      </c>
      <c r="E312" s="313">
        <v>44578</v>
      </c>
      <c r="F312" s="59" t="s">
        <v>70</v>
      </c>
      <c r="G312" s="59" t="s">
        <v>259</v>
      </c>
      <c r="H312" s="63" t="s">
        <v>770</v>
      </c>
      <c r="I312" s="63" t="s">
        <v>770</v>
      </c>
      <c r="J312" s="314">
        <v>1000</v>
      </c>
      <c r="K312" s="59" t="s">
        <v>28</v>
      </c>
      <c r="L312" s="59" t="s">
        <v>57</v>
      </c>
      <c r="M312" s="59" t="s">
        <v>65</v>
      </c>
      <c r="N312" s="315">
        <v>1000</v>
      </c>
      <c r="O312" s="316">
        <f t="shared" si="15"/>
        <v>0</v>
      </c>
      <c r="P312" s="95">
        <v>44616</v>
      </c>
      <c r="Q312" s="61">
        <f t="shared" si="14"/>
        <v>44616</v>
      </c>
      <c r="R312" s="59"/>
      <c r="S312" s="59" t="s">
        <v>65</v>
      </c>
      <c r="T312" s="59"/>
      <c r="U312" s="59"/>
      <c r="V312" s="59"/>
      <c r="W312" s="68"/>
      <c r="X312" s="68"/>
      <c r="Y312" s="68"/>
    </row>
    <row r="313" s="17" customFormat="1" hidden="1" customHeight="1" spans="1:25">
      <c r="A313" s="59">
        <v>299</v>
      </c>
      <c r="B313" s="60" t="s">
        <v>771</v>
      </c>
      <c r="C313" s="61">
        <v>44562</v>
      </c>
      <c r="D313" s="62" t="str">
        <f ca="1" t="shared" si="13"/>
        <v>一年以上</v>
      </c>
      <c r="E313" s="313">
        <v>44578</v>
      </c>
      <c r="F313" s="59" t="s">
        <v>632</v>
      </c>
      <c r="G313" s="59" t="s">
        <v>450</v>
      </c>
      <c r="H313" s="63" t="s">
        <v>634</v>
      </c>
      <c r="I313" s="63" t="s">
        <v>634</v>
      </c>
      <c r="J313" s="314">
        <v>10000</v>
      </c>
      <c r="K313" s="59" t="s">
        <v>28</v>
      </c>
      <c r="L313" s="59" t="s">
        <v>57</v>
      </c>
      <c r="M313" s="59" t="s">
        <v>30</v>
      </c>
      <c r="N313" s="315">
        <v>10000</v>
      </c>
      <c r="O313" s="316">
        <f t="shared" si="15"/>
        <v>0</v>
      </c>
      <c r="P313" s="95">
        <v>44756</v>
      </c>
      <c r="Q313" s="61">
        <f t="shared" si="14"/>
        <v>44756</v>
      </c>
      <c r="R313" s="59" t="s">
        <v>481</v>
      </c>
      <c r="S313" s="59" t="s">
        <v>597</v>
      </c>
      <c r="T313" s="59"/>
      <c r="U313" s="59"/>
      <c r="V313" s="59"/>
      <c r="W313" s="68"/>
      <c r="X313" s="68"/>
      <c r="Y313" s="68"/>
    </row>
    <row r="314" s="17" customFormat="1" hidden="1" customHeight="1" spans="1:25">
      <c r="A314" s="59">
        <v>300</v>
      </c>
      <c r="B314" s="60" t="s">
        <v>772</v>
      </c>
      <c r="C314" s="61">
        <v>44562</v>
      </c>
      <c r="D314" s="62" t="str">
        <f ca="1" t="shared" si="13"/>
        <v>一年以上</v>
      </c>
      <c r="E314" s="313">
        <v>44578</v>
      </c>
      <c r="F314" s="59"/>
      <c r="G314" s="59" t="s">
        <v>614</v>
      </c>
      <c r="H314" s="63" t="s">
        <v>706</v>
      </c>
      <c r="I314" s="63" t="s">
        <v>706</v>
      </c>
      <c r="J314" s="314">
        <v>10000</v>
      </c>
      <c r="K314" s="59" t="s">
        <v>356</v>
      </c>
      <c r="L314" s="59" t="s">
        <v>458</v>
      </c>
      <c r="M314" s="59" t="s">
        <v>30</v>
      </c>
      <c r="N314" s="315">
        <v>10000</v>
      </c>
      <c r="O314" s="316">
        <f t="shared" si="15"/>
        <v>0</v>
      </c>
      <c r="P314" s="95">
        <v>44609</v>
      </c>
      <c r="Q314" s="61">
        <f t="shared" si="14"/>
        <v>44609</v>
      </c>
      <c r="R314" s="59"/>
      <c r="S314" s="59" t="s">
        <v>30</v>
      </c>
      <c r="T314" s="59"/>
      <c r="U314" s="59"/>
      <c r="V314" s="59"/>
      <c r="W314" s="68"/>
      <c r="X314" s="68"/>
      <c r="Y314" s="68"/>
    </row>
    <row r="315" s="17" customFormat="1" hidden="1" customHeight="1" spans="1:25">
      <c r="A315" s="59">
        <v>301</v>
      </c>
      <c r="B315" s="60" t="s">
        <v>773</v>
      </c>
      <c r="C315" s="61">
        <v>44562</v>
      </c>
      <c r="D315" s="62" t="str">
        <f ca="1" t="shared" si="13"/>
        <v>一年以上</v>
      </c>
      <c r="E315" s="313">
        <v>44581</v>
      </c>
      <c r="F315" s="59"/>
      <c r="G315" s="59" t="s">
        <v>614</v>
      </c>
      <c r="H315" s="63" t="s">
        <v>774</v>
      </c>
      <c r="I315" s="63" t="s">
        <v>774</v>
      </c>
      <c r="J315" s="314">
        <v>5000</v>
      </c>
      <c r="K315" s="59" t="s">
        <v>356</v>
      </c>
      <c r="L315" s="59" t="s">
        <v>458</v>
      </c>
      <c r="M315" s="59" t="s">
        <v>30</v>
      </c>
      <c r="N315" s="315">
        <v>5000</v>
      </c>
      <c r="O315" s="316">
        <f t="shared" si="15"/>
        <v>0</v>
      </c>
      <c r="P315" s="95">
        <v>44736</v>
      </c>
      <c r="Q315" s="61">
        <f t="shared" si="14"/>
        <v>44736</v>
      </c>
      <c r="R315" s="59"/>
      <c r="S315" s="59" t="s">
        <v>775</v>
      </c>
      <c r="T315" s="59"/>
      <c r="U315" s="59"/>
      <c r="V315" s="59"/>
      <c r="W315" s="68"/>
      <c r="X315" s="68"/>
      <c r="Y315" s="68"/>
    </row>
    <row r="316" s="17" customFormat="1" hidden="1" customHeight="1" spans="1:25">
      <c r="A316" s="59">
        <v>353</v>
      </c>
      <c r="B316" s="60" t="s">
        <v>776</v>
      </c>
      <c r="C316" s="61">
        <v>44562</v>
      </c>
      <c r="D316" s="62" t="str">
        <f ca="1" t="shared" si="13"/>
        <v>一年以上</v>
      </c>
      <c r="E316" s="313">
        <v>44585</v>
      </c>
      <c r="F316" s="59" t="s">
        <v>130</v>
      </c>
      <c r="G316" s="59" t="s">
        <v>322</v>
      </c>
      <c r="H316" s="63" t="s">
        <v>777</v>
      </c>
      <c r="I316" s="63" t="s">
        <v>777</v>
      </c>
      <c r="J316" s="314">
        <v>30000</v>
      </c>
      <c r="K316" s="59"/>
      <c r="L316" s="59" t="s">
        <v>96</v>
      </c>
      <c r="M316" s="59" t="s">
        <v>133</v>
      </c>
      <c r="N316" s="315">
        <v>30000</v>
      </c>
      <c r="O316" s="316">
        <f t="shared" si="15"/>
        <v>0</v>
      </c>
      <c r="P316" s="95">
        <v>44650</v>
      </c>
      <c r="Q316" s="61">
        <f t="shared" si="14"/>
        <v>44650</v>
      </c>
      <c r="R316" s="59"/>
      <c r="S316" s="59" t="s">
        <v>778</v>
      </c>
      <c r="T316" s="59"/>
      <c r="U316" s="59"/>
      <c r="V316" s="59"/>
      <c r="W316" s="68"/>
      <c r="X316" s="68"/>
      <c r="Y316" s="68"/>
    </row>
    <row r="317" s="17" customFormat="1" hidden="1" customHeight="1" spans="1:25">
      <c r="A317" s="59">
        <v>302</v>
      </c>
      <c r="B317" s="60" t="s">
        <v>779</v>
      </c>
      <c r="C317" s="61">
        <v>44562</v>
      </c>
      <c r="D317" s="62" t="str">
        <f ca="1" t="shared" si="13"/>
        <v>一年以上</v>
      </c>
      <c r="E317" s="313">
        <v>44588</v>
      </c>
      <c r="F317" s="59"/>
      <c r="G317" s="59" t="s">
        <v>450</v>
      </c>
      <c r="H317" s="63" t="s">
        <v>780</v>
      </c>
      <c r="I317" s="63" t="s">
        <v>780</v>
      </c>
      <c r="J317" s="314">
        <v>3800</v>
      </c>
      <c r="K317" s="59" t="s">
        <v>28</v>
      </c>
      <c r="L317" s="59" t="s">
        <v>57</v>
      </c>
      <c r="M317" s="59" t="s">
        <v>30</v>
      </c>
      <c r="N317" s="315">
        <v>3800</v>
      </c>
      <c r="O317" s="316">
        <f t="shared" si="15"/>
        <v>0</v>
      </c>
      <c r="P317" s="95">
        <v>44621</v>
      </c>
      <c r="Q317" s="61">
        <f t="shared" si="14"/>
        <v>44621</v>
      </c>
      <c r="R317" s="59" t="s">
        <v>781</v>
      </c>
      <c r="S317" s="59" t="s">
        <v>782</v>
      </c>
      <c r="T317" s="59"/>
      <c r="U317" s="59"/>
      <c r="V317" s="59"/>
      <c r="W317" s="68"/>
      <c r="X317" s="68"/>
      <c r="Y317" s="68"/>
    </row>
    <row r="318" s="17" customFormat="1" hidden="1" customHeight="1" spans="1:25">
      <c r="A318" s="59">
        <v>303</v>
      </c>
      <c r="B318" s="60" t="s">
        <v>783</v>
      </c>
      <c r="C318" s="61">
        <v>44562</v>
      </c>
      <c r="D318" s="62" t="str">
        <f ca="1" t="shared" si="13"/>
        <v>一年以上</v>
      </c>
      <c r="E318" s="313">
        <v>44588</v>
      </c>
      <c r="F318" s="59"/>
      <c r="G318" s="59" t="s">
        <v>450</v>
      </c>
      <c r="H318" s="63" t="s">
        <v>784</v>
      </c>
      <c r="I318" s="63" t="s">
        <v>784</v>
      </c>
      <c r="J318" s="314">
        <v>3000</v>
      </c>
      <c r="K318" s="59" t="s">
        <v>28</v>
      </c>
      <c r="L318" s="59" t="s">
        <v>57</v>
      </c>
      <c r="M318" s="59" t="s">
        <v>30</v>
      </c>
      <c r="N318" s="315">
        <v>3000</v>
      </c>
      <c r="O318" s="316">
        <f t="shared" si="15"/>
        <v>0</v>
      </c>
      <c r="P318" s="95">
        <v>44611</v>
      </c>
      <c r="Q318" s="61">
        <f t="shared" si="14"/>
        <v>44611</v>
      </c>
      <c r="R318" s="59" t="s">
        <v>781</v>
      </c>
      <c r="S318" s="59" t="s">
        <v>782</v>
      </c>
      <c r="T318" s="59"/>
      <c r="U318" s="59"/>
      <c r="V318" s="59"/>
      <c r="W318" s="68"/>
      <c r="X318" s="68"/>
      <c r="Y318" s="68"/>
    </row>
    <row r="319" s="17" customFormat="1" hidden="1" customHeight="1" spans="1:25">
      <c r="A319" s="59">
        <v>151</v>
      </c>
      <c r="B319" s="60" t="s">
        <v>785</v>
      </c>
      <c r="C319" s="61">
        <v>44562</v>
      </c>
      <c r="D319" s="62" t="str">
        <f ca="1" t="shared" si="13"/>
        <v>一年以上</v>
      </c>
      <c r="E319" s="313">
        <v>44590</v>
      </c>
      <c r="F319" s="59" t="s">
        <v>82</v>
      </c>
      <c r="G319" s="59" t="s">
        <v>786</v>
      </c>
      <c r="H319" s="63" t="s">
        <v>787</v>
      </c>
      <c r="I319" s="63" t="s">
        <v>787</v>
      </c>
      <c r="J319" s="314">
        <v>8814</v>
      </c>
      <c r="K319" s="59" t="s">
        <v>338</v>
      </c>
      <c r="L319" s="59" t="s">
        <v>627</v>
      </c>
      <c r="M319" s="59" t="s">
        <v>65</v>
      </c>
      <c r="N319" s="315">
        <f>7314+1500</f>
        <v>8814</v>
      </c>
      <c r="O319" s="316">
        <f t="shared" si="15"/>
        <v>0</v>
      </c>
      <c r="P319" s="95">
        <v>45281</v>
      </c>
      <c r="Q319" s="61">
        <f t="shared" si="14"/>
        <v>45281</v>
      </c>
      <c r="R319" s="59" t="s">
        <v>788</v>
      </c>
      <c r="S319" s="59" t="s">
        <v>65</v>
      </c>
      <c r="T319" s="59" t="s">
        <v>311</v>
      </c>
      <c r="U319" s="59" t="str">
        <f>VLOOKUP(T319,[1]区域划分!$A$1:$C$39,3,0)</f>
        <v>牛国庆</v>
      </c>
      <c r="V319" s="59"/>
      <c r="W319" s="68"/>
      <c r="X319" s="68"/>
      <c r="Y319" s="68"/>
    </row>
    <row r="320" s="17" customFormat="1" hidden="1" customHeight="1" spans="1:25">
      <c r="A320" s="59">
        <v>354</v>
      </c>
      <c r="B320" s="60" t="s">
        <v>789</v>
      </c>
      <c r="C320" s="61">
        <v>44593</v>
      </c>
      <c r="D320" s="62" t="str">
        <f ca="1" t="shared" si="13"/>
        <v>一年以上</v>
      </c>
      <c r="E320" s="313">
        <v>44601</v>
      </c>
      <c r="F320" s="59" t="s">
        <v>632</v>
      </c>
      <c r="G320" s="59" t="s">
        <v>614</v>
      </c>
      <c r="H320" s="63" t="s">
        <v>790</v>
      </c>
      <c r="I320" s="63" t="s">
        <v>790</v>
      </c>
      <c r="J320" s="314">
        <v>50000</v>
      </c>
      <c r="K320" s="59" t="s">
        <v>28</v>
      </c>
      <c r="L320" s="59" t="s">
        <v>57</v>
      </c>
      <c r="M320" s="59" t="s">
        <v>133</v>
      </c>
      <c r="N320" s="315">
        <v>50000</v>
      </c>
      <c r="O320" s="316">
        <f t="shared" si="15"/>
        <v>0</v>
      </c>
      <c r="P320" s="95">
        <v>45265</v>
      </c>
      <c r="Q320" s="61">
        <f t="shared" si="14"/>
        <v>45265</v>
      </c>
      <c r="R320" s="59"/>
      <c r="S320" s="59" t="s">
        <v>791</v>
      </c>
      <c r="T320" s="59" t="s">
        <v>792</v>
      </c>
      <c r="U320" s="59" t="str">
        <f>VLOOKUP(T320,[1]区域划分!$A$1:$C$39,3,0)</f>
        <v>宋旭东</v>
      </c>
      <c r="V320" s="59"/>
      <c r="W320" s="68"/>
      <c r="X320" s="68"/>
      <c r="Y320" s="68"/>
    </row>
    <row r="321" s="17" customFormat="1" hidden="1" customHeight="1" spans="1:25">
      <c r="A321" s="59">
        <v>304</v>
      </c>
      <c r="B321" s="60" t="s">
        <v>793</v>
      </c>
      <c r="C321" s="61">
        <v>44593</v>
      </c>
      <c r="D321" s="62" t="str">
        <f ca="1" t="shared" si="13"/>
        <v>一年以上</v>
      </c>
      <c r="E321" s="313">
        <v>44602</v>
      </c>
      <c r="F321" s="59"/>
      <c r="G321" s="59" t="s">
        <v>614</v>
      </c>
      <c r="H321" s="63" t="s">
        <v>193</v>
      </c>
      <c r="I321" s="63" t="s">
        <v>193</v>
      </c>
      <c r="J321" s="314">
        <v>10000</v>
      </c>
      <c r="K321" s="59" t="s">
        <v>356</v>
      </c>
      <c r="L321" s="59" t="s">
        <v>458</v>
      </c>
      <c r="M321" s="59" t="s">
        <v>30</v>
      </c>
      <c r="N321" s="315">
        <v>10000</v>
      </c>
      <c r="O321" s="316">
        <f t="shared" si="15"/>
        <v>0</v>
      </c>
      <c r="P321" s="95">
        <v>45953</v>
      </c>
      <c r="Q321" s="61">
        <f t="shared" si="14"/>
        <v>45953</v>
      </c>
      <c r="R321" s="59" t="s">
        <v>794</v>
      </c>
      <c r="S321" s="59" t="s">
        <v>795</v>
      </c>
      <c r="T321" s="59" t="s">
        <v>701</v>
      </c>
      <c r="U321" s="59" t="str">
        <f>VLOOKUP(T321,[1]区域划分!$A$1:$C$39,3,0)</f>
        <v>汪瑞青</v>
      </c>
      <c r="V321" s="59"/>
      <c r="W321" s="68"/>
      <c r="X321" s="68"/>
      <c r="Y321" s="68"/>
    </row>
    <row r="322" s="17" customFormat="1" hidden="1" customHeight="1" spans="1:25">
      <c r="A322" s="59">
        <v>152</v>
      </c>
      <c r="B322" s="60" t="s">
        <v>796</v>
      </c>
      <c r="C322" s="61">
        <v>44593</v>
      </c>
      <c r="D322" s="62" t="str">
        <f ca="1" t="shared" si="13"/>
        <v>一年以上</v>
      </c>
      <c r="E322" s="313">
        <v>44606</v>
      </c>
      <c r="F322" s="59" t="s">
        <v>82</v>
      </c>
      <c r="G322" s="59" t="s">
        <v>83</v>
      </c>
      <c r="H322" s="63" t="s">
        <v>797</v>
      </c>
      <c r="I322" s="63" t="s">
        <v>797</v>
      </c>
      <c r="J322" s="314">
        <v>5000</v>
      </c>
      <c r="K322" s="59"/>
      <c r="L322" s="59" t="s">
        <v>96</v>
      </c>
      <c r="M322" s="59" t="s">
        <v>65</v>
      </c>
      <c r="N322" s="315">
        <v>5000</v>
      </c>
      <c r="O322" s="316">
        <f t="shared" si="15"/>
        <v>0</v>
      </c>
      <c r="P322" s="95">
        <v>44657</v>
      </c>
      <c r="Q322" s="61">
        <f t="shared" si="14"/>
        <v>44657</v>
      </c>
      <c r="R322" s="59"/>
      <c r="S322" s="59" t="s">
        <v>65</v>
      </c>
      <c r="T322" s="59"/>
      <c r="U322" s="59"/>
      <c r="V322" s="59"/>
      <c r="W322" s="68"/>
      <c r="X322" s="68"/>
      <c r="Y322" s="68"/>
    </row>
    <row r="323" s="17" customFormat="1" hidden="1" customHeight="1" spans="1:25">
      <c r="A323" s="59">
        <v>391</v>
      </c>
      <c r="B323" s="60" t="s">
        <v>798</v>
      </c>
      <c r="C323" s="61">
        <v>44593</v>
      </c>
      <c r="D323" s="62" t="str">
        <f ca="1" t="shared" ref="D323:D386" si="16">IF(TODAY()-E323&lt;60,"2个月内",IF(TODAY()-E323&lt;180,"3-6个月",IF(TODAY()-E323&lt;360,"6个月-1年","一年以上")))</f>
        <v>一年以上</v>
      </c>
      <c r="E323" s="313">
        <v>44606</v>
      </c>
      <c r="F323" s="59" t="s">
        <v>632</v>
      </c>
      <c r="G323" s="59" t="s">
        <v>450</v>
      </c>
      <c r="H323" s="63" t="s">
        <v>406</v>
      </c>
      <c r="I323" s="63" t="s">
        <v>406</v>
      </c>
      <c r="J323" s="314">
        <v>200</v>
      </c>
      <c r="K323" s="59" t="s">
        <v>28</v>
      </c>
      <c r="L323" s="59" t="s">
        <v>57</v>
      </c>
      <c r="M323" s="59" t="s">
        <v>515</v>
      </c>
      <c r="N323" s="315">
        <v>200</v>
      </c>
      <c r="O323" s="316">
        <f t="shared" si="15"/>
        <v>0</v>
      </c>
      <c r="P323" s="95">
        <v>44728</v>
      </c>
      <c r="Q323" s="61">
        <f t="shared" ref="Q323:Q386" si="17">P323</f>
        <v>44728</v>
      </c>
      <c r="R323" s="59"/>
      <c r="S323" s="59"/>
      <c r="T323" s="59"/>
      <c r="U323" s="59"/>
      <c r="V323" s="59"/>
      <c r="W323" s="68"/>
      <c r="X323" s="68"/>
      <c r="Y323" s="68"/>
    </row>
    <row r="324" s="17" customFormat="1" hidden="1" customHeight="1" spans="1:25">
      <c r="A324" s="59">
        <v>153</v>
      </c>
      <c r="B324" s="60" t="s">
        <v>799</v>
      </c>
      <c r="C324" s="61">
        <v>44593</v>
      </c>
      <c r="D324" s="62" t="str">
        <f ca="1" t="shared" si="16"/>
        <v>一年以上</v>
      </c>
      <c r="E324" s="313">
        <v>44607</v>
      </c>
      <c r="F324" s="59" t="s">
        <v>82</v>
      </c>
      <c r="G324" s="59" t="s">
        <v>800</v>
      </c>
      <c r="H324" s="63" t="s">
        <v>801</v>
      </c>
      <c r="I324" s="63" t="s">
        <v>801</v>
      </c>
      <c r="J324" s="314">
        <v>5000</v>
      </c>
      <c r="K324" s="59"/>
      <c r="L324" s="59" t="s">
        <v>96</v>
      </c>
      <c r="M324" s="59" t="s">
        <v>65</v>
      </c>
      <c r="N324" s="315">
        <v>5000</v>
      </c>
      <c r="O324" s="316">
        <f t="shared" si="15"/>
        <v>0</v>
      </c>
      <c r="P324" s="95">
        <v>44652</v>
      </c>
      <c r="Q324" s="61">
        <f t="shared" si="17"/>
        <v>44652</v>
      </c>
      <c r="R324" s="59"/>
      <c r="S324" s="59" t="s">
        <v>65</v>
      </c>
      <c r="T324" s="59"/>
      <c r="U324" s="59"/>
      <c r="V324" s="59"/>
      <c r="W324" s="68"/>
      <c r="X324" s="68"/>
      <c r="Y324" s="68"/>
    </row>
    <row r="325" s="17" customFormat="1" hidden="1" customHeight="1" spans="1:25">
      <c r="A325" s="59">
        <v>154</v>
      </c>
      <c r="B325" s="60" t="s">
        <v>802</v>
      </c>
      <c r="C325" s="61">
        <v>44593</v>
      </c>
      <c r="D325" s="62" t="str">
        <f ca="1" t="shared" si="16"/>
        <v>一年以上</v>
      </c>
      <c r="E325" s="313">
        <v>44607</v>
      </c>
      <c r="F325" s="59" t="s">
        <v>282</v>
      </c>
      <c r="G325" s="59" t="s">
        <v>611</v>
      </c>
      <c r="H325" s="63" t="s">
        <v>188</v>
      </c>
      <c r="I325" s="63" t="s">
        <v>188</v>
      </c>
      <c r="J325" s="314">
        <v>6000</v>
      </c>
      <c r="K325" s="59" t="s">
        <v>338</v>
      </c>
      <c r="L325" s="59" t="s">
        <v>627</v>
      </c>
      <c r="M325" s="59" t="s">
        <v>65</v>
      </c>
      <c r="N325" s="315">
        <v>6000</v>
      </c>
      <c r="O325" s="316">
        <f t="shared" si="15"/>
        <v>0</v>
      </c>
      <c r="P325" s="95">
        <v>44700</v>
      </c>
      <c r="Q325" s="61">
        <f t="shared" si="17"/>
        <v>44700</v>
      </c>
      <c r="R325" s="59"/>
      <c r="S325" s="59" t="s">
        <v>65</v>
      </c>
      <c r="T325" s="59"/>
      <c r="U325" s="59"/>
      <c r="V325" s="59"/>
      <c r="W325" s="68"/>
      <c r="X325" s="68"/>
      <c r="Y325" s="68"/>
    </row>
    <row r="326" s="17" customFormat="1" hidden="1" customHeight="1" spans="1:25">
      <c r="A326" s="59">
        <v>156</v>
      </c>
      <c r="B326" s="60" t="s">
        <v>803</v>
      </c>
      <c r="C326" s="61">
        <v>44593</v>
      </c>
      <c r="D326" s="62" t="str">
        <f ca="1" t="shared" si="16"/>
        <v>一年以上</v>
      </c>
      <c r="E326" s="313">
        <v>44608</v>
      </c>
      <c r="F326" s="59" t="s">
        <v>82</v>
      </c>
      <c r="G326" s="59" t="s">
        <v>83</v>
      </c>
      <c r="H326" s="63" t="s">
        <v>797</v>
      </c>
      <c r="I326" s="63" t="s">
        <v>797</v>
      </c>
      <c r="J326" s="314">
        <v>5000</v>
      </c>
      <c r="K326" s="59" t="s">
        <v>28</v>
      </c>
      <c r="L326" s="59" t="s">
        <v>57</v>
      </c>
      <c r="M326" s="59" t="s">
        <v>65</v>
      </c>
      <c r="N326" s="315">
        <v>5000</v>
      </c>
      <c r="O326" s="316">
        <f t="shared" si="15"/>
        <v>0</v>
      </c>
      <c r="P326" s="95">
        <v>44610</v>
      </c>
      <c r="Q326" s="61">
        <f t="shared" si="17"/>
        <v>44610</v>
      </c>
      <c r="R326" s="59"/>
      <c r="S326" s="59" t="s">
        <v>65</v>
      </c>
      <c r="T326" s="59"/>
      <c r="U326" s="59"/>
      <c r="V326" s="59"/>
      <c r="W326" s="68"/>
      <c r="X326" s="68"/>
      <c r="Y326" s="68"/>
    </row>
    <row r="327" s="17" customFormat="1" hidden="1" customHeight="1" spans="1:25">
      <c r="A327" s="59">
        <v>155</v>
      </c>
      <c r="B327" s="60" t="s">
        <v>804</v>
      </c>
      <c r="C327" s="61">
        <v>44593</v>
      </c>
      <c r="D327" s="62" t="str">
        <f ca="1" t="shared" si="16"/>
        <v>一年以上</v>
      </c>
      <c r="E327" s="313">
        <v>44609</v>
      </c>
      <c r="F327" s="59" t="s">
        <v>70</v>
      </c>
      <c r="G327" s="59" t="s">
        <v>83</v>
      </c>
      <c r="H327" s="63" t="s">
        <v>797</v>
      </c>
      <c r="I327" s="63" t="s">
        <v>797</v>
      </c>
      <c r="J327" s="314">
        <v>5000</v>
      </c>
      <c r="K327" s="59" t="s">
        <v>28</v>
      </c>
      <c r="L327" s="59" t="s">
        <v>57</v>
      </c>
      <c r="M327" s="59" t="s">
        <v>65</v>
      </c>
      <c r="N327" s="315">
        <v>5000</v>
      </c>
      <c r="O327" s="316">
        <f t="shared" si="15"/>
        <v>0</v>
      </c>
      <c r="P327" s="95">
        <v>44611</v>
      </c>
      <c r="Q327" s="61">
        <f t="shared" si="17"/>
        <v>44611</v>
      </c>
      <c r="R327" s="59"/>
      <c r="S327" s="59" t="s">
        <v>65</v>
      </c>
      <c r="T327" s="59"/>
      <c r="U327" s="59"/>
      <c r="V327" s="59"/>
      <c r="W327" s="68"/>
      <c r="X327" s="68"/>
      <c r="Y327" s="68"/>
    </row>
    <row r="328" s="17" customFormat="1" hidden="1" customHeight="1" spans="1:25">
      <c r="A328" s="59">
        <v>157</v>
      </c>
      <c r="B328" s="60" t="s">
        <v>805</v>
      </c>
      <c r="C328" s="61">
        <v>44593</v>
      </c>
      <c r="D328" s="62" t="str">
        <f ca="1" t="shared" si="16"/>
        <v>一年以上</v>
      </c>
      <c r="E328" s="313">
        <v>44609</v>
      </c>
      <c r="F328" s="59" t="s">
        <v>282</v>
      </c>
      <c r="G328" s="59" t="s">
        <v>806</v>
      </c>
      <c r="H328" s="63" t="s">
        <v>807</v>
      </c>
      <c r="I328" s="63" t="s">
        <v>807</v>
      </c>
      <c r="J328" s="314">
        <v>5000</v>
      </c>
      <c r="K328" s="59" t="s">
        <v>28</v>
      </c>
      <c r="L328" s="59" t="s">
        <v>57</v>
      </c>
      <c r="M328" s="59" t="s">
        <v>65</v>
      </c>
      <c r="N328" s="315">
        <v>5000</v>
      </c>
      <c r="O328" s="316">
        <f t="shared" si="15"/>
        <v>0</v>
      </c>
      <c r="P328" s="95">
        <v>45002</v>
      </c>
      <c r="Q328" s="61">
        <f t="shared" si="17"/>
        <v>45002</v>
      </c>
      <c r="R328" s="59"/>
      <c r="S328" s="59" t="s">
        <v>65</v>
      </c>
      <c r="T328" s="59" t="s">
        <v>86</v>
      </c>
      <c r="U328" s="59"/>
      <c r="V328" s="59"/>
      <c r="W328" s="68"/>
      <c r="X328" s="68"/>
      <c r="Y328" s="68"/>
    </row>
    <row r="329" s="17" customFormat="1" hidden="1" customHeight="1" spans="1:25">
      <c r="A329" s="59">
        <v>305</v>
      </c>
      <c r="B329" s="60" t="s">
        <v>808</v>
      </c>
      <c r="C329" s="61">
        <v>44593</v>
      </c>
      <c r="D329" s="62" t="str">
        <f ca="1" t="shared" si="16"/>
        <v>一年以上</v>
      </c>
      <c r="E329" s="313">
        <v>44609</v>
      </c>
      <c r="F329" s="59"/>
      <c r="G329" s="59" t="s">
        <v>450</v>
      </c>
      <c r="H329" s="63" t="s">
        <v>406</v>
      </c>
      <c r="I329" s="63" t="s">
        <v>406</v>
      </c>
      <c r="J329" s="314">
        <v>20000</v>
      </c>
      <c r="K329" s="59" t="s">
        <v>28</v>
      </c>
      <c r="L329" s="59" t="s">
        <v>57</v>
      </c>
      <c r="M329" s="59" t="s">
        <v>30</v>
      </c>
      <c r="N329" s="315">
        <v>20000</v>
      </c>
      <c r="O329" s="316">
        <f t="shared" si="15"/>
        <v>0</v>
      </c>
      <c r="P329" s="95">
        <v>44650</v>
      </c>
      <c r="Q329" s="61">
        <f t="shared" si="17"/>
        <v>44650</v>
      </c>
      <c r="R329" s="59"/>
      <c r="S329" s="59" t="s">
        <v>30</v>
      </c>
      <c r="T329" s="59"/>
      <c r="U329" s="59"/>
      <c r="V329" s="59"/>
      <c r="W329" s="68"/>
      <c r="X329" s="68"/>
      <c r="Y329" s="68"/>
    </row>
    <row r="330" s="17" customFormat="1" hidden="1" customHeight="1" spans="1:25">
      <c r="A330" s="59">
        <v>392</v>
      </c>
      <c r="B330" s="60" t="s">
        <v>809</v>
      </c>
      <c r="C330" s="61">
        <v>44593</v>
      </c>
      <c r="D330" s="62" t="str">
        <f ca="1" t="shared" si="16"/>
        <v>一年以上</v>
      </c>
      <c r="E330" s="313">
        <v>44609</v>
      </c>
      <c r="F330" s="59" t="s">
        <v>632</v>
      </c>
      <c r="G330" s="59" t="s">
        <v>450</v>
      </c>
      <c r="H330" s="63" t="s">
        <v>406</v>
      </c>
      <c r="I330" s="63" t="s">
        <v>406</v>
      </c>
      <c r="J330" s="314">
        <v>800</v>
      </c>
      <c r="K330" s="59"/>
      <c r="L330" s="59" t="s">
        <v>96</v>
      </c>
      <c r="M330" s="59" t="s">
        <v>515</v>
      </c>
      <c r="N330" s="315">
        <v>800</v>
      </c>
      <c r="O330" s="316">
        <f t="shared" ref="O330:O393" si="18">J330-N330</f>
        <v>0</v>
      </c>
      <c r="P330" s="95">
        <f>E330</f>
        <v>44609</v>
      </c>
      <c r="Q330" s="61">
        <f t="shared" si="17"/>
        <v>44609</v>
      </c>
      <c r="R330" s="59"/>
      <c r="S330" s="59" t="s">
        <v>810</v>
      </c>
      <c r="T330" s="59"/>
      <c r="U330" s="59"/>
      <c r="V330" s="59"/>
      <c r="W330" s="68"/>
      <c r="X330" s="68"/>
      <c r="Y330" s="68"/>
    </row>
    <row r="331" s="17" customFormat="1" hidden="1" customHeight="1" spans="1:25">
      <c r="A331" s="59">
        <v>393</v>
      </c>
      <c r="B331" s="60" t="s">
        <v>811</v>
      </c>
      <c r="C331" s="61">
        <v>44593</v>
      </c>
      <c r="D331" s="62" t="str">
        <f ca="1" t="shared" si="16"/>
        <v>一年以上</v>
      </c>
      <c r="E331" s="313">
        <v>44609</v>
      </c>
      <c r="F331" s="59" t="s">
        <v>632</v>
      </c>
      <c r="G331" s="59" t="s">
        <v>614</v>
      </c>
      <c r="H331" s="63" t="s">
        <v>812</v>
      </c>
      <c r="I331" s="63" t="s">
        <v>812</v>
      </c>
      <c r="J331" s="314">
        <v>200</v>
      </c>
      <c r="K331" s="59"/>
      <c r="L331" s="59" t="s">
        <v>73</v>
      </c>
      <c r="M331" s="59" t="s">
        <v>515</v>
      </c>
      <c r="N331" s="315">
        <v>200</v>
      </c>
      <c r="O331" s="316">
        <f t="shared" si="18"/>
        <v>0</v>
      </c>
      <c r="P331" s="95">
        <f>E331</f>
        <v>44609</v>
      </c>
      <c r="Q331" s="61">
        <f t="shared" si="17"/>
        <v>44609</v>
      </c>
      <c r="R331" s="59"/>
      <c r="S331" s="59" t="s">
        <v>515</v>
      </c>
      <c r="T331" s="59"/>
      <c r="U331" s="59"/>
      <c r="V331" s="59"/>
      <c r="W331" s="68"/>
      <c r="X331" s="68"/>
      <c r="Y331" s="68"/>
    </row>
    <row r="332" s="17" customFormat="1" hidden="1" customHeight="1" spans="1:25">
      <c r="A332" s="59">
        <v>306</v>
      </c>
      <c r="B332" s="60" t="s">
        <v>813</v>
      </c>
      <c r="C332" s="61">
        <v>44593</v>
      </c>
      <c r="D332" s="62" t="str">
        <f ca="1" t="shared" si="16"/>
        <v>一年以上</v>
      </c>
      <c r="E332" s="313">
        <v>44615</v>
      </c>
      <c r="F332" s="59"/>
      <c r="G332" s="59" t="s">
        <v>450</v>
      </c>
      <c r="H332" s="63" t="s">
        <v>592</v>
      </c>
      <c r="I332" s="63">
        <v>0</v>
      </c>
      <c r="J332" s="314">
        <v>40000</v>
      </c>
      <c r="K332" s="59" t="s">
        <v>28</v>
      </c>
      <c r="L332" s="59" t="s">
        <v>57</v>
      </c>
      <c r="M332" s="59" t="s">
        <v>30</v>
      </c>
      <c r="N332" s="315">
        <v>40000</v>
      </c>
      <c r="O332" s="316">
        <f t="shared" si="18"/>
        <v>0</v>
      </c>
      <c r="P332" s="95">
        <v>44658</v>
      </c>
      <c r="Q332" s="61">
        <f t="shared" si="17"/>
        <v>44658</v>
      </c>
      <c r="R332" s="59"/>
      <c r="S332" s="59" t="s">
        <v>30</v>
      </c>
      <c r="T332" s="59"/>
      <c r="U332" s="59"/>
      <c r="V332" s="59"/>
      <c r="W332" s="68"/>
      <c r="X332" s="68"/>
      <c r="Y332" s="68"/>
    </row>
    <row r="333" s="17" customFormat="1" hidden="1" customHeight="1" spans="1:25">
      <c r="A333" s="59">
        <v>307</v>
      </c>
      <c r="B333" s="60" t="s">
        <v>814</v>
      </c>
      <c r="C333" s="61">
        <v>44593</v>
      </c>
      <c r="D333" s="62" t="str">
        <f ca="1" t="shared" si="16"/>
        <v>一年以上</v>
      </c>
      <c r="E333" s="313">
        <v>44615</v>
      </c>
      <c r="F333" s="59"/>
      <c r="G333" s="59" t="s">
        <v>450</v>
      </c>
      <c r="H333" s="63" t="s">
        <v>815</v>
      </c>
      <c r="I333" s="63" t="s">
        <v>815</v>
      </c>
      <c r="J333" s="314">
        <v>10000</v>
      </c>
      <c r="K333" s="59" t="s">
        <v>28</v>
      </c>
      <c r="L333" s="59" t="s">
        <v>57</v>
      </c>
      <c r="M333" s="59" t="s">
        <v>30</v>
      </c>
      <c r="N333" s="315">
        <v>10000</v>
      </c>
      <c r="O333" s="316">
        <f t="shared" si="18"/>
        <v>0</v>
      </c>
      <c r="P333" s="95">
        <v>44643</v>
      </c>
      <c r="Q333" s="61">
        <f t="shared" si="17"/>
        <v>44643</v>
      </c>
      <c r="R333" s="59"/>
      <c r="S333" s="59" t="s">
        <v>30</v>
      </c>
      <c r="T333" s="59"/>
      <c r="U333" s="59"/>
      <c r="V333" s="59"/>
      <c r="W333" s="68"/>
      <c r="X333" s="68"/>
      <c r="Y333" s="68"/>
    </row>
    <row r="334" s="17" customFormat="1" hidden="1" customHeight="1" spans="1:25">
      <c r="A334" s="59">
        <v>158</v>
      </c>
      <c r="B334" s="60" t="s">
        <v>816</v>
      </c>
      <c r="C334" s="61">
        <v>44593</v>
      </c>
      <c r="D334" s="62" t="str">
        <f ca="1" t="shared" si="16"/>
        <v>一年以上</v>
      </c>
      <c r="E334" s="313">
        <v>44617</v>
      </c>
      <c r="F334" s="59" t="s">
        <v>282</v>
      </c>
      <c r="G334" s="59" t="s">
        <v>611</v>
      </c>
      <c r="H334" s="63" t="s">
        <v>817</v>
      </c>
      <c r="I334" s="63" t="s">
        <v>817</v>
      </c>
      <c r="J334" s="314">
        <v>10000</v>
      </c>
      <c r="K334" s="59" t="s">
        <v>338</v>
      </c>
      <c r="L334" s="59" t="s">
        <v>627</v>
      </c>
      <c r="M334" s="59" t="s">
        <v>65</v>
      </c>
      <c r="N334" s="315">
        <v>10000</v>
      </c>
      <c r="O334" s="316">
        <f t="shared" si="18"/>
        <v>0</v>
      </c>
      <c r="P334" s="95">
        <v>44824</v>
      </c>
      <c r="Q334" s="61">
        <f t="shared" si="17"/>
        <v>44824</v>
      </c>
      <c r="R334" s="59"/>
      <c r="S334" s="59" t="s">
        <v>818</v>
      </c>
      <c r="T334" s="59"/>
      <c r="U334" s="59"/>
      <c r="V334" s="59"/>
      <c r="W334" s="68"/>
      <c r="X334" s="68"/>
      <c r="Y334" s="68"/>
    </row>
    <row r="335" s="17" customFormat="1" hidden="1" customHeight="1" spans="1:25">
      <c r="A335" s="59">
        <v>159</v>
      </c>
      <c r="B335" s="60" t="s">
        <v>819</v>
      </c>
      <c r="C335" s="61">
        <v>44593</v>
      </c>
      <c r="D335" s="62" t="str">
        <f ca="1" t="shared" si="16"/>
        <v>一年以上</v>
      </c>
      <c r="E335" s="313">
        <v>44617</v>
      </c>
      <c r="F335" s="59" t="s">
        <v>130</v>
      </c>
      <c r="G335" s="59" t="s">
        <v>371</v>
      </c>
      <c r="H335" s="63" t="s">
        <v>677</v>
      </c>
      <c r="I335" s="63" t="s">
        <v>677</v>
      </c>
      <c r="J335" s="314">
        <f>500000</f>
        <v>500000</v>
      </c>
      <c r="K335" s="59" t="s">
        <v>28</v>
      </c>
      <c r="L335" s="59" t="s">
        <v>57</v>
      </c>
      <c r="M335" s="59" t="s">
        <v>65</v>
      </c>
      <c r="N335" s="315">
        <v>498000</v>
      </c>
      <c r="O335" s="316">
        <f t="shared" si="18"/>
        <v>2000</v>
      </c>
      <c r="P335" s="95">
        <v>44755</v>
      </c>
      <c r="Q335" s="61">
        <f t="shared" si="17"/>
        <v>44755</v>
      </c>
      <c r="R335" s="59" t="s">
        <v>820</v>
      </c>
      <c r="S335" s="59"/>
      <c r="T335" s="59" t="s">
        <v>182</v>
      </c>
      <c r="U335" s="59" t="str">
        <f>VLOOKUP(T335,[1]区域划分!$A$1:$C$39,3,0)</f>
        <v>汪瑞青</v>
      </c>
      <c r="V335" s="59"/>
      <c r="W335" s="68"/>
      <c r="X335" s="68"/>
      <c r="Y335" s="68"/>
    </row>
    <row r="336" s="17" customFormat="1" hidden="1" customHeight="1" spans="1:25">
      <c r="A336" s="59">
        <v>308</v>
      </c>
      <c r="B336" s="60" t="s">
        <v>821</v>
      </c>
      <c r="C336" s="61">
        <v>44593</v>
      </c>
      <c r="D336" s="62" t="str">
        <f ca="1" t="shared" si="16"/>
        <v>一年以上</v>
      </c>
      <c r="E336" s="313">
        <v>44617</v>
      </c>
      <c r="F336" s="59"/>
      <c r="G336" s="59" t="s">
        <v>614</v>
      </c>
      <c r="H336" s="63" t="s">
        <v>822</v>
      </c>
      <c r="I336" s="63" t="s">
        <v>822</v>
      </c>
      <c r="J336" s="314">
        <v>1500</v>
      </c>
      <c r="K336" s="59" t="s">
        <v>28</v>
      </c>
      <c r="L336" s="59" t="s">
        <v>57</v>
      </c>
      <c r="M336" s="59" t="s">
        <v>30</v>
      </c>
      <c r="N336" s="315">
        <v>1500</v>
      </c>
      <c r="O336" s="316">
        <f t="shared" si="18"/>
        <v>0</v>
      </c>
      <c r="P336" s="95">
        <v>44719</v>
      </c>
      <c r="Q336" s="61">
        <f t="shared" si="17"/>
        <v>44719</v>
      </c>
      <c r="R336" s="59"/>
      <c r="S336" s="59" t="s">
        <v>30</v>
      </c>
      <c r="T336" s="59"/>
      <c r="U336" s="59"/>
      <c r="V336" s="59"/>
      <c r="W336" s="68"/>
      <c r="X336" s="68"/>
      <c r="Y336" s="68"/>
    </row>
    <row r="337" s="17" customFormat="1" hidden="1" customHeight="1" spans="1:25">
      <c r="A337" s="59">
        <v>394</v>
      </c>
      <c r="B337" s="60" t="s">
        <v>823</v>
      </c>
      <c r="C337" s="61">
        <v>44593</v>
      </c>
      <c r="D337" s="62" t="str">
        <f ca="1" t="shared" si="16"/>
        <v>一年以上</v>
      </c>
      <c r="E337" s="313">
        <v>44617</v>
      </c>
      <c r="F337" s="59" t="s">
        <v>632</v>
      </c>
      <c r="G337" s="59" t="s">
        <v>614</v>
      </c>
      <c r="H337" s="63" t="s">
        <v>824</v>
      </c>
      <c r="I337" s="63" t="s">
        <v>824</v>
      </c>
      <c r="J337" s="314">
        <v>300</v>
      </c>
      <c r="K337" s="59"/>
      <c r="L337" s="59" t="s">
        <v>73</v>
      </c>
      <c r="M337" s="59" t="s">
        <v>515</v>
      </c>
      <c r="N337" s="315">
        <v>300</v>
      </c>
      <c r="O337" s="316">
        <f t="shared" si="18"/>
        <v>0</v>
      </c>
      <c r="P337" s="95">
        <v>44728</v>
      </c>
      <c r="Q337" s="61">
        <f t="shared" si="17"/>
        <v>44728</v>
      </c>
      <c r="R337" s="59"/>
      <c r="S337" s="59" t="s">
        <v>825</v>
      </c>
      <c r="T337" s="59"/>
      <c r="U337" s="59"/>
      <c r="V337" s="59"/>
      <c r="W337" s="68"/>
      <c r="X337" s="68"/>
      <c r="Y337" s="68"/>
    </row>
    <row r="338" s="17" customFormat="1" hidden="1" customHeight="1" spans="1:25">
      <c r="A338" s="59">
        <v>160</v>
      </c>
      <c r="B338" s="60" t="s">
        <v>826</v>
      </c>
      <c r="C338" s="61">
        <v>44593</v>
      </c>
      <c r="D338" s="62" t="str">
        <f ca="1" t="shared" si="16"/>
        <v>一年以上</v>
      </c>
      <c r="E338" s="313">
        <v>44620</v>
      </c>
      <c r="F338" s="59" t="s">
        <v>70</v>
      </c>
      <c r="G338" s="59" t="s">
        <v>149</v>
      </c>
      <c r="H338" s="63" t="s">
        <v>154</v>
      </c>
      <c r="I338" s="63" t="s">
        <v>154</v>
      </c>
      <c r="J338" s="314">
        <v>2000</v>
      </c>
      <c r="K338" s="59" t="s">
        <v>28</v>
      </c>
      <c r="L338" s="59" t="s">
        <v>57</v>
      </c>
      <c r="M338" s="59" t="s">
        <v>65</v>
      </c>
      <c r="N338" s="315">
        <v>2000</v>
      </c>
      <c r="O338" s="316">
        <f t="shared" si="18"/>
        <v>0</v>
      </c>
      <c r="P338" s="95">
        <v>44650</v>
      </c>
      <c r="Q338" s="61">
        <f t="shared" si="17"/>
        <v>44650</v>
      </c>
      <c r="R338" s="59"/>
      <c r="S338" s="59" t="s">
        <v>65</v>
      </c>
      <c r="T338" s="59"/>
      <c r="U338" s="59"/>
      <c r="V338" s="59"/>
      <c r="W338" s="68"/>
      <c r="X338" s="68"/>
      <c r="Y338" s="68"/>
    </row>
    <row r="339" s="17" customFormat="1" hidden="1" customHeight="1" spans="1:25">
      <c r="A339" s="59">
        <v>161</v>
      </c>
      <c r="B339" s="60" t="s">
        <v>827</v>
      </c>
      <c r="C339" s="61">
        <v>44621</v>
      </c>
      <c r="D339" s="62" t="str">
        <f ca="1" t="shared" si="16"/>
        <v>一年以上</v>
      </c>
      <c r="E339" s="313">
        <v>44622</v>
      </c>
      <c r="F339" s="59" t="s">
        <v>70</v>
      </c>
      <c r="G339" s="59" t="s">
        <v>828</v>
      </c>
      <c r="H339" s="63" t="s">
        <v>829</v>
      </c>
      <c r="I339" s="63" t="s">
        <v>829</v>
      </c>
      <c r="J339" s="314">
        <v>3000</v>
      </c>
      <c r="K339" s="59"/>
      <c r="L339" s="59" t="s">
        <v>96</v>
      </c>
      <c r="M339" s="59" t="s">
        <v>65</v>
      </c>
      <c r="N339" s="315">
        <v>3000</v>
      </c>
      <c r="O339" s="316">
        <f t="shared" si="18"/>
        <v>0</v>
      </c>
      <c r="P339" s="95">
        <v>44659</v>
      </c>
      <c r="Q339" s="61">
        <f t="shared" si="17"/>
        <v>44659</v>
      </c>
      <c r="R339" s="59"/>
      <c r="S339" s="59" t="s">
        <v>65</v>
      </c>
      <c r="T339" s="59"/>
      <c r="U339" s="59"/>
      <c r="V339" s="59"/>
      <c r="W339" s="68"/>
      <c r="X339" s="68"/>
      <c r="Y339" s="68"/>
    </row>
    <row r="340" s="17" customFormat="1" hidden="1" customHeight="1" spans="1:25">
      <c r="A340" s="59">
        <v>162</v>
      </c>
      <c r="B340" s="60" t="s">
        <v>830</v>
      </c>
      <c r="C340" s="61">
        <v>44621</v>
      </c>
      <c r="D340" s="62" t="str">
        <f ca="1" t="shared" si="16"/>
        <v>一年以上</v>
      </c>
      <c r="E340" s="313">
        <v>44623</v>
      </c>
      <c r="F340" s="59" t="s">
        <v>70</v>
      </c>
      <c r="G340" s="59" t="s">
        <v>149</v>
      </c>
      <c r="H340" s="63" t="s">
        <v>305</v>
      </c>
      <c r="I340" s="63" t="s">
        <v>305</v>
      </c>
      <c r="J340" s="314">
        <v>3000</v>
      </c>
      <c r="K340" s="59" t="s">
        <v>28</v>
      </c>
      <c r="L340" s="59" t="s">
        <v>57</v>
      </c>
      <c r="M340" s="59" t="s">
        <v>65</v>
      </c>
      <c r="N340" s="315">
        <v>3000</v>
      </c>
      <c r="O340" s="316">
        <f t="shared" si="18"/>
        <v>0</v>
      </c>
      <c r="P340" s="95">
        <v>44673</v>
      </c>
      <c r="Q340" s="61">
        <f t="shared" si="17"/>
        <v>44673</v>
      </c>
      <c r="R340" s="59"/>
      <c r="S340" s="59" t="s">
        <v>65</v>
      </c>
      <c r="T340" s="59"/>
      <c r="U340" s="59"/>
      <c r="V340" s="59"/>
      <c r="W340" s="68"/>
      <c r="X340" s="68"/>
      <c r="Y340" s="68"/>
    </row>
    <row r="341" s="17" customFormat="1" hidden="1" customHeight="1" spans="1:25">
      <c r="A341" s="59">
        <v>309</v>
      </c>
      <c r="B341" s="60" t="s">
        <v>831</v>
      </c>
      <c r="C341" s="61">
        <v>44621</v>
      </c>
      <c r="D341" s="62" t="str">
        <f ca="1" t="shared" si="16"/>
        <v>一年以上</v>
      </c>
      <c r="E341" s="313">
        <v>44624</v>
      </c>
      <c r="F341" s="59"/>
      <c r="G341" s="59" t="s">
        <v>614</v>
      </c>
      <c r="H341" s="63" t="s">
        <v>832</v>
      </c>
      <c r="I341" s="63" t="s">
        <v>832</v>
      </c>
      <c r="J341" s="314">
        <v>2000</v>
      </c>
      <c r="K341" s="59" t="s">
        <v>28</v>
      </c>
      <c r="L341" s="59" t="s">
        <v>57</v>
      </c>
      <c r="M341" s="59" t="s">
        <v>30</v>
      </c>
      <c r="N341" s="315">
        <v>2000</v>
      </c>
      <c r="O341" s="316">
        <f t="shared" si="18"/>
        <v>0</v>
      </c>
      <c r="P341" s="95">
        <v>44709</v>
      </c>
      <c r="Q341" s="61">
        <f t="shared" si="17"/>
        <v>44709</v>
      </c>
      <c r="R341" s="59"/>
      <c r="S341" s="59" t="s">
        <v>30</v>
      </c>
      <c r="T341" s="59"/>
      <c r="U341" s="59"/>
      <c r="V341" s="59"/>
      <c r="W341" s="68"/>
      <c r="X341" s="68"/>
      <c r="Y341" s="68"/>
    </row>
    <row r="342" s="17" customFormat="1" hidden="1" customHeight="1" spans="1:25">
      <c r="A342" s="59">
        <v>310</v>
      </c>
      <c r="B342" s="60" t="s">
        <v>833</v>
      </c>
      <c r="C342" s="61">
        <v>44621</v>
      </c>
      <c r="D342" s="62" t="str">
        <f ca="1" t="shared" si="16"/>
        <v>一年以上</v>
      </c>
      <c r="E342" s="313">
        <v>44627</v>
      </c>
      <c r="F342" s="59"/>
      <c r="G342" s="59" t="s">
        <v>450</v>
      </c>
      <c r="H342" s="63" t="s">
        <v>834</v>
      </c>
      <c r="I342" s="63" t="s">
        <v>834</v>
      </c>
      <c r="J342" s="314">
        <v>17000</v>
      </c>
      <c r="K342" s="59" t="s">
        <v>28</v>
      </c>
      <c r="L342" s="59" t="s">
        <v>57</v>
      </c>
      <c r="M342" s="59" t="s">
        <v>30</v>
      </c>
      <c r="N342" s="315">
        <v>17000</v>
      </c>
      <c r="O342" s="316">
        <f t="shared" si="18"/>
        <v>0</v>
      </c>
      <c r="P342" s="95">
        <v>44704</v>
      </c>
      <c r="Q342" s="61">
        <f t="shared" si="17"/>
        <v>44704</v>
      </c>
      <c r="R342" s="59"/>
      <c r="S342" s="59" t="s">
        <v>30</v>
      </c>
      <c r="T342" s="59"/>
      <c r="U342" s="59"/>
      <c r="V342" s="59"/>
      <c r="W342" s="68"/>
      <c r="X342" s="68"/>
      <c r="Y342" s="68"/>
    </row>
    <row r="343" s="17" customFormat="1" hidden="1" customHeight="1" spans="1:25">
      <c r="A343" s="59">
        <v>408</v>
      </c>
      <c r="B343" s="60" t="s">
        <v>835</v>
      </c>
      <c r="C343" s="61">
        <v>44621</v>
      </c>
      <c r="D343" s="62" t="str">
        <f ca="1" t="shared" si="16"/>
        <v>一年以上</v>
      </c>
      <c r="E343" s="313">
        <v>44628</v>
      </c>
      <c r="F343" s="59" t="s">
        <v>632</v>
      </c>
      <c r="G343" s="59" t="s">
        <v>614</v>
      </c>
      <c r="H343" s="63" t="s">
        <v>832</v>
      </c>
      <c r="I343" s="63" t="s">
        <v>832</v>
      </c>
      <c r="J343" s="314">
        <v>500</v>
      </c>
      <c r="K343" s="59" t="s">
        <v>28</v>
      </c>
      <c r="L343" s="59" t="s">
        <v>57</v>
      </c>
      <c r="M343" s="59" t="s">
        <v>515</v>
      </c>
      <c r="N343" s="315">
        <v>500</v>
      </c>
      <c r="O343" s="316">
        <f t="shared" si="18"/>
        <v>0</v>
      </c>
      <c r="P343" s="95">
        <v>44728</v>
      </c>
      <c r="Q343" s="61">
        <f t="shared" si="17"/>
        <v>44728</v>
      </c>
      <c r="R343" s="59"/>
      <c r="S343" s="59" t="s">
        <v>836</v>
      </c>
      <c r="T343" s="59"/>
      <c r="U343" s="59"/>
      <c r="V343" s="59"/>
      <c r="W343" s="68"/>
      <c r="X343" s="68"/>
      <c r="Y343" s="68"/>
    </row>
    <row r="344" s="17" customFormat="1" hidden="1" customHeight="1" spans="1:25">
      <c r="A344" s="59">
        <v>163</v>
      </c>
      <c r="B344" s="60" t="s">
        <v>837</v>
      </c>
      <c r="C344" s="61">
        <v>44621</v>
      </c>
      <c r="D344" s="62" t="str">
        <f ca="1" t="shared" si="16"/>
        <v>一年以上</v>
      </c>
      <c r="E344" s="313">
        <v>44630</v>
      </c>
      <c r="F344" s="59" t="s">
        <v>70</v>
      </c>
      <c r="G344" s="59" t="s">
        <v>119</v>
      </c>
      <c r="H344" s="63" t="s">
        <v>612</v>
      </c>
      <c r="I344" s="63" t="s">
        <v>612</v>
      </c>
      <c r="J344" s="314">
        <v>2000</v>
      </c>
      <c r="K344" s="59"/>
      <c r="L344" s="59" t="s">
        <v>96</v>
      </c>
      <c r="M344" s="59" t="s">
        <v>65</v>
      </c>
      <c r="N344" s="315">
        <v>2000</v>
      </c>
      <c r="O344" s="316">
        <f t="shared" si="18"/>
        <v>0</v>
      </c>
      <c r="P344" s="95">
        <v>44657</v>
      </c>
      <c r="Q344" s="61">
        <f t="shared" si="17"/>
        <v>44657</v>
      </c>
      <c r="R344" s="59"/>
      <c r="S344" s="59" t="s">
        <v>65</v>
      </c>
      <c r="T344" s="59"/>
      <c r="U344" s="59"/>
      <c r="V344" s="59"/>
      <c r="W344" s="68"/>
      <c r="X344" s="68"/>
      <c r="Y344" s="68"/>
    </row>
    <row r="345" s="17" customFormat="1" hidden="1" customHeight="1" spans="1:25">
      <c r="A345" s="59">
        <v>395</v>
      </c>
      <c r="B345" s="60" t="s">
        <v>838</v>
      </c>
      <c r="C345" s="61">
        <v>44621</v>
      </c>
      <c r="D345" s="62" t="str">
        <f ca="1" t="shared" si="16"/>
        <v>一年以上</v>
      </c>
      <c r="E345" s="313">
        <v>44630</v>
      </c>
      <c r="F345" s="59" t="s">
        <v>130</v>
      </c>
      <c r="G345" s="59" t="s">
        <v>239</v>
      </c>
      <c r="H345" s="63" t="s">
        <v>839</v>
      </c>
      <c r="I345" s="63" t="s">
        <v>839</v>
      </c>
      <c r="J345" s="314">
        <v>1500</v>
      </c>
      <c r="K345" s="59"/>
      <c r="L345" s="59" t="s">
        <v>96</v>
      </c>
      <c r="M345" s="59" t="s">
        <v>515</v>
      </c>
      <c r="N345" s="315">
        <v>1500</v>
      </c>
      <c r="O345" s="316">
        <f t="shared" si="18"/>
        <v>0</v>
      </c>
      <c r="P345" s="95">
        <f>E345</f>
        <v>44630</v>
      </c>
      <c r="Q345" s="61">
        <f t="shared" si="17"/>
        <v>44630</v>
      </c>
      <c r="R345" s="59"/>
      <c r="S345" s="59"/>
      <c r="T345" s="59"/>
      <c r="U345" s="59"/>
      <c r="V345" s="59"/>
      <c r="W345" s="68"/>
      <c r="X345" s="68"/>
      <c r="Y345" s="68"/>
    </row>
    <row r="346" s="17" customFormat="1" hidden="1" customHeight="1" spans="1:25">
      <c r="A346" s="59">
        <v>311</v>
      </c>
      <c r="B346" s="60" t="s">
        <v>840</v>
      </c>
      <c r="C346" s="61">
        <v>44621</v>
      </c>
      <c r="D346" s="62" t="str">
        <f ca="1" t="shared" si="16"/>
        <v>一年以上</v>
      </c>
      <c r="E346" s="313">
        <v>44631</v>
      </c>
      <c r="F346" s="59"/>
      <c r="G346" s="59" t="s">
        <v>614</v>
      </c>
      <c r="H346" s="63" t="s">
        <v>812</v>
      </c>
      <c r="I346" s="63" t="s">
        <v>812</v>
      </c>
      <c r="J346" s="314">
        <v>80000</v>
      </c>
      <c r="K346" s="59" t="s">
        <v>28</v>
      </c>
      <c r="L346" s="59" t="s">
        <v>57</v>
      </c>
      <c r="M346" s="59" t="s">
        <v>30</v>
      </c>
      <c r="N346" s="315">
        <v>80000</v>
      </c>
      <c r="O346" s="316">
        <f t="shared" si="18"/>
        <v>0</v>
      </c>
      <c r="P346" s="95">
        <v>44672</v>
      </c>
      <c r="Q346" s="61">
        <f t="shared" si="17"/>
        <v>44672</v>
      </c>
      <c r="R346" s="59"/>
      <c r="S346" s="59" t="s">
        <v>30</v>
      </c>
      <c r="T346" s="59"/>
      <c r="U346" s="59"/>
      <c r="V346" s="59"/>
      <c r="W346" s="68"/>
      <c r="X346" s="68"/>
      <c r="Y346" s="68"/>
    </row>
    <row r="347" s="17" customFormat="1" hidden="1" customHeight="1" spans="1:25">
      <c r="A347" s="59">
        <v>396</v>
      </c>
      <c r="B347" s="60" t="s">
        <v>841</v>
      </c>
      <c r="C347" s="61">
        <v>44621</v>
      </c>
      <c r="D347" s="62" t="str">
        <f ca="1" t="shared" si="16"/>
        <v>一年以上</v>
      </c>
      <c r="E347" s="313">
        <v>44631</v>
      </c>
      <c r="F347" s="59" t="s">
        <v>632</v>
      </c>
      <c r="G347" s="59" t="s">
        <v>450</v>
      </c>
      <c r="H347" s="63" t="s">
        <v>842</v>
      </c>
      <c r="I347" s="63" t="s">
        <v>842</v>
      </c>
      <c r="J347" s="314">
        <v>300</v>
      </c>
      <c r="K347" s="59"/>
      <c r="L347" s="59" t="s">
        <v>73</v>
      </c>
      <c r="M347" s="59" t="s">
        <v>515</v>
      </c>
      <c r="N347" s="315">
        <v>300</v>
      </c>
      <c r="O347" s="316">
        <f t="shared" si="18"/>
        <v>0</v>
      </c>
      <c r="P347" s="95">
        <f>E347</f>
        <v>44631</v>
      </c>
      <c r="Q347" s="61">
        <f t="shared" si="17"/>
        <v>44631</v>
      </c>
      <c r="R347" s="59"/>
      <c r="S347" s="59"/>
      <c r="T347" s="59"/>
      <c r="U347" s="59"/>
      <c r="V347" s="59"/>
      <c r="W347" s="68"/>
      <c r="X347" s="68"/>
      <c r="Y347" s="68"/>
    </row>
    <row r="348" s="17" customFormat="1" hidden="1" customHeight="1" spans="1:25">
      <c r="A348" s="59">
        <v>165</v>
      </c>
      <c r="B348" s="60" t="s">
        <v>843</v>
      </c>
      <c r="C348" s="61">
        <v>44621</v>
      </c>
      <c r="D348" s="62" t="str">
        <f ca="1" t="shared" si="16"/>
        <v>一年以上</v>
      </c>
      <c r="E348" s="313">
        <v>44635</v>
      </c>
      <c r="F348" s="59" t="s">
        <v>70</v>
      </c>
      <c r="G348" s="59" t="s">
        <v>844</v>
      </c>
      <c r="H348" s="63" t="s">
        <v>472</v>
      </c>
      <c r="I348" s="63" t="s">
        <v>472</v>
      </c>
      <c r="J348" s="314">
        <v>5000</v>
      </c>
      <c r="K348" s="59"/>
      <c r="L348" s="59" t="s">
        <v>96</v>
      </c>
      <c r="M348" s="59" t="s">
        <v>65</v>
      </c>
      <c r="N348" s="315">
        <v>5000</v>
      </c>
      <c r="O348" s="316">
        <f t="shared" si="18"/>
        <v>0</v>
      </c>
      <c r="P348" s="95">
        <v>44694</v>
      </c>
      <c r="Q348" s="61">
        <f t="shared" si="17"/>
        <v>44694</v>
      </c>
      <c r="R348" s="59"/>
      <c r="S348" s="59" t="s">
        <v>65</v>
      </c>
      <c r="T348" s="59"/>
      <c r="U348" s="59"/>
      <c r="V348" s="59"/>
      <c r="W348" s="68"/>
      <c r="X348" s="68"/>
      <c r="Y348" s="68"/>
    </row>
    <row r="349" s="17" customFormat="1" hidden="1" customHeight="1" spans="1:25">
      <c r="A349" s="59">
        <v>312</v>
      </c>
      <c r="B349" s="60" t="s">
        <v>845</v>
      </c>
      <c r="C349" s="61">
        <v>44621</v>
      </c>
      <c r="D349" s="62" t="str">
        <f ca="1" t="shared" si="16"/>
        <v>一年以上</v>
      </c>
      <c r="E349" s="313">
        <v>44635</v>
      </c>
      <c r="F349" s="59"/>
      <c r="G349" s="59" t="s">
        <v>614</v>
      </c>
      <c r="H349" s="63" t="s">
        <v>846</v>
      </c>
      <c r="I349" s="63" t="s">
        <v>846</v>
      </c>
      <c r="J349" s="314">
        <v>2000</v>
      </c>
      <c r="K349" s="59" t="s">
        <v>28</v>
      </c>
      <c r="L349" s="59" t="s">
        <v>57</v>
      </c>
      <c r="M349" s="59" t="s">
        <v>30</v>
      </c>
      <c r="N349" s="315">
        <v>2000</v>
      </c>
      <c r="O349" s="316">
        <f t="shared" si="18"/>
        <v>0</v>
      </c>
      <c r="P349" s="95">
        <v>44721</v>
      </c>
      <c r="Q349" s="61">
        <f t="shared" si="17"/>
        <v>44721</v>
      </c>
      <c r="R349" s="59"/>
      <c r="S349" s="59" t="s">
        <v>30</v>
      </c>
      <c r="T349" s="59"/>
      <c r="U349" s="59"/>
      <c r="V349" s="59"/>
      <c r="W349" s="68"/>
      <c r="X349" s="68"/>
      <c r="Y349" s="68"/>
    </row>
    <row r="350" s="17" customFormat="1" hidden="1" customHeight="1" spans="1:25">
      <c r="A350" s="59">
        <v>164</v>
      </c>
      <c r="B350" s="60" t="s">
        <v>847</v>
      </c>
      <c r="C350" s="61">
        <v>44621</v>
      </c>
      <c r="D350" s="62" t="str">
        <f ca="1" t="shared" si="16"/>
        <v>一年以上</v>
      </c>
      <c r="E350" s="313">
        <v>44636</v>
      </c>
      <c r="F350" s="59" t="s">
        <v>82</v>
      </c>
      <c r="G350" s="59" t="s">
        <v>608</v>
      </c>
      <c r="H350" s="63" t="s">
        <v>605</v>
      </c>
      <c r="I350" s="63" t="s">
        <v>605</v>
      </c>
      <c r="J350" s="314">
        <v>9000</v>
      </c>
      <c r="K350" s="59" t="s">
        <v>28</v>
      </c>
      <c r="L350" s="59" t="s">
        <v>57</v>
      </c>
      <c r="M350" s="59" t="s">
        <v>65</v>
      </c>
      <c r="N350" s="315">
        <v>9000</v>
      </c>
      <c r="O350" s="316">
        <f t="shared" si="18"/>
        <v>0</v>
      </c>
      <c r="P350" s="95">
        <v>44652</v>
      </c>
      <c r="Q350" s="61">
        <f t="shared" si="17"/>
        <v>44652</v>
      </c>
      <c r="R350" s="59"/>
      <c r="S350" s="59" t="s">
        <v>65</v>
      </c>
      <c r="T350" s="59"/>
      <c r="U350" s="59"/>
      <c r="V350" s="59"/>
      <c r="W350" s="68"/>
      <c r="X350" s="68"/>
      <c r="Y350" s="68"/>
    </row>
    <row r="351" s="17" customFormat="1" hidden="1" customHeight="1" spans="1:25">
      <c r="A351" s="59">
        <v>166</v>
      </c>
      <c r="B351" s="60" t="s">
        <v>848</v>
      </c>
      <c r="C351" s="61">
        <v>44621</v>
      </c>
      <c r="D351" s="62" t="str">
        <f ca="1" t="shared" si="16"/>
        <v>一年以上</v>
      </c>
      <c r="E351" s="313">
        <v>44643</v>
      </c>
      <c r="F351" s="59" t="s">
        <v>70</v>
      </c>
      <c r="G351" s="59" t="s">
        <v>849</v>
      </c>
      <c r="H351" s="63" t="s">
        <v>667</v>
      </c>
      <c r="I351" s="63" t="s">
        <v>667</v>
      </c>
      <c r="J351" s="314">
        <v>3000</v>
      </c>
      <c r="K351" s="59"/>
      <c r="L351" s="59" t="s">
        <v>73</v>
      </c>
      <c r="M351" s="59" t="s">
        <v>65</v>
      </c>
      <c r="N351" s="315">
        <v>3000</v>
      </c>
      <c r="O351" s="316">
        <f t="shared" si="18"/>
        <v>0</v>
      </c>
      <c r="P351" s="95">
        <v>44728</v>
      </c>
      <c r="Q351" s="61">
        <f t="shared" si="17"/>
        <v>44728</v>
      </c>
      <c r="R351" s="59"/>
      <c r="S351" s="59" t="s">
        <v>65</v>
      </c>
      <c r="T351" s="59"/>
      <c r="U351" s="59"/>
      <c r="V351" s="59"/>
      <c r="W351" s="68"/>
      <c r="X351" s="68"/>
      <c r="Y351" s="68"/>
    </row>
    <row r="352" s="17" customFormat="1" hidden="1" customHeight="1" spans="1:25">
      <c r="A352" s="59">
        <v>313</v>
      </c>
      <c r="B352" s="60" t="s">
        <v>850</v>
      </c>
      <c r="C352" s="61">
        <v>44621</v>
      </c>
      <c r="D352" s="62" t="str">
        <f ca="1" t="shared" si="16"/>
        <v>一年以上</v>
      </c>
      <c r="E352" s="313">
        <v>44643</v>
      </c>
      <c r="F352" s="59" t="s">
        <v>632</v>
      </c>
      <c r="G352" s="59" t="s">
        <v>450</v>
      </c>
      <c r="H352" s="63" t="s">
        <v>851</v>
      </c>
      <c r="I352" s="63" t="s">
        <v>851</v>
      </c>
      <c r="J352" s="314">
        <v>10000</v>
      </c>
      <c r="K352" s="59" t="s">
        <v>28</v>
      </c>
      <c r="L352" s="59" t="s">
        <v>57</v>
      </c>
      <c r="M352" s="59" t="s">
        <v>30</v>
      </c>
      <c r="N352" s="315">
        <v>10000</v>
      </c>
      <c r="O352" s="316">
        <f t="shared" si="18"/>
        <v>0</v>
      </c>
      <c r="P352" s="95">
        <v>44650</v>
      </c>
      <c r="Q352" s="61">
        <f t="shared" si="17"/>
        <v>44650</v>
      </c>
      <c r="R352" s="59"/>
      <c r="S352" s="59" t="s">
        <v>30</v>
      </c>
      <c r="T352" s="59"/>
      <c r="U352" s="59"/>
      <c r="V352" s="59"/>
      <c r="W352" s="68"/>
      <c r="X352" s="68"/>
      <c r="Y352" s="68"/>
    </row>
    <row r="353" s="17" customFormat="1" hidden="1" customHeight="1" spans="1:25">
      <c r="A353" s="59">
        <v>167</v>
      </c>
      <c r="B353" s="60" t="s">
        <v>852</v>
      </c>
      <c r="C353" s="61">
        <v>44621</v>
      </c>
      <c r="D353" s="62" t="str">
        <f ca="1" t="shared" si="16"/>
        <v>一年以上</v>
      </c>
      <c r="E353" s="313">
        <v>44644</v>
      </c>
      <c r="F353" s="59" t="s">
        <v>70</v>
      </c>
      <c r="G353" s="59" t="s">
        <v>849</v>
      </c>
      <c r="H353" s="63" t="s">
        <v>667</v>
      </c>
      <c r="I353" s="63" t="s">
        <v>667</v>
      </c>
      <c r="J353" s="314">
        <v>1000</v>
      </c>
      <c r="K353" s="59"/>
      <c r="L353" s="59" t="s">
        <v>73</v>
      </c>
      <c r="M353" s="59" t="s">
        <v>65</v>
      </c>
      <c r="N353" s="315">
        <v>1000</v>
      </c>
      <c r="O353" s="316">
        <f t="shared" si="18"/>
        <v>0</v>
      </c>
      <c r="P353" s="95">
        <v>44728</v>
      </c>
      <c r="Q353" s="61">
        <f t="shared" si="17"/>
        <v>44728</v>
      </c>
      <c r="R353" s="59"/>
      <c r="S353" s="59" t="s">
        <v>65</v>
      </c>
      <c r="T353" s="59"/>
      <c r="U353" s="59"/>
      <c r="V353" s="59"/>
      <c r="W353" s="68"/>
      <c r="X353" s="68"/>
      <c r="Y353" s="68"/>
    </row>
    <row r="354" s="17" customFormat="1" hidden="1" customHeight="1" spans="1:25">
      <c r="A354" s="59">
        <v>397</v>
      </c>
      <c r="B354" s="60" t="s">
        <v>853</v>
      </c>
      <c r="C354" s="61">
        <v>44621</v>
      </c>
      <c r="D354" s="62" t="str">
        <f ca="1" t="shared" si="16"/>
        <v>一年以上</v>
      </c>
      <c r="E354" s="313">
        <v>44644</v>
      </c>
      <c r="F354" s="59" t="s">
        <v>632</v>
      </c>
      <c r="G354" s="59" t="s">
        <v>450</v>
      </c>
      <c r="H354" s="63" t="s">
        <v>842</v>
      </c>
      <c r="I354" s="63" t="s">
        <v>842</v>
      </c>
      <c r="J354" s="314">
        <v>200</v>
      </c>
      <c r="K354" s="59"/>
      <c r="L354" s="59" t="s">
        <v>73</v>
      </c>
      <c r="M354" s="59" t="s">
        <v>515</v>
      </c>
      <c r="N354" s="315">
        <v>200</v>
      </c>
      <c r="O354" s="316">
        <f t="shared" si="18"/>
        <v>0</v>
      </c>
      <c r="P354" s="95">
        <v>44718</v>
      </c>
      <c r="Q354" s="61">
        <f t="shared" si="17"/>
        <v>44718</v>
      </c>
      <c r="R354" s="59"/>
      <c r="S354" s="59" t="s">
        <v>854</v>
      </c>
      <c r="T354" s="59"/>
      <c r="U354" s="59"/>
      <c r="V354" s="59"/>
      <c r="W354" s="68"/>
      <c r="X354" s="68"/>
      <c r="Y354" s="68"/>
    </row>
    <row r="355" s="17" customFormat="1" hidden="1" customHeight="1" spans="1:25">
      <c r="A355" s="59">
        <v>168</v>
      </c>
      <c r="B355" s="60" t="s">
        <v>855</v>
      </c>
      <c r="C355" s="61">
        <v>44621</v>
      </c>
      <c r="D355" s="62" t="str">
        <f ca="1" t="shared" si="16"/>
        <v>一年以上</v>
      </c>
      <c r="E355" s="313">
        <v>44648</v>
      </c>
      <c r="F355" s="59" t="s">
        <v>70</v>
      </c>
      <c r="G355" s="59" t="s">
        <v>460</v>
      </c>
      <c r="H355" s="63" t="s">
        <v>686</v>
      </c>
      <c r="I355" s="63" t="s">
        <v>686</v>
      </c>
      <c r="J355" s="314">
        <v>2000</v>
      </c>
      <c r="K355" s="59"/>
      <c r="L355" s="59" t="s">
        <v>73</v>
      </c>
      <c r="M355" s="59" t="s">
        <v>65</v>
      </c>
      <c r="N355" s="315">
        <v>2000</v>
      </c>
      <c r="O355" s="316">
        <f t="shared" si="18"/>
        <v>0</v>
      </c>
      <c r="P355" s="95">
        <v>44712</v>
      </c>
      <c r="Q355" s="61">
        <f t="shared" si="17"/>
        <v>44712</v>
      </c>
      <c r="R355" s="59"/>
      <c r="S355" s="59" t="s">
        <v>65</v>
      </c>
      <c r="T355" s="59"/>
      <c r="U355" s="59"/>
      <c r="V355" s="59"/>
      <c r="W355" s="68"/>
      <c r="X355" s="68"/>
      <c r="Y355" s="68"/>
    </row>
    <row r="356" s="17" customFormat="1" hidden="1" customHeight="1" spans="1:25">
      <c r="A356" s="59">
        <v>169</v>
      </c>
      <c r="B356" s="60" t="s">
        <v>856</v>
      </c>
      <c r="C356" s="61">
        <v>44621</v>
      </c>
      <c r="D356" s="62" t="str">
        <f ca="1" t="shared" si="16"/>
        <v>一年以上</v>
      </c>
      <c r="E356" s="313">
        <v>44648</v>
      </c>
      <c r="F356" s="59" t="s">
        <v>70</v>
      </c>
      <c r="G356" s="59" t="s">
        <v>149</v>
      </c>
      <c r="H356" s="63" t="s">
        <v>600</v>
      </c>
      <c r="I356" s="63" t="s">
        <v>600</v>
      </c>
      <c r="J356" s="314">
        <v>2000</v>
      </c>
      <c r="K356" s="59"/>
      <c r="L356" s="59" t="s">
        <v>73</v>
      </c>
      <c r="M356" s="59" t="s">
        <v>65</v>
      </c>
      <c r="N356" s="315">
        <v>2000</v>
      </c>
      <c r="O356" s="316">
        <f t="shared" si="18"/>
        <v>0</v>
      </c>
      <c r="P356" s="95">
        <v>44672</v>
      </c>
      <c r="Q356" s="61">
        <f t="shared" si="17"/>
        <v>44672</v>
      </c>
      <c r="R356" s="59"/>
      <c r="S356" s="59" t="s">
        <v>65</v>
      </c>
      <c r="T356" s="59"/>
      <c r="U356" s="59"/>
      <c r="V356" s="59"/>
      <c r="W356" s="68"/>
      <c r="X356" s="68"/>
      <c r="Y356" s="68"/>
    </row>
    <row r="357" s="17" customFormat="1" hidden="1" customHeight="1" spans="1:25">
      <c r="A357" s="59">
        <v>170</v>
      </c>
      <c r="B357" s="60" t="s">
        <v>857</v>
      </c>
      <c r="C357" s="61">
        <v>44621</v>
      </c>
      <c r="D357" s="62" t="str">
        <f ca="1" t="shared" si="16"/>
        <v>一年以上</v>
      </c>
      <c r="E357" s="313">
        <v>44648</v>
      </c>
      <c r="F357" s="59" t="s">
        <v>70</v>
      </c>
      <c r="G357" s="59" t="s">
        <v>104</v>
      </c>
      <c r="H357" s="63" t="s">
        <v>858</v>
      </c>
      <c r="I357" s="63" t="s">
        <v>858</v>
      </c>
      <c r="J357" s="314">
        <v>2000</v>
      </c>
      <c r="K357" s="59" t="s">
        <v>28</v>
      </c>
      <c r="L357" s="59" t="s">
        <v>73</v>
      </c>
      <c r="M357" s="59" t="s">
        <v>65</v>
      </c>
      <c r="N357" s="315">
        <v>2000</v>
      </c>
      <c r="O357" s="316">
        <f t="shared" si="18"/>
        <v>0</v>
      </c>
      <c r="P357" s="95">
        <v>44797</v>
      </c>
      <c r="Q357" s="61">
        <f t="shared" si="17"/>
        <v>44797</v>
      </c>
      <c r="R357" s="59"/>
      <c r="S357" s="59" t="s">
        <v>65</v>
      </c>
      <c r="T357" s="59"/>
      <c r="U357" s="59"/>
      <c r="V357" s="59"/>
      <c r="W357" s="68"/>
      <c r="X357" s="68"/>
      <c r="Y357" s="68"/>
    </row>
    <row r="358" s="17" customFormat="1" hidden="1" customHeight="1" spans="1:25">
      <c r="A358" s="59">
        <v>355</v>
      </c>
      <c r="B358" s="60" t="s">
        <v>859</v>
      </c>
      <c r="C358" s="61">
        <v>44621</v>
      </c>
      <c r="D358" s="62" t="str">
        <f ca="1" t="shared" si="16"/>
        <v>一年以上</v>
      </c>
      <c r="E358" s="313">
        <v>44649</v>
      </c>
      <c r="F358" s="59" t="s">
        <v>130</v>
      </c>
      <c r="G358" s="59" t="s">
        <v>87</v>
      </c>
      <c r="H358" s="63" t="s">
        <v>860</v>
      </c>
      <c r="I358" s="63" t="s">
        <v>860</v>
      </c>
      <c r="J358" s="314">
        <v>12500</v>
      </c>
      <c r="K358" s="59" t="s">
        <v>28</v>
      </c>
      <c r="L358" s="59" t="s">
        <v>57</v>
      </c>
      <c r="M358" s="59" t="s">
        <v>133</v>
      </c>
      <c r="N358" s="315">
        <v>12500</v>
      </c>
      <c r="O358" s="316">
        <f t="shared" si="18"/>
        <v>0</v>
      </c>
      <c r="P358" s="95">
        <v>45026</v>
      </c>
      <c r="Q358" s="61">
        <f t="shared" si="17"/>
        <v>45026</v>
      </c>
      <c r="R358" s="59"/>
      <c r="S358" s="59" t="s">
        <v>861</v>
      </c>
      <c r="T358" s="59" t="s">
        <v>86</v>
      </c>
      <c r="U358" s="59"/>
      <c r="V358" s="59"/>
      <c r="W358" s="68"/>
      <c r="X358" s="68"/>
      <c r="Y358" s="68"/>
    </row>
    <row r="359" s="17" customFormat="1" hidden="1" customHeight="1" spans="1:25">
      <c r="A359" s="59">
        <v>356</v>
      </c>
      <c r="B359" s="60" t="s">
        <v>862</v>
      </c>
      <c r="C359" s="61">
        <v>44621</v>
      </c>
      <c r="D359" s="62" t="str">
        <f ca="1" t="shared" si="16"/>
        <v>一年以上</v>
      </c>
      <c r="E359" s="313">
        <v>44651</v>
      </c>
      <c r="F359" s="59" t="s">
        <v>130</v>
      </c>
      <c r="G359" s="59" t="s">
        <v>569</v>
      </c>
      <c r="H359" s="63" t="s">
        <v>863</v>
      </c>
      <c r="I359" s="63" t="s">
        <v>863</v>
      </c>
      <c r="J359" s="314">
        <v>12736</v>
      </c>
      <c r="K359" s="59" t="s">
        <v>28</v>
      </c>
      <c r="L359" s="59" t="s">
        <v>57</v>
      </c>
      <c r="M359" s="59" t="s">
        <v>133</v>
      </c>
      <c r="N359" s="315">
        <v>12736</v>
      </c>
      <c r="O359" s="316">
        <f t="shared" si="18"/>
        <v>0</v>
      </c>
      <c r="P359" s="95">
        <v>44925</v>
      </c>
      <c r="Q359" s="61">
        <f t="shared" si="17"/>
        <v>44925</v>
      </c>
      <c r="R359" s="59"/>
      <c r="S359" s="59" t="s">
        <v>864</v>
      </c>
      <c r="T359" s="59"/>
      <c r="U359" s="59"/>
      <c r="V359" s="59"/>
      <c r="W359" s="68"/>
      <c r="X359" s="68"/>
      <c r="Y359" s="68"/>
    </row>
    <row r="360" s="17" customFormat="1" hidden="1" customHeight="1" spans="1:25">
      <c r="A360" s="59">
        <v>314</v>
      </c>
      <c r="B360" s="60" t="s">
        <v>865</v>
      </c>
      <c r="C360" s="61">
        <v>44652</v>
      </c>
      <c r="D360" s="62" t="str">
        <f ca="1" t="shared" si="16"/>
        <v>一年以上</v>
      </c>
      <c r="E360" s="313">
        <v>44657</v>
      </c>
      <c r="F360" s="59"/>
      <c r="G360" s="59" t="s">
        <v>614</v>
      </c>
      <c r="H360" s="63" t="s">
        <v>315</v>
      </c>
      <c r="I360" s="63" t="s">
        <v>315</v>
      </c>
      <c r="J360" s="314">
        <v>10000</v>
      </c>
      <c r="K360" s="59" t="s">
        <v>28</v>
      </c>
      <c r="L360" s="59" t="s">
        <v>73</v>
      </c>
      <c r="M360" s="59" t="s">
        <v>30</v>
      </c>
      <c r="N360" s="315">
        <v>10000</v>
      </c>
      <c r="O360" s="316">
        <f t="shared" si="18"/>
        <v>0</v>
      </c>
      <c r="P360" s="95">
        <v>44818</v>
      </c>
      <c r="Q360" s="61">
        <f t="shared" si="17"/>
        <v>44818</v>
      </c>
      <c r="R360" s="59"/>
      <c r="S360" s="59" t="s">
        <v>30</v>
      </c>
      <c r="T360" s="59"/>
      <c r="U360" s="59"/>
      <c r="V360" s="59"/>
      <c r="W360" s="68"/>
      <c r="X360" s="68"/>
      <c r="Y360" s="68"/>
    </row>
    <row r="361" s="17" customFormat="1" hidden="1" customHeight="1" spans="1:25">
      <c r="A361" s="59">
        <v>315</v>
      </c>
      <c r="B361" s="60" t="s">
        <v>866</v>
      </c>
      <c r="C361" s="61">
        <v>44652</v>
      </c>
      <c r="D361" s="62" t="str">
        <f ca="1" t="shared" si="16"/>
        <v>一年以上</v>
      </c>
      <c r="E361" s="313">
        <v>44657</v>
      </c>
      <c r="F361" s="59"/>
      <c r="G361" s="59" t="s">
        <v>614</v>
      </c>
      <c r="H361" s="63" t="s">
        <v>867</v>
      </c>
      <c r="I361" s="63" t="s">
        <v>867</v>
      </c>
      <c r="J361" s="314">
        <v>15000</v>
      </c>
      <c r="K361" s="59" t="s">
        <v>356</v>
      </c>
      <c r="L361" s="59" t="s">
        <v>458</v>
      </c>
      <c r="M361" s="59" t="s">
        <v>30</v>
      </c>
      <c r="N361" s="315">
        <v>15000</v>
      </c>
      <c r="O361" s="316">
        <f t="shared" si="18"/>
        <v>0</v>
      </c>
      <c r="P361" s="95">
        <v>44754</v>
      </c>
      <c r="Q361" s="61">
        <f t="shared" si="17"/>
        <v>44754</v>
      </c>
      <c r="R361" s="59"/>
      <c r="S361" s="59" t="s">
        <v>30</v>
      </c>
      <c r="T361" s="59"/>
      <c r="U361" s="59"/>
      <c r="V361" s="59"/>
      <c r="W361" s="68"/>
      <c r="X361" s="68"/>
      <c r="Y361" s="68"/>
    </row>
    <row r="362" s="17" customFormat="1" hidden="1" customHeight="1" spans="1:25">
      <c r="A362" s="59">
        <v>317</v>
      </c>
      <c r="B362" s="60" t="s">
        <v>868</v>
      </c>
      <c r="C362" s="61">
        <v>44652</v>
      </c>
      <c r="D362" s="62" t="str">
        <f ca="1" t="shared" si="16"/>
        <v>一年以上</v>
      </c>
      <c r="E362" s="313">
        <v>44658</v>
      </c>
      <c r="F362" s="59"/>
      <c r="G362" s="59" t="s">
        <v>614</v>
      </c>
      <c r="H362" s="63" t="s">
        <v>325</v>
      </c>
      <c r="I362" s="63" t="s">
        <v>325</v>
      </c>
      <c r="J362" s="314">
        <v>2000</v>
      </c>
      <c r="K362" s="59" t="s">
        <v>356</v>
      </c>
      <c r="L362" s="59" t="s">
        <v>468</v>
      </c>
      <c r="M362" s="59" t="s">
        <v>30</v>
      </c>
      <c r="N362" s="315">
        <v>2000</v>
      </c>
      <c r="O362" s="316">
        <f t="shared" si="18"/>
        <v>0</v>
      </c>
      <c r="P362" s="95">
        <v>44771</v>
      </c>
      <c r="Q362" s="61">
        <f t="shared" si="17"/>
        <v>44771</v>
      </c>
      <c r="R362" s="59"/>
      <c r="S362" s="59"/>
      <c r="T362" s="59"/>
      <c r="U362" s="59"/>
      <c r="V362" s="59"/>
      <c r="W362" s="68"/>
      <c r="X362" s="68"/>
      <c r="Y362" s="68"/>
    </row>
    <row r="363" s="17" customFormat="1" hidden="1" customHeight="1" spans="1:25">
      <c r="A363" s="59">
        <v>398</v>
      </c>
      <c r="B363" s="60" t="s">
        <v>869</v>
      </c>
      <c r="C363" s="61">
        <v>44652</v>
      </c>
      <c r="D363" s="62" t="str">
        <f ca="1" t="shared" si="16"/>
        <v>一年以上</v>
      </c>
      <c r="E363" s="313">
        <v>44658</v>
      </c>
      <c r="F363" s="59" t="s">
        <v>632</v>
      </c>
      <c r="G363" s="59" t="s">
        <v>450</v>
      </c>
      <c r="H363" s="63" t="s">
        <v>863</v>
      </c>
      <c r="I363" s="63" t="s">
        <v>863</v>
      </c>
      <c r="J363" s="314">
        <v>500</v>
      </c>
      <c r="K363" s="59"/>
      <c r="L363" s="59" t="s">
        <v>73</v>
      </c>
      <c r="M363" s="59" t="s">
        <v>515</v>
      </c>
      <c r="N363" s="315">
        <v>500</v>
      </c>
      <c r="O363" s="316">
        <f t="shared" si="18"/>
        <v>0</v>
      </c>
      <c r="P363" s="95">
        <v>44705</v>
      </c>
      <c r="Q363" s="61">
        <f t="shared" si="17"/>
        <v>44705</v>
      </c>
      <c r="R363" s="59"/>
      <c r="S363" s="59" t="s">
        <v>870</v>
      </c>
      <c r="T363" s="59"/>
      <c r="U363" s="59"/>
      <c r="V363" s="59"/>
      <c r="W363" s="68"/>
      <c r="X363" s="68"/>
      <c r="Y363" s="68"/>
    </row>
    <row r="364" s="17" customFormat="1" hidden="1" customHeight="1" spans="1:25">
      <c r="A364" s="59">
        <v>399</v>
      </c>
      <c r="B364" s="60" t="s">
        <v>871</v>
      </c>
      <c r="C364" s="61">
        <v>44652</v>
      </c>
      <c r="D364" s="62" t="str">
        <f ca="1" t="shared" si="16"/>
        <v>一年以上</v>
      </c>
      <c r="E364" s="313">
        <v>44664</v>
      </c>
      <c r="F364" s="59" t="s">
        <v>632</v>
      </c>
      <c r="G364" s="59" t="s">
        <v>614</v>
      </c>
      <c r="H364" s="63" t="s">
        <v>872</v>
      </c>
      <c r="I364" s="63" t="s">
        <v>872</v>
      </c>
      <c r="J364" s="314">
        <v>800</v>
      </c>
      <c r="K364" s="59" t="s">
        <v>28</v>
      </c>
      <c r="L364" s="59" t="s">
        <v>873</v>
      </c>
      <c r="M364" s="59" t="s">
        <v>515</v>
      </c>
      <c r="N364" s="315">
        <v>800</v>
      </c>
      <c r="O364" s="316">
        <f t="shared" si="18"/>
        <v>0</v>
      </c>
      <c r="P364" s="95">
        <v>44728</v>
      </c>
      <c r="Q364" s="61">
        <f t="shared" si="17"/>
        <v>44728</v>
      </c>
      <c r="R364" s="59"/>
      <c r="S364" s="59"/>
      <c r="T364" s="59"/>
      <c r="U364" s="59"/>
      <c r="V364" s="59"/>
      <c r="W364" s="68"/>
      <c r="X364" s="68"/>
      <c r="Y364" s="68"/>
    </row>
    <row r="365" s="17" customFormat="1" hidden="1" customHeight="1" spans="1:25">
      <c r="A365" s="59">
        <v>171</v>
      </c>
      <c r="B365" s="60" t="s">
        <v>874</v>
      </c>
      <c r="C365" s="61">
        <v>44652</v>
      </c>
      <c r="D365" s="62" t="str">
        <f ca="1" t="shared" si="16"/>
        <v>一年以上</v>
      </c>
      <c r="E365" s="313">
        <v>44671</v>
      </c>
      <c r="F365" s="59" t="s">
        <v>70</v>
      </c>
      <c r="G365" s="59" t="s">
        <v>149</v>
      </c>
      <c r="H365" s="63" t="s">
        <v>600</v>
      </c>
      <c r="I365" s="63" t="s">
        <v>600</v>
      </c>
      <c r="J365" s="314">
        <v>600</v>
      </c>
      <c r="K365" s="59"/>
      <c r="L365" s="59" t="s">
        <v>73</v>
      </c>
      <c r="M365" s="59" t="s">
        <v>65</v>
      </c>
      <c r="N365" s="315">
        <v>600</v>
      </c>
      <c r="O365" s="316">
        <f t="shared" si="18"/>
        <v>0</v>
      </c>
      <c r="P365" s="95">
        <v>44701</v>
      </c>
      <c r="Q365" s="61">
        <f t="shared" si="17"/>
        <v>44701</v>
      </c>
      <c r="R365" s="59"/>
      <c r="S365" s="59" t="s">
        <v>65</v>
      </c>
      <c r="T365" s="59"/>
      <c r="U365" s="59"/>
      <c r="V365" s="59"/>
      <c r="W365" s="68"/>
      <c r="X365" s="68"/>
      <c r="Y365" s="68"/>
    </row>
    <row r="366" s="17" customFormat="1" hidden="1" customHeight="1" spans="1:25">
      <c r="A366" s="59">
        <v>318</v>
      </c>
      <c r="B366" s="60" t="s">
        <v>875</v>
      </c>
      <c r="C366" s="61">
        <v>44652</v>
      </c>
      <c r="D366" s="62" t="str">
        <f ca="1" t="shared" si="16"/>
        <v>一年以上</v>
      </c>
      <c r="E366" s="313">
        <v>44672</v>
      </c>
      <c r="F366" s="59"/>
      <c r="G366" s="59" t="s">
        <v>614</v>
      </c>
      <c r="H366" s="63" t="s">
        <v>876</v>
      </c>
      <c r="I366" s="63" t="s">
        <v>876</v>
      </c>
      <c r="J366" s="314">
        <v>15000</v>
      </c>
      <c r="K366" s="59" t="s">
        <v>28</v>
      </c>
      <c r="L366" s="59" t="s">
        <v>57</v>
      </c>
      <c r="M366" s="59" t="s">
        <v>30</v>
      </c>
      <c r="N366" s="315">
        <v>15000</v>
      </c>
      <c r="O366" s="316">
        <f t="shared" si="18"/>
        <v>0</v>
      </c>
      <c r="P366" s="95">
        <v>44692</v>
      </c>
      <c r="Q366" s="61">
        <f t="shared" si="17"/>
        <v>44692</v>
      </c>
      <c r="R366" s="59"/>
      <c r="S366" s="59" t="s">
        <v>877</v>
      </c>
      <c r="T366" s="59"/>
      <c r="U366" s="59"/>
      <c r="V366" s="59"/>
      <c r="W366" s="68"/>
      <c r="X366" s="68"/>
      <c r="Y366" s="68"/>
    </row>
    <row r="367" s="17" customFormat="1" hidden="1" customHeight="1" spans="1:25">
      <c r="A367" s="59">
        <v>400</v>
      </c>
      <c r="B367" s="60" t="s">
        <v>878</v>
      </c>
      <c r="C367" s="61">
        <v>44652</v>
      </c>
      <c r="D367" s="62" t="str">
        <f ca="1" t="shared" si="16"/>
        <v>一年以上</v>
      </c>
      <c r="E367" s="313">
        <v>44672</v>
      </c>
      <c r="F367" s="59" t="s">
        <v>632</v>
      </c>
      <c r="G367" s="59" t="s">
        <v>614</v>
      </c>
      <c r="H367" s="63" t="s">
        <v>872</v>
      </c>
      <c r="I367" s="63" t="s">
        <v>872</v>
      </c>
      <c r="J367" s="314">
        <v>800</v>
      </c>
      <c r="K367" s="59"/>
      <c r="L367" s="59" t="s">
        <v>73</v>
      </c>
      <c r="M367" s="59" t="s">
        <v>515</v>
      </c>
      <c r="N367" s="315">
        <v>800</v>
      </c>
      <c r="O367" s="316">
        <f t="shared" si="18"/>
        <v>0</v>
      </c>
      <c r="P367" s="95">
        <v>44728</v>
      </c>
      <c r="Q367" s="61">
        <f t="shared" si="17"/>
        <v>44728</v>
      </c>
      <c r="R367" s="59"/>
      <c r="S367" s="59"/>
      <c r="T367" s="59"/>
      <c r="U367" s="59"/>
      <c r="V367" s="59"/>
      <c r="W367" s="68"/>
      <c r="X367" s="68"/>
      <c r="Y367" s="68"/>
    </row>
    <row r="368" s="17" customFormat="1" hidden="1" customHeight="1" spans="1:25">
      <c r="A368" s="59">
        <v>319</v>
      </c>
      <c r="B368" s="60" t="s">
        <v>879</v>
      </c>
      <c r="C368" s="61">
        <v>44652</v>
      </c>
      <c r="D368" s="62" t="str">
        <f ca="1" t="shared" si="16"/>
        <v>一年以上</v>
      </c>
      <c r="E368" s="313">
        <v>44673</v>
      </c>
      <c r="F368" s="59"/>
      <c r="G368" s="59" t="s">
        <v>614</v>
      </c>
      <c r="H368" s="63" t="s">
        <v>115</v>
      </c>
      <c r="I368" s="63" t="s">
        <v>115</v>
      </c>
      <c r="J368" s="314">
        <v>20000</v>
      </c>
      <c r="K368" s="59" t="s">
        <v>356</v>
      </c>
      <c r="L368" s="59" t="s">
        <v>458</v>
      </c>
      <c r="M368" s="59" t="s">
        <v>30</v>
      </c>
      <c r="N368" s="315">
        <v>20000</v>
      </c>
      <c r="O368" s="316">
        <f t="shared" si="18"/>
        <v>0</v>
      </c>
      <c r="P368" s="95">
        <v>44734</v>
      </c>
      <c r="Q368" s="61">
        <f t="shared" si="17"/>
        <v>44734</v>
      </c>
      <c r="R368" s="59"/>
      <c r="S368" s="59" t="s">
        <v>877</v>
      </c>
      <c r="T368" s="59"/>
      <c r="U368" s="59"/>
      <c r="V368" s="59"/>
      <c r="W368" s="68"/>
      <c r="X368" s="68"/>
      <c r="Y368" s="68"/>
    </row>
    <row r="369" s="17" customFormat="1" hidden="1" customHeight="1" spans="1:25">
      <c r="A369" s="59">
        <v>320</v>
      </c>
      <c r="B369" s="60" t="s">
        <v>880</v>
      </c>
      <c r="C369" s="61">
        <v>44652</v>
      </c>
      <c r="D369" s="62" t="str">
        <f ca="1" t="shared" si="16"/>
        <v>一年以上</v>
      </c>
      <c r="E369" s="313">
        <v>44677</v>
      </c>
      <c r="F369" s="59"/>
      <c r="G369" s="59" t="s">
        <v>614</v>
      </c>
      <c r="H369" s="63" t="s">
        <v>325</v>
      </c>
      <c r="I369" s="63" t="s">
        <v>325</v>
      </c>
      <c r="J369" s="314">
        <v>1500</v>
      </c>
      <c r="K369" s="59" t="s">
        <v>356</v>
      </c>
      <c r="L369" s="59" t="s">
        <v>458</v>
      </c>
      <c r="M369" s="59" t="s">
        <v>30</v>
      </c>
      <c r="N369" s="315">
        <v>1500</v>
      </c>
      <c r="O369" s="316">
        <f t="shared" si="18"/>
        <v>0</v>
      </c>
      <c r="P369" s="95">
        <v>44771</v>
      </c>
      <c r="Q369" s="61">
        <f t="shared" si="17"/>
        <v>44771</v>
      </c>
      <c r="R369" s="59"/>
      <c r="S369" s="59" t="s">
        <v>877</v>
      </c>
      <c r="T369" s="59"/>
      <c r="U369" s="59"/>
      <c r="V369" s="59"/>
      <c r="W369" s="68"/>
      <c r="X369" s="68"/>
      <c r="Y369" s="68"/>
    </row>
    <row r="370" s="17" customFormat="1" hidden="1" customHeight="1" spans="1:25">
      <c r="A370" s="59">
        <v>321</v>
      </c>
      <c r="B370" s="60" t="s">
        <v>881</v>
      </c>
      <c r="C370" s="61">
        <v>44652</v>
      </c>
      <c r="D370" s="62" t="str">
        <f ca="1" t="shared" si="16"/>
        <v>一年以上</v>
      </c>
      <c r="E370" s="313">
        <v>44677</v>
      </c>
      <c r="F370" s="59"/>
      <c r="G370" s="59" t="s">
        <v>614</v>
      </c>
      <c r="H370" s="63" t="s">
        <v>325</v>
      </c>
      <c r="I370" s="63" t="s">
        <v>325</v>
      </c>
      <c r="J370" s="314">
        <v>1000</v>
      </c>
      <c r="K370" s="59" t="s">
        <v>356</v>
      </c>
      <c r="L370" s="59" t="s">
        <v>458</v>
      </c>
      <c r="M370" s="59" t="s">
        <v>30</v>
      </c>
      <c r="N370" s="315">
        <v>1000</v>
      </c>
      <c r="O370" s="316">
        <f t="shared" si="18"/>
        <v>0</v>
      </c>
      <c r="P370" s="95">
        <v>44897</v>
      </c>
      <c r="Q370" s="61">
        <f t="shared" si="17"/>
        <v>44897</v>
      </c>
      <c r="R370" s="59"/>
      <c r="S370" s="59" t="s">
        <v>877</v>
      </c>
      <c r="T370" s="59"/>
      <c r="U370" s="59"/>
      <c r="V370" s="59"/>
      <c r="W370" s="68"/>
      <c r="X370" s="68"/>
      <c r="Y370" s="68"/>
    </row>
    <row r="371" s="17" customFormat="1" hidden="1" customHeight="1" spans="1:25">
      <c r="A371" s="59">
        <v>323</v>
      </c>
      <c r="B371" s="60" t="s">
        <v>882</v>
      </c>
      <c r="C371" s="61">
        <v>44652</v>
      </c>
      <c r="D371" s="62" t="str">
        <f ca="1" t="shared" si="16"/>
        <v>一年以上</v>
      </c>
      <c r="E371" s="313">
        <v>44677</v>
      </c>
      <c r="F371" s="59"/>
      <c r="G371" s="59" t="s">
        <v>614</v>
      </c>
      <c r="H371" s="63" t="s">
        <v>872</v>
      </c>
      <c r="I371" s="63" t="s">
        <v>872</v>
      </c>
      <c r="J371" s="314">
        <v>20000</v>
      </c>
      <c r="K371" s="59" t="s">
        <v>28</v>
      </c>
      <c r="L371" s="59" t="s">
        <v>57</v>
      </c>
      <c r="M371" s="59" t="s">
        <v>30</v>
      </c>
      <c r="N371" s="315">
        <v>20000</v>
      </c>
      <c r="O371" s="316">
        <f t="shared" si="18"/>
        <v>0</v>
      </c>
      <c r="P371" s="95">
        <v>44896</v>
      </c>
      <c r="Q371" s="61">
        <f t="shared" si="17"/>
        <v>44896</v>
      </c>
      <c r="R371" s="59"/>
      <c r="S371" s="59" t="s">
        <v>877</v>
      </c>
      <c r="T371" s="59"/>
      <c r="U371" s="59"/>
      <c r="V371" s="59"/>
      <c r="W371" s="68"/>
      <c r="X371" s="68"/>
      <c r="Y371" s="68"/>
    </row>
    <row r="372" s="17" customFormat="1" hidden="1" customHeight="1" spans="1:25">
      <c r="A372" s="59">
        <v>324</v>
      </c>
      <c r="B372" s="60" t="s">
        <v>883</v>
      </c>
      <c r="C372" s="61">
        <v>44652</v>
      </c>
      <c r="D372" s="62" t="str">
        <f ca="1" t="shared" si="16"/>
        <v>一年以上</v>
      </c>
      <c r="E372" s="313">
        <v>44677</v>
      </c>
      <c r="F372" s="59"/>
      <c r="G372" s="59" t="s">
        <v>614</v>
      </c>
      <c r="H372" s="63" t="s">
        <v>872</v>
      </c>
      <c r="I372" s="63" t="s">
        <v>872</v>
      </c>
      <c r="J372" s="314">
        <v>30000</v>
      </c>
      <c r="K372" s="59" t="s">
        <v>28</v>
      </c>
      <c r="L372" s="59" t="s">
        <v>57</v>
      </c>
      <c r="M372" s="59" t="s">
        <v>30</v>
      </c>
      <c r="N372" s="315">
        <v>30000</v>
      </c>
      <c r="O372" s="316">
        <f t="shared" si="18"/>
        <v>0</v>
      </c>
      <c r="P372" s="95">
        <v>44692</v>
      </c>
      <c r="Q372" s="61">
        <f t="shared" si="17"/>
        <v>44692</v>
      </c>
      <c r="R372" s="59"/>
      <c r="S372" s="59" t="s">
        <v>877</v>
      </c>
      <c r="T372" s="59"/>
      <c r="U372" s="59"/>
      <c r="V372" s="59"/>
      <c r="W372" s="68"/>
      <c r="X372" s="68"/>
      <c r="Y372" s="68"/>
    </row>
    <row r="373" s="17" customFormat="1" hidden="1" customHeight="1" spans="1:25">
      <c r="A373" s="59">
        <v>325</v>
      </c>
      <c r="B373" s="60" t="s">
        <v>884</v>
      </c>
      <c r="C373" s="61">
        <v>44652</v>
      </c>
      <c r="D373" s="62" t="str">
        <f ca="1" t="shared" si="16"/>
        <v>一年以上</v>
      </c>
      <c r="E373" s="313">
        <v>44678</v>
      </c>
      <c r="F373" s="59"/>
      <c r="G373" s="59" t="s">
        <v>614</v>
      </c>
      <c r="H373" s="63" t="s">
        <v>366</v>
      </c>
      <c r="I373" s="63" t="s">
        <v>366</v>
      </c>
      <c r="J373" s="314">
        <v>5000</v>
      </c>
      <c r="K373" s="59" t="s">
        <v>356</v>
      </c>
      <c r="L373" s="59" t="s">
        <v>458</v>
      </c>
      <c r="M373" s="59" t="s">
        <v>30</v>
      </c>
      <c r="N373" s="315">
        <v>5000</v>
      </c>
      <c r="O373" s="316">
        <f t="shared" si="18"/>
        <v>0</v>
      </c>
      <c r="P373" s="95">
        <v>44708</v>
      </c>
      <c r="Q373" s="61">
        <f t="shared" si="17"/>
        <v>44708</v>
      </c>
      <c r="R373" s="59"/>
      <c r="S373" s="59" t="s">
        <v>877</v>
      </c>
      <c r="T373" s="59"/>
      <c r="U373" s="59"/>
      <c r="V373" s="59"/>
      <c r="W373" s="68"/>
      <c r="X373" s="68"/>
      <c r="Y373" s="68"/>
    </row>
    <row r="374" s="17" customFormat="1" hidden="1" customHeight="1" spans="1:25">
      <c r="A374" s="59">
        <v>326</v>
      </c>
      <c r="B374" s="60" t="s">
        <v>885</v>
      </c>
      <c r="C374" s="61">
        <v>44652</v>
      </c>
      <c r="D374" s="62" t="str">
        <f ca="1" t="shared" si="16"/>
        <v>一年以上</v>
      </c>
      <c r="E374" s="313">
        <v>44679</v>
      </c>
      <c r="F374" s="59" t="s">
        <v>632</v>
      </c>
      <c r="G374" s="59" t="s">
        <v>450</v>
      </c>
      <c r="H374" s="63" t="s">
        <v>851</v>
      </c>
      <c r="I374" s="63" t="s">
        <v>851</v>
      </c>
      <c r="J374" s="314">
        <v>10000</v>
      </c>
      <c r="K374" s="59" t="s">
        <v>28</v>
      </c>
      <c r="L374" s="59" t="s">
        <v>57</v>
      </c>
      <c r="M374" s="59" t="s">
        <v>30</v>
      </c>
      <c r="N374" s="315">
        <v>10000</v>
      </c>
      <c r="O374" s="316">
        <f t="shared" si="18"/>
        <v>0</v>
      </c>
      <c r="P374" s="95">
        <v>44692</v>
      </c>
      <c r="Q374" s="61">
        <f t="shared" si="17"/>
        <v>44692</v>
      </c>
      <c r="R374" s="59"/>
      <c r="S374" s="59" t="s">
        <v>877</v>
      </c>
      <c r="T374" s="59"/>
      <c r="U374" s="59"/>
      <c r="V374" s="59"/>
      <c r="W374" s="68"/>
      <c r="X374" s="68"/>
      <c r="Y374" s="68"/>
    </row>
    <row r="375" s="17" customFormat="1" hidden="1" customHeight="1" spans="1:25">
      <c r="A375" s="59">
        <v>401</v>
      </c>
      <c r="B375" s="60" t="s">
        <v>886</v>
      </c>
      <c r="C375" s="61">
        <v>44682</v>
      </c>
      <c r="D375" s="62" t="str">
        <f ca="1" t="shared" si="16"/>
        <v>一年以上</v>
      </c>
      <c r="E375" s="313">
        <v>44687</v>
      </c>
      <c r="F375" s="59" t="s">
        <v>632</v>
      </c>
      <c r="G375" s="59" t="s">
        <v>450</v>
      </c>
      <c r="H375" s="63" t="s">
        <v>555</v>
      </c>
      <c r="I375" s="63" t="s">
        <v>555</v>
      </c>
      <c r="J375" s="314">
        <v>600</v>
      </c>
      <c r="K375" s="59"/>
      <c r="L375" s="59" t="s">
        <v>73</v>
      </c>
      <c r="M375" s="59" t="s">
        <v>515</v>
      </c>
      <c r="N375" s="315">
        <v>600</v>
      </c>
      <c r="O375" s="316">
        <f t="shared" si="18"/>
        <v>0</v>
      </c>
      <c r="P375" s="95">
        <v>44707</v>
      </c>
      <c r="Q375" s="61">
        <f t="shared" si="17"/>
        <v>44707</v>
      </c>
      <c r="R375" s="59"/>
      <c r="S375" s="59" t="s">
        <v>887</v>
      </c>
      <c r="T375" s="59"/>
      <c r="U375" s="59"/>
      <c r="V375" s="59"/>
      <c r="W375" s="68"/>
      <c r="X375" s="68"/>
      <c r="Y375" s="68"/>
    </row>
    <row r="376" s="17" customFormat="1" hidden="1" customHeight="1" spans="1:25">
      <c r="A376" s="59">
        <v>327</v>
      </c>
      <c r="B376" s="60" t="s">
        <v>888</v>
      </c>
      <c r="C376" s="61">
        <v>44682</v>
      </c>
      <c r="D376" s="62" t="str">
        <f ca="1" t="shared" si="16"/>
        <v>一年以上</v>
      </c>
      <c r="E376" s="313">
        <v>44690</v>
      </c>
      <c r="F376" s="59"/>
      <c r="G376" s="59" t="s">
        <v>614</v>
      </c>
      <c r="H376" s="63" t="s">
        <v>490</v>
      </c>
      <c r="I376" s="63" t="s">
        <v>490</v>
      </c>
      <c r="J376" s="314">
        <v>1000</v>
      </c>
      <c r="K376" s="59" t="s">
        <v>28</v>
      </c>
      <c r="L376" s="59" t="s">
        <v>57</v>
      </c>
      <c r="M376" s="59" t="s">
        <v>30</v>
      </c>
      <c r="N376" s="315">
        <v>1000</v>
      </c>
      <c r="O376" s="316">
        <f t="shared" si="18"/>
        <v>0</v>
      </c>
      <c r="P376" s="95">
        <v>44705</v>
      </c>
      <c r="Q376" s="61">
        <f t="shared" si="17"/>
        <v>44705</v>
      </c>
      <c r="R376" s="59"/>
      <c r="S376" s="59"/>
      <c r="T376" s="59"/>
      <c r="U376" s="59"/>
      <c r="V376" s="59"/>
      <c r="W376" s="68"/>
      <c r="X376" s="68"/>
      <c r="Y376" s="68"/>
    </row>
    <row r="377" s="17" customFormat="1" hidden="1" customHeight="1" spans="1:25">
      <c r="A377" s="59">
        <v>328</v>
      </c>
      <c r="B377" s="60" t="s">
        <v>889</v>
      </c>
      <c r="C377" s="61">
        <v>44682</v>
      </c>
      <c r="D377" s="62" t="str">
        <f ca="1" t="shared" si="16"/>
        <v>一年以上</v>
      </c>
      <c r="E377" s="313">
        <v>44690</v>
      </c>
      <c r="F377" s="59"/>
      <c r="G377" s="59" t="s">
        <v>450</v>
      </c>
      <c r="H377" s="63" t="s">
        <v>890</v>
      </c>
      <c r="I377" s="63" t="s">
        <v>890</v>
      </c>
      <c r="J377" s="314">
        <v>20000</v>
      </c>
      <c r="K377" s="59" t="s">
        <v>28</v>
      </c>
      <c r="L377" s="59" t="s">
        <v>57</v>
      </c>
      <c r="M377" s="59" t="s">
        <v>30</v>
      </c>
      <c r="N377" s="315">
        <v>20000</v>
      </c>
      <c r="O377" s="316">
        <f t="shared" si="18"/>
        <v>0</v>
      </c>
      <c r="P377" s="95">
        <v>44694</v>
      </c>
      <c r="Q377" s="61">
        <f t="shared" si="17"/>
        <v>44694</v>
      </c>
      <c r="R377" s="59"/>
      <c r="S377" s="59" t="s">
        <v>891</v>
      </c>
      <c r="T377" s="59"/>
      <c r="U377" s="59"/>
      <c r="V377" s="59"/>
      <c r="W377" s="68"/>
      <c r="X377" s="68"/>
      <c r="Y377" s="68"/>
    </row>
    <row r="378" s="17" customFormat="1" hidden="1" customHeight="1" spans="1:25">
      <c r="A378" s="59">
        <v>402</v>
      </c>
      <c r="B378" s="60" t="s">
        <v>892</v>
      </c>
      <c r="C378" s="61">
        <v>44682</v>
      </c>
      <c r="D378" s="62" t="str">
        <f ca="1" t="shared" si="16"/>
        <v>一年以上</v>
      </c>
      <c r="E378" s="313">
        <v>44690</v>
      </c>
      <c r="F378" s="59" t="s">
        <v>632</v>
      </c>
      <c r="G378" s="59" t="s">
        <v>614</v>
      </c>
      <c r="H378" s="63" t="s">
        <v>863</v>
      </c>
      <c r="I378" s="63" t="s">
        <v>863</v>
      </c>
      <c r="J378" s="314">
        <v>500</v>
      </c>
      <c r="K378" s="59"/>
      <c r="L378" s="59" t="s">
        <v>73</v>
      </c>
      <c r="M378" s="59" t="s">
        <v>515</v>
      </c>
      <c r="N378" s="315">
        <v>500</v>
      </c>
      <c r="O378" s="316">
        <f t="shared" si="18"/>
        <v>0</v>
      </c>
      <c r="P378" s="95">
        <v>44728</v>
      </c>
      <c r="Q378" s="61">
        <f t="shared" si="17"/>
        <v>44728</v>
      </c>
      <c r="R378" s="59"/>
      <c r="S378" s="59"/>
      <c r="T378" s="59"/>
      <c r="U378" s="59"/>
      <c r="V378" s="59"/>
      <c r="W378" s="68"/>
      <c r="X378" s="68"/>
      <c r="Y378" s="68"/>
    </row>
    <row r="379" s="17" customFormat="1" hidden="1" customHeight="1" spans="1:25">
      <c r="A379" s="59">
        <v>403</v>
      </c>
      <c r="B379" s="60" t="s">
        <v>893</v>
      </c>
      <c r="C379" s="61">
        <v>44682</v>
      </c>
      <c r="D379" s="62" t="str">
        <f ca="1" t="shared" si="16"/>
        <v>一年以上</v>
      </c>
      <c r="E379" s="313">
        <v>44690</v>
      </c>
      <c r="F379" s="59" t="s">
        <v>632</v>
      </c>
      <c r="G379" s="59" t="s">
        <v>450</v>
      </c>
      <c r="H379" s="63" t="s">
        <v>894</v>
      </c>
      <c r="I379" s="63" t="s">
        <v>894</v>
      </c>
      <c r="J379" s="314">
        <v>200</v>
      </c>
      <c r="K379" s="59"/>
      <c r="L379" s="59" t="s">
        <v>73</v>
      </c>
      <c r="M379" s="59" t="s">
        <v>515</v>
      </c>
      <c r="N379" s="315">
        <v>200</v>
      </c>
      <c r="O379" s="316">
        <f t="shared" si="18"/>
        <v>0</v>
      </c>
      <c r="P379" s="95">
        <v>44705</v>
      </c>
      <c r="Q379" s="61">
        <f t="shared" si="17"/>
        <v>44705</v>
      </c>
      <c r="R379" s="59"/>
      <c r="S379" s="59" t="s">
        <v>895</v>
      </c>
      <c r="T379" s="59"/>
      <c r="U379" s="59"/>
      <c r="V379" s="59"/>
      <c r="W379" s="68"/>
      <c r="X379" s="68"/>
      <c r="Y379" s="68"/>
    </row>
    <row r="380" s="17" customFormat="1" hidden="1" customHeight="1" spans="1:25">
      <c r="A380" s="59">
        <v>329</v>
      </c>
      <c r="B380" s="60" t="s">
        <v>896</v>
      </c>
      <c r="C380" s="61">
        <v>44682</v>
      </c>
      <c r="D380" s="62" t="str">
        <f ca="1" t="shared" si="16"/>
        <v>一年以上</v>
      </c>
      <c r="E380" s="313">
        <v>44691</v>
      </c>
      <c r="F380" s="59"/>
      <c r="G380" s="59" t="s">
        <v>897</v>
      </c>
      <c r="H380" s="63" t="s">
        <v>890</v>
      </c>
      <c r="I380" s="63" t="s">
        <v>890</v>
      </c>
      <c r="J380" s="314">
        <v>20000</v>
      </c>
      <c r="K380" s="59"/>
      <c r="L380" s="59" t="s">
        <v>96</v>
      </c>
      <c r="M380" s="59" t="s">
        <v>30</v>
      </c>
      <c r="N380" s="315">
        <v>20000</v>
      </c>
      <c r="O380" s="316">
        <f t="shared" si="18"/>
        <v>0</v>
      </c>
      <c r="P380" s="95">
        <v>44705</v>
      </c>
      <c r="Q380" s="61">
        <f t="shared" si="17"/>
        <v>44705</v>
      </c>
      <c r="R380" s="59"/>
      <c r="S380" s="59" t="s">
        <v>898</v>
      </c>
      <c r="T380" s="59"/>
      <c r="U380" s="59"/>
      <c r="V380" s="59"/>
      <c r="W380" s="68"/>
      <c r="X380" s="68"/>
      <c r="Y380" s="68"/>
    </row>
    <row r="381" s="17" customFormat="1" hidden="1" customHeight="1" spans="1:25">
      <c r="A381" s="59">
        <v>404</v>
      </c>
      <c r="B381" s="60" t="s">
        <v>899</v>
      </c>
      <c r="C381" s="61">
        <v>44682</v>
      </c>
      <c r="D381" s="62" t="str">
        <f ca="1" t="shared" si="16"/>
        <v>一年以上</v>
      </c>
      <c r="E381" s="313">
        <v>44691</v>
      </c>
      <c r="F381" s="59" t="s">
        <v>632</v>
      </c>
      <c r="G381" s="59" t="s">
        <v>450</v>
      </c>
      <c r="H381" s="63" t="s">
        <v>894</v>
      </c>
      <c r="I381" s="63" t="s">
        <v>894</v>
      </c>
      <c r="J381" s="314">
        <v>200</v>
      </c>
      <c r="K381" s="59"/>
      <c r="L381" s="59" t="s">
        <v>96</v>
      </c>
      <c r="M381" s="59" t="s">
        <v>515</v>
      </c>
      <c r="N381" s="315">
        <v>200</v>
      </c>
      <c r="O381" s="316">
        <f t="shared" si="18"/>
        <v>0</v>
      </c>
      <c r="P381" s="95">
        <v>44705</v>
      </c>
      <c r="Q381" s="61">
        <f t="shared" si="17"/>
        <v>44705</v>
      </c>
      <c r="R381" s="59"/>
      <c r="S381" s="59" t="s">
        <v>900</v>
      </c>
      <c r="T381" s="59"/>
      <c r="U381" s="59"/>
      <c r="V381" s="59"/>
      <c r="W381" s="68"/>
      <c r="X381" s="68"/>
      <c r="Y381" s="68"/>
    </row>
    <row r="382" s="17" customFormat="1" hidden="1" customHeight="1" spans="1:25">
      <c r="A382" s="59">
        <v>330</v>
      </c>
      <c r="B382" s="60" t="s">
        <v>901</v>
      </c>
      <c r="C382" s="61">
        <v>44682</v>
      </c>
      <c r="D382" s="62" t="str">
        <f ca="1" t="shared" si="16"/>
        <v>一年以上</v>
      </c>
      <c r="E382" s="313">
        <v>44694</v>
      </c>
      <c r="F382" s="59"/>
      <c r="G382" s="59" t="s">
        <v>450</v>
      </c>
      <c r="H382" s="63" t="s">
        <v>555</v>
      </c>
      <c r="I382" s="63" t="s">
        <v>555</v>
      </c>
      <c r="J382" s="314">
        <v>3000</v>
      </c>
      <c r="K382" s="59" t="s">
        <v>28</v>
      </c>
      <c r="L382" s="59" t="s">
        <v>57</v>
      </c>
      <c r="M382" s="59" t="s">
        <v>30</v>
      </c>
      <c r="N382" s="315">
        <v>3000</v>
      </c>
      <c r="O382" s="316">
        <f t="shared" si="18"/>
        <v>0</v>
      </c>
      <c r="P382" s="95">
        <v>44719</v>
      </c>
      <c r="Q382" s="61">
        <f t="shared" si="17"/>
        <v>44719</v>
      </c>
      <c r="R382" s="59"/>
      <c r="S382" s="59" t="s">
        <v>902</v>
      </c>
      <c r="T382" s="59"/>
      <c r="U382" s="59"/>
      <c r="V382" s="59"/>
      <c r="W382" s="68"/>
      <c r="X382" s="68"/>
      <c r="Y382" s="68"/>
    </row>
    <row r="383" s="17" customFormat="1" hidden="1" customHeight="1" spans="1:25">
      <c r="A383" s="59">
        <v>331</v>
      </c>
      <c r="B383" s="60" t="s">
        <v>903</v>
      </c>
      <c r="C383" s="61">
        <v>44682</v>
      </c>
      <c r="D383" s="62" t="str">
        <f ca="1" t="shared" si="16"/>
        <v>一年以上</v>
      </c>
      <c r="E383" s="313">
        <v>44694</v>
      </c>
      <c r="F383" s="59"/>
      <c r="G383" s="59" t="s">
        <v>450</v>
      </c>
      <c r="H383" s="63" t="s">
        <v>555</v>
      </c>
      <c r="I383" s="63" t="s">
        <v>555</v>
      </c>
      <c r="J383" s="314">
        <v>1000</v>
      </c>
      <c r="K383" s="59" t="s">
        <v>28</v>
      </c>
      <c r="L383" s="59" t="s">
        <v>57</v>
      </c>
      <c r="M383" s="59" t="s">
        <v>30</v>
      </c>
      <c r="N383" s="315">
        <v>1000</v>
      </c>
      <c r="O383" s="316">
        <f t="shared" si="18"/>
        <v>0</v>
      </c>
      <c r="P383" s="95">
        <v>44719</v>
      </c>
      <c r="Q383" s="61">
        <f t="shared" si="17"/>
        <v>44719</v>
      </c>
      <c r="R383" s="59"/>
      <c r="S383" s="59" t="s">
        <v>902</v>
      </c>
      <c r="T383" s="59"/>
      <c r="U383" s="59"/>
      <c r="V383" s="59"/>
      <c r="W383" s="68"/>
      <c r="X383" s="68"/>
      <c r="Y383" s="68"/>
    </row>
    <row r="384" s="17" customFormat="1" hidden="1" customHeight="1" spans="1:25">
      <c r="A384" s="59">
        <v>332</v>
      </c>
      <c r="B384" s="60" t="s">
        <v>904</v>
      </c>
      <c r="C384" s="61">
        <v>44682</v>
      </c>
      <c r="D384" s="62" t="str">
        <f ca="1" t="shared" si="16"/>
        <v>一年以上</v>
      </c>
      <c r="E384" s="313">
        <v>44694</v>
      </c>
      <c r="F384" s="59"/>
      <c r="G384" s="59" t="s">
        <v>450</v>
      </c>
      <c r="H384" s="63" t="s">
        <v>253</v>
      </c>
      <c r="I384" s="63" t="s">
        <v>253</v>
      </c>
      <c r="J384" s="314">
        <v>10000</v>
      </c>
      <c r="K384" s="59" t="s">
        <v>28</v>
      </c>
      <c r="L384" s="59" t="s">
        <v>57</v>
      </c>
      <c r="M384" s="59" t="s">
        <v>30</v>
      </c>
      <c r="N384" s="315">
        <v>10000</v>
      </c>
      <c r="O384" s="316">
        <f t="shared" si="18"/>
        <v>0</v>
      </c>
      <c r="P384" s="95">
        <v>45051</v>
      </c>
      <c r="Q384" s="61">
        <f t="shared" si="17"/>
        <v>45051</v>
      </c>
      <c r="R384" s="59"/>
      <c r="S384" s="59"/>
      <c r="T384" s="59" t="s">
        <v>182</v>
      </c>
      <c r="U384" s="59"/>
      <c r="V384" s="59"/>
      <c r="W384" s="68"/>
      <c r="X384" s="68"/>
      <c r="Y384" s="68"/>
    </row>
    <row r="385" s="17" customFormat="1" hidden="1" customHeight="1" spans="1:25">
      <c r="A385" s="59">
        <v>357</v>
      </c>
      <c r="B385" s="60" t="s">
        <v>905</v>
      </c>
      <c r="C385" s="61">
        <v>44682</v>
      </c>
      <c r="D385" s="62" t="str">
        <f ca="1" t="shared" si="16"/>
        <v>一年以上</v>
      </c>
      <c r="E385" s="313">
        <v>44698</v>
      </c>
      <c r="F385" s="59" t="s">
        <v>130</v>
      </c>
      <c r="G385" s="59" t="s">
        <v>208</v>
      </c>
      <c r="H385" s="63" t="s">
        <v>132</v>
      </c>
      <c r="I385" s="63" t="s">
        <v>132</v>
      </c>
      <c r="J385" s="314">
        <f>30900</f>
        <v>30900</v>
      </c>
      <c r="K385" s="59" t="s">
        <v>28</v>
      </c>
      <c r="L385" s="59" t="s">
        <v>57</v>
      </c>
      <c r="M385" s="59" t="s">
        <v>133</v>
      </c>
      <c r="N385" s="315">
        <f>23300+7600</f>
        <v>30900</v>
      </c>
      <c r="O385" s="316">
        <f t="shared" si="18"/>
        <v>0</v>
      </c>
      <c r="P385" s="95">
        <v>45016</v>
      </c>
      <c r="Q385" s="61">
        <f t="shared" si="17"/>
        <v>45016</v>
      </c>
      <c r="R385" s="59"/>
      <c r="S385" s="59" t="s">
        <v>906</v>
      </c>
      <c r="T385" s="59" t="s">
        <v>720</v>
      </c>
      <c r="U385" s="59"/>
      <c r="V385" s="59"/>
      <c r="W385" s="68"/>
      <c r="X385" s="68"/>
      <c r="Y385" s="68"/>
    </row>
    <row r="386" s="17" customFormat="1" hidden="1" customHeight="1" spans="1:25">
      <c r="A386" s="59">
        <v>405</v>
      </c>
      <c r="B386" s="60" t="s">
        <v>907</v>
      </c>
      <c r="C386" s="61">
        <v>44682</v>
      </c>
      <c r="D386" s="62" t="str">
        <f ca="1" t="shared" si="16"/>
        <v>一年以上</v>
      </c>
      <c r="E386" s="313">
        <v>44698</v>
      </c>
      <c r="F386" s="59" t="s">
        <v>632</v>
      </c>
      <c r="G386" s="59" t="s">
        <v>450</v>
      </c>
      <c r="H386" s="63" t="s">
        <v>908</v>
      </c>
      <c r="I386" s="63" t="s">
        <v>908</v>
      </c>
      <c r="J386" s="314">
        <v>200</v>
      </c>
      <c r="K386" s="59" t="s">
        <v>28</v>
      </c>
      <c r="L386" s="59" t="s">
        <v>57</v>
      </c>
      <c r="M386" s="59" t="s">
        <v>515</v>
      </c>
      <c r="N386" s="315">
        <v>200</v>
      </c>
      <c r="O386" s="316">
        <f t="shared" si="18"/>
        <v>0</v>
      </c>
      <c r="P386" s="95">
        <v>44707</v>
      </c>
      <c r="Q386" s="61">
        <f t="shared" si="17"/>
        <v>44707</v>
      </c>
      <c r="R386" s="59"/>
      <c r="S386" s="59" t="s">
        <v>909</v>
      </c>
      <c r="T386" s="59"/>
      <c r="U386" s="59"/>
      <c r="V386" s="59"/>
      <c r="W386" s="68"/>
      <c r="X386" s="68"/>
      <c r="Y386" s="68"/>
    </row>
    <row r="387" s="17" customFormat="1" hidden="1" customHeight="1" spans="1:25">
      <c r="A387" s="59">
        <v>406</v>
      </c>
      <c r="B387" s="60" t="s">
        <v>910</v>
      </c>
      <c r="C387" s="61">
        <v>44682</v>
      </c>
      <c r="D387" s="62" t="str">
        <f ca="1" t="shared" ref="D387:D450" si="19">IF(TODAY()-E387&lt;60,"2个月内",IF(TODAY()-E387&lt;180,"3-6个月",IF(TODAY()-E387&lt;360,"6个月-1年","一年以上")))</f>
        <v>一年以上</v>
      </c>
      <c r="E387" s="313">
        <v>44698</v>
      </c>
      <c r="F387" s="59" t="s">
        <v>632</v>
      </c>
      <c r="G387" s="59" t="s">
        <v>450</v>
      </c>
      <c r="H387" s="63" t="s">
        <v>911</v>
      </c>
      <c r="I387" s="63" t="s">
        <v>912</v>
      </c>
      <c r="J387" s="314">
        <v>200</v>
      </c>
      <c r="K387" s="59" t="s">
        <v>28</v>
      </c>
      <c r="L387" s="59" t="s">
        <v>57</v>
      </c>
      <c r="M387" s="59" t="s">
        <v>515</v>
      </c>
      <c r="N387" s="315">
        <v>200</v>
      </c>
      <c r="O387" s="316">
        <f t="shared" si="18"/>
        <v>0</v>
      </c>
      <c r="P387" s="95">
        <v>44707</v>
      </c>
      <c r="Q387" s="61">
        <f t="shared" ref="Q387:Q450" si="20">P387</f>
        <v>44707</v>
      </c>
      <c r="R387" s="59"/>
      <c r="S387" s="59" t="s">
        <v>909</v>
      </c>
      <c r="T387" s="59"/>
      <c r="U387" s="59"/>
      <c r="V387" s="59"/>
      <c r="W387" s="68"/>
      <c r="X387" s="68"/>
      <c r="Y387" s="68"/>
    </row>
    <row r="388" s="17" customFormat="1" hidden="1" customHeight="1" spans="1:25">
      <c r="A388" s="59">
        <v>333</v>
      </c>
      <c r="B388" s="60" t="s">
        <v>913</v>
      </c>
      <c r="C388" s="61">
        <v>44682</v>
      </c>
      <c r="D388" s="62" t="str">
        <f ca="1" t="shared" si="19"/>
        <v>一年以上</v>
      </c>
      <c r="E388" s="313">
        <v>44699</v>
      </c>
      <c r="F388" s="59" t="s">
        <v>632</v>
      </c>
      <c r="G388" s="59" t="s">
        <v>450</v>
      </c>
      <c r="H388" s="63" t="s">
        <v>914</v>
      </c>
      <c r="I388" s="63" t="s">
        <v>912</v>
      </c>
      <c r="J388" s="314">
        <v>10000</v>
      </c>
      <c r="K388" s="59" t="s">
        <v>28</v>
      </c>
      <c r="L388" s="59" t="s">
        <v>57</v>
      </c>
      <c r="M388" s="59" t="s">
        <v>30</v>
      </c>
      <c r="N388" s="315">
        <v>10000</v>
      </c>
      <c r="O388" s="316">
        <f t="shared" si="18"/>
        <v>0</v>
      </c>
      <c r="P388" s="95">
        <v>45285</v>
      </c>
      <c r="Q388" s="61">
        <f t="shared" si="20"/>
        <v>45285</v>
      </c>
      <c r="R388" s="59"/>
      <c r="S388" s="59"/>
      <c r="T388" s="59" t="s">
        <v>581</v>
      </c>
      <c r="U388" s="59" t="str">
        <f>VLOOKUP(T388,[1]区域划分!$A$1:$C$39,3,0)</f>
        <v>新疆</v>
      </c>
      <c r="V388" s="59"/>
      <c r="W388" s="68"/>
      <c r="X388" s="68"/>
      <c r="Y388" s="68"/>
    </row>
    <row r="389" s="17" customFormat="1" hidden="1" customHeight="1" spans="1:25">
      <c r="A389" s="59">
        <v>334</v>
      </c>
      <c r="B389" s="60" t="s">
        <v>915</v>
      </c>
      <c r="C389" s="61">
        <v>44682</v>
      </c>
      <c r="D389" s="62" t="str">
        <f ca="1" t="shared" si="19"/>
        <v>一年以上</v>
      </c>
      <c r="E389" s="313">
        <v>44699</v>
      </c>
      <c r="F389" s="59"/>
      <c r="G389" s="59" t="s">
        <v>450</v>
      </c>
      <c r="H389" s="63" t="s">
        <v>916</v>
      </c>
      <c r="I389" s="63" t="s">
        <v>916</v>
      </c>
      <c r="J389" s="314">
        <v>5000</v>
      </c>
      <c r="K389" s="59" t="s">
        <v>28</v>
      </c>
      <c r="L389" s="59" t="s">
        <v>57</v>
      </c>
      <c r="M389" s="59" t="s">
        <v>30</v>
      </c>
      <c r="N389" s="315">
        <v>5000</v>
      </c>
      <c r="O389" s="316">
        <f t="shared" si="18"/>
        <v>0</v>
      </c>
      <c r="P389" s="95">
        <v>44707</v>
      </c>
      <c r="Q389" s="61">
        <f t="shared" si="20"/>
        <v>44707</v>
      </c>
      <c r="R389" s="59"/>
      <c r="S389" s="59"/>
      <c r="T389" s="59"/>
      <c r="U389" s="59"/>
      <c r="V389" s="59"/>
      <c r="W389" s="68"/>
      <c r="X389" s="68"/>
      <c r="Y389" s="68"/>
    </row>
    <row r="390" s="17" customFormat="1" hidden="1" customHeight="1" spans="1:25">
      <c r="A390" s="59">
        <v>407</v>
      </c>
      <c r="B390" s="60" t="s">
        <v>917</v>
      </c>
      <c r="C390" s="61">
        <v>44682</v>
      </c>
      <c r="D390" s="62" t="str">
        <f ca="1" t="shared" si="19"/>
        <v>一年以上</v>
      </c>
      <c r="E390" s="313">
        <v>44699</v>
      </c>
      <c r="F390" s="59" t="s">
        <v>632</v>
      </c>
      <c r="G390" s="59" t="s">
        <v>614</v>
      </c>
      <c r="H390" s="63" t="s">
        <v>872</v>
      </c>
      <c r="I390" s="63" t="s">
        <v>872</v>
      </c>
      <c r="J390" s="314">
        <v>800</v>
      </c>
      <c r="K390" s="59" t="s">
        <v>28</v>
      </c>
      <c r="L390" s="59" t="s">
        <v>57</v>
      </c>
      <c r="M390" s="59" t="s">
        <v>515</v>
      </c>
      <c r="N390" s="315">
        <v>800</v>
      </c>
      <c r="O390" s="316">
        <f t="shared" si="18"/>
        <v>0</v>
      </c>
      <c r="P390" s="95">
        <v>44754</v>
      </c>
      <c r="Q390" s="61">
        <f t="shared" si="20"/>
        <v>44754</v>
      </c>
      <c r="R390" s="59"/>
      <c r="S390" s="59" t="s">
        <v>918</v>
      </c>
      <c r="T390" s="59"/>
      <c r="U390" s="59"/>
      <c r="V390" s="59"/>
      <c r="W390" s="68"/>
      <c r="X390" s="68"/>
      <c r="Y390" s="68"/>
    </row>
    <row r="391" s="17" customFormat="1" hidden="1" customHeight="1" spans="1:25">
      <c r="A391" s="59">
        <v>335</v>
      </c>
      <c r="B391" s="60" t="s">
        <v>919</v>
      </c>
      <c r="C391" s="61">
        <v>44682</v>
      </c>
      <c r="D391" s="62" t="str">
        <f ca="1" t="shared" si="19"/>
        <v>一年以上</v>
      </c>
      <c r="E391" s="313">
        <v>44705</v>
      </c>
      <c r="F391" s="59"/>
      <c r="G391" s="59" t="s">
        <v>614</v>
      </c>
      <c r="H391" s="63" t="s">
        <v>193</v>
      </c>
      <c r="I391" s="63" t="s">
        <v>193</v>
      </c>
      <c r="J391" s="314">
        <v>5000</v>
      </c>
      <c r="K391" s="59" t="s">
        <v>356</v>
      </c>
      <c r="L391" s="59" t="s">
        <v>458</v>
      </c>
      <c r="M391" s="59" t="s">
        <v>30</v>
      </c>
      <c r="N391" s="315">
        <v>5000</v>
      </c>
      <c r="O391" s="316">
        <f t="shared" si="18"/>
        <v>0</v>
      </c>
      <c r="P391" s="95">
        <v>45923</v>
      </c>
      <c r="Q391" s="61">
        <f t="shared" si="20"/>
        <v>45923</v>
      </c>
      <c r="R391" s="59"/>
      <c r="S391" s="59"/>
      <c r="T391" s="59" t="s">
        <v>701</v>
      </c>
      <c r="U391" s="59" t="str">
        <f>VLOOKUP(T391,[1]区域划分!$A$1:$C$39,3,0)</f>
        <v>汪瑞青</v>
      </c>
      <c r="V391" s="59"/>
      <c r="W391" s="68"/>
      <c r="X391" s="68"/>
      <c r="Y391" s="68"/>
    </row>
    <row r="392" s="17" customFormat="1" hidden="1" customHeight="1" spans="1:25">
      <c r="A392" s="59">
        <v>172</v>
      </c>
      <c r="B392" s="60" t="s">
        <v>920</v>
      </c>
      <c r="C392" s="61">
        <v>44682</v>
      </c>
      <c r="D392" s="62" t="str">
        <f ca="1" t="shared" si="19"/>
        <v>一年以上</v>
      </c>
      <c r="E392" s="313">
        <v>44706</v>
      </c>
      <c r="F392" s="59" t="s">
        <v>70</v>
      </c>
      <c r="G392" s="59" t="s">
        <v>921</v>
      </c>
      <c r="H392" s="63" t="s">
        <v>922</v>
      </c>
      <c r="I392" s="63" t="s">
        <v>922</v>
      </c>
      <c r="J392" s="314">
        <v>20000</v>
      </c>
      <c r="K392" s="59" t="s">
        <v>28</v>
      </c>
      <c r="L392" s="59" t="s">
        <v>57</v>
      </c>
      <c r="M392" s="59" t="s">
        <v>65</v>
      </c>
      <c r="N392" s="315">
        <v>20000</v>
      </c>
      <c r="O392" s="316">
        <f t="shared" si="18"/>
        <v>0</v>
      </c>
      <c r="P392" s="95">
        <v>45013</v>
      </c>
      <c r="Q392" s="61">
        <f t="shared" si="20"/>
        <v>45013</v>
      </c>
      <c r="R392" s="59"/>
      <c r="S392" s="59"/>
      <c r="T392" s="59" t="s">
        <v>923</v>
      </c>
      <c r="U392" s="59"/>
      <c r="V392" s="59" t="s">
        <v>924</v>
      </c>
      <c r="W392" s="68"/>
      <c r="X392" s="68"/>
      <c r="Y392" s="68"/>
    </row>
    <row r="393" s="17" customFormat="1" hidden="1" customHeight="1" spans="1:25">
      <c r="A393" s="59">
        <v>336</v>
      </c>
      <c r="B393" s="60" t="s">
        <v>925</v>
      </c>
      <c r="C393" s="61">
        <v>44682</v>
      </c>
      <c r="D393" s="62" t="str">
        <f ca="1" t="shared" si="19"/>
        <v>一年以上</v>
      </c>
      <c r="E393" s="313">
        <v>44706</v>
      </c>
      <c r="F393" s="59"/>
      <c r="G393" s="59" t="s">
        <v>614</v>
      </c>
      <c r="H393" s="63" t="s">
        <v>926</v>
      </c>
      <c r="I393" s="63" t="s">
        <v>926</v>
      </c>
      <c r="J393" s="314">
        <v>10000</v>
      </c>
      <c r="K393" s="59" t="s">
        <v>28</v>
      </c>
      <c r="L393" s="59" t="s">
        <v>57</v>
      </c>
      <c r="M393" s="59" t="s">
        <v>30</v>
      </c>
      <c r="N393" s="315">
        <v>10000</v>
      </c>
      <c r="O393" s="316">
        <f t="shared" si="18"/>
        <v>0</v>
      </c>
      <c r="P393" s="95">
        <v>45191</v>
      </c>
      <c r="Q393" s="61">
        <f t="shared" si="20"/>
        <v>45191</v>
      </c>
      <c r="R393" s="59"/>
      <c r="S393" s="59"/>
      <c r="T393" s="59" t="s">
        <v>182</v>
      </c>
      <c r="U393" s="59"/>
      <c r="V393" s="59"/>
      <c r="W393" s="68"/>
      <c r="X393" s="68"/>
      <c r="Y393" s="68"/>
    </row>
    <row r="394" s="17" customFormat="1" hidden="1" customHeight="1" spans="1:25">
      <c r="A394" s="59">
        <v>337</v>
      </c>
      <c r="B394" s="60" t="s">
        <v>927</v>
      </c>
      <c r="C394" s="61">
        <v>44682</v>
      </c>
      <c r="D394" s="62" t="str">
        <f ca="1" t="shared" si="19"/>
        <v>一年以上</v>
      </c>
      <c r="E394" s="313">
        <v>44707</v>
      </c>
      <c r="F394" s="59" t="s">
        <v>632</v>
      </c>
      <c r="G394" s="59" t="s">
        <v>450</v>
      </c>
      <c r="H394" s="63" t="s">
        <v>863</v>
      </c>
      <c r="I394" s="63" t="s">
        <v>863</v>
      </c>
      <c r="J394" s="314">
        <v>10000</v>
      </c>
      <c r="K394" s="59" t="s">
        <v>28</v>
      </c>
      <c r="L394" s="59" t="s">
        <v>57</v>
      </c>
      <c r="M394" s="59" t="s">
        <v>30</v>
      </c>
      <c r="N394" s="315">
        <v>10000</v>
      </c>
      <c r="O394" s="316">
        <f t="shared" ref="O394:O457" si="21">J394-N394</f>
        <v>0</v>
      </c>
      <c r="P394" s="95">
        <v>44862</v>
      </c>
      <c r="Q394" s="61">
        <f t="shared" si="20"/>
        <v>44862</v>
      </c>
      <c r="R394" s="59"/>
      <c r="S394" s="59" t="s">
        <v>928</v>
      </c>
      <c r="T394" s="59"/>
      <c r="U394" s="59"/>
      <c r="V394" s="59"/>
      <c r="W394" s="68"/>
      <c r="X394" s="68"/>
      <c r="Y394" s="68"/>
    </row>
    <row r="395" s="17" customFormat="1" hidden="1" customHeight="1" spans="1:25">
      <c r="A395" s="59">
        <v>173</v>
      </c>
      <c r="B395" s="60" t="s">
        <v>929</v>
      </c>
      <c r="C395" s="61">
        <v>44682</v>
      </c>
      <c r="D395" s="62" t="str">
        <f ca="1" t="shared" si="19"/>
        <v>一年以上</v>
      </c>
      <c r="E395" s="313">
        <v>44708</v>
      </c>
      <c r="F395" s="59" t="s">
        <v>70</v>
      </c>
      <c r="G395" s="59" t="s">
        <v>434</v>
      </c>
      <c r="H395" s="63" t="s">
        <v>930</v>
      </c>
      <c r="I395" s="63" t="s">
        <v>930</v>
      </c>
      <c r="J395" s="314">
        <v>3000</v>
      </c>
      <c r="K395" s="59"/>
      <c r="L395" s="59" t="s">
        <v>96</v>
      </c>
      <c r="M395" s="59" t="s">
        <v>65</v>
      </c>
      <c r="N395" s="315">
        <v>3000</v>
      </c>
      <c r="O395" s="316">
        <f t="shared" si="21"/>
        <v>0</v>
      </c>
      <c r="P395" s="95">
        <v>44756</v>
      </c>
      <c r="Q395" s="61">
        <f t="shared" si="20"/>
        <v>44756</v>
      </c>
      <c r="R395" s="59"/>
      <c r="S395" s="59" t="s">
        <v>65</v>
      </c>
      <c r="T395" s="59"/>
      <c r="U395" s="59"/>
      <c r="V395" s="59"/>
      <c r="W395" s="68"/>
      <c r="X395" s="68"/>
      <c r="Y395" s="68"/>
    </row>
    <row r="396" s="17" customFormat="1" hidden="1" customHeight="1" spans="1:25">
      <c r="A396" s="59">
        <v>358</v>
      </c>
      <c r="B396" s="60" t="s">
        <v>931</v>
      </c>
      <c r="C396" s="61">
        <v>44682</v>
      </c>
      <c r="D396" s="62" t="str">
        <f ca="1" t="shared" si="19"/>
        <v>一年以上</v>
      </c>
      <c r="E396" s="313">
        <v>44708</v>
      </c>
      <c r="F396" s="59" t="s">
        <v>130</v>
      </c>
      <c r="G396" s="59" t="s">
        <v>569</v>
      </c>
      <c r="H396" s="63" t="s">
        <v>863</v>
      </c>
      <c r="I396" s="63" t="s">
        <v>863</v>
      </c>
      <c r="J396" s="314">
        <v>12500</v>
      </c>
      <c r="K396" s="59" t="s">
        <v>28</v>
      </c>
      <c r="L396" s="59" t="s">
        <v>57</v>
      </c>
      <c r="M396" s="59" t="s">
        <v>133</v>
      </c>
      <c r="N396" s="315">
        <v>12500</v>
      </c>
      <c r="O396" s="316">
        <f t="shared" si="21"/>
        <v>0</v>
      </c>
      <c r="P396" s="95">
        <v>44862</v>
      </c>
      <c r="Q396" s="61">
        <f t="shared" si="20"/>
        <v>44862</v>
      </c>
      <c r="R396" s="59"/>
      <c r="S396" s="59" t="s">
        <v>932</v>
      </c>
      <c r="T396" s="59"/>
      <c r="U396" s="59"/>
      <c r="V396" s="59"/>
      <c r="W396" s="68"/>
      <c r="X396" s="68"/>
      <c r="Y396" s="68"/>
    </row>
    <row r="397" s="17" customFormat="1" hidden="1" customHeight="1" spans="1:25">
      <c r="A397" s="59">
        <v>359</v>
      </c>
      <c r="B397" s="60" t="s">
        <v>933</v>
      </c>
      <c r="C397" s="61">
        <v>44682</v>
      </c>
      <c r="D397" s="62" t="str">
        <f ca="1" t="shared" si="19"/>
        <v>一年以上</v>
      </c>
      <c r="E397" s="313">
        <v>44708</v>
      </c>
      <c r="F397" s="59" t="s">
        <v>130</v>
      </c>
      <c r="G397" s="59" t="s">
        <v>569</v>
      </c>
      <c r="H397" s="63" t="s">
        <v>863</v>
      </c>
      <c r="I397" s="63" t="s">
        <v>863</v>
      </c>
      <c r="J397" s="314">
        <v>15500</v>
      </c>
      <c r="K397" s="59" t="s">
        <v>28</v>
      </c>
      <c r="L397" s="59" t="s">
        <v>57</v>
      </c>
      <c r="M397" s="59" t="s">
        <v>133</v>
      </c>
      <c r="N397" s="315">
        <v>15500</v>
      </c>
      <c r="O397" s="316">
        <f t="shared" si="21"/>
        <v>0</v>
      </c>
      <c r="P397" s="95">
        <v>44925</v>
      </c>
      <c r="Q397" s="61">
        <f t="shared" si="20"/>
        <v>44925</v>
      </c>
      <c r="R397" s="59"/>
      <c r="S397" s="59" t="s">
        <v>934</v>
      </c>
      <c r="T397" s="59"/>
      <c r="U397" s="59"/>
      <c r="V397" s="59"/>
      <c r="W397" s="68"/>
      <c r="X397" s="68"/>
      <c r="Y397" s="68"/>
    </row>
    <row r="398" s="17" customFormat="1" hidden="1" customHeight="1" spans="1:25">
      <c r="A398" s="59">
        <v>360</v>
      </c>
      <c r="B398" s="60" t="s">
        <v>935</v>
      </c>
      <c r="C398" s="61">
        <v>44682</v>
      </c>
      <c r="D398" s="62" t="str">
        <f ca="1" t="shared" si="19"/>
        <v>一年以上</v>
      </c>
      <c r="E398" s="313">
        <v>44708</v>
      </c>
      <c r="F398" s="59" t="s">
        <v>130</v>
      </c>
      <c r="G398" s="59" t="s">
        <v>569</v>
      </c>
      <c r="H398" s="63" t="s">
        <v>863</v>
      </c>
      <c r="I398" s="63" t="s">
        <v>863</v>
      </c>
      <c r="J398" s="314">
        <v>22000</v>
      </c>
      <c r="K398" s="59" t="s">
        <v>28</v>
      </c>
      <c r="L398" s="59" t="s">
        <v>57</v>
      </c>
      <c r="M398" s="59" t="s">
        <v>133</v>
      </c>
      <c r="N398" s="315">
        <v>22000</v>
      </c>
      <c r="O398" s="316">
        <f t="shared" si="21"/>
        <v>0</v>
      </c>
      <c r="P398" s="95">
        <v>44925</v>
      </c>
      <c r="Q398" s="61">
        <f t="shared" si="20"/>
        <v>44925</v>
      </c>
      <c r="R398" s="59"/>
      <c r="S398" s="59" t="s">
        <v>936</v>
      </c>
      <c r="T398" s="59"/>
      <c r="U398" s="59"/>
      <c r="V398" s="59"/>
      <c r="W398" s="68"/>
      <c r="X398" s="68"/>
      <c r="Y398" s="68"/>
    </row>
    <row r="399" s="17" customFormat="1" hidden="1" customHeight="1" spans="1:25">
      <c r="A399" s="59">
        <v>338</v>
      </c>
      <c r="B399" s="60" t="s">
        <v>937</v>
      </c>
      <c r="C399" s="61">
        <v>44682</v>
      </c>
      <c r="D399" s="62" t="str">
        <f ca="1" t="shared" si="19"/>
        <v>一年以上</v>
      </c>
      <c r="E399" s="313">
        <v>44711</v>
      </c>
      <c r="F399" s="59"/>
      <c r="G399" s="59" t="s">
        <v>450</v>
      </c>
      <c r="H399" s="63" t="s">
        <v>938</v>
      </c>
      <c r="I399" s="63" t="s">
        <v>938</v>
      </c>
      <c r="J399" s="314">
        <v>2000</v>
      </c>
      <c r="K399" s="59" t="s">
        <v>28</v>
      </c>
      <c r="L399" s="59" t="s">
        <v>57</v>
      </c>
      <c r="M399" s="59" t="s">
        <v>30</v>
      </c>
      <c r="N399" s="315">
        <v>2000</v>
      </c>
      <c r="O399" s="316">
        <f t="shared" si="21"/>
        <v>0</v>
      </c>
      <c r="P399" s="95">
        <v>44887</v>
      </c>
      <c r="Q399" s="61">
        <f t="shared" si="20"/>
        <v>44887</v>
      </c>
      <c r="R399" s="59"/>
      <c r="S399" s="59"/>
      <c r="T399" s="59"/>
      <c r="U399" s="59"/>
      <c r="V399" s="59"/>
      <c r="W399" s="68"/>
      <c r="X399" s="68"/>
      <c r="Y399" s="68"/>
    </row>
    <row r="400" s="17" customFormat="1" hidden="1" customHeight="1" spans="1:25">
      <c r="A400" s="59">
        <v>174</v>
      </c>
      <c r="B400" s="60" t="s">
        <v>939</v>
      </c>
      <c r="C400" s="61">
        <v>44682</v>
      </c>
      <c r="D400" s="62" t="str">
        <f ca="1" t="shared" si="19"/>
        <v>一年以上</v>
      </c>
      <c r="E400" s="313">
        <v>44712</v>
      </c>
      <c r="F400" s="59" t="s">
        <v>70</v>
      </c>
      <c r="G400" s="59" t="s">
        <v>940</v>
      </c>
      <c r="H400" s="63" t="s">
        <v>863</v>
      </c>
      <c r="I400" s="63" t="s">
        <v>863</v>
      </c>
      <c r="J400" s="314">
        <v>15500</v>
      </c>
      <c r="K400" s="59" t="s">
        <v>28</v>
      </c>
      <c r="L400" s="59" t="s">
        <v>57</v>
      </c>
      <c r="M400" s="59" t="s">
        <v>941</v>
      </c>
      <c r="N400" s="315">
        <v>15500</v>
      </c>
      <c r="O400" s="316">
        <f t="shared" si="21"/>
        <v>0</v>
      </c>
      <c r="P400" s="95">
        <v>44925</v>
      </c>
      <c r="Q400" s="61">
        <f t="shared" si="20"/>
        <v>44925</v>
      </c>
      <c r="R400" s="59"/>
      <c r="S400" s="59" t="s">
        <v>942</v>
      </c>
      <c r="T400" s="59"/>
      <c r="U400" s="59"/>
      <c r="V400" s="59"/>
      <c r="W400" s="68"/>
      <c r="X400" s="68"/>
      <c r="Y400" s="68"/>
    </row>
    <row r="401" s="17" customFormat="1" hidden="1" customHeight="1" spans="1:25">
      <c r="A401" s="59">
        <v>175</v>
      </c>
      <c r="B401" s="60" t="s">
        <v>943</v>
      </c>
      <c r="C401" s="61">
        <v>44682</v>
      </c>
      <c r="D401" s="62" t="str">
        <f ca="1" t="shared" si="19"/>
        <v>一年以上</v>
      </c>
      <c r="E401" s="313">
        <v>44712</v>
      </c>
      <c r="F401" s="59" t="s">
        <v>70</v>
      </c>
      <c r="G401" s="59" t="s">
        <v>940</v>
      </c>
      <c r="H401" s="63" t="s">
        <v>863</v>
      </c>
      <c r="I401" s="63" t="s">
        <v>863</v>
      </c>
      <c r="J401" s="314">
        <v>12500</v>
      </c>
      <c r="K401" s="59" t="s">
        <v>28</v>
      </c>
      <c r="L401" s="59" t="s">
        <v>57</v>
      </c>
      <c r="M401" s="59" t="s">
        <v>65</v>
      </c>
      <c r="N401" s="315">
        <v>12500</v>
      </c>
      <c r="O401" s="316">
        <f t="shared" si="21"/>
        <v>0</v>
      </c>
      <c r="P401" s="95">
        <v>44862</v>
      </c>
      <c r="Q401" s="61">
        <f t="shared" si="20"/>
        <v>44862</v>
      </c>
      <c r="R401" s="59"/>
      <c r="S401" s="59" t="s">
        <v>932</v>
      </c>
      <c r="T401" s="59"/>
      <c r="U401" s="59"/>
      <c r="V401" s="59"/>
      <c r="W401" s="68"/>
      <c r="X401" s="68"/>
      <c r="Y401" s="68"/>
    </row>
    <row r="402" s="17" customFormat="1" hidden="1" customHeight="1" spans="1:25">
      <c r="A402" s="59">
        <v>176</v>
      </c>
      <c r="B402" s="60" t="s">
        <v>944</v>
      </c>
      <c r="C402" s="61">
        <v>44682</v>
      </c>
      <c r="D402" s="62" t="str">
        <f ca="1" t="shared" si="19"/>
        <v>一年以上</v>
      </c>
      <c r="E402" s="313">
        <v>44712</v>
      </c>
      <c r="F402" s="59" t="s">
        <v>70</v>
      </c>
      <c r="G402" s="59" t="s">
        <v>940</v>
      </c>
      <c r="H402" s="63" t="s">
        <v>863</v>
      </c>
      <c r="I402" s="63" t="s">
        <v>863</v>
      </c>
      <c r="J402" s="314">
        <v>22000</v>
      </c>
      <c r="K402" s="59" t="s">
        <v>28</v>
      </c>
      <c r="L402" s="59" t="s">
        <v>57</v>
      </c>
      <c r="M402" s="59" t="s">
        <v>941</v>
      </c>
      <c r="N402" s="315">
        <v>22000</v>
      </c>
      <c r="O402" s="316">
        <f t="shared" si="21"/>
        <v>0</v>
      </c>
      <c r="P402" s="95">
        <v>44925</v>
      </c>
      <c r="Q402" s="61">
        <f t="shared" si="20"/>
        <v>44925</v>
      </c>
      <c r="R402" s="59"/>
      <c r="S402" s="59" t="s">
        <v>945</v>
      </c>
      <c r="T402" s="59"/>
      <c r="U402" s="59"/>
      <c r="V402" s="59"/>
      <c r="W402" s="68"/>
      <c r="X402" s="68"/>
      <c r="Y402" s="68"/>
    </row>
    <row r="403" s="17" customFormat="1" hidden="1" customHeight="1" spans="1:25">
      <c r="A403" s="59">
        <v>177</v>
      </c>
      <c r="B403" s="60" t="s">
        <v>946</v>
      </c>
      <c r="C403" s="61">
        <v>44713</v>
      </c>
      <c r="D403" s="62" t="str">
        <f ca="1" t="shared" si="19"/>
        <v>一年以上</v>
      </c>
      <c r="E403" s="313">
        <v>44713</v>
      </c>
      <c r="F403" s="59" t="s">
        <v>70</v>
      </c>
      <c r="G403" s="59" t="s">
        <v>947</v>
      </c>
      <c r="H403" s="63" t="s">
        <v>948</v>
      </c>
      <c r="I403" s="63" t="s">
        <v>948</v>
      </c>
      <c r="J403" s="314">
        <v>3600</v>
      </c>
      <c r="K403" s="59" t="s">
        <v>338</v>
      </c>
      <c r="L403" s="59" t="s">
        <v>627</v>
      </c>
      <c r="M403" s="59" t="s">
        <v>65</v>
      </c>
      <c r="N403" s="315">
        <v>3600</v>
      </c>
      <c r="O403" s="316">
        <f t="shared" si="21"/>
        <v>0</v>
      </c>
      <c r="P403" s="95">
        <v>44770</v>
      </c>
      <c r="Q403" s="61">
        <f t="shared" si="20"/>
        <v>44770</v>
      </c>
      <c r="R403" s="59"/>
      <c r="S403" s="59" t="s">
        <v>65</v>
      </c>
      <c r="T403" s="59"/>
      <c r="U403" s="59"/>
      <c r="V403" s="59"/>
      <c r="W403" s="68"/>
      <c r="X403" s="68"/>
      <c r="Y403" s="68"/>
    </row>
    <row r="404" s="17" customFormat="1" hidden="1" customHeight="1" spans="1:25">
      <c r="A404" s="59">
        <v>409</v>
      </c>
      <c r="B404" s="60" t="s">
        <v>949</v>
      </c>
      <c r="C404" s="61">
        <v>44713</v>
      </c>
      <c r="D404" s="62" t="str">
        <f ca="1" t="shared" si="19"/>
        <v>一年以上</v>
      </c>
      <c r="E404" s="313">
        <v>44714</v>
      </c>
      <c r="F404" s="59" t="s">
        <v>632</v>
      </c>
      <c r="G404" s="59" t="s">
        <v>450</v>
      </c>
      <c r="H404" s="63" t="s">
        <v>950</v>
      </c>
      <c r="I404" s="63" t="s">
        <v>950</v>
      </c>
      <c r="J404" s="314">
        <v>500</v>
      </c>
      <c r="K404" s="59" t="s">
        <v>28</v>
      </c>
      <c r="L404" s="59" t="s">
        <v>57</v>
      </c>
      <c r="M404" s="59" t="s">
        <v>515</v>
      </c>
      <c r="N404" s="315">
        <v>500</v>
      </c>
      <c r="O404" s="316">
        <f t="shared" si="21"/>
        <v>0</v>
      </c>
      <c r="P404" s="95">
        <v>44880</v>
      </c>
      <c r="Q404" s="61">
        <f t="shared" si="20"/>
        <v>44880</v>
      </c>
      <c r="R404" s="59" t="s">
        <v>951</v>
      </c>
      <c r="S404" s="59"/>
      <c r="T404" s="59"/>
      <c r="U404" s="59"/>
      <c r="V404" s="59"/>
      <c r="W404" s="68"/>
      <c r="X404" s="68"/>
      <c r="Y404" s="68"/>
    </row>
    <row r="405" s="17" customFormat="1" hidden="1" customHeight="1" spans="1:25">
      <c r="A405" s="59">
        <v>178</v>
      </c>
      <c r="B405" s="60" t="s">
        <v>952</v>
      </c>
      <c r="C405" s="61">
        <v>44713</v>
      </c>
      <c r="D405" s="62" t="str">
        <f ca="1" t="shared" si="19"/>
        <v>一年以上</v>
      </c>
      <c r="E405" s="313">
        <v>44718</v>
      </c>
      <c r="F405" s="59" t="s">
        <v>70</v>
      </c>
      <c r="G405" s="59" t="s">
        <v>434</v>
      </c>
      <c r="H405" s="63" t="s">
        <v>115</v>
      </c>
      <c r="I405" s="63" t="s">
        <v>115</v>
      </c>
      <c r="J405" s="314">
        <v>2000</v>
      </c>
      <c r="K405" s="59" t="s">
        <v>28</v>
      </c>
      <c r="L405" s="59" t="s">
        <v>57</v>
      </c>
      <c r="M405" s="59" t="s">
        <v>65</v>
      </c>
      <c r="N405" s="315">
        <v>2000</v>
      </c>
      <c r="O405" s="316">
        <f t="shared" si="21"/>
        <v>0</v>
      </c>
      <c r="P405" s="95">
        <v>45030</v>
      </c>
      <c r="Q405" s="61">
        <f t="shared" si="20"/>
        <v>45030</v>
      </c>
      <c r="R405" s="59"/>
      <c r="S405" s="59" t="s">
        <v>65</v>
      </c>
      <c r="T405" s="59" t="s">
        <v>381</v>
      </c>
      <c r="U405" s="59"/>
      <c r="V405" s="59"/>
      <c r="W405" s="68"/>
      <c r="X405" s="68"/>
      <c r="Y405" s="68"/>
    </row>
    <row r="406" s="17" customFormat="1" hidden="1" customHeight="1" spans="1:25">
      <c r="A406" s="59">
        <v>179</v>
      </c>
      <c r="B406" s="60" t="s">
        <v>953</v>
      </c>
      <c r="C406" s="61">
        <v>44713</v>
      </c>
      <c r="D406" s="62" t="str">
        <f ca="1" t="shared" si="19"/>
        <v>一年以上</v>
      </c>
      <c r="E406" s="313">
        <v>44718</v>
      </c>
      <c r="F406" s="59" t="s">
        <v>70</v>
      </c>
      <c r="G406" s="59" t="s">
        <v>233</v>
      </c>
      <c r="H406" s="63" t="s">
        <v>954</v>
      </c>
      <c r="I406" s="63" t="s">
        <v>954</v>
      </c>
      <c r="J406" s="314">
        <v>10000</v>
      </c>
      <c r="K406" s="59" t="s">
        <v>28</v>
      </c>
      <c r="L406" s="59" t="s">
        <v>57</v>
      </c>
      <c r="M406" s="59" t="s">
        <v>65</v>
      </c>
      <c r="N406" s="315">
        <v>10000</v>
      </c>
      <c r="O406" s="316">
        <f t="shared" si="21"/>
        <v>0</v>
      </c>
      <c r="P406" s="95">
        <v>45186</v>
      </c>
      <c r="Q406" s="61">
        <f t="shared" si="20"/>
        <v>45186</v>
      </c>
      <c r="R406" s="59"/>
      <c r="S406" s="59" t="s">
        <v>65</v>
      </c>
      <c r="T406" s="59" t="s">
        <v>49</v>
      </c>
      <c r="U406" s="59"/>
      <c r="V406" s="59" t="s">
        <v>955</v>
      </c>
      <c r="W406" s="68"/>
      <c r="X406" s="68"/>
      <c r="Y406" s="68"/>
    </row>
    <row r="407" s="17" customFormat="1" hidden="1" customHeight="1" spans="1:25">
      <c r="A407" s="59">
        <v>322</v>
      </c>
      <c r="B407" s="60" t="s">
        <v>956</v>
      </c>
      <c r="C407" s="61">
        <v>44713</v>
      </c>
      <c r="D407" s="62" t="str">
        <f ca="1" t="shared" si="19"/>
        <v>一年以上</v>
      </c>
      <c r="E407" s="313">
        <v>44718</v>
      </c>
      <c r="F407" s="59" t="s">
        <v>70</v>
      </c>
      <c r="G407" s="59" t="s">
        <v>378</v>
      </c>
      <c r="H407" s="63" t="s">
        <v>325</v>
      </c>
      <c r="I407" s="63" t="s">
        <v>325</v>
      </c>
      <c r="J407" s="314">
        <v>2000</v>
      </c>
      <c r="K407" s="59" t="s">
        <v>356</v>
      </c>
      <c r="L407" s="59" t="s">
        <v>458</v>
      </c>
      <c r="M407" s="59" t="s">
        <v>65</v>
      </c>
      <c r="N407" s="315">
        <v>2000</v>
      </c>
      <c r="O407" s="316">
        <f t="shared" si="21"/>
        <v>0</v>
      </c>
      <c r="P407" s="95">
        <v>44897</v>
      </c>
      <c r="Q407" s="61">
        <f t="shared" si="20"/>
        <v>44897</v>
      </c>
      <c r="R407" s="59"/>
      <c r="S407" s="59" t="s">
        <v>65</v>
      </c>
      <c r="T407" s="59"/>
      <c r="U407" s="59"/>
      <c r="V407" s="59" t="s">
        <v>957</v>
      </c>
      <c r="W407" s="68"/>
      <c r="X407" s="68"/>
      <c r="Y407" s="68"/>
    </row>
    <row r="408" s="17" customFormat="1" hidden="1" customHeight="1" spans="1:25">
      <c r="A408" s="59">
        <v>410</v>
      </c>
      <c r="B408" s="60" t="s">
        <v>958</v>
      </c>
      <c r="C408" s="61">
        <v>44713</v>
      </c>
      <c r="D408" s="62" t="str">
        <f ca="1" t="shared" si="19"/>
        <v>一年以上</v>
      </c>
      <c r="E408" s="313">
        <v>44718</v>
      </c>
      <c r="F408" s="59" t="s">
        <v>632</v>
      </c>
      <c r="G408" s="59" t="s">
        <v>450</v>
      </c>
      <c r="H408" s="63" t="s">
        <v>842</v>
      </c>
      <c r="I408" s="63" t="s">
        <v>842</v>
      </c>
      <c r="J408" s="314">
        <v>200</v>
      </c>
      <c r="K408" s="59" t="s">
        <v>28</v>
      </c>
      <c r="L408" s="59" t="s">
        <v>57</v>
      </c>
      <c r="M408" s="59" t="s">
        <v>515</v>
      </c>
      <c r="N408" s="315">
        <v>200</v>
      </c>
      <c r="O408" s="316">
        <f t="shared" si="21"/>
        <v>0</v>
      </c>
      <c r="P408" s="95">
        <v>44733</v>
      </c>
      <c r="Q408" s="61">
        <f t="shared" si="20"/>
        <v>44733</v>
      </c>
      <c r="R408" s="59"/>
      <c r="S408" s="59" t="s">
        <v>959</v>
      </c>
      <c r="T408" s="59"/>
      <c r="U408" s="59"/>
      <c r="V408" s="59"/>
      <c r="W408" s="68"/>
      <c r="X408" s="68"/>
      <c r="Y408" s="68"/>
    </row>
    <row r="409" s="17" customFormat="1" hidden="1" customHeight="1" spans="1:25">
      <c r="A409" s="59">
        <v>339</v>
      </c>
      <c r="B409" s="60" t="s">
        <v>960</v>
      </c>
      <c r="C409" s="61">
        <v>44713</v>
      </c>
      <c r="D409" s="62" t="str">
        <f ca="1" t="shared" si="19"/>
        <v>一年以上</v>
      </c>
      <c r="E409" s="313">
        <v>44719</v>
      </c>
      <c r="F409" s="59"/>
      <c r="G409" s="59" t="s">
        <v>614</v>
      </c>
      <c r="H409" s="63" t="s">
        <v>315</v>
      </c>
      <c r="I409" s="63" t="s">
        <v>315</v>
      </c>
      <c r="J409" s="314">
        <v>10000</v>
      </c>
      <c r="K409" s="59" t="s">
        <v>28</v>
      </c>
      <c r="L409" s="59" t="s">
        <v>57</v>
      </c>
      <c r="M409" s="59" t="s">
        <v>30</v>
      </c>
      <c r="N409" s="315">
        <v>10000</v>
      </c>
      <c r="O409" s="316">
        <f t="shared" si="21"/>
        <v>0</v>
      </c>
      <c r="P409" s="95">
        <v>44739</v>
      </c>
      <c r="Q409" s="61">
        <f t="shared" si="20"/>
        <v>44739</v>
      </c>
      <c r="R409" s="59"/>
      <c r="S409" s="59"/>
      <c r="T409" s="59"/>
      <c r="U409" s="59"/>
      <c r="V409" s="59"/>
      <c r="W409" s="68"/>
      <c r="X409" s="68"/>
      <c r="Y409" s="68"/>
    </row>
    <row r="410" s="17" customFormat="1" hidden="1" customHeight="1" spans="1:25">
      <c r="A410" s="59">
        <v>180</v>
      </c>
      <c r="B410" s="60" t="s">
        <v>961</v>
      </c>
      <c r="C410" s="61">
        <v>44713</v>
      </c>
      <c r="D410" s="62" t="str">
        <f ca="1" t="shared" si="19"/>
        <v>一年以上</v>
      </c>
      <c r="E410" s="313">
        <v>44720</v>
      </c>
      <c r="F410" s="59" t="s">
        <v>70</v>
      </c>
      <c r="G410" s="59" t="s">
        <v>962</v>
      </c>
      <c r="H410" s="63" t="s">
        <v>963</v>
      </c>
      <c r="I410" s="63" t="s">
        <v>963</v>
      </c>
      <c r="J410" s="314">
        <v>4300</v>
      </c>
      <c r="K410" s="59" t="s">
        <v>28</v>
      </c>
      <c r="L410" s="59" t="s">
        <v>57</v>
      </c>
      <c r="M410" s="59" t="s">
        <v>65</v>
      </c>
      <c r="N410" s="315">
        <v>4300</v>
      </c>
      <c r="O410" s="316">
        <f t="shared" si="21"/>
        <v>0</v>
      </c>
      <c r="P410" s="95">
        <v>44817</v>
      </c>
      <c r="Q410" s="61">
        <f t="shared" si="20"/>
        <v>44817</v>
      </c>
      <c r="R410" s="59"/>
      <c r="S410" s="59" t="s">
        <v>65</v>
      </c>
      <c r="T410" s="59"/>
      <c r="U410" s="59"/>
      <c r="V410" s="59" t="s">
        <v>964</v>
      </c>
      <c r="W410" s="68"/>
      <c r="X410" s="68"/>
      <c r="Y410" s="68"/>
    </row>
    <row r="411" s="17" customFormat="1" hidden="1" customHeight="1" spans="1:25">
      <c r="A411" s="59">
        <v>340</v>
      </c>
      <c r="B411" s="60" t="s">
        <v>965</v>
      </c>
      <c r="C411" s="61">
        <v>44713</v>
      </c>
      <c r="D411" s="62" t="str">
        <f ca="1" t="shared" si="19"/>
        <v>一年以上</v>
      </c>
      <c r="E411" s="313">
        <v>44725</v>
      </c>
      <c r="F411" s="59" t="s">
        <v>632</v>
      </c>
      <c r="G411" s="59" t="s">
        <v>450</v>
      </c>
      <c r="H411" s="63" t="s">
        <v>851</v>
      </c>
      <c r="I411" s="63" t="s">
        <v>851</v>
      </c>
      <c r="J411" s="314">
        <v>10000</v>
      </c>
      <c r="K411" s="59" t="s">
        <v>28</v>
      </c>
      <c r="L411" s="59" t="s">
        <v>57</v>
      </c>
      <c r="M411" s="59" t="s">
        <v>30</v>
      </c>
      <c r="N411" s="315">
        <v>10000</v>
      </c>
      <c r="O411" s="316">
        <f t="shared" si="21"/>
        <v>0</v>
      </c>
      <c r="P411" s="95">
        <v>44733</v>
      </c>
      <c r="Q411" s="61">
        <f t="shared" si="20"/>
        <v>44733</v>
      </c>
      <c r="R411" s="59"/>
      <c r="S411" s="59"/>
      <c r="T411" s="59"/>
      <c r="U411" s="59"/>
      <c r="V411" s="59"/>
      <c r="W411" s="68"/>
      <c r="X411" s="68"/>
      <c r="Y411" s="68"/>
    </row>
    <row r="412" s="17" customFormat="1" hidden="1" customHeight="1" spans="1:25">
      <c r="A412" s="59">
        <v>411</v>
      </c>
      <c r="B412" s="60" t="s">
        <v>966</v>
      </c>
      <c r="C412" s="61">
        <v>44713</v>
      </c>
      <c r="D412" s="62" t="str">
        <f ca="1" t="shared" si="19"/>
        <v>一年以上</v>
      </c>
      <c r="E412" s="313">
        <v>44727</v>
      </c>
      <c r="F412" s="59" t="s">
        <v>632</v>
      </c>
      <c r="G412" s="59" t="s">
        <v>450</v>
      </c>
      <c r="H412" s="63" t="s">
        <v>967</v>
      </c>
      <c r="I412" s="63" t="s">
        <v>967</v>
      </c>
      <c r="J412" s="314">
        <v>500</v>
      </c>
      <c r="K412" s="59" t="s">
        <v>28</v>
      </c>
      <c r="L412" s="59" t="s">
        <v>57</v>
      </c>
      <c r="M412" s="59" t="s">
        <v>968</v>
      </c>
      <c r="N412" s="315">
        <v>500</v>
      </c>
      <c r="O412" s="316">
        <f t="shared" si="21"/>
        <v>0</v>
      </c>
      <c r="P412" s="95">
        <v>44880</v>
      </c>
      <c r="Q412" s="61">
        <f t="shared" si="20"/>
        <v>44880</v>
      </c>
      <c r="R412" s="59"/>
      <c r="S412" s="59" t="s">
        <v>969</v>
      </c>
      <c r="T412" s="59"/>
      <c r="U412" s="59"/>
      <c r="V412" s="59"/>
      <c r="W412" s="68"/>
      <c r="X412" s="68"/>
      <c r="Y412" s="68"/>
    </row>
    <row r="413" s="17" customFormat="1" hidden="1" customHeight="1" spans="1:25">
      <c r="A413" s="59">
        <v>181</v>
      </c>
      <c r="B413" s="60" t="s">
        <v>970</v>
      </c>
      <c r="C413" s="61">
        <v>44713</v>
      </c>
      <c r="D413" s="62" t="str">
        <f ca="1" t="shared" si="19"/>
        <v>一年以上</v>
      </c>
      <c r="E413" s="313">
        <v>44733</v>
      </c>
      <c r="F413" s="59" t="s">
        <v>70</v>
      </c>
      <c r="G413" s="59" t="s">
        <v>756</v>
      </c>
      <c r="H413" s="63" t="s">
        <v>863</v>
      </c>
      <c r="I413" s="63" t="s">
        <v>863</v>
      </c>
      <c r="J413" s="314">
        <v>50000</v>
      </c>
      <c r="K413" s="59" t="s">
        <v>28</v>
      </c>
      <c r="L413" s="59" t="s">
        <v>57</v>
      </c>
      <c r="M413" s="59" t="s">
        <v>65</v>
      </c>
      <c r="N413" s="315">
        <v>50000</v>
      </c>
      <c r="O413" s="316">
        <f t="shared" si="21"/>
        <v>0</v>
      </c>
      <c r="P413" s="95">
        <v>45286</v>
      </c>
      <c r="Q413" s="61">
        <f t="shared" si="20"/>
        <v>45286</v>
      </c>
      <c r="R413" s="59"/>
      <c r="S413" s="59" t="s">
        <v>971</v>
      </c>
      <c r="T413" s="59" t="s">
        <v>972</v>
      </c>
      <c r="U413" s="59" t="str">
        <f>VLOOKUP(T413,[1]区域划分!$A$1:$C$39,3,0)</f>
        <v>曾江利</v>
      </c>
      <c r="V413" s="59" t="s">
        <v>973</v>
      </c>
      <c r="W413" s="68"/>
      <c r="X413" s="68"/>
      <c r="Y413" s="68"/>
    </row>
    <row r="414" s="17" customFormat="1" hidden="1" customHeight="1" spans="1:25">
      <c r="A414" s="59">
        <v>412</v>
      </c>
      <c r="B414" s="60" t="s">
        <v>974</v>
      </c>
      <c r="C414" s="61">
        <v>44713</v>
      </c>
      <c r="D414" s="62" t="str">
        <f ca="1" t="shared" si="19"/>
        <v>一年以上</v>
      </c>
      <c r="E414" s="313">
        <v>44739</v>
      </c>
      <c r="F414" s="59" t="s">
        <v>632</v>
      </c>
      <c r="G414" s="59" t="s">
        <v>450</v>
      </c>
      <c r="H414" s="63" t="s">
        <v>975</v>
      </c>
      <c r="I414" s="63" t="s">
        <v>975</v>
      </c>
      <c r="J414" s="314">
        <v>10000</v>
      </c>
      <c r="K414" s="59" t="s">
        <v>28</v>
      </c>
      <c r="L414" s="59" t="s">
        <v>57</v>
      </c>
      <c r="M414" s="59" t="s">
        <v>30</v>
      </c>
      <c r="N414" s="315">
        <v>10000</v>
      </c>
      <c r="O414" s="316">
        <f t="shared" si="21"/>
        <v>0</v>
      </c>
      <c r="P414" s="95">
        <v>44742</v>
      </c>
      <c r="Q414" s="61">
        <f t="shared" si="20"/>
        <v>44742</v>
      </c>
      <c r="R414" s="59"/>
      <c r="S414" s="59"/>
      <c r="T414" s="59"/>
      <c r="U414" s="59"/>
      <c r="V414" s="59"/>
      <c r="W414" s="68"/>
      <c r="X414" s="68"/>
      <c r="Y414" s="68"/>
    </row>
    <row r="415" s="17" customFormat="1" hidden="1" customHeight="1" spans="1:25">
      <c r="A415" s="59">
        <v>413</v>
      </c>
      <c r="B415" s="60" t="s">
        <v>976</v>
      </c>
      <c r="C415" s="61">
        <v>44713</v>
      </c>
      <c r="D415" s="62" t="str">
        <f ca="1" t="shared" si="19"/>
        <v>一年以上</v>
      </c>
      <c r="E415" s="313">
        <v>44739</v>
      </c>
      <c r="F415" s="59" t="s">
        <v>632</v>
      </c>
      <c r="G415" s="59" t="s">
        <v>450</v>
      </c>
      <c r="H415" s="63" t="s">
        <v>975</v>
      </c>
      <c r="I415" s="63" t="s">
        <v>975</v>
      </c>
      <c r="J415" s="314">
        <v>200</v>
      </c>
      <c r="K415" s="59" t="s">
        <v>28</v>
      </c>
      <c r="L415" s="59" t="s">
        <v>57</v>
      </c>
      <c r="M415" s="59" t="s">
        <v>515</v>
      </c>
      <c r="N415" s="315">
        <v>200</v>
      </c>
      <c r="O415" s="316">
        <f t="shared" si="21"/>
        <v>0</v>
      </c>
      <c r="P415" s="95">
        <v>44741</v>
      </c>
      <c r="Q415" s="61">
        <f t="shared" si="20"/>
        <v>44741</v>
      </c>
      <c r="R415" s="59"/>
      <c r="S415" s="59" t="s">
        <v>977</v>
      </c>
      <c r="T415" s="59"/>
      <c r="U415" s="59"/>
      <c r="V415" s="59"/>
      <c r="W415" s="68"/>
      <c r="X415" s="68"/>
      <c r="Y415" s="68"/>
    </row>
    <row r="416" s="17" customFormat="1" hidden="1" customHeight="1" spans="1:25">
      <c r="A416" s="59">
        <v>414</v>
      </c>
      <c r="B416" s="60" t="s">
        <v>978</v>
      </c>
      <c r="C416" s="61">
        <v>44713</v>
      </c>
      <c r="D416" s="62" t="str">
        <f ca="1" t="shared" si="19"/>
        <v>一年以上</v>
      </c>
      <c r="E416" s="313">
        <v>44740</v>
      </c>
      <c r="F416" s="59" t="s">
        <v>632</v>
      </c>
      <c r="G416" s="59" t="s">
        <v>450</v>
      </c>
      <c r="H416" s="63" t="s">
        <v>914</v>
      </c>
      <c r="I416" s="63" t="s">
        <v>912</v>
      </c>
      <c r="J416" s="314">
        <v>10000</v>
      </c>
      <c r="K416" s="59" t="s">
        <v>28</v>
      </c>
      <c r="L416" s="59" t="s">
        <v>57</v>
      </c>
      <c r="M416" s="59" t="s">
        <v>30</v>
      </c>
      <c r="N416" s="315">
        <v>10000</v>
      </c>
      <c r="O416" s="316">
        <f t="shared" si="21"/>
        <v>0</v>
      </c>
      <c r="P416" s="95">
        <v>44748</v>
      </c>
      <c r="Q416" s="61">
        <f t="shared" si="20"/>
        <v>44748</v>
      </c>
      <c r="R416" s="59"/>
      <c r="S416" s="59"/>
      <c r="T416" s="59"/>
      <c r="U416" s="59"/>
      <c r="V416" s="59"/>
      <c r="W416" s="68"/>
      <c r="X416" s="68"/>
      <c r="Y416" s="68"/>
    </row>
    <row r="417" s="17" customFormat="1" hidden="1" customHeight="1" spans="1:25">
      <c r="A417" s="59">
        <v>415</v>
      </c>
      <c r="B417" s="60" t="s">
        <v>979</v>
      </c>
      <c r="C417" s="61">
        <v>44713</v>
      </c>
      <c r="D417" s="62" t="str">
        <f ca="1" t="shared" si="19"/>
        <v>一年以上</v>
      </c>
      <c r="E417" s="313">
        <v>44740</v>
      </c>
      <c r="F417" s="59" t="s">
        <v>632</v>
      </c>
      <c r="G417" s="59" t="s">
        <v>450</v>
      </c>
      <c r="H417" s="63" t="s">
        <v>914</v>
      </c>
      <c r="I417" s="63" t="s">
        <v>912</v>
      </c>
      <c r="J417" s="314">
        <v>200</v>
      </c>
      <c r="K417" s="59" t="s">
        <v>28</v>
      </c>
      <c r="L417" s="59" t="s">
        <v>57</v>
      </c>
      <c r="M417" s="59" t="s">
        <v>515</v>
      </c>
      <c r="N417" s="315">
        <v>200</v>
      </c>
      <c r="O417" s="316">
        <f t="shared" si="21"/>
        <v>0</v>
      </c>
      <c r="P417" s="95">
        <v>44741</v>
      </c>
      <c r="Q417" s="61">
        <f t="shared" si="20"/>
        <v>44741</v>
      </c>
      <c r="R417" s="59"/>
      <c r="S417" s="59" t="s">
        <v>977</v>
      </c>
      <c r="T417" s="59"/>
      <c r="U417" s="59"/>
      <c r="V417" s="59"/>
      <c r="W417" s="68"/>
      <c r="X417" s="68"/>
      <c r="Y417" s="68"/>
    </row>
    <row r="418" s="17" customFormat="1" hidden="1" customHeight="1" spans="1:25">
      <c r="A418" s="59">
        <v>416</v>
      </c>
      <c r="B418" s="60" t="s">
        <v>980</v>
      </c>
      <c r="C418" s="61">
        <v>44743</v>
      </c>
      <c r="D418" s="62" t="str">
        <f ca="1" t="shared" si="19"/>
        <v>一年以上</v>
      </c>
      <c r="E418" s="313">
        <v>44743</v>
      </c>
      <c r="F418" s="59" t="s">
        <v>70</v>
      </c>
      <c r="G418" s="59" t="s">
        <v>981</v>
      </c>
      <c r="H418" s="63" t="s">
        <v>188</v>
      </c>
      <c r="I418" s="63" t="s">
        <v>188</v>
      </c>
      <c r="J418" s="314">
        <v>11200</v>
      </c>
      <c r="K418" s="59" t="s">
        <v>338</v>
      </c>
      <c r="L418" s="59" t="s">
        <v>627</v>
      </c>
      <c r="M418" s="59" t="s">
        <v>65</v>
      </c>
      <c r="N418" s="315">
        <v>11200</v>
      </c>
      <c r="O418" s="316">
        <f t="shared" si="21"/>
        <v>0</v>
      </c>
      <c r="P418" s="95">
        <v>44855</v>
      </c>
      <c r="Q418" s="61">
        <f t="shared" si="20"/>
        <v>44855</v>
      </c>
      <c r="R418" s="59" t="s">
        <v>982</v>
      </c>
      <c r="S418" s="59" t="s">
        <v>983</v>
      </c>
      <c r="T418" s="59"/>
      <c r="U418" s="59"/>
      <c r="V418" s="59" t="s">
        <v>984</v>
      </c>
      <c r="W418" s="68"/>
      <c r="X418" s="68"/>
      <c r="Y418" s="68"/>
    </row>
    <row r="419" s="17" customFormat="1" hidden="1" customHeight="1" spans="1:25">
      <c r="A419" s="59">
        <v>417</v>
      </c>
      <c r="B419" s="60" t="s">
        <v>985</v>
      </c>
      <c r="C419" s="61">
        <v>44743</v>
      </c>
      <c r="D419" s="62" t="str">
        <f ca="1" t="shared" si="19"/>
        <v>一年以上</v>
      </c>
      <c r="E419" s="313">
        <v>44747</v>
      </c>
      <c r="F419" s="59" t="s">
        <v>70</v>
      </c>
      <c r="G419" s="59" t="s">
        <v>986</v>
      </c>
      <c r="H419" s="63" t="s">
        <v>27</v>
      </c>
      <c r="I419" s="63" t="s">
        <v>27</v>
      </c>
      <c r="J419" s="314">
        <v>3000</v>
      </c>
      <c r="K419" s="59" t="s">
        <v>28</v>
      </c>
      <c r="L419" s="59" t="s">
        <v>57</v>
      </c>
      <c r="M419" s="59" t="s">
        <v>65</v>
      </c>
      <c r="N419" s="315">
        <v>3000</v>
      </c>
      <c r="O419" s="316">
        <f t="shared" si="21"/>
        <v>0</v>
      </c>
      <c r="P419" s="95">
        <v>45532</v>
      </c>
      <c r="Q419" s="61">
        <f t="shared" si="20"/>
        <v>45532</v>
      </c>
      <c r="R419" s="59" t="s">
        <v>987</v>
      </c>
      <c r="S419" s="59" t="s">
        <v>65</v>
      </c>
      <c r="T419" s="59" t="s">
        <v>32</v>
      </c>
      <c r="U419" s="59" t="str">
        <f>VLOOKUP(T419,[1]区域划分!$A$1:$C$39,3,0)</f>
        <v>方渊</v>
      </c>
      <c r="V419" s="59"/>
      <c r="W419" s="68"/>
      <c r="X419" s="68"/>
      <c r="Y419" s="68"/>
    </row>
    <row r="420" s="17" customFormat="1" hidden="1" customHeight="1" spans="1:25">
      <c r="A420" s="59">
        <v>418</v>
      </c>
      <c r="B420" s="60" t="s">
        <v>988</v>
      </c>
      <c r="C420" s="61">
        <v>44743</v>
      </c>
      <c r="D420" s="62" t="str">
        <f ca="1" t="shared" si="19"/>
        <v>一年以上</v>
      </c>
      <c r="E420" s="313">
        <v>44749</v>
      </c>
      <c r="F420" s="59" t="s">
        <v>632</v>
      </c>
      <c r="G420" s="59" t="s">
        <v>450</v>
      </c>
      <c r="H420" s="63" t="s">
        <v>842</v>
      </c>
      <c r="I420" s="63" t="s">
        <v>842</v>
      </c>
      <c r="J420" s="314">
        <v>200</v>
      </c>
      <c r="K420" s="59" t="s">
        <v>28</v>
      </c>
      <c r="L420" s="59" t="s">
        <v>57</v>
      </c>
      <c r="M420" s="59" t="s">
        <v>515</v>
      </c>
      <c r="N420" s="315">
        <v>200</v>
      </c>
      <c r="O420" s="316">
        <f t="shared" si="21"/>
        <v>0</v>
      </c>
      <c r="P420" s="95">
        <v>44767</v>
      </c>
      <c r="Q420" s="61">
        <f t="shared" si="20"/>
        <v>44767</v>
      </c>
      <c r="R420" s="59"/>
      <c r="S420" s="59" t="s">
        <v>989</v>
      </c>
      <c r="T420" s="59"/>
      <c r="U420" s="59"/>
      <c r="V420" s="59"/>
      <c r="W420" s="68"/>
      <c r="X420" s="68"/>
      <c r="Y420" s="68"/>
    </row>
    <row r="421" s="17" customFormat="1" hidden="1" customHeight="1" spans="1:25">
      <c r="A421" s="59">
        <v>419</v>
      </c>
      <c r="B421" s="60" t="s">
        <v>990</v>
      </c>
      <c r="C421" s="61">
        <v>44743</v>
      </c>
      <c r="D421" s="62" t="str">
        <f ca="1" t="shared" si="19"/>
        <v>一年以上</v>
      </c>
      <c r="E421" s="313">
        <v>44757</v>
      </c>
      <c r="F421" s="59" t="s">
        <v>70</v>
      </c>
      <c r="G421" s="59" t="s">
        <v>104</v>
      </c>
      <c r="H421" s="63" t="s">
        <v>867</v>
      </c>
      <c r="I421" s="63" t="s">
        <v>867</v>
      </c>
      <c r="J421" s="314">
        <v>2000</v>
      </c>
      <c r="K421" s="59" t="s">
        <v>356</v>
      </c>
      <c r="L421" s="59" t="s">
        <v>458</v>
      </c>
      <c r="M421" s="59" t="s">
        <v>65</v>
      </c>
      <c r="N421" s="315">
        <v>2000</v>
      </c>
      <c r="O421" s="316">
        <f t="shared" si="21"/>
        <v>0</v>
      </c>
      <c r="P421" s="95">
        <v>44886</v>
      </c>
      <c r="Q421" s="61">
        <f t="shared" si="20"/>
        <v>44886</v>
      </c>
      <c r="R421" s="59"/>
      <c r="S421" s="59" t="s">
        <v>991</v>
      </c>
      <c r="T421" s="59"/>
      <c r="U421" s="59"/>
      <c r="V421" s="59" t="s">
        <v>991</v>
      </c>
      <c r="W421" s="68"/>
      <c r="X421" s="68"/>
      <c r="Y421" s="68"/>
    </row>
    <row r="422" s="17" customFormat="1" hidden="1" customHeight="1" spans="1:25">
      <c r="A422" s="59">
        <v>420</v>
      </c>
      <c r="B422" s="60" t="s">
        <v>992</v>
      </c>
      <c r="C422" s="61">
        <v>44743</v>
      </c>
      <c r="D422" s="62" t="str">
        <f ca="1" t="shared" si="19"/>
        <v>一年以上</v>
      </c>
      <c r="E422" s="313">
        <v>44757</v>
      </c>
      <c r="F422" s="59" t="s">
        <v>632</v>
      </c>
      <c r="G422" s="59" t="s">
        <v>993</v>
      </c>
      <c r="H422" s="63" t="s">
        <v>215</v>
      </c>
      <c r="I422" s="63" t="s">
        <v>215</v>
      </c>
      <c r="J422" s="314">
        <v>10000</v>
      </c>
      <c r="K422" s="59" t="s">
        <v>28</v>
      </c>
      <c r="L422" s="59" t="s">
        <v>57</v>
      </c>
      <c r="M422" s="59" t="s">
        <v>30</v>
      </c>
      <c r="N422" s="315">
        <v>10000</v>
      </c>
      <c r="O422" s="316">
        <f t="shared" si="21"/>
        <v>0</v>
      </c>
      <c r="P422" s="95">
        <v>44879</v>
      </c>
      <c r="Q422" s="61">
        <f t="shared" si="20"/>
        <v>44879</v>
      </c>
      <c r="R422" s="59"/>
      <c r="S422" s="59"/>
      <c r="T422" s="59"/>
      <c r="U422" s="59"/>
      <c r="V422" s="59"/>
      <c r="W422" s="68"/>
      <c r="X422" s="68"/>
      <c r="Y422" s="68"/>
    </row>
    <row r="423" s="17" customFormat="1" hidden="1" customHeight="1" spans="1:25">
      <c r="A423" s="59">
        <v>421</v>
      </c>
      <c r="B423" s="60" t="s">
        <v>994</v>
      </c>
      <c r="C423" s="61">
        <v>44743</v>
      </c>
      <c r="D423" s="62" t="str">
        <f ca="1" t="shared" si="19"/>
        <v>一年以上</v>
      </c>
      <c r="E423" s="313">
        <v>44757</v>
      </c>
      <c r="F423" s="59" t="s">
        <v>632</v>
      </c>
      <c r="G423" s="59" t="s">
        <v>993</v>
      </c>
      <c r="H423" s="63" t="s">
        <v>215</v>
      </c>
      <c r="I423" s="63" t="s">
        <v>215</v>
      </c>
      <c r="J423" s="314">
        <v>10000</v>
      </c>
      <c r="K423" s="59" t="s">
        <v>338</v>
      </c>
      <c r="L423" s="59" t="s">
        <v>627</v>
      </c>
      <c r="M423" s="59" t="s">
        <v>30</v>
      </c>
      <c r="N423" s="315">
        <v>10000</v>
      </c>
      <c r="O423" s="316">
        <f t="shared" si="21"/>
        <v>0</v>
      </c>
      <c r="P423" s="95">
        <v>44873</v>
      </c>
      <c r="Q423" s="61">
        <f t="shared" si="20"/>
        <v>44873</v>
      </c>
      <c r="R423" s="59"/>
      <c r="S423" s="59"/>
      <c r="T423" s="59"/>
      <c r="U423" s="59"/>
      <c r="V423" s="59"/>
      <c r="W423" s="68"/>
      <c r="X423" s="68"/>
      <c r="Y423" s="68"/>
    </row>
    <row r="424" s="17" customFormat="1" hidden="1" customHeight="1" spans="1:25">
      <c r="A424" s="59">
        <v>422</v>
      </c>
      <c r="B424" s="60" t="s">
        <v>995</v>
      </c>
      <c r="C424" s="61">
        <v>44743</v>
      </c>
      <c r="D424" s="62" t="str">
        <f ca="1" t="shared" si="19"/>
        <v>一年以上</v>
      </c>
      <c r="E424" s="313">
        <v>44760</v>
      </c>
      <c r="F424" s="59" t="s">
        <v>632</v>
      </c>
      <c r="G424" s="59" t="s">
        <v>993</v>
      </c>
      <c r="H424" s="63" t="s">
        <v>996</v>
      </c>
      <c r="I424" s="63" t="s">
        <v>996</v>
      </c>
      <c r="J424" s="314">
        <v>3400</v>
      </c>
      <c r="K424" s="59" t="s">
        <v>356</v>
      </c>
      <c r="L424" s="59" t="s">
        <v>458</v>
      </c>
      <c r="M424" s="59" t="s">
        <v>133</v>
      </c>
      <c r="N424" s="315">
        <v>3400</v>
      </c>
      <c r="O424" s="316">
        <f t="shared" si="21"/>
        <v>0</v>
      </c>
      <c r="P424" s="95">
        <v>45071</v>
      </c>
      <c r="Q424" s="61">
        <f t="shared" si="20"/>
        <v>45071</v>
      </c>
      <c r="R424" s="59" t="s">
        <v>997</v>
      </c>
      <c r="S424" s="59" t="s">
        <v>998</v>
      </c>
      <c r="T424" s="59" t="s">
        <v>44</v>
      </c>
      <c r="U424" s="59"/>
      <c r="V424" s="59"/>
      <c r="W424" s="68"/>
      <c r="X424" s="68"/>
      <c r="Y424" s="68"/>
    </row>
    <row r="425" s="17" customFormat="1" hidden="1" customHeight="1" spans="1:25">
      <c r="A425" s="59">
        <v>423</v>
      </c>
      <c r="B425" s="60" t="s">
        <v>999</v>
      </c>
      <c r="C425" s="61">
        <v>44743</v>
      </c>
      <c r="D425" s="62" t="str">
        <f ca="1" t="shared" si="19"/>
        <v>一年以上</v>
      </c>
      <c r="E425" s="313">
        <v>44761</v>
      </c>
      <c r="F425" s="59" t="s">
        <v>70</v>
      </c>
      <c r="G425" s="59" t="s">
        <v>608</v>
      </c>
      <c r="H425" s="63" t="s">
        <v>605</v>
      </c>
      <c r="I425" s="63" t="s">
        <v>605</v>
      </c>
      <c r="J425" s="314">
        <v>7750</v>
      </c>
      <c r="K425" s="59" t="s">
        <v>28</v>
      </c>
      <c r="L425" s="59" t="s">
        <v>57</v>
      </c>
      <c r="M425" s="59" t="s">
        <v>65</v>
      </c>
      <c r="N425" s="315">
        <v>7750</v>
      </c>
      <c r="O425" s="316">
        <f t="shared" si="21"/>
        <v>0</v>
      </c>
      <c r="P425" s="95">
        <v>44925</v>
      </c>
      <c r="Q425" s="61">
        <f t="shared" si="20"/>
        <v>44925</v>
      </c>
      <c r="R425" s="59"/>
      <c r="S425" s="59" t="s">
        <v>1000</v>
      </c>
      <c r="T425" s="59"/>
      <c r="U425" s="59"/>
      <c r="V425" s="59" t="s">
        <v>1000</v>
      </c>
      <c r="W425" s="68"/>
      <c r="X425" s="68"/>
      <c r="Y425" s="68"/>
    </row>
    <row r="426" s="17" customFormat="1" hidden="1" customHeight="1" spans="1:25">
      <c r="A426" s="59">
        <v>424</v>
      </c>
      <c r="B426" s="60" t="s">
        <v>1001</v>
      </c>
      <c r="C426" s="61">
        <v>44743</v>
      </c>
      <c r="D426" s="62" t="str">
        <f ca="1" t="shared" si="19"/>
        <v>一年以上</v>
      </c>
      <c r="E426" s="313">
        <v>44763</v>
      </c>
      <c r="F426" s="59" t="s">
        <v>632</v>
      </c>
      <c r="G426" s="59" t="s">
        <v>993</v>
      </c>
      <c r="H426" s="63" t="s">
        <v>1002</v>
      </c>
      <c r="I426" s="63" t="s">
        <v>1002</v>
      </c>
      <c r="J426" s="314">
        <v>38000</v>
      </c>
      <c r="K426" s="59" t="s">
        <v>28</v>
      </c>
      <c r="L426" s="59" t="s">
        <v>57</v>
      </c>
      <c r="M426" s="59" t="s">
        <v>30</v>
      </c>
      <c r="N426" s="315">
        <v>38000</v>
      </c>
      <c r="O426" s="316">
        <f t="shared" si="21"/>
        <v>0</v>
      </c>
      <c r="P426" s="95">
        <v>44858</v>
      </c>
      <c r="Q426" s="61">
        <f t="shared" si="20"/>
        <v>44858</v>
      </c>
      <c r="R426" s="59"/>
      <c r="S426" s="59"/>
      <c r="T426" s="59"/>
      <c r="U426" s="59"/>
      <c r="V426" s="59"/>
      <c r="W426" s="68"/>
      <c r="X426" s="68"/>
      <c r="Y426" s="68"/>
    </row>
    <row r="427" s="17" customFormat="1" hidden="1" customHeight="1" spans="1:25">
      <c r="A427" s="59">
        <v>425</v>
      </c>
      <c r="B427" s="60" t="s">
        <v>1003</v>
      </c>
      <c r="C427" s="61">
        <v>44743</v>
      </c>
      <c r="D427" s="62" t="str">
        <f ca="1" t="shared" si="19"/>
        <v>一年以上</v>
      </c>
      <c r="E427" s="313">
        <v>44764</v>
      </c>
      <c r="F427" s="59" t="s">
        <v>632</v>
      </c>
      <c r="G427" s="59" t="s">
        <v>993</v>
      </c>
      <c r="H427" s="63" t="s">
        <v>948</v>
      </c>
      <c r="I427" s="63" t="s">
        <v>948</v>
      </c>
      <c r="J427" s="314">
        <v>10000</v>
      </c>
      <c r="K427" s="59" t="s">
        <v>28</v>
      </c>
      <c r="L427" s="59" t="s">
        <v>57</v>
      </c>
      <c r="M427" s="59" t="s">
        <v>30</v>
      </c>
      <c r="N427" s="315">
        <v>10000</v>
      </c>
      <c r="O427" s="316">
        <f t="shared" si="21"/>
        <v>0</v>
      </c>
      <c r="P427" s="95">
        <v>44790</v>
      </c>
      <c r="Q427" s="61">
        <f t="shared" si="20"/>
        <v>44790</v>
      </c>
      <c r="R427" s="59"/>
      <c r="S427" s="59"/>
      <c r="T427" s="59"/>
      <c r="U427" s="59"/>
      <c r="V427" s="59"/>
      <c r="W427" s="68"/>
      <c r="X427" s="68"/>
      <c r="Y427" s="68"/>
    </row>
    <row r="428" s="17" customFormat="1" hidden="1" customHeight="1" spans="1:25">
      <c r="A428" s="59">
        <v>427</v>
      </c>
      <c r="B428" s="60" t="s">
        <v>1004</v>
      </c>
      <c r="C428" s="61">
        <v>44743</v>
      </c>
      <c r="D428" s="62" t="str">
        <f ca="1" t="shared" si="19"/>
        <v>一年以上</v>
      </c>
      <c r="E428" s="313">
        <v>44770</v>
      </c>
      <c r="F428" s="59" t="s">
        <v>632</v>
      </c>
      <c r="G428" s="59" t="s">
        <v>993</v>
      </c>
      <c r="H428" s="63" t="s">
        <v>1005</v>
      </c>
      <c r="I428" s="63" t="s">
        <v>1005</v>
      </c>
      <c r="J428" s="314">
        <v>10000</v>
      </c>
      <c r="K428" s="59" t="s">
        <v>356</v>
      </c>
      <c r="L428" s="59" t="s">
        <v>458</v>
      </c>
      <c r="M428" s="59" t="s">
        <v>30</v>
      </c>
      <c r="N428" s="315">
        <v>10000</v>
      </c>
      <c r="O428" s="316">
        <f t="shared" si="21"/>
        <v>0</v>
      </c>
      <c r="P428" s="95">
        <v>44978</v>
      </c>
      <c r="Q428" s="61">
        <f t="shared" si="20"/>
        <v>44978</v>
      </c>
      <c r="R428" s="59"/>
      <c r="S428" s="59" t="s">
        <v>1006</v>
      </c>
      <c r="T428" s="59" t="s">
        <v>381</v>
      </c>
      <c r="U428" s="59"/>
      <c r="V428" s="59"/>
      <c r="W428" s="68"/>
      <c r="X428" s="68"/>
      <c r="Y428" s="68"/>
    </row>
    <row r="429" s="17" customFormat="1" hidden="1" customHeight="1" spans="1:25">
      <c r="A429" s="59">
        <v>426</v>
      </c>
      <c r="B429" s="60" t="s">
        <v>1007</v>
      </c>
      <c r="C429" s="61">
        <v>44743</v>
      </c>
      <c r="D429" s="62" t="str">
        <f ca="1" t="shared" si="19"/>
        <v>一年以上</v>
      </c>
      <c r="E429" s="313">
        <v>44771</v>
      </c>
      <c r="F429" s="59" t="s">
        <v>632</v>
      </c>
      <c r="G429" s="59" t="s">
        <v>993</v>
      </c>
      <c r="H429" s="63" t="s">
        <v>1008</v>
      </c>
      <c r="I429" s="63" t="s">
        <v>1008</v>
      </c>
      <c r="J429" s="314">
        <v>100</v>
      </c>
      <c r="K429" s="59" t="s">
        <v>28</v>
      </c>
      <c r="L429" s="59" t="s">
        <v>57</v>
      </c>
      <c r="M429" s="59" t="s">
        <v>515</v>
      </c>
      <c r="N429" s="315">
        <v>100</v>
      </c>
      <c r="O429" s="316">
        <f t="shared" si="21"/>
        <v>0</v>
      </c>
      <c r="P429" s="95"/>
      <c r="Q429" s="61">
        <f t="shared" si="20"/>
        <v>0</v>
      </c>
      <c r="R429" s="59" t="s">
        <v>1009</v>
      </c>
      <c r="S429" s="59"/>
      <c r="T429" s="59"/>
      <c r="U429" s="59"/>
      <c r="V429" s="59"/>
      <c r="W429" s="68"/>
      <c r="X429" s="68"/>
      <c r="Y429" s="68"/>
    </row>
    <row r="430" s="17" customFormat="1" hidden="1" customHeight="1" spans="1:25">
      <c r="A430" s="59">
        <v>428</v>
      </c>
      <c r="B430" s="60" t="s">
        <v>1010</v>
      </c>
      <c r="C430" s="61">
        <f t="shared" ref="C430:C493" si="22">E430</f>
        <v>44774</v>
      </c>
      <c r="D430" s="62" t="str">
        <f ca="1" t="shared" si="19"/>
        <v>一年以上</v>
      </c>
      <c r="E430" s="313">
        <v>44774</v>
      </c>
      <c r="F430" s="59" t="s">
        <v>632</v>
      </c>
      <c r="G430" s="59" t="s">
        <v>450</v>
      </c>
      <c r="H430" s="63" t="s">
        <v>379</v>
      </c>
      <c r="I430" s="63" t="s">
        <v>379</v>
      </c>
      <c r="J430" s="314">
        <v>1000</v>
      </c>
      <c r="K430" s="59" t="s">
        <v>356</v>
      </c>
      <c r="L430" s="59" t="s">
        <v>458</v>
      </c>
      <c r="M430" s="59" t="s">
        <v>30</v>
      </c>
      <c r="N430" s="315">
        <v>1000</v>
      </c>
      <c r="O430" s="316">
        <f t="shared" si="21"/>
        <v>0</v>
      </c>
      <c r="P430" s="95">
        <v>44830</v>
      </c>
      <c r="Q430" s="61">
        <f t="shared" si="20"/>
        <v>44830</v>
      </c>
      <c r="R430" s="59"/>
      <c r="S430" s="59"/>
      <c r="T430" s="59"/>
      <c r="U430" s="59"/>
      <c r="V430" s="59"/>
      <c r="W430" s="68"/>
      <c r="X430" s="68"/>
      <c r="Y430" s="68"/>
    </row>
    <row r="431" s="17" customFormat="1" hidden="1" customHeight="1" spans="1:25">
      <c r="A431" s="59">
        <v>429</v>
      </c>
      <c r="B431" s="60" t="s">
        <v>1011</v>
      </c>
      <c r="C431" s="61">
        <f t="shared" si="22"/>
        <v>44777</v>
      </c>
      <c r="D431" s="62" t="str">
        <f ca="1" t="shared" si="19"/>
        <v>一年以上</v>
      </c>
      <c r="E431" s="313">
        <v>44777</v>
      </c>
      <c r="F431" s="59" t="s">
        <v>632</v>
      </c>
      <c r="G431" s="59" t="s">
        <v>993</v>
      </c>
      <c r="H431" s="63" t="s">
        <v>1012</v>
      </c>
      <c r="I431" s="63" t="s">
        <v>1012</v>
      </c>
      <c r="J431" s="314">
        <v>500</v>
      </c>
      <c r="K431" s="59" t="s">
        <v>28</v>
      </c>
      <c r="L431" s="59" t="s">
        <v>57</v>
      </c>
      <c r="M431" s="59" t="s">
        <v>30</v>
      </c>
      <c r="N431" s="315">
        <v>500</v>
      </c>
      <c r="O431" s="316">
        <f t="shared" si="21"/>
        <v>0</v>
      </c>
      <c r="P431" s="95">
        <v>44832</v>
      </c>
      <c r="Q431" s="61">
        <f t="shared" si="20"/>
        <v>44832</v>
      </c>
      <c r="R431" s="59"/>
      <c r="S431" s="59"/>
      <c r="T431" s="59"/>
      <c r="U431" s="59"/>
      <c r="V431" s="59"/>
      <c r="W431" s="68"/>
      <c r="X431" s="68"/>
      <c r="Y431" s="68"/>
    </row>
    <row r="432" s="17" customFormat="1" hidden="1" customHeight="1" spans="1:25">
      <c r="A432" s="59">
        <v>430</v>
      </c>
      <c r="B432" s="60" t="s">
        <v>1013</v>
      </c>
      <c r="C432" s="61">
        <f t="shared" si="22"/>
        <v>44778</v>
      </c>
      <c r="D432" s="62" t="str">
        <f ca="1" t="shared" si="19"/>
        <v>一年以上</v>
      </c>
      <c r="E432" s="313">
        <v>44778</v>
      </c>
      <c r="F432" s="59" t="s">
        <v>632</v>
      </c>
      <c r="G432" s="59" t="s">
        <v>450</v>
      </c>
      <c r="H432" s="369" t="s">
        <v>938</v>
      </c>
      <c r="I432" s="63" t="s">
        <v>938</v>
      </c>
      <c r="J432" s="314">
        <v>1000</v>
      </c>
      <c r="K432" s="59" t="s">
        <v>28</v>
      </c>
      <c r="L432" s="59" t="s">
        <v>57</v>
      </c>
      <c r="M432" s="59" t="s">
        <v>30</v>
      </c>
      <c r="N432" s="315">
        <v>1000</v>
      </c>
      <c r="O432" s="316">
        <f t="shared" si="21"/>
        <v>0</v>
      </c>
      <c r="P432" s="95">
        <v>44887</v>
      </c>
      <c r="Q432" s="61">
        <f t="shared" si="20"/>
        <v>44887</v>
      </c>
      <c r="R432" s="59"/>
      <c r="S432" s="59"/>
      <c r="T432" s="59"/>
      <c r="U432" s="59"/>
      <c r="V432" s="59"/>
      <c r="W432" s="68"/>
      <c r="X432" s="68"/>
      <c r="Y432" s="68"/>
    </row>
    <row r="433" s="17" customFormat="1" hidden="1" customHeight="1" spans="1:25">
      <c r="A433" s="59">
        <v>433</v>
      </c>
      <c r="B433" s="60" t="s">
        <v>1014</v>
      </c>
      <c r="C433" s="61">
        <f t="shared" si="22"/>
        <v>44783</v>
      </c>
      <c r="D433" s="62" t="str">
        <f ca="1" t="shared" si="19"/>
        <v>一年以上</v>
      </c>
      <c r="E433" s="313">
        <v>44783</v>
      </c>
      <c r="F433" s="59" t="s">
        <v>130</v>
      </c>
      <c r="G433" s="59" t="s">
        <v>371</v>
      </c>
      <c r="H433" s="63" t="s">
        <v>1015</v>
      </c>
      <c r="I433" s="63" t="s">
        <v>1015</v>
      </c>
      <c r="J433" s="314">
        <v>10013</v>
      </c>
      <c r="K433" s="59" t="s">
        <v>28</v>
      </c>
      <c r="L433" s="59" t="s">
        <v>57</v>
      </c>
      <c r="M433" s="59" t="s">
        <v>836</v>
      </c>
      <c r="N433" s="315">
        <v>10013</v>
      </c>
      <c r="O433" s="316">
        <f t="shared" si="21"/>
        <v>0</v>
      </c>
      <c r="P433" s="95">
        <v>44855</v>
      </c>
      <c r="Q433" s="61">
        <f t="shared" si="20"/>
        <v>44855</v>
      </c>
      <c r="R433" s="59" t="s">
        <v>1016</v>
      </c>
      <c r="S433" s="59"/>
      <c r="T433" s="59"/>
      <c r="U433" s="59"/>
      <c r="V433" s="59"/>
      <c r="W433" s="68"/>
      <c r="X433" s="68"/>
      <c r="Y433" s="68"/>
    </row>
    <row r="434" s="17" customFormat="1" hidden="1" customHeight="1" spans="1:25">
      <c r="A434" s="59">
        <v>431</v>
      </c>
      <c r="B434" s="60" t="s">
        <v>1017</v>
      </c>
      <c r="C434" s="61">
        <f t="shared" si="22"/>
        <v>44784</v>
      </c>
      <c r="D434" s="62" t="str">
        <f ca="1" t="shared" si="19"/>
        <v>一年以上</v>
      </c>
      <c r="E434" s="313">
        <v>44784</v>
      </c>
      <c r="F434" s="59" t="s">
        <v>632</v>
      </c>
      <c r="G434" s="59" t="s">
        <v>450</v>
      </c>
      <c r="H434" s="63" t="s">
        <v>1008</v>
      </c>
      <c r="I434" s="63" t="s">
        <v>1008</v>
      </c>
      <c r="J434" s="314">
        <v>100</v>
      </c>
      <c r="K434" s="59" t="s">
        <v>28</v>
      </c>
      <c r="L434" s="59" t="s">
        <v>57</v>
      </c>
      <c r="M434" s="59" t="s">
        <v>515</v>
      </c>
      <c r="N434" s="315">
        <v>100</v>
      </c>
      <c r="O434" s="316">
        <f t="shared" si="21"/>
        <v>0</v>
      </c>
      <c r="P434" s="95">
        <v>44999</v>
      </c>
      <c r="Q434" s="61">
        <f t="shared" si="20"/>
        <v>44999</v>
      </c>
      <c r="R434" s="59" t="s">
        <v>951</v>
      </c>
      <c r="S434" s="59" t="s">
        <v>1018</v>
      </c>
      <c r="T434" s="59"/>
      <c r="U434" s="59"/>
      <c r="V434" s="59"/>
      <c r="W434" s="68"/>
      <c r="X434" s="68"/>
      <c r="Y434" s="68"/>
    </row>
    <row r="435" s="17" customFormat="1" hidden="1" customHeight="1" spans="1:25">
      <c r="A435" s="59">
        <v>432</v>
      </c>
      <c r="B435" s="60" t="s">
        <v>1019</v>
      </c>
      <c r="C435" s="61">
        <f t="shared" si="22"/>
        <v>44785</v>
      </c>
      <c r="D435" s="62" t="str">
        <f ca="1" t="shared" si="19"/>
        <v>一年以上</v>
      </c>
      <c r="E435" s="313">
        <v>44785</v>
      </c>
      <c r="F435" s="59" t="s">
        <v>632</v>
      </c>
      <c r="G435" s="59" t="s">
        <v>450</v>
      </c>
      <c r="H435" s="63" t="s">
        <v>842</v>
      </c>
      <c r="I435" s="63" t="s">
        <v>842</v>
      </c>
      <c r="J435" s="314">
        <v>500</v>
      </c>
      <c r="K435" s="59" t="s">
        <v>28</v>
      </c>
      <c r="L435" s="59" t="s">
        <v>57</v>
      </c>
      <c r="M435" s="59" t="s">
        <v>515</v>
      </c>
      <c r="N435" s="315">
        <v>500</v>
      </c>
      <c r="O435" s="316">
        <f t="shared" si="21"/>
        <v>0</v>
      </c>
      <c r="P435" s="95"/>
      <c r="Q435" s="61">
        <f t="shared" si="20"/>
        <v>0</v>
      </c>
      <c r="R435" s="59"/>
      <c r="S435" s="59" t="s">
        <v>1020</v>
      </c>
      <c r="T435" s="59"/>
      <c r="U435" s="59"/>
      <c r="V435" s="59"/>
      <c r="W435" s="68"/>
      <c r="X435" s="68"/>
      <c r="Y435" s="68"/>
    </row>
    <row r="436" s="17" customFormat="1" hidden="1" customHeight="1" spans="1:25">
      <c r="A436" s="59">
        <v>434</v>
      </c>
      <c r="B436" s="60" t="s">
        <v>1021</v>
      </c>
      <c r="C436" s="61">
        <f t="shared" si="22"/>
        <v>44792</v>
      </c>
      <c r="D436" s="62" t="str">
        <f ca="1" t="shared" si="19"/>
        <v>一年以上</v>
      </c>
      <c r="E436" s="313">
        <v>44792</v>
      </c>
      <c r="F436" s="59" t="s">
        <v>70</v>
      </c>
      <c r="G436" s="59" t="s">
        <v>1022</v>
      </c>
      <c r="H436" s="63" t="s">
        <v>1023</v>
      </c>
      <c r="I436" s="63" t="s">
        <v>1023</v>
      </c>
      <c r="J436" s="314">
        <v>2100</v>
      </c>
      <c r="K436" s="59" t="s">
        <v>28</v>
      </c>
      <c r="L436" s="59" t="s">
        <v>57</v>
      </c>
      <c r="M436" s="59" t="s">
        <v>65</v>
      </c>
      <c r="N436" s="315">
        <v>2100</v>
      </c>
      <c r="O436" s="316">
        <f t="shared" si="21"/>
        <v>0</v>
      </c>
      <c r="P436" s="95">
        <v>44943</v>
      </c>
      <c r="Q436" s="61">
        <f t="shared" si="20"/>
        <v>44943</v>
      </c>
      <c r="R436" s="59"/>
      <c r="S436" s="59" t="s">
        <v>1024</v>
      </c>
      <c r="T436" s="59" t="s">
        <v>171</v>
      </c>
      <c r="U436" s="59"/>
      <c r="V436" s="59" t="s">
        <v>1024</v>
      </c>
      <c r="W436" s="68"/>
      <c r="X436" s="68"/>
      <c r="Y436" s="68"/>
    </row>
    <row r="437" s="17" customFormat="1" hidden="1" customHeight="1" spans="1:25">
      <c r="A437" s="59">
        <v>435</v>
      </c>
      <c r="B437" s="60" t="s">
        <v>1025</v>
      </c>
      <c r="C437" s="61">
        <f t="shared" si="22"/>
        <v>44795</v>
      </c>
      <c r="D437" s="62" t="str">
        <f ca="1" t="shared" si="19"/>
        <v>一年以上</v>
      </c>
      <c r="E437" s="313">
        <v>44795</v>
      </c>
      <c r="F437" s="59" t="s">
        <v>70</v>
      </c>
      <c r="G437" s="59" t="s">
        <v>104</v>
      </c>
      <c r="H437" s="63" t="s">
        <v>291</v>
      </c>
      <c r="I437" s="63" t="s">
        <v>291</v>
      </c>
      <c r="J437" s="314">
        <v>2600</v>
      </c>
      <c r="K437" s="59" t="s">
        <v>356</v>
      </c>
      <c r="L437" s="59" t="s">
        <v>458</v>
      </c>
      <c r="M437" s="59" t="s">
        <v>65</v>
      </c>
      <c r="N437" s="315">
        <v>2600</v>
      </c>
      <c r="O437" s="316">
        <f t="shared" si="21"/>
        <v>0</v>
      </c>
      <c r="P437" s="95">
        <v>44921</v>
      </c>
      <c r="Q437" s="61">
        <f t="shared" si="20"/>
        <v>44921</v>
      </c>
      <c r="R437" s="59"/>
      <c r="S437" s="59" t="s">
        <v>1026</v>
      </c>
      <c r="T437" s="59"/>
      <c r="U437" s="59"/>
      <c r="V437" s="59" t="s">
        <v>1026</v>
      </c>
      <c r="W437" s="68"/>
      <c r="X437" s="68"/>
      <c r="Y437" s="68"/>
    </row>
    <row r="438" s="17" customFormat="1" hidden="1" customHeight="1" spans="1:25">
      <c r="A438" s="59">
        <v>436</v>
      </c>
      <c r="B438" s="60" t="s">
        <v>1027</v>
      </c>
      <c r="C438" s="61">
        <f t="shared" si="22"/>
        <v>44795</v>
      </c>
      <c r="D438" s="62" t="str">
        <f ca="1" t="shared" si="19"/>
        <v>一年以上</v>
      </c>
      <c r="E438" s="313">
        <v>44795</v>
      </c>
      <c r="F438" s="59" t="s">
        <v>632</v>
      </c>
      <c r="G438" s="59" t="s">
        <v>450</v>
      </c>
      <c r="H438" s="63" t="s">
        <v>1028</v>
      </c>
      <c r="I438" s="63" t="s">
        <v>1028</v>
      </c>
      <c r="J438" s="314">
        <v>5000</v>
      </c>
      <c r="K438" s="59" t="s">
        <v>28</v>
      </c>
      <c r="L438" s="59" t="s">
        <v>57</v>
      </c>
      <c r="M438" s="59" t="s">
        <v>30</v>
      </c>
      <c r="N438" s="315">
        <v>5000</v>
      </c>
      <c r="O438" s="316">
        <f t="shared" si="21"/>
        <v>0</v>
      </c>
      <c r="P438" s="95">
        <v>44873</v>
      </c>
      <c r="Q438" s="61">
        <f t="shared" si="20"/>
        <v>44873</v>
      </c>
      <c r="R438" s="59"/>
      <c r="S438" s="59"/>
      <c r="T438" s="59"/>
      <c r="U438" s="59"/>
      <c r="V438" s="59"/>
      <c r="W438" s="68"/>
      <c r="X438" s="68"/>
      <c r="Y438" s="68"/>
    </row>
    <row r="439" s="17" customFormat="1" hidden="1" customHeight="1" spans="1:25">
      <c r="A439" s="59">
        <v>437</v>
      </c>
      <c r="B439" s="60" t="s">
        <v>1029</v>
      </c>
      <c r="C439" s="61">
        <f t="shared" si="22"/>
        <v>44795</v>
      </c>
      <c r="D439" s="62" t="str">
        <f ca="1" t="shared" si="19"/>
        <v>一年以上</v>
      </c>
      <c r="E439" s="313">
        <v>44795</v>
      </c>
      <c r="F439" s="59" t="s">
        <v>632</v>
      </c>
      <c r="G439" s="59" t="s">
        <v>450</v>
      </c>
      <c r="H439" s="63" t="s">
        <v>1028</v>
      </c>
      <c r="I439" s="63" t="s">
        <v>1028</v>
      </c>
      <c r="J439" s="314">
        <v>100</v>
      </c>
      <c r="K439" s="59" t="s">
        <v>28</v>
      </c>
      <c r="L439" s="59" t="s">
        <v>57</v>
      </c>
      <c r="M439" s="59" t="s">
        <v>515</v>
      </c>
      <c r="N439" s="315">
        <v>100</v>
      </c>
      <c r="O439" s="316">
        <f t="shared" si="21"/>
        <v>0</v>
      </c>
      <c r="P439" s="95">
        <v>44880</v>
      </c>
      <c r="Q439" s="61">
        <f t="shared" si="20"/>
        <v>44880</v>
      </c>
      <c r="R439" s="59" t="s">
        <v>951</v>
      </c>
      <c r="S439" s="59"/>
      <c r="T439" s="59"/>
      <c r="U439" s="59"/>
      <c r="V439" s="59"/>
      <c r="W439" s="68"/>
      <c r="X439" s="68"/>
      <c r="Y439" s="68"/>
    </row>
    <row r="440" s="17" customFormat="1" hidden="1" customHeight="1" spans="1:25">
      <c r="A440" s="59">
        <v>438</v>
      </c>
      <c r="B440" s="60" t="s">
        <v>1030</v>
      </c>
      <c r="C440" s="61">
        <f t="shared" si="22"/>
        <v>44796</v>
      </c>
      <c r="D440" s="62" t="str">
        <f ca="1" t="shared" si="19"/>
        <v>一年以上</v>
      </c>
      <c r="E440" s="313">
        <v>44796</v>
      </c>
      <c r="F440" s="59" t="s">
        <v>632</v>
      </c>
      <c r="G440" s="59" t="s">
        <v>450</v>
      </c>
      <c r="H440" s="63" t="s">
        <v>1031</v>
      </c>
      <c r="I440" s="63" t="s">
        <v>1031</v>
      </c>
      <c r="J440" s="314">
        <v>100</v>
      </c>
      <c r="K440" s="59" t="s">
        <v>28</v>
      </c>
      <c r="L440" s="59" t="s">
        <v>57</v>
      </c>
      <c r="M440" s="59" t="s">
        <v>515</v>
      </c>
      <c r="N440" s="315">
        <v>100</v>
      </c>
      <c r="O440" s="316">
        <f t="shared" si="21"/>
        <v>0</v>
      </c>
      <c r="P440" s="95">
        <v>44880</v>
      </c>
      <c r="Q440" s="61">
        <f t="shared" si="20"/>
        <v>44880</v>
      </c>
      <c r="R440" s="59" t="s">
        <v>951</v>
      </c>
      <c r="S440" s="59"/>
      <c r="T440" s="59"/>
      <c r="U440" s="59"/>
      <c r="V440" s="59"/>
      <c r="W440" s="68"/>
      <c r="X440" s="68"/>
      <c r="Y440" s="68"/>
    </row>
    <row r="441" s="17" customFormat="1" hidden="1" customHeight="1" spans="1:25">
      <c r="A441" s="59">
        <v>439</v>
      </c>
      <c r="B441" s="60" t="s">
        <v>1032</v>
      </c>
      <c r="C441" s="61">
        <f t="shared" si="22"/>
        <v>44796</v>
      </c>
      <c r="D441" s="62" t="str">
        <f ca="1" t="shared" si="19"/>
        <v>一年以上</v>
      </c>
      <c r="E441" s="313">
        <v>44796</v>
      </c>
      <c r="F441" s="59" t="s">
        <v>632</v>
      </c>
      <c r="G441" s="59" t="s">
        <v>450</v>
      </c>
      <c r="H441" s="63" t="s">
        <v>1031</v>
      </c>
      <c r="I441" s="63" t="s">
        <v>1031</v>
      </c>
      <c r="J441" s="314">
        <v>10000</v>
      </c>
      <c r="K441" s="59" t="s">
        <v>28</v>
      </c>
      <c r="L441" s="59" t="s">
        <v>57</v>
      </c>
      <c r="M441" s="59" t="s">
        <v>30</v>
      </c>
      <c r="N441" s="315">
        <v>10000</v>
      </c>
      <c r="O441" s="316">
        <f t="shared" si="21"/>
        <v>0</v>
      </c>
      <c r="P441" s="95">
        <v>44827</v>
      </c>
      <c r="Q441" s="61">
        <f t="shared" si="20"/>
        <v>44827</v>
      </c>
      <c r="R441" s="59"/>
      <c r="S441" s="59"/>
      <c r="T441" s="59"/>
      <c r="U441" s="59"/>
      <c r="V441" s="59"/>
      <c r="W441" s="68"/>
      <c r="X441" s="68"/>
      <c r="Y441" s="68"/>
    </row>
    <row r="442" s="17" customFormat="1" hidden="1" customHeight="1" spans="1:25">
      <c r="A442" s="59">
        <v>440</v>
      </c>
      <c r="B442" s="60" t="s">
        <v>1033</v>
      </c>
      <c r="C442" s="61">
        <f t="shared" si="22"/>
        <v>44796</v>
      </c>
      <c r="D442" s="62" t="str">
        <f ca="1" t="shared" si="19"/>
        <v>一年以上</v>
      </c>
      <c r="E442" s="313">
        <v>44796</v>
      </c>
      <c r="F442" s="59" t="s">
        <v>632</v>
      </c>
      <c r="G442" s="59" t="s">
        <v>450</v>
      </c>
      <c r="H442" s="63" t="s">
        <v>1034</v>
      </c>
      <c r="I442" s="63" t="s">
        <v>1034</v>
      </c>
      <c r="J442" s="314">
        <v>800</v>
      </c>
      <c r="K442" s="59" t="s">
        <v>28</v>
      </c>
      <c r="L442" s="59" t="s">
        <v>96</v>
      </c>
      <c r="M442" s="59" t="s">
        <v>515</v>
      </c>
      <c r="N442" s="315">
        <v>800</v>
      </c>
      <c r="O442" s="316">
        <f t="shared" si="21"/>
        <v>0</v>
      </c>
      <c r="P442" s="95">
        <v>44932</v>
      </c>
      <c r="Q442" s="61">
        <f t="shared" si="20"/>
        <v>44932</v>
      </c>
      <c r="R442" s="59" t="s">
        <v>951</v>
      </c>
      <c r="S442" s="59"/>
      <c r="T442" s="59"/>
      <c r="U442" s="59"/>
      <c r="V442" s="59"/>
      <c r="W442" s="68"/>
      <c r="X442" s="68"/>
      <c r="Y442" s="68"/>
    </row>
    <row r="443" s="17" customFormat="1" hidden="1" customHeight="1" spans="1:25">
      <c r="A443" s="59">
        <v>441</v>
      </c>
      <c r="B443" s="60" t="s">
        <v>1035</v>
      </c>
      <c r="C443" s="61">
        <f t="shared" si="22"/>
        <v>44796</v>
      </c>
      <c r="D443" s="62" t="str">
        <f ca="1" t="shared" si="19"/>
        <v>一年以上</v>
      </c>
      <c r="E443" s="313">
        <v>44796</v>
      </c>
      <c r="F443" s="59" t="s">
        <v>632</v>
      </c>
      <c r="G443" s="59" t="s">
        <v>993</v>
      </c>
      <c r="H443" s="63" t="s">
        <v>926</v>
      </c>
      <c r="I443" s="63" t="s">
        <v>926</v>
      </c>
      <c r="J443" s="314">
        <v>20000</v>
      </c>
      <c r="K443" s="59" t="s">
        <v>28</v>
      </c>
      <c r="L443" s="59" t="s">
        <v>57</v>
      </c>
      <c r="M443" s="59" t="s">
        <v>30</v>
      </c>
      <c r="N443" s="315">
        <v>20000</v>
      </c>
      <c r="O443" s="316">
        <f t="shared" si="21"/>
        <v>0</v>
      </c>
      <c r="P443" s="95">
        <v>44817</v>
      </c>
      <c r="Q443" s="61">
        <f t="shared" si="20"/>
        <v>44817</v>
      </c>
      <c r="R443" s="59"/>
      <c r="S443" s="59"/>
      <c r="T443" s="59"/>
      <c r="U443" s="59"/>
      <c r="V443" s="59"/>
      <c r="W443" s="68"/>
      <c r="X443" s="68"/>
      <c r="Y443" s="68"/>
    </row>
    <row r="444" s="17" customFormat="1" hidden="1" customHeight="1" spans="1:25">
      <c r="A444" s="59">
        <v>442</v>
      </c>
      <c r="B444" s="60" t="s">
        <v>1036</v>
      </c>
      <c r="C444" s="61">
        <f t="shared" si="22"/>
        <v>44797</v>
      </c>
      <c r="D444" s="62" t="str">
        <f ca="1" t="shared" si="19"/>
        <v>一年以上</v>
      </c>
      <c r="E444" s="313">
        <v>44797</v>
      </c>
      <c r="F444" s="59" t="s">
        <v>632</v>
      </c>
      <c r="G444" s="59" t="s">
        <v>450</v>
      </c>
      <c r="H444" s="63" t="s">
        <v>1037</v>
      </c>
      <c r="I444" s="63" t="s">
        <v>1037</v>
      </c>
      <c r="J444" s="314">
        <v>100</v>
      </c>
      <c r="K444" s="59" t="s">
        <v>28</v>
      </c>
      <c r="L444" s="59" t="s">
        <v>57</v>
      </c>
      <c r="M444" s="59" t="s">
        <v>515</v>
      </c>
      <c r="N444" s="315">
        <v>100</v>
      </c>
      <c r="O444" s="316">
        <f t="shared" si="21"/>
        <v>0</v>
      </c>
      <c r="P444" s="95">
        <v>44880</v>
      </c>
      <c r="Q444" s="61">
        <f t="shared" si="20"/>
        <v>44880</v>
      </c>
      <c r="R444" s="59" t="s">
        <v>951</v>
      </c>
      <c r="S444" s="59"/>
      <c r="T444" s="59"/>
      <c r="U444" s="59"/>
      <c r="V444" s="59"/>
      <c r="W444" s="68"/>
      <c r="X444" s="68"/>
      <c r="Y444" s="68"/>
    </row>
    <row r="445" s="17" customFormat="1" hidden="1" customHeight="1" spans="1:25">
      <c r="A445" s="59">
        <v>443</v>
      </c>
      <c r="B445" s="60" t="s">
        <v>1038</v>
      </c>
      <c r="C445" s="61">
        <f t="shared" si="22"/>
        <v>44797</v>
      </c>
      <c r="D445" s="62" t="str">
        <f ca="1" t="shared" si="19"/>
        <v>一年以上</v>
      </c>
      <c r="E445" s="313">
        <v>44797</v>
      </c>
      <c r="F445" s="59" t="s">
        <v>632</v>
      </c>
      <c r="G445" s="59" t="s">
        <v>450</v>
      </c>
      <c r="H445" s="63" t="s">
        <v>1037</v>
      </c>
      <c r="I445" s="63" t="s">
        <v>1037</v>
      </c>
      <c r="J445" s="314">
        <v>10000</v>
      </c>
      <c r="K445" s="59" t="s">
        <v>28</v>
      </c>
      <c r="L445" s="59" t="s">
        <v>57</v>
      </c>
      <c r="M445" s="59" t="s">
        <v>30</v>
      </c>
      <c r="N445" s="315">
        <v>10000</v>
      </c>
      <c r="O445" s="316">
        <f t="shared" si="21"/>
        <v>0</v>
      </c>
      <c r="P445" s="95">
        <v>44862</v>
      </c>
      <c r="Q445" s="61">
        <f t="shared" si="20"/>
        <v>44862</v>
      </c>
      <c r="R445" s="59"/>
      <c r="S445" s="59"/>
      <c r="T445" s="59"/>
      <c r="U445" s="59"/>
      <c r="V445" s="59"/>
      <c r="W445" s="68"/>
      <c r="X445" s="68"/>
      <c r="Y445" s="68"/>
    </row>
    <row r="446" s="17" customFormat="1" hidden="1" customHeight="1" spans="1:25">
      <c r="A446" s="59">
        <v>444</v>
      </c>
      <c r="B446" s="60" t="s">
        <v>1039</v>
      </c>
      <c r="C446" s="61">
        <f t="shared" si="22"/>
        <v>44797</v>
      </c>
      <c r="D446" s="62" t="str">
        <f ca="1" t="shared" si="19"/>
        <v>一年以上</v>
      </c>
      <c r="E446" s="313">
        <v>44797</v>
      </c>
      <c r="F446" s="59" t="s">
        <v>632</v>
      </c>
      <c r="G446" s="59" t="s">
        <v>450</v>
      </c>
      <c r="H446" s="63" t="s">
        <v>1040</v>
      </c>
      <c r="I446" s="63" t="s">
        <v>1040</v>
      </c>
      <c r="J446" s="314">
        <v>10000</v>
      </c>
      <c r="K446" s="59" t="s">
        <v>356</v>
      </c>
      <c r="L446" s="59" t="s">
        <v>458</v>
      </c>
      <c r="M446" s="59" t="s">
        <v>30</v>
      </c>
      <c r="N446" s="315">
        <v>10000</v>
      </c>
      <c r="O446" s="316">
        <f t="shared" si="21"/>
        <v>0</v>
      </c>
      <c r="P446" s="95">
        <v>44818</v>
      </c>
      <c r="Q446" s="61">
        <f t="shared" si="20"/>
        <v>44818</v>
      </c>
      <c r="R446" s="59"/>
      <c r="S446" s="59"/>
      <c r="T446" s="59"/>
      <c r="U446" s="59"/>
      <c r="V446" s="59"/>
      <c r="W446" s="68"/>
      <c r="X446" s="68"/>
      <c r="Y446" s="68"/>
    </row>
    <row r="447" s="17" customFormat="1" hidden="1" customHeight="1" spans="1:25">
      <c r="A447" s="59">
        <v>445</v>
      </c>
      <c r="B447" s="60" t="s">
        <v>1041</v>
      </c>
      <c r="C447" s="61">
        <f t="shared" si="22"/>
        <v>44797</v>
      </c>
      <c r="D447" s="62" t="str">
        <f ca="1" t="shared" si="19"/>
        <v>一年以上</v>
      </c>
      <c r="E447" s="313">
        <v>44797</v>
      </c>
      <c r="F447" s="59" t="s">
        <v>632</v>
      </c>
      <c r="G447" s="59" t="s">
        <v>1042</v>
      </c>
      <c r="H447" s="63" t="s">
        <v>1043</v>
      </c>
      <c r="I447" s="63" t="s">
        <v>1043</v>
      </c>
      <c r="J447" s="314">
        <v>10000</v>
      </c>
      <c r="K447" s="59" t="s">
        <v>28</v>
      </c>
      <c r="L447" s="59" t="s">
        <v>57</v>
      </c>
      <c r="M447" s="59" t="s">
        <v>133</v>
      </c>
      <c r="N447" s="315">
        <v>10000</v>
      </c>
      <c r="O447" s="316">
        <f t="shared" si="21"/>
        <v>0</v>
      </c>
      <c r="P447" s="95">
        <v>44903</v>
      </c>
      <c r="Q447" s="61">
        <f t="shared" si="20"/>
        <v>44903</v>
      </c>
      <c r="R447" s="59"/>
      <c r="S447" s="59"/>
      <c r="T447" s="59"/>
      <c r="U447" s="59"/>
      <c r="V447" s="59"/>
      <c r="W447" s="68"/>
      <c r="X447" s="68"/>
      <c r="Y447" s="68"/>
    </row>
    <row r="448" s="17" customFormat="1" hidden="1" customHeight="1" spans="1:25">
      <c r="A448" s="59">
        <v>446</v>
      </c>
      <c r="B448" s="60" t="s">
        <v>1044</v>
      </c>
      <c r="C448" s="61">
        <f t="shared" si="22"/>
        <v>44802</v>
      </c>
      <c r="D448" s="62" t="str">
        <f ca="1" t="shared" si="19"/>
        <v>一年以上</v>
      </c>
      <c r="E448" s="313">
        <v>44802</v>
      </c>
      <c r="F448" s="59" t="s">
        <v>632</v>
      </c>
      <c r="G448" s="59" t="s">
        <v>993</v>
      </c>
      <c r="H448" s="63" t="s">
        <v>863</v>
      </c>
      <c r="I448" s="63" t="s">
        <v>863</v>
      </c>
      <c r="J448" s="314">
        <v>500</v>
      </c>
      <c r="K448" s="59" t="s">
        <v>28</v>
      </c>
      <c r="L448" s="59" t="s">
        <v>57</v>
      </c>
      <c r="M448" s="59" t="s">
        <v>515</v>
      </c>
      <c r="N448" s="315">
        <v>500</v>
      </c>
      <c r="O448" s="316">
        <f t="shared" si="21"/>
        <v>0</v>
      </c>
      <c r="P448" s="95">
        <v>44880</v>
      </c>
      <c r="Q448" s="61">
        <f t="shared" si="20"/>
        <v>44880</v>
      </c>
      <c r="R448" s="59" t="s">
        <v>951</v>
      </c>
      <c r="S448" s="59"/>
      <c r="T448" s="59"/>
      <c r="U448" s="59"/>
      <c r="V448" s="59"/>
      <c r="W448" s="68"/>
      <c r="X448" s="68"/>
      <c r="Y448" s="68"/>
    </row>
    <row r="449" s="17" customFormat="1" hidden="1" customHeight="1" spans="1:25">
      <c r="A449" s="59">
        <v>447</v>
      </c>
      <c r="B449" s="60" t="s">
        <v>1045</v>
      </c>
      <c r="C449" s="61">
        <f t="shared" si="22"/>
        <v>44805</v>
      </c>
      <c r="D449" s="62" t="str">
        <f ca="1" t="shared" si="19"/>
        <v>一年以上</v>
      </c>
      <c r="E449" s="313">
        <v>44805</v>
      </c>
      <c r="F449" s="59" t="s">
        <v>632</v>
      </c>
      <c r="G449" s="59" t="s">
        <v>993</v>
      </c>
      <c r="H449" s="63" t="s">
        <v>1046</v>
      </c>
      <c r="I449" s="63" t="s">
        <v>1046</v>
      </c>
      <c r="J449" s="314">
        <v>10000</v>
      </c>
      <c r="K449" s="59" t="s">
        <v>356</v>
      </c>
      <c r="L449" s="59" t="s">
        <v>458</v>
      </c>
      <c r="M449" s="59" t="s">
        <v>30</v>
      </c>
      <c r="N449" s="315">
        <v>10000</v>
      </c>
      <c r="O449" s="316">
        <f t="shared" si="21"/>
        <v>0</v>
      </c>
      <c r="P449" s="95">
        <v>44853</v>
      </c>
      <c r="Q449" s="61">
        <f t="shared" si="20"/>
        <v>44853</v>
      </c>
      <c r="R449" s="59"/>
      <c r="S449" s="59"/>
      <c r="T449" s="59"/>
      <c r="U449" s="59"/>
      <c r="V449" s="59"/>
      <c r="W449" s="68"/>
      <c r="X449" s="68"/>
      <c r="Y449" s="68"/>
    </row>
    <row r="450" s="17" customFormat="1" hidden="1" customHeight="1" spans="1:25">
      <c r="A450" s="59">
        <v>448</v>
      </c>
      <c r="B450" s="60" t="s">
        <v>1047</v>
      </c>
      <c r="C450" s="61">
        <f t="shared" si="22"/>
        <v>44806</v>
      </c>
      <c r="D450" s="62" t="str">
        <f ca="1" t="shared" si="19"/>
        <v>一年以上</v>
      </c>
      <c r="E450" s="313">
        <v>44806</v>
      </c>
      <c r="F450" s="59" t="s">
        <v>632</v>
      </c>
      <c r="G450" s="59" t="s">
        <v>993</v>
      </c>
      <c r="H450" s="63" t="s">
        <v>1048</v>
      </c>
      <c r="I450" s="63" t="s">
        <v>1048</v>
      </c>
      <c r="J450" s="314">
        <v>10000</v>
      </c>
      <c r="K450" s="59" t="s">
        <v>28</v>
      </c>
      <c r="L450" s="59" t="s">
        <v>57</v>
      </c>
      <c r="M450" s="59" t="s">
        <v>30</v>
      </c>
      <c r="N450" s="315">
        <v>10000</v>
      </c>
      <c r="O450" s="316">
        <f t="shared" si="21"/>
        <v>0</v>
      </c>
      <c r="P450" s="95">
        <v>44846</v>
      </c>
      <c r="Q450" s="61">
        <f t="shared" si="20"/>
        <v>44846</v>
      </c>
      <c r="R450" s="59"/>
      <c r="S450" s="59" t="s">
        <v>1049</v>
      </c>
      <c r="T450" s="59"/>
      <c r="U450" s="59"/>
      <c r="V450" s="59"/>
      <c r="W450" s="68"/>
      <c r="X450" s="68"/>
      <c r="Y450" s="68"/>
    </row>
    <row r="451" s="17" customFormat="1" hidden="1" customHeight="1" spans="1:25">
      <c r="A451" s="59">
        <v>449</v>
      </c>
      <c r="B451" s="60" t="s">
        <v>1050</v>
      </c>
      <c r="C451" s="61">
        <f t="shared" si="22"/>
        <v>44806</v>
      </c>
      <c r="D451" s="62" t="str">
        <f ca="1" t="shared" ref="D451:D514" si="23">IF(TODAY()-E451&lt;60,"2个月内",IF(TODAY()-E451&lt;180,"3-6个月",IF(TODAY()-E451&lt;360,"6个月-1年","一年以上")))</f>
        <v>一年以上</v>
      </c>
      <c r="E451" s="313">
        <v>44806</v>
      </c>
      <c r="F451" s="59" t="s">
        <v>632</v>
      </c>
      <c r="G451" s="59" t="s">
        <v>450</v>
      </c>
      <c r="H451" s="63" t="s">
        <v>1051</v>
      </c>
      <c r="I451" s="63" t="s">
        <v>1051</v>
      </c>
      <c r="J451" s="314">
        <v>28000</v>
      </c>
      <c r="K451" s="59" t="s">
        <v>28</v>
      </c>
      <c r="L451" s="59" t="s">
        <v>57</v>
      </c>
      <c r="M451" s="59" t="s">
        <v>30</v>
      </c>
      <c r="N451" s="315">
        <v>28000</v>
      </c>
      <c r="O451" s="316">
        <f t="shared" si="21"/>
        <v>0</v>
      </c>
      <c r="P451" s="95">
        <v>44888</v>
      </c>
      <c r="Q451" s="61">
        <f t="shared" ref="Q451:Q514" si="24">P451</f>
        <v>44888</v>
      </c>
      <c r="R451" s="59"/>
      <c r="S451" s="59" t="s">
        <v>1052</v>
      </c>
      <c r="T451" s="59"/>
      <c r="U451" s="59"/>
      <c r="V451" s="59"/>
      <c r="W451" s="68"/>
      <c r="X451" s="68"/>
      <c r="Y451" s="68"/>
    </row>
    <row r="452" s="17" customFormat="1" hidden="1" customHeight="1" spans="1:25">
      <c r="A452" s="59">
        <v>450</v>
      </c>
      <c r="B452" s="60" t="s">
        <v>1053</v>
      </c>
      <c r="C452" s="61">
        <f t="shared" si="22"/>
        <v>44806</v>
      </c>
      <c r="D452" s="62" t="str">
        <f ca="1" t="shared" si="23"/>
        <v>一年以上</v>
      </c>
      <c r="E452" s="313">
        <v>44806</v>
      </c>
      <c r="F452" s="59" t="s">
        <v>70</v>
      </c>
      <c r="G452" s="59" t="s">
        <v>1054</v>
      </c>
      <c r="H452" s="63" t="s">
        <v>1043</v>
      </c>
      <c r="I452" s="63" t="s">
        <v>1043</v>
      </c>
      <c r="J452" s="314">
        <v>10000</v>
      </c>
      <c r="K452" s="59" t="s">
        <v>28</v>
      </c>
      <c r="L452" s="59" t="s">
        <v>57</v>
      </c>
      <c r="M452" s="59" t="s">
        <v>65</v>
      </c>
      <c r="N452" s="315">
        <v>10000</v>
      </c>
      <c r="O452" s="316">
        <f t="shared" si="21"/>
        <v>0</v>
      </c>
      <c r="P452" s="95">
        <v>44921</v>
      </c>
      <c r="Q452" s="61">
        <f t="shared" si="24"/>
        <v>44921</v>
      </c>
      <c r="R452" s="59"/>
      <c r="S452" s="59" t="s">
        <v>1055</v>
      </c>
      <c r="T452" s="59"/>
      <c r="U452" s="59"/>
      <c r="V452" s="59"/>
      <c r="W452" s="68"/>
      <c r="X452" s="68"/>
      <c r="Y452" s="68"/>
    </row>
    <row r="453" s="17" customFormat="1" hidden="1" customHeight="1" spans="1:25">
      <c r="A453" s="59">
        <v>451</v>
      </c>
      <c r="B453" s="60" t="s">
        <v>1056</v>
      </c>
      <c r="C453" s="61">
        <f t="shared" si="22"/>
        <v>44806</v>
      </c>
      <c r="D453" s="62" t="str">
        <f ca="1" t="shared" si="23"/>
        <v>一年以上</v>
      </c>
      <c r="E453" s="313">
        <v>44806</v>
      </c>
      <c r="F453" s="59" t="s">
        <v>70</v>
      </c>
      <c r="G453" s="59" t="s">
        <v>1054</v>
      </c>
      <c r="H453" s="63" t="s">
        <v>1043</v>
      </c>
      <c r="I453" s="63" t="s">
        <v>1043</v>
      </c>
      <c r="J453" s="314">
        <v>5000</v>
      </c>
      <c r="K453" s="59" t="s">
        <v>28</v>
      </c>
      <c r="L453" s="59" t="s">
        <v>57</v>
      </c>
      <c r="M453" s="59" t="s">
        <v>65</v>
      </c>
      <c r="N453" s="315">
        <v>5000</v>
      </c>
      <c r="O453" s="316">
        <f t="shared" si="21"/>
        <v>0</v>
      </c>
      <c r="P453" s="95">
        <v>44921</v>
      </c>
      <c r="Q453" s="61">
        <f t="shared" si="24"/>
        <v>44921</v>
      </c>
      <c r="R453" s="59"/>
      <c r="S453" s="59" t="s">
        <v>1055</v>
      </c>
      <c r="T453" s="59"/>
      <c r="U453" s="59"/>
      <c r="V453" s="59"/>
      <c r="W453" s="68"/>
      <c r="X453" s="68"/>
      <c r="Y453" s="68"/>
    </row>
    <row r="454" s="17" customFormat="1" hidden="1" customHeight="1" spans="1:25">
      <c r="A454" s="59">
        <v>452</v>
      </c>
      <c r="B454" s="60" t="s">
        <v>1057</v>
      </c>
      <c r="C454" s="61">
        <f t="shared" si="22"/>
        <v>44809</v>
      </c>
      <c r="D454" s="62" t="str">
        <f ca="1" t="shared" si="23"/>
        <v>一年以上</v>
      </c>
      <c r="E454" s="313">
        <v>44809</v>
      </c>
      <c r="F454" s="59" t="s">
        <v>632</v>
      </c>
      <c r="G454" s="59" t="s">
        <v>993</v>
      </c>
      <c r="H454" s="63" t="s">
        <v>863</v>
      </c>
      <c r="I454" s="63" t="s">
        <v>863</v>
      </c>
      <c r="J454" s="314">
        <v>20000</v>
      </c>
      <c r="K454" s="59" t="s">
        <v>28</v>
      </c>
      <c r="L454" s="59" t="s">
        <v>57</v>
      </c>
      <c r="M454" s="59" t="s">
        <v>30</v>
      </c>
      <c r="N454" s="315">
        <v>20000</v>
      </c>
      <c r="O454" s="316">
        <f t="shared" si="21"/>
        <v>0</v>
      </c>
      <c r="P454" s="95">
        <v>44883</v>
      </c>
      <c r="Q454" s="61">
        <f t="shared" si="24"/>
        <v>44883</v>
      </c>
      <c r="R454" s="59"/>
      <c r="S454" s="59" t="s">
        <v>1058</v>
      </c>
      <c r="T454" s="59"/>
      <c r="U454" s="59"/>
      <c r="V454" s="59"/>
      <c r="W454" s="68"/>
      <c r="X454" s="68"/>
      <c r="Y454" s="68"/>
    </row>
    <row r="455" s="17" customFormat="1" hidden="1" customHeight="1" spans="1:25">
      <c r="A455" s="59">
        <v>453</v>
      </c>
      <c r="B455" s="60" t="s">
        <v>1059</v>
      </c>
      <c r="C455" s="61">
        <f t="shared" si="22"/>
        <v>44809</v>
      </c>
      <c r="D455" s="62" t="str">
        <f ca="1" t="shared" si="23"/>
        <v>一年以上</v>
      </c>
      <c r="E455" s="313">
        <v>44809</v>
      </c>
      <c r="F455" s="59" t="s">
        <v>70</v>
      </c>
      <c r="G455" s="59" t="s">
        <v>335</v>
      </c>
      <c r="H455" s="63" t="s">
        <v>505</v>
      </c>
      <c r="I455" s="63" t="s">
        <v>505</v>
      </c>
      <c r="J455" s="314">
        <v>2000</v>
      </c>
      <c r="K455" s="59" t="s">
        <v>356</v>
      </c>
      <c r="L455" s="59" t="s">
        <v>96</v>
      </c>
      <c r="M455" s="59" t="s">
        <v>65</v>
      </c>
      <c r="N455" s="315">
        <v>2000</v>
      </c>
      <c r="O455" s="316">
        <f t="shared" si="21"/>
        <v>0</v>
      </c>
      <c r="P455" s="95">
        <v>45014</v>
      </c>
      <c r="Q455" s="61">
        <f t="shared" si="24"/>
        <v>45014</v>
      </c>
      <c r="R455" s="59"/>
      <c r="S455" s="59" t="s">
        <v>1060</v>
      </c>
      <c r="T455" s="59" t="s">
        <v>44</v>
      </c>
      <c r="U455" s="59"/>
      <c r="V455" s="59"/>
      <c r="W455" s="68"/>
      <c r="X455" s="68"/>
      <c r="Y455" s="68"/>
    </row>
    <row r="456" s="17" customFormat="1" hidden="1" customHeight="1" spans="1:25">
      <c r="A456" s="59">
        <v>454</v>
      </c>
      <c r="B456" s="60" t="s">
        <v>1061</v>
      </c>
      <c r="C456" s="61">
        <f t="shared" si="22"/>
        <v>44812</v>
      </c>
      <c r="D456" s="62" t="str">
        <f ca="1" t="shared" si="23"/>
        <v>一年以上</v>
      </c>
      <c r="E456" s="313">
        <v>44812</v>
      </c>
      <c r="F456" s="59" t="s">
        <v>632</v>
      </c>
      <c r="G456" s="59" t="s">
        <v>450</v>
      </c>
      <c r="H456" s="63" t="s">
        <v>577</v>
      </c>
      <c r="I456" s="63" t="s">
        <v>578</v>
      </c>
      <c r="J456" s="314">
        <v>2000</v>
      </c>
      <c r="K456" s="59" t="s">
        <v>28</v>
      </c>
      <c r="L456" s="59" t="s">
        <v>57</v>
      </c>
      <c r="M456" s="59" t="s">
        <v>30</v>
      </c>
      <c r="N456" s="315">
        <v>2000</v>
      </c>
      <c r="O456" s="316">
        <f t="shared" si="21"/>
        <v>0</v>
      </c>
      <c r="P456" s="95">
        <v>44813</v>
      </c>
      <c r="Q456" s="61">
        <f t="shared" si="24"/>
        <v>44813</v>
      </c>
      <c r="R456" s="59"/>
      <c r="S456" s="59" t="s">
        <v>1062</v>
      </c>
      <c r="T456" s="59"/>
      <c r="U456" s="59"/>
      <c r="V456" s="59"/>
      <c r="W456" s="68"/>
      <c r="X456" s="68"/>
      <c r="Y456" s="68"/>
    </row>
    <row r="457" s="17" customFormat="1" hidden="1" customHeight="1" spans="1:25">
      <c r="A457" s="59">
        <v>455</v>
      </c>
      <c r="B457" s="60" t="s">
        <v>1063</v>
      </c>
      <c r="C457" s="61">
        <f t="shared" si="22"/>
        <v>44812</v>
      </c>
      <c r="D457" s="62" t="str">
        <f ca="1" t="shared" si="23"/>
        <v>一年以上</v>
      </c>
      <c r="E457" s="313">
        <v>44812</v>
      </c>
      <c r="F457" s="59" t="s">
        <v>632</v>
      </c>
      <c r="G457" s="59" t="s">
        <v>993</v>
      </c>
      <c r="H457" s="63" t="s">
        <v>1012</v>
      </c>
      <c r="I457" s="63" t="s">
        <v>1012</v>
      </c>
      <c r="J457" s="314">
        <v>2000</v>
      </c>
      <c r="K457" s="59" t="s">
        <v>28</v>
      </c>
      <c r="L457" s="59" t="s">
        <v>57</v>
      </c>
      <c r="M457" s="59" t="s">
        <v>30</v>
      </c>
      <c r="N457" s="315">
        <v>2000</v>
      </c>
      <c r="O457" s="316">
        <f t="shared" si="21"/>
        <v>0</v>
      </c>
      <c r="P457" s="95">
        <v>45925</v>
      </c>
      <c r="Q457" s="61">
        <f t="shared" si="24"/>
        <v>45925</v>
      </c>
      <c r="R457" s="59"/>
      <c r="S457" s="59"/>
      <c r="T457" s="59" t="s">
        <v>32</v>
      </c>
      <c r="U457" s="59" t="str">
        <f>VLOOKUP(T457,[1]区域划分!$A$1:$C$39,3,0)</f>
        <v>方渊</v>
      </c>
      <c r="V457" s="59"/>
      <c r="W457" s="68"/>
      <c r="X457" s="68"/>
      <c r="Y457" s="68"/>
    </row>
    <row r="458" s="17" customFormat="1" hidden="1" customHeight="1" spans="1:25">
      <c r="A458" s="59">
        <v>456</v>
      </c>
      <c r="B458" s="60" t="s">
        <v>1064</v>
      </c>
      <c r="C458" s="61">
        <f t="shared" si="22"/>
        <v>44812</v>
      </c>
      <c r="D458" s="62" t="str">
        <f ca="1" t="shared" si="23"/>
        <v>一年以上</v>
      </c>
      <c r="E458" s="313">
        <v>44812</v>
      </c>
      <c r="F458" s="59" t="s">
        <v>632</v>
      </c>
      <c r="G458" s="59" t="s">
        <v>993</v>
      </c>
      <c r="H458" s="63" t="s">
        <v>1012</v>
      </c>
      <c r="I458" s="63" t="s">
        <v>1012</v>
      </c>
      <c r="J458" s="314">
        <v>100</v>
      </c>
      <c r="K458" s="59" t="s">
        <v>28</v>
      </c>
      <c r="L458" s="59" t="s">
        <v>57</v>
      </c>
      <c r="M458" s="59" t="s">
        <v>515</v>
      </c>
      <c r="N458" s="315">
        <v>100</v>
      </c>
      <c r="O458" s="316">
        <f t="shared" ref="O458:O521" si="25">J458-N458</f>
        <v>0</v>
      </c>
      <c r="P458" s="95">
        <v>44880</v>
      </c>
      <c r="Q458" s="61">
        <f t="shared" si="24"/>
        <v>44880</v>
      </c>
      <c r="R458" s="59" t="s">
        <v>951</v>
      </c>
      <c r="S458" s="59"/>
      <c r="T458" s="59"/>
      <c r="U458" s="59"/>
      <c r="V458" s="59"/>
      <c r="W458" s="68"/>
      <c r="X458" s="68"/>
      <c r="Y458" s="68"/>
    </row>
    <row r="459" s="17" customFormat="1" hidden="1" customHeight="1" spans="1:25">
      <c r="A459" s="59">
        <v>457</v>
      </c>
      <c r="B459" s="60" t="s">
        <v>1065</v>
      </c>
      <c r="C459" s="61">
        <f t="shared" si="22"/>
        <v>44812</v>
      </c>
      <c r="D459" s="62" t="str">
        <f ca="1" t="shared" si="23"/>
        <v>一年以上</v>
      </c>
      <c r="E459" s="313">
        <v>44812</v>
      </c>
      <c r="F459" s="59" t="s">
        <v>632</v>
      </c>
      <c r="G459" s="59" t="s">
        <v>450</v>
      </c>
      <c r="H459" s="63" t="s">
        <v>577</v>
      </c>
      <c r="I459" s="63" t="s">
        <v>578</v>
      </c>
      <c r="J459" s="314">
        <v>2000</v>
      </c>
      <c r="K459" s="59" t="s">
        <v>28</v>
      </c>
      <c r="L459" s="59" t="s">
        <v>57</v>
      </c>
      <c r="M459" s="59" t="s">
        <v>30</v>
      </c>
      <c r="N459" s="315">
        <v>2000</v>
      </c>
      <c r="O459" s="316">
        <f t="shared" si="25"/>
        <v>0</v>
      </c>
      <c r="P459" s="95">
        <v>45349</v>
      </c>
      <c r="Q459" s="61">
        <f t="shared" si="24"/>
        <v>45349</v>
      </c>
      <c r="R459" s="59"/>
      <c r="S459" s="59" t="s">
        <v>1062</v>
      </c>
      <c r="T459" s="59" t="s">
        <v>581</v>
      </c>
      <c r="U459" s="59" t="str">
        <f>VLOOKUP(T459,[1]区域划分!$A$1:$C$39,3,0)</f>
        <v>新疆</v>
      </c>
      <c r="V459" s="59"/>
      <c r="W459" s="68"/>
      <c r="X459" s="68"/>
      <c r="Y459" s="68"/>
    </row>
    <row r="460" s="17" customFormat="1" hidden="1" customHeight="1" spans="1:25">
      <c r="A460" s="59">
        <v>458</v>
      </c>
      <c r="B460" s="60" t="s">
        <v>1066</v>
      </c>
      <c r="C460" s="61">
        <f t="shared" si="22"/>
        <v>44817</v>
      </c>
      <c r="D460" s="62" t="str">
        <f ca="1" t="shared" si="23"/>
        <v>一年以上</v>
      </c>
      <c r="E460" s="313">
        <v>44817</v>
      </c>
      <c r="F460" s="59" t="s">
        <v>130</v>
      </c>
      <c r="G460" s="59" t="s">
        <v>993</v>
      </c>
      <c r="H460" s="63" t="s">
        <v>996</v>
      </c>
      <c r="I460" s="63" t="s">
        <v>996</v>
      </c>
      <c r="J460" s="314">
        <v>3000</v>
      </c>
      <c r="K460" s="59" t="s">
        <v>28</v>
      </c>
      <c r="L460" s="59" t="s">
        <v>57</v>
      </c>
      <c r="M460" s="59" t="s">
        <v>1067</v>
      </c>
      <c r="N460" s="315">
        <v>3000</v>
      </c>
      <c r="O460" s="316">
        <f t="shared" si="25"/>
        <v>0</v>
      </c>
      <c r="P460" s="95">
        <v>44877</v>
      </c>
      <c r="Q460" s="61">
        <f t="shared" si="24"/>
        <v>44877</v>
      </c>
      <c r="R460" s="59"/>
      <c r="S460" s="59" t="s">
        <v>1068</v>
      </c>
      <c r="T460" s="59"/>
      <c r="U460" s="59"/>
      <c r="V460" s="59"/>
      <c r="W460" s="68"/>
      <c r="X460" s="68"/>
      <c r="Y460" s="68"/>
    </row>
    <row r="461" s="17" customFormat="1" hidden="1" customHeight="1" spans="1:25">
      <c r="A461" s="59">
        <v>459</v>
      </c>
      <c r="B461" s="60" t="s">
        <v>1069</v>
      </c>
      <c r="C461" s="61">
        <f t="shared" si="22"/>
        <v>44819</v>
      </c>
      <c r="D461" s="62" t="str">
        <f ca="1" t="shared" si="23"/>
        <v>一年以上</v>
      </c>
      <c r="E461" s="313">
        <v>44819</v>
      </c>
      <c r="F461" s="59" t="s">
        <v>632</v>
      </c>
      <c r="G461" s="59" t="s">
        <v>450</v>
      </c>
      <c r="H461" s="63" t="s">
        <v>1070</v>
      </c>
      <c r="I461" s="63" t="s">
        <v>1070</v>
      </c>
      <c r="J461" s="314">
        <v>800</v>
      </c>
      <c r="K461" s="59" t="s">
        <v>28</v>
      </c>
      <c r="L461" s="59" t="s">
        <v>57</v>
      </c>
      <c r="M461" s="59" t="s">
        <v>515</v>
      </c>
      <c r="N461" s="315">
        <v>800</v>
      </c>
      <c r="O461" s="316">
        <f t="shared" si="25"/>
        <v>0</v>
      </c>
      <c r="P461" s="95">
        <v>44880</v>
      </c>
      <c r="Q461" s="61">
        <f t="shared" si="24"/>
        <v>44880</v>
      </c>
      <c r="R461" s="59" t="s">
        <v>951</v>
      </c>
      <c r="S461" s="59"/>
      <c r="T461" s="59"/>
      <c r="U461" s="59"/>
      <c r="V461" s="59"/>
      <c r="W461" s="68"/>
      <c r="X461" s="68"/>
      <c r="Y461" s="68"/>
    </row>
    <row r="462" s="17" customFormat="1" hidden="1" customHeight="1" spans="1:25">
      <c r="A462" s="59">
        <v>461</v>
      </c>
      <c r="B462" s="60" t="s">
        <v>1071</v>
      </c>
      <c r="C462" s="61">
        <f t="shared" si="22"/>
        <v>44819</v>
      </c>
      <c r="D462" s="62" t="str">
        <f ca="1" t="shared" si="23"/>
        <v>一年以上</v>
      </c>
      <c r="E462" s="313">
        <v>44819</v>
      </c>
      <c r="F462" s="59" t="s">
        <v>130</v>
      </c>
      <c r="G462" s="59" t="s">
        <v>569</v>
      </c>
      <c r="H462" s="63" t="s">
        <v>863</v>
      </c>
      <c r="I462" s="63" t="s">
        <v>863</v>
      </c>
      <c r="J462" s="314">
        <v>9450</v>
      </c>
      <c r="K462" s="59" t="s">
        <v>28</v>
      </c>
      <c r="L462" s="59" t="s">
        <v>57</v>
      </c>
      <c r="M462" s="59" t="s">
        <v>941</v>
      </c>
      <c r="N462" s="315">
        <v>9450</v>
      </c>
      <c r="O462" s="316">
        <f t="shared" si="25"/>
        <v>0</v>
      </c>
      <c r="P462" s="95">
        <v>44925</v>
      </c>
      <c r="Q462" s="61">
        <f t="shared" si="24"/>
        <v>44925</v>
      </c>
      <c r="R462" s="59"/>
      <c r="S462" s="59" t="s">
        <v>1072</v>
      </c>
      <c r="T462" s="59"/>
      <c r="U462" s="59"/>
      <c r="V462" s="59" t="s">
        <v>1073</v>
      </c>
      <c r="W462" s="68"/>
      <c r="X462" s="68"/>
      <c r="Y462" s="68"/>
    </row>
    <row r="463" s="17" customFormat="1" hidden="1" customHeight="1" spans="1:25">
      <c r="A463" s="59">
        <v>462</v>
      </c>
      <c r="B463" s="60" t="s">
        <v>1074</v>
      </c>
      <c r="C463" s="61">
        <f t="shared" si="22"/>
        <v>44819</v>
      </c>
      <c r="D463" s="62" t="str">
        <f ca="1" t="shared" si="23"/>
        <v>一年以上</v>
      </c>
      <c r="E463" s="313">
        <v>44819</v>
      </c>
      <c r="F463" s="59" t="s">
        <v>130</v>
      </c>
      <c r="G463" s="59" t="s">
        <v>569</v>
      </c>
      <c r="H463" s="63" t="s">
        <v>863</v>
      </c>
      <c r="I463" s="63" t="s">
        <v>863</v>
      </c>
      <c r="J463" s="314">
        <v>9450</v>
      </c>
      <c r="K463" s="59" t="s">
        <v>28</v>
      </c>
      <c r="L463" s="59" t="s">
        <v>57</v>
      </c>
      <c r="M463" s="59" t="s">
        <v>133</v>
      </c>
      <c r="N463" s="315">
        <v>9450</v>
      </c>
      <c r="O463" s="316">
        <f t="shared" si="25"/>
        <v>0</v>
      </c>
      <c r="P463" s="95">
        <v>44925</v>
      </c>
      <c r="Q463" s="61">
        <f t="shared" si="24"/>
        <v>44925</v>
      </c>
      <c r="R463" s="59"/>
      <c r="S463" s="59" t="s">
        <v>1075</v>
      </c>
      <c r="T463" s="59"/>
      <c r="U463" s="59"/>
      <c r="V463" s="59" t="s">
        <v>1073</v>
      </c>
      <c r="W463" s="68"/>
      <c r="X463" s="68"/>
      <c r="Y463" s="68"/>
    </row>
    <row r="464" s="17" customFormat="1" hidden="1" customHeight="1" spans="1:25">
      <c r="A464" s="59">
        <v>463</v>
      </c>
      <c r="B464" s="60" t="s">
        <v>1076</v>
      </c>
      <c r="C464" s="61">
        <f t="shared" si="22"/>
        <v>44819</v>
      </c>
      <c r="D464" s="62" t="str">
        <f ca="1" t="shared" si="23"/>
        <v>一年以上</v>
      </c>
      <c r="E464" s="313">
        <v>44819</v>
      </c>
      <c r="F464" s="59" t="s">
        <v>130</v>
      </c>
      <c r="G464" s="59" t="s">
        <v>569</v>
      </c>
      <c r="H464" s="63" t="s">
        <v>863</v>
      </c>
      <c r="I464" s="63" t="s">
        <v>863</v>
      </c>
      <c r="J464" s="314">
        <v>10500</v>
      </c>
      <c r="K464" s="59" t="s">
        <v>28</v>
      </c>
      <c r="L464" s="59" t="s">
        <v>57</v>
      </c>
      <c r="M464" s="59" t="s">
        <v>133</v>
      </c>
      <c r="N464" s="315">
        <v>10500</v>
      </c>
      <c r="O464" s="316">
        <f t="shared" si="25"/>
        <v>0</v>
      </c>
      <c r="P464" s="95">
        <v>45230</v>
      </c>
      <c r="Q464" s="61">
        <f t="shared" si="24"/>
        <v>45230</v>
      </c>
      <c r="R464" s="59" t="s">
        <v>1077</v>
      </c>
      <c r="S464" s="59" t="s">
        <v>1078</v>
      </c>
      <c r="T464" s="59" t="s">
        <v>972</v>
      </c>
      <c r="U464" s="59"/>
      <c r="V464" s="59" t="s">
        <v>1073</v>
      </c>
      <c r="W464" s="68"/>
      <c r="X464" s="68"/>
      <c r="Y464" s="68"/>
    </row>
    <row r="465" s="17" customFormat="1" hidden="1" customHeight="1" spans="1:25">
      <c r="A465" s="59">
        <v>464</v>
      </c>
      <c r="B465" s="60" t="s">
        <v>1079</v>
      </c>
      <c r="C465" s="61">
        <f t="shared" si="22"/>
        <v>44819</v>
      </c>
      <c r="D465" s="62" t="str">
        <f ca="1" t="shared" si="23"/>
        <v>一年以上</v>
      </c>
      <c r="E465" s="313">
        <v>44819</v>
      </c>
      <c r="F465" s="59" t="s">
        <v>130</v>
      </c>
      <c r="G465" s="59" t="s">
        <v>569</v>
      </c>
      <c r="H465" s="63" t="s">
        <v>863</v>
      </c>
      <c r="I465" s="63" t="s">
        <v>863</v>
      </c>
      <c r="J465" s="314">
        <v>20063.75</v>
      </c>
      <c r="K465" s="59" t="s">
        <v>28</v>
      </c>
      <c r="L465" s="59" t="s">
        <v>57</v>
      </c>
      <c r="M465" s="59" t="s">
        <v>941</v>
      </c>
      <c r="N465" s="315">
        <v>20063.75</v>
      </c>
      <c r="O465" s="316">
        <f t="shared" si="25"/>
        <v>0</v>
      </c>
      <c r="P465" s="95">
        <v>45499</v>
      </c>
      <c r="Q465" s="61">
        <f t="shared" si="24"/>
        <v>45499</v>
      </c>
      <c r="R465" s="59"/>
      <c r="S465" s="59" t="s">
        <v>1080</v>
      </c>
      <c r="T465" s="59" t="s">
        <v>972</v>
      </c>
      <c r="U465" s="59" t="str">
        <f>VLOOKUP(T465,[1]区域划分!$A$1:$C$39,3,0)</f>
        <v>曾江利</v>
      </c>
      <c r="V465" s="59" t="s">
        <v>1073</v>
      </c>
      <c r="W465" s="68"/>
      <c r="X465" s="68"/>
      <c r="Y465" s="68"/>
    </row>
    <row r="466" s="17" customFormat="1" hidden="1" customHeight="1" spans="1:25">
      <c r="A466" s="59">
        <v>465</v>
      </c>
      <c r="B466" s="60" t="s">
        <v>1081</v>
      </c>
      <c r="C466" s="61">
        <f t="shared" si="22"/>
        <v>44819</v>
      </c>
      <c r="D466" s="62" t="str">
        <f ca="1" t="shared" si="23"/>
        <v>一年以上</v>
      </c>
      <c r="E466" s="313">
        <v>44819</v>
      </c>
      <c r="F466" s="59" t="s">
        <v>130</v>
      </c>
      <c r="G466" s="59" t="s">
        <v>569</v>
      </c>
      <c r="H466" s="63" t="s">
        <v>863</v>
      </c>
      <c r="I466" s="63" t="s">
        <v>863</v>
      </c>
      <c r="J466" s="314">
        <v>20063.75</v>
      </c>
      <c r="K466" s="59" t="s">
        <v>28</v>
      </c>
      <c r="L466" s="59" t="s">
        <v>57</v>
      </c>
      <c r="M466" s="59" t="s">
        <v>133</v>
      </c>
      <c r="N466" s="315">
        <v>20063.75</v>
      </c>
      <c r="O466" s="316">
        <f t="shared" si="25"/>
        <v>0</v>
      </c>
      <c r="P466" s="95">
        <v>45499</v>
      </c>
      <c r="Q466" s="61">
        <f t="shared" si="24"/>
        <v>45499</v>
      </c>
      <c r="R466" s="59"/>
      <c r="S466" s="59" t="s">
        <v>1082</v>
      </c>
      <c r="T466" s="59" t="s">
        <v>972</v>
      </c>
      <c r="U466" s="59" t="str">
        <f>VLOOKUP(T466,[1]区域划分!$A$1:$C$39,3,0)</f>
        <v>曾江利</v>
      </c>
      <c r="V466" s="59" t="s">
        <v>1073</v>
      </c>
      <c r="W466" s="68"/>
      <c r="X466" s="68"/>
      <c r="Y466" s="68"/>
    </row>
    <row r="467" s="17" customFormat="1" hidden="1" customHeight="1" spans="1:25">
      <c r="A467" s="59">
        <v>460</v>
      </c>
      <c r="B467" s="60" t="s">
        <v>1083</v>
      </c>
      <c r="C467" s="61">
        <f t="shared" si="22"/>
        <v>44820</v>
      </c>
      <c r="D467" s="62" t="str">
        <f ca="1" t="shared" si="23"/>
        <v>一年以上</v>
      </c>
      <c r="E467" s="313">
        <v>44820</v>
      </c>
      <c r="F467" s="59" t="s">
        <v>632</v>
      </c>
      <c r="G467" s="59" t="s">
        <v>450</v>
      </c>
      <c r="H467" s="63" t="s">
        <v>1084</v>
      </c>
      <c r="I467" s="63" t="s">
        <v>1084</v>
      </c>
      <c r="J467" s="314">
        <v>20000</v>
      </c>
      <c r="K467" s="59" t="s">
        <v>28</v>
      </c>
      <c r="L467" s="59" t="s">
        <v>57</v>
      </c>
      <c r="M467" s="59" t="s">
        <v>30</v>
      </c>
      <c r="N467" s="315">
        <f>10000+10000</f>
        <v>20000</v>
      </c>
      <c r="O467" s="316">
        <f t="shared" si="25"/>
        <v>0</v>
      </c>
      <c r="P467" s="95">
        <v>44881</v>
      </c>
      <c r="Q467" s="61">
        <f t="shared" si="24"/>
        <v>44881</v>
      </c>
      <c r="R467" s="59"/>
      <c r="S467" s="59" t="s">
        <v>1085</v>
      </c>
      <c r="T467" s="59"/>
      <c r="U467" s="59"/>
      <c r="V467" s="59"/>
      <c r="W467" s="68"/>
      <c r="X467" s="68"/>
      <c r="Y467" s="68"/>
    </row>
    <row r="468" s="17" customFormat="1" hidden="1" customHeight="1" spans="1:25">
      <c r="A468" s="59">
        <v>466</v>
      </c>
      <c r="B468" s="60" t="s">
        <v>1086</v>
      </c>
      <c r="C468" s="61">
        <f t="shared" si="22"/>
        <v>44824</v>
      </c>
      <c r="D468" s="62" t="str">
        <f ca="1" t="shared" si="23"/>
        <v>一年以上</v>
      </c>
      <c r="E468" s="313">
        <v>44824</v>
      </c>
      <c r="F468" s="59" t="s">
        <v>130</v>
      </c>
      <c r="G468" s="59" t="s">
        <v>208</v>
      </c>
      <c r="H468" s="63" t="s">
        <v>346</v>
      </c>
      <c r="I468" s="63" t="s">
        <v>346</v>
      </c>
      <c r="J468" s="314">
        <v>6000</v>
      </c>
      <c r="K468" s="59" t="s">
        <v>28</v>
      </c>
      <c r="L468" s="59" t="s">
        <v>57</v>
      </c>
      <c r="M468" s="59" t="s">
        <v>133</v>
      </c>
      <c r="N468" s="315">
        <v>6000</v>
      </c>
      <c r="O468" s="316">
        <f t="shared" si="25"/>
        <v>0</v>
      </c>
      <c r="P468" s="95">
        <v>44923</v>
      </c>
      <c r="Q468" s="61">
        <f t="shared" si="24"/>
        <v>44923</v>
      </c>
      <c r="R468" s="59"/>
      <c r="S468" s="59"/>
      <c r="T468" s="59"/>
      <c r="U468" s="59"/>
      <c r="V468" s="59"/>
      <c r="W468" s="68"/>
      <c r="X468" s="68"/>
      <c r="Y468" s="68"/>
    </row>
    <row r="469" s="17" customFormat="1" hidden="1" customHeight="1" spans="1:25">
      <c r="A469" s="59">
        <v>467</v>
      </c>
      <c r="B469" s="60" t="s">
        <v>1087</v>
      </c>
      <c r="C469" s="61">
        <f t="shared" si="22"/>
        <v>44824</v>
      </c>
      <c r="D469" s="62" t="str">
        <f ca="1" t="shared" si="23"/>
        <v>一年以上</v>
      </c>
      <c r="E469" s="313">
        <v>44824</v>
      </c>
      <c r="F469" s="59" t="s">
        <v>130</v>
      </c>
      <c r="G469" s="59" t="s">
        <v>1088</v>
      </c>
      <c r="H469" s="63" t="s">
        <v>1089</v>
      </c>
      <c r="I469" s="63" t="s">
        <v>1089</v>
      </c>
      <c r="J469" s="314">
        <v>60</v>
      </c>
      <c r="K469" s="59" t="s">
        <v>28</v>
      </c>
      <c r="L469" s="59" t="s">
        <v>96</v>
      </c>
      <c r="M469" s="59" t="s">
        <v>515</v>
      </c>
      <c r="N469" s="315">
        <v>60</v>
      </c>
      <c r="O469" s="316">
        <f t="shared" si="25"/>
        <v>0</v>
      </c>
      <c r="P469" s="95"/>
      <c r="Q469" s="61">
        <f t="shared" si="24"/>
        <v>0</v>
      </c>
      <c r="R469" s="59"/>
      <c r="S469" s="59"/>
      <c r="T469" s="59"/>
      <c r="U469" s="59"/>
      <c r="V469" s="59"/>
      <c r="W469" s="68"/>
      <c r="X469" s="68"/>
      <c r="Y469" s="68"/>
    </row>
    <row r="470" s="17" customFormat="1" hidden="1" customHeight="1" spans="1:25">
      <c r="A470" s="59">
        <v>468</v>
      </c>
      <c r="B470" s="60" t="s">
        <v>1090</v>
      </c>
      <c r="C470" s="61">
        <f t="shared" si="22"/>
        <v>44824</v>
      </c>
      <c r="D470" s="62" t="str">
        <f ca="1" t="shared" si="23"/>
        <v>一年以上</v>
      </c>
      <c r="E470" s="313">
        <v>44824</v>
      </c>
      <c r="F470" s="59" t="s">
        <v>632</v>
      </c>
      <c r="G470" s="59" t="s">
        <v>450</v>
      </c>
      <c r="H470" s="63" t="s">
        <v>34</v>
      </c>
      <c r="I470" s="63" t="s">
        <v>34</v>
      </c>
      <c r="J470" s="314">
        <v>50000</v>
      </c>
      <c r="K470" s="59" t="s">
        <v>28</v>
      </c>
      <c r="L470" s="59" t="s">
        <v>57</v>
      </c>
      <c r="M470" s="59" t="s">
        <v>30</v>
      </c>
      <c r="N470" s="315">
        <v>50000</v>
      </c>
      <c r="O470" s="316">
        <f t="shared" si="25"/>
        <v>0</v>
      </c>
      <c r="P470" s="95">
        <v>45257</v>
      </c>
      <c r="Q470" s="61">
        <f t="shared" si="24"/>
        <v>45257</v>
      </c>
      <c r="R470" s="59"/>
      <c r="S470" s="59" t="s">
        <v>1091</v>
      </c>
      <c r="T470" s="59" t="s">
        <v>311</v>
      </c>
      <c r="U470" s="59" t="str">
        <f>VLOOKUP(T470,[1]区域划分!$A$1:$C$39,3,0)</f>
        <v>牛国庆</v>
      </c>
      <c r="V470" s="59"/>
      <c r="W470" s="68"/>
      <c r="X470" s="68"/>
      <c r="Y470" s="68"/>
    </row>
    <row r="471" s="17" customFormat="1" hidden="1" customHeight="1" spans="1:25">
      <c r="A471" s="59">
        <v>469</v>
      </c>
      <c r="B471" s="60" t="s">
        <v>1092</v>
      </c>
      <c r="C471" s="61">
        <f t="shared" si="22"/>
        <v>44824</v>
      </c>
      <c r="D471" s="62" t="str">
        <f ca="1" t="shared" si="23"/>
        <v>一年以上</v>
      </c>
      <c r="E471" s="313">
        <v>44824</v>
      </c>
      <c r="F471" s="59" t="s">
        <v>632</v>
      </c>
      <c r="G471" s="59" t="s">
        <v>450</v>
      </c>
      <c r="H471" s="63" t="s">
        <v>34</v>
      </c>
      <c r="I471" s="63" t="s">
        <v>34</v>
      </c>
      <c r="J471" s="314">
        <v>50000</v>
      </c>
      <c r="K471" s="59" t="s">
        <v>28</v>
      </c>
      <c r="L471" s="59" t="s">
        <v>57</v>
      </c>
      <c r="M471" s="59" t="s">
        <v>30</v>
      </c>
      <c r="N471" s="315">
        <v>50000</v>
      </c>
      <c r="O471" s="316">
        <f t="shared" si="25"/>
        <v>0</v>
      </c>
      <c r="P471" s="95">
        <v>44895</v>
      </c>
      <c r="Q471" s="61">
        <f t="shared" si="24"/>
        <v>44895</v>
      </c>
      <c r="R471" s="59"/>
      <c r="S471" s="59" t="s">
        <v>1093</v>
      </c>
      <c r="T471" s="59"/>
      <c r="U471" s="59"/>
      <c r="V471" s="59"/>
      <c r="W471" s="68"/>
      <c r="X471" s="68"/>
      <c r="Y471" s="68"/>
    </row>
    <row r="472" s="17" customFormat="1" hidden="1" customHeight="1" spans="1:25">
      <c r="A472" s="59">
        <v>470</v>
      </c>
      <c r="B472" s="60" t="s">
        <v>1094</v>
      </c>
      <c r="C472" s="61">
        <f t="shared" si="22"/>
        <v>44824</v>
      </c>
      <c r="D472" s="62" t="str">
        <f ca="1" t="shared" si="23"/>
        <v>一年以上</v>
      </c>
      <c r="E472" s="313">
        <v>44824</v>
      </c>
      <c r="F472" s="59" t="s">
        <v>632</v>
      </c>
      <c r="G472" s="59" t="s">
        <v>450</v>
      </c>
      <c r="H472" s="63" t="s">
        <v>379</v>
      </c>
      <c r="I472" s="63" t="s">
        <v>379</v>
      </c>
      <c r="J472" s="314">
        <v>10000</v>
      </c>
      <c r="K472" s="59" t="s">
        <v>356</v>
      </c>
      <c r="L472" s="59" t="s">
        <v>458</v>
      </c>
      <c r="M472" s="59" t="s">
        <v>30</v>
      </c>
      <c r="N472" s="315">
        <v>10000</v>
      </c>
      <c r="O472" s="316">
        <f t="shared" si="25"/>
        <v>0</v>
      </c>
      <c r="P472" s="95">
        <v>44855</v>
      </c>
      <c r="Q472" s="61">
        <f t="shared" si="24"/>
        <v>44855</v>
      </c>
      <c r="R472" s="59"/>
      <c r="S472" s="59"/>
      <c r="T472" s="59"/>
      <c r="U472" s="59"/>
      <c r="V472" s="59"/>
      <c r="W472" s="68"/>
      <c r="X472" s="68"/>
      <c r="Y472" s="68"/>
    </row>
    <row r="473" s="17" customFormat="1" hidden="1" customHeight="1" spans="1:25">
      <c r="A473" s="59">
        <v>471</v>
      </c>
      <c r="B473" s="60" t="s">
        <v>1095</v>
      </c>
      <c r="C473" s="61">
        <f t="shared" si="22"/>
        <v>44826</v>
      </c>
      <c r="D473" s="62" t="str">
        <f ca="1" t="shared" si="23"/>
        <v>一年以上</v>
      </c>
      <c r="E473" s="313">
        <v>44826</v>
      </c>
      <c r="F473" s="59" t="s">
        <v>632</v>
      </c>
      <c r="G473" s="59" t="s">
        <v>450</v>
      </c>
      <c r="H473" s="63" t="s">
        <v>1096</v>
      </c>
      <c r="I473" s="63" t="s">
        <v>1096</v>
      </c>
      <c r="J473" s="314">
        <v>4136</v>
      </c>
      <c r="K473" s="59" t="s">
        <v>28</v>
      </c>
      <c r="L473" s="59" t="s">
        <v>96</v>
      </c>
      <c r="M473" s="59" t="s">
        <v>968</v>
      </c>
      <c r="N473" s="315">
        <f>3816+320</f>
        <v>4136</v>
      </c>
      <c r="O473" s="316">
        <f t="shared" si="25"/>
        <v>0</v>
      </c>
      <c r="P473" s="95">
        <v>44942</v>
      </c>
      <c r="Q473" s="61">
        <f t="shared" si="24"/>
        <v>44942</v>
      </c>
      <c r="R473" s="59" t="s">
        <v>1097</v>
      </c>
      <c r="S473" s="59"/>
      <c r="T473" s="59"/>
      <c r="U473" s="59"/>
      <c r="V473" s="59"/>
      <c r="W473" s="68"/>
      <c r="X473" s="68"/>
      <c r="Y473" s="68"/>
    </row>
    <row r="474" s="17" customFormat="1" hidden="1" customHeight="1" spans="1:25">
      <c r="A474" s="59">
        <v>472</v>
      </c>
      <c r="B474" s="60" t="s">
        <v>1098</v>
      </c>
      <c r="C474" s="61">
        <f t="shared" si="22"/>
        <v>44826</v>
      </c>
      <c r="D474" s="62" t="str">
        <f ca="1" t="shared" si="23"/>
        <v>一年以上</v>
      </c>
      <c r="E474" s="313">
        <v>44826</v>
      </c>
      <c r="F474" s="59" t="s">
        <v>632</v>
      </c>
      <c r="G474" s="59" t="s">
        <v>450</v>
      </c>
      <c r="H474" s="63" t="s">
        <v>366</v>
      </c>
      <c r="I474" s="63" t="s">
        <v>366</v>
      </c>
      <c r="J474" s="314">
        <v>5000</v>
      </c>
      <c r="K474" s="59" t="s">
        <v>356</v>
      </c>
      <c r="L474" s="59" t="s">
        <v>458</v>
      </c>
      <c r="M474" s="59" t="s">
        <v>30</v>
      </c>
      <c r="N474" s="315">
        <v>5000</v>
      </c>
      <c r="O474" s="316">
        <f t="shared" si="25"/>
        <v>0</v>
      </c>
      <c r="P474" s="95">
        <v>44859</v>
      </c>
      <c r="Q474" s="61">
        <f t="shared" si="24"/>
        <v>44859</v>
      </c>
      <c r="R474" s="59"/>
      <c r="S474" s="59" t="s">
        <v>1099</v>
      </c>
      <c r="T474" s="59"/>
      <c r="U474" s="59"/>
      <c r="V474" s="59"/>
      <c r="W474" s="68"/>
      <c r="X474" s="68"/>
      <c r="Y474" s="68"/>
    </row>
    <row r="475" s="17" customFormat="1" hidden="1" customHeight="1" spans="1:25">
      <c r="A475" s="59">
        <v>473</v>
      </c>
      <c r="B475" s="60" t="s">
        <v>1100</v>
      </c>
      <c r="C475" s="61">
        <f t="shared" si="22"/>
        <v>44827</v>
      </c>
      <c r="D475" s="62" t="str">
        <f ca="1" t="shared" si="23"/>
        <v>一年以上</v>
      </c>
      <c r="E475" s="313">
        <v>44827</v>
      </c>
      <c r="F475" s="59" t="s">
        <v>632</v>
      </c>
      <c r="G475" s="59" t="s">
        <v>450</v>
      </c>
      <c r="H475" s="63" t="s">
        <v>1101</v>
      </c>
      <c r="I475" s="63" t="s">
        <v>1101</v>
      </c>
      <c r="J475" s="314">
        <v>5000</v>
      </c>
      <c r="K475" s="59" t="s">
        <v>356</v>
      </c>
      <c r="L475" s="59" t="s">
        <v>458</v>
      </c>
      <c r="M475" s="59" t="s">
        <v>30</v>
      </c>
      <c r="N475" s="315">
        <v>5000</v>
      </c>
      <c r="O475" s="316">
        <f t="shared" si="25"/>
        <v>0</v>
      </c>
      <c r="P475" s="95">
        <v>45253</v>
      </c>
      <c r="Q475" s="61">
        <f t="shared" si="24"/>
        <v>45253</v>
      </c>
      <c r="R475" s="59"/>
      <c r="S475" s="59" t="s">
        <v>1102</v>
      </c>
      <c r="T475" s="59" t="s">
        <v>388</v>
      </c>
      <c r="U475" s="59" t="str">
        <f>VLOOKUP(T475,[1]区域划分!$A$1:$C$39,3,0)</f>
        <v>林维</v>
      </c>
      <c r="V475" s="59"/>
      <c r="W475" s="68"/>
      <c r="X475" s="68"/>
      <c r="Y475" s="68"/>
    </row>
    <row r="476" s="17" customFormat="1" hidden="1" customHeight="1" spans="1:25">
      <c r="A476" s="59">
        <v>474</v>
      </c>
      <c r="B476" s="60" t="s">
        <v>1103</v>
      </c>
      <c r="C476" s="61">
        <f t="shared" si="22"/>
        <v>44827</v>
      </c>
      <c r="D476" s="62" t="str">
        <f ca="1" t="shared" si="23"/>
        <v>一年以上</v>
      </c>
      <c r="E476" s="313">
        <v>44827</v>
      </c>
      <c r="F476" s="59" t="s">
        <v>632</v>
      </c>
      <c r="G476" s="59" t="s">
        <v>450</v>
      </c>
      <c r="H476" s="63" t="s">
        <v>1104</v>
      </c>
      <c r="I476" s="63" t="s">
        <v>1104</v>
      </c>
      <c r="J476" s="314">
        <v>5000</v>
      </c>
      <c r="K476" s="59" t="s">
        <v>28</v>
      </c>
      <c r="L476" s="59" t="s">
        <v>57</v>
      </c>
      <c r="M476" s="59" t="s">
        <v>30</v>
      </c>
      <c r="N476" s="315">
        <v>5000</v>
      </c>
      <c r="O476" s="316">
        <f t="shared" si="25"/>
        <v>0</v>
      </c>
      <c r="P476" s="95">
        <v>45282</v>
      </c>
      <c r="Q476" s="61">
        <f t="shared" si="24"/>
        <v>45282</v>
      </c>
      <c r="R476" s="59"/>
      <c r="S476" s="59" t="s">
        <v>1105</v>
      </c>
      <c r="T476" s="59" t="s">
        <v>32</v>
      </c>
      <c r="U476" s="59" t="str">
        <f>VLOOKUP(T476,[1]区域划分!$A$1:$C$39,3,0)</f>
        <v>方渊</v>
      </c>
      <c r="V476" s="59"/>
      <c r="W476" s="68"/>
      <c r="X476" s="68"/>
      <c r="Y476" s="68"/>
    </row>
    <row r="477" s="17" customFormat="1" hidden="1" customHeight="1" spans="1:25">
      <c r="A477" s="59">
        <v>475</v>
      </c>
      <c r="B477" s="60" t="s">
        <v>1106</v>
      </c>
      <c r="C477" s="61">
        <f t="shared" si="22"/>
        <v>44827</v>
      </c>
      <c r="D477" s="62" t="str">
        <f ca="1" t="shared" si="23"/>
        <v>一年以上</v>
      </c>
      <c r="E477" s="313">
        <v>44827</v>
      </c>
      <c r="F477" s="59" t="s">
        <v>632</v>
      </c>
      <c r="G477" s="59" t="s">
        <v>450</v>
      </c>
      <c r="H477" s="63" t="s">
        <v>648</v>
      </c>
      <c r="I477" s="63" t="s">
        <v>648</v>
      </c>
      <c r="J477" s="314">
        <v>5000</v>
      </c>
      <c r="K477" s="59" t="s">
        <v>28</v>
      </c>
      <c r="L477" s="59" t="s">
        <v>57</v>
      </c>
      <c r="M477" s="59" t="s">
        <v>30</v>
      </c>
      <c r="N477" s="315">
        <v>5000</v>
      </c>
      <c r="O477" s="316">
        <f t="shared" si="25"/>
        <v>0</v>
      </c>
      <c r="P477" s="95">
        <v>44882</v>
      </c>
      <c r="Q477" s="61">
        <f t="shared" si="24"/>
        <v>44882</v>
      </c>
      <c r="R477" s="59"/>
      <c r="S477" s="59" t="s">
        <v>1107</v>
      </c>
      <c r="T477" s="59"/>
      <c r="U477" s="59"/>
      <c r="V477" s="59"/>
      <c r="W477" s="68"/>
      <c r="X477" s="68"/>
      <c r="Y477" s="68"/>
    </row>
    <row r="478" s="17" customFormat="1" hidden="1" customHeight="1" spans="1:25">
      <c r="A478" s="59">
        <v>476</v>
      </c>
      <c r="B478" s="60" t="s">
        <v>1108</v>
      </c>
      <c r="C478" s="61">
        <f t="shared" si="22"/>
        <v>44830</v>
      </c>
      <c r="D478" s="62" t="str">
        <f ca="1" t="shared" si="23"/>
        <v>一年以上</v>
      </c>
      <c r="E478" s="313">
        <v>44830</v>
      </c>
      <c r="F478" s="59" t="s">
        <v>632</v>
      </c>
      <c r="G478" s="59" t="s">
        <v>993</v>
      </c>
      <c r="H478" s="63" t="s">
        <v>476</v>
      </c>
      <c r="I478" s="63" t="s">
        <v>476</v>
      </c>
      <c r="J478" s="314">
        <v>9800</v>
      </c>
      <c r="K478" s="59" t="s">
        <v>28</v>
      </c>
      <c r="L478" s="59" t="s">
        <v>57</v>
      </c>
      <c r="M478" s="59" t="s">
        <v>30</v>
      </c>
      <c r="N478" s="315">
        <v>9800</v>
      </c>
      <c r="O478" s="316">
        <f t="shared" si="25"/>
        <v>0</v>
      </c>
      <c r="P478" s="95">
        <v>44882</v>
      </c>
      <c r="Q478" s="61">
        <f t="shared" si="24"/>
        <v>44882</v>
      </c>
      <c r="R478" s="59"/>
      <c r="S478" s="59"/>
      <c r="T478" s="59"/>
      <c r="U478" s="59"/>
      <c r="V478" s="59"/>
      <c r="W478" s="68"/>
      <c r="X478" s="68"/>
      <c r="Y478" s="68"/>
    </row>
    <row r="479" s="17" customFormat="1" hidden="1" customHeight="1" spans="1:25">
      <c r="A479" s="59">
        <v>477</v>
      </c>
      <c r="B479" s="60" t="s">
        <v>1109</v>
      </c>
      <c r="C479" s="61">
        <f t="shared" si="22"/>
        <v>44830</v>
      </c>
      <c r="D479" s="62" t="str">
        <f ca="1" t="shared" si="23"/>
        <v>一年以上</v>
      </c>
      <c r="E479" s="313">
        <v>44830</v>
      </c>
      <c r="F479" s="59" t="s">
        <v>632</v>
      </c>
      <c r="G479" s="59" t="s">
        <v>450</v>
      </c>
      <c r="H479" s="63" t="s">
        <v>209</v>
      </c>
      <c r="I479" s="63" t="s">
        <v>209</v>
      </c>
      <c r="J479" s="314">
        <v>1000</v>
      </c>
      <c r="K479" s="59" t="s">
        <v>28</v>
      </c>
      <c r="L479" s="59" t="s">
        <v>57</v>
      </c>
      <c r="M479" s="59" t="s">
        <v>515</v>
      </c>
      <c r="N479" s="315"/>
      <c r="O479" s="316">
        <f t="shared" si="25"/>
        <v>1000</v>
      </c>
      <c r="P479" s="95"/>
      <c r="Q479" s="61">
        <f t="shared" si="24"/>
        <v>0</v>
      </c>
      <c r="R479" s="59"/>
      <c r="S479" s="59" t="s">
        <v>1110</v>
      </c>
      <c r="T479" s="59" t="s">
        <v>171</v>
      </c>
      <c r="U479" s="59" t="str">
        <f>VLOOKUP(T479,[1]区域划分!$A$1:$C$39,3,0)</f>
        <v>牛国庆</v>
      </c>
      <c r="V479" s="59"/>
      <c r="W479" s="68"/>
      <c r="X479" s="68"/>
      <c r="Y479" s="68"/>
    </row>
    <row r="480" s="17" customFormat="1" hidden="1" customHeight="1" spans="1:25">
      <c r="A480" s="59">
        <v>478</v>
      </c>
      <c r="B480" s="60" t="s">
        <v>1111</v>
      </c>
      <c r="C480" s="61">
        <f t="shared" si="22"/>
        <v>44831</v>
      </c>
      <c r="D480" s="62" t="str">
        <f ca="1" t="shared" si="23"/>
        <v>一年以上</v>
      </c>
      <c r="E480" s="313">
        <v>44831</v>
      </c>
      <c r="F480" s="59" t="s">
        <v>632</v>
      </c>
      <c r="G480" s="59" t="s">
        <v>450</v>
      </c>
      <c r="H480" s="63" t="s">
        <v>1101</v>
      </c>
      <c r="I480" s="63" t="s">
        <v>1101</v>
      </c>
      <c r="J480" s="314">
        <v>2000</v>
      </c>
      <c r="K480" s="59" t="s">
        <v>356</v>
      </c>
      <c r="L480" s="59" t="s">
        <v>458</v>
      </c>
      <c r="M480" s="59" t="s">
        <v>30</v>
      </c>
      <c r="N480" s="315">
        <v>2000</v>
      </c>
      <c r="O480" s="316">
        <f t="shared" si="25"/>
        <v>0</v>
      </c>
      <c r="P480" s="95">
        <v>45258</v>
      </c>
      <c r="Q480" s="61">
        <f t="shared" si="24"/>
        <v>45258</v>
      </c>
      <c r="R480" s="59"/>
      <c r="S480" s="59" t="s">
        <v>1112</v>
      </c>
      <c r="T480" s="59" t="s">
        <v>388</v>
      </c>
      <c r="U480" s="59" t="str">
        <f>VLOOKUP(T480,[1]区域划分!$A$1:$C$39,3,0)</f>
        <v>林维</v>
      </c>
      <c r="V480" s="59"/>
      <c r="W480" s="68"/>
      <c r="X480" s="68"/>
      <c r="Y480" s="68"/>
    </row>
    <row r="481" s="17" customFormat="1" hidden="1" customHeight="1" spans="1:25">
      <c r="A481" s="59">
        <v>479</v>
      </c>
      <c r="B481" s="60" t="s">
        <v>1113</v>
      </c>
      <c r="C481" s="61">
        <f t="shared" si="22"/>
        <v>44832</v>
      </c>
      <c r="D481" s="62" t="str">
        <f ca="1" t="shared" si="23"/>
        <v>一年以上</v>
      </c>
      <c r="E481" s="313">
        <v>44832</v>
      </c>
      <c r="F481" s="59" t="s">
        <v>632</v>
      </c>
      <c r="G481" s="59" t="s">
        <v>993</v>
      </c>
      <c r="H481" s="63" t="s">
        <v>1101</v>
      </c>
      <c r="I481" s="63" t="s">
        <v>1101</v>
      </c>
      <c r="J481" s="314">
        <v>5000</v>
      </c>
      <c r="K481" s="59" t="s">
        <v>356</v>
      </c>
      <c r="L481" s="59" t="s">
        <v>458</v>
      </c>
      <c r="M481" s="59" t="s">
        <v>30</v>
      </c>
      <c r="N481" s="315">
        <v>5000</v>
      </c>
      <c r="O481" s="316">
        <f t="shared" si="25"/>
        <v>0</v>
      </c>
      <c r="P481" s="95">
        <v>44945</v>
      </c>
      <c r="Q481" s="61">
        <f t="shared" si="24"/>
        <v>44945</v>
      </c>
      <c r="R481" s="59"/>
      <c r="S481" s="59" t="s">
        <v>1114</v>
      </c>
      <c r="T481" s="59" t="s">
        <v>388</v>
      </c>
      <c r="U481" s="59"/>
      <c r="V481" s="59"/>
      <c r="W481" s="68"/>
      <c r="X481" s="68"/>
      <c r="Y481" s="68"/>
    </row>
    <row r="482" s="17" customFormat="1" hidden="1" customHeight="1" spans="1:25">
      <c r="A482" s="59">
        <v>480</v>
      </c>
      <c r="B482" s="60" t="s">
        <v>1115</v>
      </c>
      <c r="C482" s="61">
        <f t="shared" si="22"/>
        <v>44833</v>
      </c>
      <c r="D482" s="62" t="str">
        <f ca="1" t="shared" si="23"/>
        <v>一年以上</v>
      </c>
      <c r="E482" s="313">
        <v>44833</v>
      </c>
      <c r="F482" s="59" t="s">
        <v>632</v>
      </c>
      <c r="G482" s="59" t="s">
        <v>450</v>
      </c>
      <c r="H482" s="63" t="s">
        <v>209</v>
      </c>
      <c r="I482" s="63" t="s">
        <v>209</v>
      </c>
      <c r="J482" s="314">
        <v>50000</v>
      </c>
      <c r="K482" s="59" t="s">
        <v>28</v>
      </c>
      <c r="L482" s="59" t="s">
        <v>57</v>
      </c>
      <c r="M482" s="59" t="s">
        <v>30</v>
      </c>
      <c r="N482" s="315">
        <v>50000</v>
      </c>
      <c r="O482" s="316">
        <f t="shared" si="25"/>
        <v>0</v>
      </c>
      <c r="P482" s="95">
        <v>44943</v>
      </c>
      <c r="Q482" s="61">
        <f t="shared" si="24"/>
        <v>44943</v>
      </c>
      <c r="R482" s="59" t="s">
        <v>1116</v>
      </c>
      <c r="S482" s="59" t="s">
        <v>1110</v>
      </c>
      <c r="T482" s="59" t="s">
        <v>171</v>
      </c>
      <c r="U482" s="59"/>
      <c r="V482" s="59"/>
      <c r="W482" s="68"/>
      <c r="X482" s="68"/>
      <c r="Y482" s="68"/>
    </row>
    <row r="483" s="17" customFormat="1" hidden="1" customHeight="1" spans="1:25">
      <c r="A483" s="59">
        <v>481</v>
      </c>
      <c r="B483" s="60" t="s">
        <v>1117</v>
      </c>
      <c r="C483" s="61">
        <f t="shared" si="22"/>
        <v>44834</v>
      </c>
      <c r="D483" s="62" t="str">
        <f ca="1" t="shared" si="23"/>
        <v>一年以上</v>
      </c>
      <c r="E483" s="313">
        <v>44834</v>
      </c>
      <c r="F483" s="59" t="s">
        <v>632</v>
      </c>
      <c r="G483" s="59" t="s">
        <v>993</v>
      </c>
      <c r="H483" s="63" t="s">
        <v>863</v>
      </c>
      <c r="I483" s="63" t="s">
        <v>863</v>
      </c>
      <c r="J483" s="314">
        <v>500</v>
      </c>
      <c r="K483" s="59" t="s">
        <v>28</v>
      </c>
      <c r="L483" s="59" t="s">
        <v>57</v>
      </c>
      <c r="M483" s="59" t="s">
        <v>515</v>
      </c>
      <c r="N483" s="315">
        <v>500</v>
      </c>
      <c r="O483" s="316">
        <f t="shared" si="25"/>
        <v>0</v>
      </c>
      <c r="P483" s="95">
        <v>44880</v>
      </c>
      <c r="Q483" s="61">
        <f t="shared" si="24"/>
        <v>44880</v>
      </c>
      <c r="R483" s="59" t="s">
        <v>951</v>
      </c>
      <c r="S483" s="59" t="s">
        <v>1118</v>
      </c>
      <c r="T483" s="59"/>
      <c r="U483" s="59"/>
      <c r="V483" s="59"/>
      <c r="W483" s="68"/>
      <c r="X483" s="68"/>
      <c r="Y483" s="68"/>
    </row>
    <row r="484" s="17" customFormat="1" hidden="1" customHeight="1" spans="1:25">
      <c r="A484" s="59">
        <v>482</v>
      </c>
      <c r="B484" s="60" t="s">
        <v>1119</v>
      </c>
      <c r="C484" s="61">
        <f t="shared" si="22"/>
        <v>44841</v>
      </c>
      <c r="D484" s="62" t="str">
        <f ca="1" t="shared" si="23"/>
        <v>一年以上</v>
      </c>
      <c r="E484" s="313">
        <v>44841</v>
      </c>
      <c r="F484" s="59" t="s">
        <v>632</v>
      </c>
      <c r="G484" s="59" t="s">
        <v>993</v>
      </c>
      <c r="H484" s="63" t="s">
        <v>863</v>
      </c>
      <c r="I484" s="63" t="s">
        <v>863</v>
      </c>
      <c r="J484" s="314">
        <v>20000</v>
      </c>
      <c r="K484" s="59" t="s">
        <v>28</v>
      </c>
      <c r="L484" s="59" t="s">
        <v>57</v>
      </c>
      <c r="M484" s="59" t="s">
        <v>30</v>
      </c>
      <c r="N484" s="315">
        <v>20000</v>
      </c>
      <c r="O484" s="316">
        <f t="shared" si="25"/>
        <v>0</v>
      </c>
      <c r="P484" s="95">
        <v>45038</v>
      </c>
      <c r="Q484" s="61">
        <f t="shared" si="24"/>
        <v>45038</v>
      </c>
      <c r="R484" s="59"/>
      <c r="S484" s="59" t="s">
        <v>1118</v>
      </c>
      <c r="T484" s="59" t="s">
        <v>972</v>
      </c>
      <c r="U484" s="59"/>
      <c r="V484" s="59"/>
      <c r="W484" s="68"/>
      <c r="X484" s="68"/>
      <c r="Y484" s="68"/>
    </row>
    <row r="485" s="17" customFormat="1" hidden="1" customHeight="1" spans="1:25">
      <c r="A485" s="59">
        <v>483</v>
      </c>
      <c r="B485" s="60" t="s">
        <v>1120</v>
      </c>
      <c r="C485" s="61">
        <f t="shared" si="22"/>
        <v>44848</v>
      </c>
      <c r="D485" s="62" t="str">
        <f ca="1" t="shared" si="23"/>
        <v>一年以上</v>
      </c>
      <c r="E485" s="313">
        <v>44848</v>
      </c>
      <c r="F485" s="59" t="s">
        <v>632</v>
      </c>
      <c r="G485" s="59" t="s">
        <v>450</v>
      </c>
      <c r="H485" s="63" t="s">
        <v>1121</v>
      </c>
      <c r="I485" s="63" t="s">
        <v>1121</v>
      </c>
      <c r="J485" s="314">
        <v>2100</v>
      </c>
      <c r="K485" s="59" t="s">
        <v>28</v>
      </c>
      <c r="L485" s="59" t="s">
        <v>57</v>
      </c>
      <c r="M485" s="59" t="s">
        <v>515</v>
      </c>
      <c r="N485" s="315">
        <v>2100</v>
      </c>
      <c r="O485" s="316">
        <f t="shared" si="25"/>
        <v>0</v>
      </c>
      <c r="P485" s="95">
        <v>44927</v>
      </c>
      <c r="Q485" s="61">
        <f t="shared" si="24"/>
        <v>44927</v>
      </c>
      <c r="R485" s="59"/>
      <c r="S485" s="59" t="s">
        <v>1118</v>
      </c>
      <c r="T485" s="59"/>
      <c r="U485" s="59"/>
      <c r="V485" s="59"/>
      <c r="W485" s="68"/>
      <c r="X485" s="68"/>
      <c r="Y485" s="68"/>
    </row>
    <row r="486" s="17" customFormat="1" hidden="1" customHeight="1" spans="1:25">
      <c r="A486" s="59">
        <v>484</v>
      </c>
      <c r="B486" s="60" t="s">
        <v>1122</v>
      </c>
      <c r="C486" s="61">
        <f t="shared" si="22"/>
        <v>44851</v>
      </c>
      <c r="D486" s="62" t="str">
        <f ca="1" t="shared" si="23"/>
        <v>一年以上</v>
      </c>
      <c r="E486" s="313">
        <v>44851</v>
      </c>
      <c r="F486" s="59" t="s">
        <v>632</v>
      </c>
      <c r="G486" s="59" t="s">
        <v>450</v>
      </c>
      <c r="H486" s="63" t="s">
        <v>1123</v>
      </c>
      <c r="I486" s="63" t="s">
        <v>1123</v>
      </c>
      <c r="J486" s="314">
        <v>4800</v>
      </c>
      <c r="K486" s="59" t="s">
        <v>28</v>
      </c>
      <c r="L486" s="59" t="s">
        <v>57</v>
      </c>
      <c r="M486" s="59" t="s">
        <v>968</v>
      </c>
      <c r="N486" s="315">
        <v>4800</v>
      </c>
      <c r="O486" s="316">
        <f t="shared" si="25"/>
        <v>0</v>
      </c>
      <c r="P486" s="95">
        <v>44853</v>
      </c>
      <c r="Q486" s="61">
        <f t="shared" si="24"/>
        <v>44853</v>
      </c>
      <c r="R486" s="59"/>
      <c r="S486" s="59" t="s">
        <v>968</v>
      </c>
      <c r="T486" s="59"/>
      <c r="U486" s="59"/>
      <c r="V486" s="59"/>
      <c r="W486" s="68"/>
      <c r="X486" s="68"/>
      <c r="Y486" s="68"/>
    </row>
    <row r="487" s="17" customFormat="1" hidden="1" customHeight="1" spans="1:25">
      <c r="A487" s="59">
        <v>485</v>
      </c>
      <c r="B487" s="60" t="s">
        <v>1124</v>
      </c>
      <c r="C487" s="61">
        <f t="shared" si="22"/>
        <v>44851</v>
      </c>
      <c r="D487" s="62" t="str">
        <f ca="1" t="shared" si="23"/>
        <v>一年以上</v>
      </c>
      <c r="E487" s="313">
        <v>44851</v>
      </c>
      <c r="F487" s="59" t="s">
        <v>632</v>
      </c>
      <c r="G487" s="59" t="s">
        <v>450</v>
      </c>
      <c r="H487" s="63" t="s">
        <v>1125</v>
      </c>
      <c r="I487" s="63" t="s">
        <v>1125</v>
      </c>
      <c r="J487" s="314">
        <v>3000</v>
      </c>
      <c r="K487" s="59" t="s">
        <v>28</v>
      </c>
      <c r="L487" s="59" t="s">
        <v>57</v>
      </c>
      <c r="M487" s="59" t="s">
        <v>30</v>
      </c>
      <c r="N487" s="315">
        <v>3000</v>
      </c>
      <c r="O487" s="316">
        <f t="shared" si="25"/>
        <v>0</v>
      </c>
      <c r="P487" s="95">
        <v>44883</v>
      </c>
      <c r="Q487" s="61">
        <f t="shared" si="24"/>
        <v>44883</v>
      </c>
      <c r="R487" s="59"/>
      <c r="S487" s="59" t="s">
        <v>1126</v>
      </c>
      <c r="T487" s="59"/>
      <c r="U487" s="59"/>
      <c r="V487" s="59"/>
      <c r="W487" s="68"/>
      <c r="X487" s="68"/>
      <c r="Y487" s="68"/>
    </row>
    <row r="488" s="17" customFormat="1" hidden="1" customHeight="1" spans="1:25">
      <c r="A488" s="59">
        <v>486</v>
      </c>
      <c r="B488" s="60" t="s">
        <v>1127</v>
      </c>
      <c r="C488" s="61">
        <f t="shared" si="22"/>
        <v>44851</v>
      </c>
      <c r="D488" s="62" t="str">
        <f ca="1" t="shared" si="23"/>
        <v>一年以上</v>
      </c>
      <c r="E488" s="313">
        <v>44851</v>
      </c>
      <c r="F488" s="59" t="s">
        <v>632</v>
      </c>
      <c r="G488" s="59" t="s">
        <v>450</v>
      </c>
      <c r="H488" s="63" t="s">
        <v>1125</v>
      </c>
      <c r="I488" s="63" t="s">
        <v>1125</v>
      </c>
      <c r="J488" s="314">
        <v>4000</v>
      </c>
      <c r="K488" s="59" t="s">
        <v>28</v>
      </c>
      <c r="L488" s="59" t="s">
        <v>57</v>
      </c>
      <c r="M488" s="59" t="s">
        <v>30</v>
      </c>
      <c r="N488" s="315">
        <v>4000</v>
      </c>
      <c r="O488" s="316">
        <f t="shared" si="25"/>
        <v>0</v>
      </c>
      <c r="P488" s="95">
        <v>44883</v>
      </c>
      <c r="Q488" s="61">
        <f t="shared" si="24"/>
        <v>44883</v>
      </c>
      <c r="R488" s="59"/>
      <c r="S488" s="59" t="s">
        <v>1128</v>
      </c>
      <c r="T488" s="59"/>
      <c r="U488" s="59"/>
      <c r="V488" s="59"/>
      <c r="W488" s="68"/>
      <c r="X488" s="68"/>
      <c r="Y488" s="68"/>
    </row>
    <row r="489" s="17" customFormat="1" hidden="1" customHeight="1" spans="1:25">
      <c r="A489" s="59">
        <v>487</v>
      </c>
      <c r="B489" s="60" t="s">
        <v>1129</v>
      </c>
      <c r="C489" s="61">
        <f t="shared" si="22"/>
        <v>44851</v>
      </c>
      <c r="D489" s="62" t="str">
        <f ca="1" t="shared" si="23"/>
        <v>一年以上</v>
      </c>
      <c r="E489" s="313">
        <v>44851</v>
      </c>
      <c r="F489" s="59" t="s">
        <v>632</v>
      </c>
      <c r="G489" s="59" t="s">
        <v>450</v>
      </c>
      <c r="H489" s="63" t="s">
        <v>1125</v>
      </c>
      <c r="I489" s="63" t="s">
        <v>1125</v>
      </c>
      <c r="J489" s="314">
        <v>5000</v>
      </c>
      <c r="K489" s="59" t="s">
        <v>28</v>
      </c>
      <c r="L489" s="59" t="s">
        <v>57</v>
      </c>
      <c r="M489" s="59" t="s">
        <v>30</v>
      </c>
      <c r="N489" s="315">
        <v>5000</v>
      </c>
      <c r="O489" s="316">
        <f t="shared" si="25"/>
        <v>0</v>
      </c>
      <c r="P489" s="95">
        <v>44883</v>
      </c>
      <c r="Q489" s="61">
        <f t="shared" si="24"/>
        <v>44883</v>
      </c>
      <c r="R489" s="59"/>
      <c r="S489" s="59" t="s">
        <v>1130</v>
      </c>
      <c r="T489" s="59"/>
      <c r="U489" s="59"/>
      <c r="V489" s="59"/>
      <c r="W489" s="68"/>
      <c r="X489" s="68"/>
      <c r="Y489" s="68"/>
    </row>
    <row r="490" s="17" customFormat="1" hidden="1" customHeight="1" spans="1:25">
      <c r="A490" s="59">
        <v>488</v>
      </c>
      <c r="B490" s="60" t="s">
        <v>1131</v>
      </c>
      <c r="C490" s="61">
        <f t="shared" si="22"/>
        <v>44851</v>
      </c>
      <c r="D490" s="62" t="str">
        <f ca="1" t="shared" si="23"/>
        <v>一年以上</v>
      </c>
      <c r="E490" s="313">
        <v>44851</v>
      </c>
      <c r="F490" s="59" t="s">
        <v>632</v>
      </c>
      <c r="G490" s="59" t="s">
        <v>450</v>
      </c>
      <c r="H490" s="63" t="s">
        <v>1125</v>
      </c>
      <c r="I490" s="63" t="s">
        <v>1125</v>
      </c>
      <c r="J490" s="314">
        <v>7000</v>
      </c>
      <c r="K490" s="59" t="s">
        <v>28</v>
      </c>
      <c r="L490" s="59" t="s">
        <v>57</v>
      </c>
      <c r="M490" s="59" t="s">
        <v>30</v>
      </c>
      <c r="N490" s="315">
        <f>5320+1680</f>
        <v>7000</v>
      </c>
      <c r="O490" s="316">
        <f t="shared" si="25"/>
        <v>0</v>
      </c>
      <c r="P490" s="95">
        <v>44883</v>
      </c>
      <c r="Q490" s="61">
        <f t="shared" si="24"/>
        <v>44883</v>
      </c>
      <c r="R490" s="59" t="s">
        <v>1132</v>
      </c>
      <c r="S490" s="59" t="s">
        <v>1133</v>
      </c>
      <c r="T490" s="59" t="s">
        <v>86</v>
      </c>
      <c r="U490" s="59"/>
      <c r="V490" s="59"/>
      <c r="W490" s="68"/>
      <c r="X490" s="68"/>
      <c r="Y490" s="68"/>
    </row>
    <row r="491" s="17" customFormat="1" hidden="1" customHeight="1" spans="1:25">
      <c r="A491" s="59">
        <v>489</v>
      </c>
      <c r="B491" s="60" t="s">
        <v>1134</v>
      </c>
      <c r="C491" s="61">
        <f t="shared" si="22"/>
        <v>44851</v>
      </c>
      <c r="D491" s="62" t="str">
        <f ca="1" t="shared" si="23"/>
        <v>一年以上</v>
      </c>
      <c r="E491" s="313">
        <v>44851</v>
      </c>
      <c r="F491" s="59" t="s">
        <v>632</v>
      </c>
      <c r="G491" s="59" t="s">
        <v>450</v>
      </c>
      <c r="H491" s="63" t="s">
        <v>1135</v>
      </c>
      <c r="I491" s="63" t="s">
        <v>1135</v>
      </c>
      <c r="J491" s="314">
        <v>15000</v>
      </c>
      <c r="K491" s="59" t="s">
        <v>28</v>
      </c>
      <c r="L491" s="59" t="s">
        <v>57</v>
      </c>
      <c r="M491" s="59" t="s">
        <v>30</v>
      </c>
      <c r="N491" s="315">
        <f>8550+6450</f>
        <v>15000</v>
      </c>
      <c r="O491" s="316">
        <f t="shared" si="25"/>
        <v>0</v>
      </c>
      <c r="P491" s="95">
        <v>44869</v>
      </c>
      <c r="Q491" s="61">
        <f t="shared" si="24"/>
        <v>44869</v>
      </c>
      <c r="R491" s="59" t="s">
        <v>1136</v>
      </c>
      <c r="S491" s="59" t="s">
        <v>1137</v>
      </c>
      <c r="T491" s="59" t="s">
        <v>86</v>
      </c>
      <c r="U491" s="59"/>
      <c r="V491" s="59"/>
      <c r="W491" s="68"/>
      <c r="X491" s="68"/>
      <c r="Y491" s="68"/>
    </row>
    <row r="492" s="17" customFormat="1" hidden="1" customHeight="1" spans="1:25">
      <c r="A492" s="59">
        <v>490</v>
      </c>
      <c r="B492" s="60" t="s">
        <v>1138</v>
      </c>
      <c r="C492" s="61">
        <f t="shared" si="22"/>
        <v>44851</v>
      </c>
      <c r="D492" s="62" t="str">
        <f ca="1" t="shared" si="23"/>
        <v>一年以上</v>
      </c>
      <c r="E492" s="313">
        <v>44851</v>
      </c>
      <c r="F492" s="59" t="s">
        <v>632</v>
      </c>
      <c r="G492" s="59" t="s">
        <v>450</v>
      </c>
      <c r="H492" s="63" t="s">
        <v>1135</v>
      </c>
      <c r="I492" s="63" t="s">
        <v>1135</v>
      </c>
      <c r="J492" s="314">
        <v>10000</v>
      </c>
      <c r="K492" s="59" t="s">
        <v>28</v>
      </c>
      <c r="L492" s="59" t="s">
        <v>57</v>
      </c>
      <c r="M492" s="59" t="s">
        <v>30</v>
      </c>
      <c r="N492" s="315">
        <v>10000</v>
      </c>
      <c r="O492" s="316">
        <f t="shared" si="25"/>
        <v>0</v>
      </c>
      <c r="P492" s="95">
        <v>44869</v>
      </c>
      <c r="Q492" s="61">
        <f t="shared" si="24"/>
        <v>44869</v>
      </c>
      <c r="R492" s="59"/>
      <c r="S492" s="59" t="s">
        <v>1139</v>
      </c>
      <c r="T492" s="59"/>
      <c r="U492" s="59"/>
      <c r="V492" s="59"/>
      <c r="W492" s="68"/>
      <c r="X492" s="68"/>
      <c r="Y492" s="68"/>
    </row>
    <row r="493" s="17" customFormat="1" hidden="1" customHeight="1" spans="1:25">
      <c r="A493" s="59">
        <v>491</v>
      </c>
      <c r="B493" s="60" t="s">
        <v>1140</v>
      </c>
      <c r="C493" s="61">
        <f t="shared" si="22"/>
        <v>44852</v>
      </c>
      <c r="D493" s="62" t="str">
        <f ca="1" t="shared" si="23"/>
        <v>一年以上</v>
      </c>
      <c r="E493" s="313">
        <v>44852</v>
      </c>
      <c r="F493" s="59" t="s">
        <v>632</v>
      </c>
      <c r="G493" s="59" t="s">
        <v>993</v>
      </c>
      <c r="H493" s="63" t="s">
        <v>1141</v>
      </c>
      <c r="I493" s="63" t="s">
        <v>1141</v>
      </c>
      <c r="J493" s="314">
        <v>300</v>
      </c>
      <c r="K493" s="59" t="s">
        <v>28</v>
      </c>
      <c r="L493" s="59" t="s">
        <v>57</v>
      </c>
      <c r="M493" s="59" t="s">
        <v>515</v>
      </c>
      <c r="N493" s="315">
        <v>300</v>
      </c>
      <c r="O493" s="316">
        <f t="shared" si="25"/>
        <v>0</v>
      </c>
      <c r="P493" s="95">
        <v>44880</v>
      </c>
      <c r="Q493" s="61">
        <f t="shared" si="24"/>
        <v>44880</v>
      </c>
      <c r="R493" s="59" t="s">
        <v>951</v>
      </c>
      <c r="S493" s="59" t="s">
        <v>1142</v>
      </c>
      <c r="T493" s="59"/>
      <c r="U493" s="59"/>
      <c r="V493" s="59"/>
      <c r="W493" s="68"/>
      <c r="X493" s="68"/>
      <c r="Y493" s="68"/>
    </row>
    <row r="494" s="17" customFormat="1" hidden="1" customHeight="1" spans="1:25">
      <c r="A494" s="59">
        <v>492</v>
      </c>
      <c r="B494" s="60" t="s">
        <v>1143</v>
      </c>
      <c r="C494" s="61">
        <f t="shared" ref="C494:C557" si="26">E494</f>
        <v>44854</v>
      </c>
      <c r="D494" s="62" t="str">
        <f ca="1" t="shared" si="23"/>
        <v>一年以上</v>
      </c>
      <c r="E494" s="313">
        <v>44854</v>
      </c>
      <c r="F494" s="59" t="s">
        <v>632</v>
      </c>
      <c r="G494" s="59" t="s">
        <v>993</v>
      </c>
      <c r="H494" s="63" t="s">
        <v>863</v>
      </c>
      <c r="I494" s="63" t="s">
        <v>863</v>
      </c>
      <c r="J494" s="314">
        <v>500</v>
      </c>
      <c r="K494" s="59" t="s">
        <v>28</v>
      </c>
      <c r="L494" s="59" t="s">
        <v>57</v>
      </c>
      <c r="M494" s="59" t="s">
        <v>515</v>
      </c>
      <c r="N494" s="315">
        <v>500</v>
      </c>
      <c r="O494" s="316">
        <f t="shared" si="25"/>
        <v>0</v>
      </c>
      <c r="P494" s="95">
        <v>44880</v>
      </c>
      <c r="Q494" s="61">
        <f t="shared" si="24"/>
        <v>44880</v>
      </c>
      <c r="R494" s="59" t="s">
        <v>951</v>
      </c>
      <c r="S494" s="59" t="s">
        <v>1144</v>
      </c>
      <c r="T494" s="59"/>
      <c r="U494" s="59"/>
      <c r="V494" s="59"/>
      <c r="W494" s="68"/>
      <c r="X494" s="68"/>
      <c r="Y494" s="68"/>
    </row>
    <row r="495" s="17" customFormat="1" hidden="1" customHeight="1" spans="1:25">
      <c r="A495" s="59">
        <v>493</v>
      </c>
      <c r="B495" s="60" t="s">
        <v>1145</v>
      </c>
      <c r="C495" s="61">
        <f t="shared" si="26"/>
        <v>44855</v>
      </c>
      <c r="D495" s="62" t="str">
        <f ca="1" t="shared" si="23"/>
        <v>一年以上</v>
      </c>
      <c r="E495" s="313">
        <v>44855</v>
      </c>
      <c r="F495" s="59" t="s">
        <v>632</v>
      </c>
      <c r="G495" s="59" t="s">
        <v>993</v>
      </c>
      <c r="H495" s="63" t="s">
        <v>863</v>
      </c>
      <c r="I495" s="63" t="s">
        <v>863</v>
      </c>
      <c r="J495" s="314">
        <v>20000</v>
      </c>
      <c r="K495" s="59" t="s">
        <v>28</v>
      </c>
      <c r="L495" s="59" t="s">
        <v>57</v>
      </c>
      <c r="M495" s="59" t="s">
        <v>30</v>
      </c>
      <c r="N495" s="315">
        <v>20000</v>
      </c>
      <c r="O495" s="316">
        <f t="shared" si="25"/>
        <v>0</v>
      </c>
      <c r="P495" s="95">
        <v>44924</v>
      </c>
      <c r="Q495" s="61">
        <f t="shared" si="24"/>
        <v>44924</v>
      </c>
      <c r="R495" s="59"/>
      <c r="S495" s="59" t="s">
        <v>1146</v>
      </c>
      <c r="T495" s="59"/>
      <c r="U495" s="59"/>
      <c r="V495" s="59"/>
      <c r="W495" s="68"/>
      <c r="X495" s="68"/>
      <c r="Y495" s="68"/>
    </row>
    <row r="496" s="17" customFormat="1" hidden="1" customHeight="1" spans="1:25">
      <c r="A496" s="59">
        <v>494</v>
      </c>
      <c r="B496" s="60" t="s">
        <v>1147</v>
      </c>
      <c r="C496" s="61">
        <f t="shared" si="26"/>
        <v>44858</v>
      </c>
      <c r="D496" s="62" t="str">
        <f ca="1" t="shared" si="23"/>
        <v>一年以上</v>
      </c>
      <c r="E496" s="313">
        <v>44858</v>
      </c>
      <c r="F496" s="59" t="s">
        <v>632</v>
      </c>
      <c r="G496" s="59" t="s">
        <v>993</v>
      </c>
      <c r="H496" s="63" t="s">
        <v>315</v>
      </c>
      <c r="I496" s="63" t="s">
        <v>315</v>
      </c>
      <c r="J496" s="314">
        <v>10000</v>
      </c>
      <c r="K496" s="59" t="s">
        <v>28</v>
      </c>
      <c r="L496" s="59" t="s">
        <v>57</v>
      </c>
      <c r="M496" s="59" t="s">
        <v>30</v>
      </c>
      <c r="N496" s="315">
        <v>10000</v>
      </c>
      <c r="O496" s="316">
        <f t="shared" si="25"/>
        <v>0</v>
      </c>
      <c r="P496" s="95">
        <v>44908</v>
      </c>
      <c r="Q496" s="61">
        <f t="shared" si="24"/>
        <v>44908</v>
      </c>
      <c r="R496" s="59"/>
      <c r="S496" s="59" t="s">
        <v>1148</v>
      </c>
      <c r="T496" s="59"/>
      <c r="U496" s="59"/>
      <c r="V496" s="59"/>
      <c r="W496" s="68"/>
      <c r="X496" s="68"/>
      <c r="Y496" s="68"/>
    </row>
    <row r="497" s="17" customFormat="1" hidden="1" customHeight="1" spans="1:25">
      <c r="A497" s="59">
        <v>495</v>
      </c>
      <c r="B497" s="60" t="s">
        <v>1149</v>
      </c>
      <c r="C497" s="61">
        <f t="shared" si="26"/>
        <v>44858</v>
      </c>
      <c r="D497" s="62" t="str">
        <f ca="1" t="shared" si="23"/>
        <v>一年以上</v>
      </c>
      <c r="E497" s="313">
        <v>44858</v>
      </c>
      <c r="F497" s="59" t="s">
        <v>70</v>
      </c>
      <c r="G497" s="59" t="s">
        <v>146</v>
      </c>
      <c r="H497" s="63" t="s">
        <v>1150</v>
      </c>
      <c r="I497" s="63" t="s">
        <v>1150</v>
      </c>
      <c r="J497" s="314">
        <v>5000</v>
      </c>
      <c r="K497" s="59" t="s">
        <v>28</v>
      </c>
      <c r="L497" s="59" t="s">
        <v>73</v>
      </c>
      <c r="M497" s="59" t="s">
        <v>65</v>
      </c>
      <c r="N497" s="315">
        <v>5000</v>
      </c>
      <c r="O497" s="316">
        <f t="shared" si="25"/>
        <v>0</v>
      </c>
      <c r="P497" s="95">
        <v>45069</v>
      </c>
      <c r="Q497" s="61">
        <f t="shared" si="24"/>
        <v>45069</v>
      </c>
      <c r="R497" s="59"/>
      <c r="S497" s="59" t="s">
        <v>1151</v>
      </c>
      <c r="T497" s="59" t="s">
        <v>1152</v>
      </c>
      <c r="U497" s="59"/>
      <c r="V497" s="59"/>
      <c r="W497" s="68"/>
      <c r="X497" s="68"/>
      <c r="Y497" s="68"/>
    </row>
    <row r="498" s="17" customFormat="1" hidden="1" customHeight="1" spans="1:25">
      <c r="A498" s="59">
        <v>496</v>
      </c>
      <c r="B498" s="60" t="s">
        <v>1153</v>
      </c>
      <c r="C498" s="61">
        <f t="shared" si="26"/>
        <v>44858</v>
      </c>
      <c r="D498" s="62" t="str">
        <f ca="1" t="shared" si="23"/>
        <v>一年以上</v>
      </c>
      <c r="E498" s="313">
        <v>44858</v>
      </c>
      <c r="F498" s="59" t="s">
        <v>632</v>
      </c>
      <c r="G498" s="59" t="s">
        <v>993</v>
      </c>
      <c r="H498" s="63" t="s">
        <v>1154</v>
      </c>
      <c r="I498" s="63" t="s">
        <v>1154</v>
      </c>
      <c r="J498" s="314">
        <v>400</v>
      </c>
      <c r="K498" s="59" t="s">
        <v>28</v>
      </c>
      <c r="L498" s="59" t="s">
        <v>73</v>
      </c>
      <c r="M498" s="59" t="s">
        <v>515</v>
      </c>
      <c r="N498" s="315">
        <v>400</v>
      </c>
      <c r="O498" s="316">
        <f t="shared" si="25"/>
        <v>0</v>
      </c>
      <c r="P498" s="95">
        <v>44880</v>
      </c>
      <c r="Q498" s="61">
        <f t="shared" si="24"/>
        <v>44880</v>
      </c>
      <c r="R498" s="59" t="s">
        <v>951</v>
      </c>
      <c r="S498" s="59" t="s">
        <v>1155</v>
      </c>
      <c r="T498" s="59"/>
      <c r="U498" s="59"/>
      <c r="V498" s="59"/>
      <c r="W498" s="68"/>
      <c r="X498" s="68"/>
      <c r="Y498" s="68"/>
    </row>
    <row r="499" s="17" customFormat="1" hidden="1" customHeight="1" spans="1:25">
      <c r="A499" s="59">
        <v>497</v>
      </c>
      <c r="B499" s="60" t="s">
        <v>1156</v>
      </c>
      <c r="C499" s="61">
        <f t="shared" si="26"/>
        <v>44860</v>
      </c>
      <c r="D499" s="62" t="str">
        <f ca="1" t="shared" si="23"/>
        <v>一年以上</v>
      </c>
      <c r="E499" s="313">
        <v>44860</v>
      </c>
      <c r="F499" s="59" t="s">
        <v>632</v>
      </c>
      <c r="G499" s="59" t="s">
        <v>450</v>
      </c>
      <c r="H499" s="63" t="s">
        <v>1157</v>
      </c>
      <c r="I499" s="63" t="s">
        <v>1157</v>
      </c>
      <c r="J499" s="314">
        <v>15000</v>
      </c>
      <c r="K499" s="59" t="s">
        <v>28</v>
      </c>
      <c r="L499" s="59" t="s">
        <v>73</v>
      </c>
      <c r="M499" s="59" t="s">
        <v>30</v>
      </c>
      <c r="N499" s="315">
        <v>15000</v>
      </c>
      <c r="O499" s="316">
        <f t="shared" si="25"/>
        <v>0</v>
      </c>
      <c r="P499" s="95">
        <v>45649</v>
      </c>
      <c r="Q499" s="61">
        <f t="shared" si="24"/>
        <v>45649</v>
      </c>
      <c r="R499" s="59" t="s">
        <v>1158</v>
      </c>
      <c r="S499" s="59" t="s">
        <v>1159</v>
      </c>
      <c r="T499" s="59" t="s">
        <v>49</v>
      </c>
      <c r="U499" s="59" t="str">
        <f>VLOOKUP(T499,[1]区域划分!$A$1:$C$39,3,0)</f>
        <v>龚运谱</v>
      </c>
      <c r="V499" s="59"/>
      <c r="W499" s="68"/>
      <c r="X499" s="68"/>
      <c r="Y499" s="68"/>
    </row>
    <row r="500" s="17" customFormat="1" hidden="1" customHeight="1" spans="1:25">
      <c r="A500" s="59">
        <v>498</v>
      </c>
      <c r="B500" s="60" t="s">
        <v>1160</v>
      </c>
      <c r="C500" s="61">
        <f t="shared" si="26"/>
        <v>44860</v>
      </c>
      <c r="D500" s="62" t="str">
        <f ca="1" t="shared" si="23"/>
        <v>一年以上</v>
      </c>
      <c r="E500" s="313">
        <v>44860</v>
      </c>
      <c r="F500" s="59" t="s">
        <v>632</v>
      </c>
      <c r="G500" s="59" t="s">
        <v>993</v>
      </c>
      <c r="H500" s="63" t="s">
        <v>1154</v>
      </c>
      <c r="I500" s="63" t="s">
        <v>1154</v>
      </c>
      <c r="J500" s="314">
        <v>10000</v>
      </c>
      <c r="K500" s="59" t="s">
        <v>28</v>
      </c>
      <c r="L500" s="59" t="s">
        <v>73</v>
      </c>
      <c r="M500" s="59" t="s">
        <v>30</v>
      </c>
      <c r="N500" s="315">
        <v>10000</v>
      </c>
      <c r="O500" s="316">
        <f t="shared" si="25"/>
        <v>0</v>
      </c>
      <c r="P500" s="95">
        <v>44879</v>
      </c>
      <c r="Q500" s="61">
        <f t="shared" si="24"/>
        <v>44879</v>
      </c>
      <c r="R500" s="59"/>
      <c r="S500" s="59" t="s">
        <v>1155</v>
      </c>
      <c r="T500" s="59"/>
      <c r="U500" s="59"/>
      <c r="V500" s="59"/>
      <c r="W500" s="68"/>
      <c r="X500" s="68"/>
      <c r="Y500" s="68"/>
    </row>
    <row r="501" s="17" customFormat="1" hidden="1" customHeight="1" spans="1:25">
      <c r="A501" s="59">
        <v>499</v>
      </c>
      <c r="B501" s="60" t="s">
        <v>1161</v>
      </c>
      <c r="C501" s="61">
        <f t="shared" si="26"/>
        <v>44861</v>
      </c>
      <c r="D501" s="62" t="str">
        <f ca="1" t="shared" si="23"/>
        <v>一年以上</v>
      </c>
      <c r="E501" s="313">
        <v>44861</v>
      </c>
      <c r="F501" s="59" t="s">
        <v>632</v>
      </c>
      <c r="G501" s="59" t="s">
        <v>993</v>
      </c>
      <c r="H501" s="63" t="s">
        <v>1141</v>
      </c>
      <c r="I501" s="63" t="s">
        <v>1141</v>
      </c>
      <c r="J501" s="314">
        <v>4600</v>
      </c>
      <c r="K501" s="59" t="s">
        <v>28</v>
      </c>
      <c r="L501" s="59" t="s">
        <v>73</v>
      </c>
      <c r="M501" s="59" t="s">
        <v>30</v>
      </c>
      <c r="N501" s="315">
        <v>4600</v>
      </c>
      <c r="O501" s="316">
        <f t="shared" si="25"/>
        <v>0</v>
      </c>
      <c r="P501" s="95">
        <v>44869</v>
      </c>
      <c r="Q501" s="61">
        <f t="shared" si="24"/>
        <v>44869</v>
      </c>
      <c r="R501" s="59"/>
      <c r="S501" s="59" t="s">
        <v>1142</v>
      </c>
      <c r="T501" s="59"/>
      <c r="U501" s="59"/>
      <c r="V501" s="59"/>
      <c r="W501" s="68"/>
      <c r="X501" s="68"/>
      <c r="Y501" s="68"/>
    </row>
    <row r="502" s="17" customFormat="1" hidden="1" customHeight="1" spans="1:25">
      <c r="A502" s="59">
        <v>500</v>
      </c>
      <c r="B502" s="60" t="s">
        <v>1162</v>
      </c>
      <c r="C502" s="61">
        <f t="shared" si="26"/>
        <v>44862</v>
      </c>
      <c r="D502" s="62" t="str">
        <f ca="1" t="shared" si="23"/>
        <v>一年以上</v>
      </c>
      <c r="E502" s="313">
        <v>44862</v>
      </c>
      <c r="F502" s="59" t="s">
        <v>632</v>
      </c>
      <c r="G502" s="59" t="s">
        <v>450</v>
      </c>
      <c r="H502" s="63" t="s">
        <v>634</v>
      </c>
      <c r="I502" s="63" t="s">
        <v>634</v>
      </c>
      <c r="J502" s="314">
        <v>200</v>
      </c>
      <c r="K502" s="59" t="s">
        <v>28</v>
      </c>
      <c r="L502" s="59" t="s">
        <v>73</v>
      </c>
      <c r="M502" s="59" t="s">
        <v>515</v>
      </c>
      <c r="N502" s="315">
        <v>200</v>
      </c>
      <c r="O502" s="316">
        <f t="shared" si="25"/>
        <v>0</v>
      </c>
      <c r="P502" s="95">
        <v>44862</v>
      </c>
      <c r="Q502" s="61">
        <f t="shared" si="24"/>
        <v>44862</v>
      </c>
      <c r="R502" s="59"/>
      <c r="S502" s="59" t="s">
        <v>1163</v>
      </c>
      <c r="T502" s="59"/>
      <c r="U502" s="59"/>
      <c r="V502" s="59"/>
      <c r="W502" s="68"/>
      <c r="X502" s="68"/>
      <c r="Y502" s="68"/>
    </row>
    <row r="503" s="17" customFormat="1" hidden="1" customHeight="1" spans="1:25">
      <c r="A503" s="59">
        <v>501</v>
      </c>
      <c r="B503" s="60" t="s">
        <v>1164</v>
      </c>
      <c r="C503" s="61">
        <f t="shared" si="26"/>
        <v>44862</v>
      </c>
      <c r="D503" s="62" t="str">
        <f ca="1" t="shared" si="23"/>
        <v>一年以上</v>
      </c>
      <c r="E503" s="313">
        <v>44862</v>
      </c>
      <c r="F503" s="59" t="s">
        <v>632</v>
      </c>
      <c r="G503" s="59" t="s">
        <v>450</v>
      </c>
      <c r="H503" s="63" t="s">
        <v>634</v>
      </c>
      <c r="I503" s="63" t="s">
        <v>634</v>
      </c>
      <c r="J503" s="314">
        <v>20000</v>
      </c>
      <c r="K503" s="59" t="s">
        <v>28</v>
      </c>
      <c r="L503" s="59" t="s">
        <v>73</v>
      </c>
      <c r="M503" s="59" t="s">
        <v>30</v>
      </c>
      <c r="N503" s="315">
        <v>20000</v>
      </c>
      <c r="O503" s="316">
        <f t="shared" si="25"/>
        <v>0</v>
      </c>
      <c r="P503" s="95">
        <v>44872</v>
      </c>
      <c r="Q503" s="61">
        <f t="shared" si="24"/>
        <v>44872</v>
      </c>
      <c r="R503" s="59"/>
      <c r="S503" s="59" t="s">
        <v>1163</v>
      </c>
      <c r="T503" s="59"/>
      <c r="U503" s="59"/>
      <c r="V503" s="59"/>
      <c r="W503" s="68"/>
      <c r="X503" s="68"/>
      <c r="Y503" s="68"/>
    </row>
    <row r="504" s="17" customFormat="1" hidden="1" customHeight="1" spans="1:25">
      <c r="A504" s="59">
        <v>502</v>
      </c>
      <c r="B504" s="60" t="s">
        <v>1165</v>
      </c>
      <c r="C504" s="61">
        <f t="shared" si="26"/>
        <v>44862</v>
      </c>
      <c r="D504" s="62" t="str">
        <f ca="1" t="shared" si="23"/>
        <v>一年以上</v>
      </c>
      <c r="E504" s="313">
        <v>44862</v>
      </c>
      <c r="F504" s="59" t="s">
        <v>632</v>
      </c>
      <c r="G504" s="59" t="s">
        <v>450</v>
      </c>
      <c r="H504" s="369" t="s">
        <v>1166</v>
      </c>
      <c r="I504" s="63" t="s">
        <v>1166</v>
      </c>
      <c r="J504" s="314">
        <v>6000</v>
      </c>
      <c r="K504" s="59" t="s">
        <v>28</v>
      </c>
      <c r="L504" s="59" t="s">
        <v>73</v>
      </c>
      <c r="M504" s="59" t="s">
        <v>30</v>
      </c>
      <c r="N504" s="315">
        <v>6000</v>
      </c>
      <c r="O504" s="316">
        <f t="shared" si="25"/>
        <v>0</v>
      </c>
      <c r="P504" s="95">
        <v>45102</v>
      </c>
      <c r="Q504" s="61">
        <f t="shared" si="24"/>
        <v>45102</v>
      </c>
      <c r="R504" s="59"/>
      <c r="S504" s="59" t="s">
        <v>1167</v>
      </c>
      <c r="T504" s="59" t="s">
        <v>267</v>
      </c>
      <c r="U504" s="59"/>
      <c r="V504" s="59"/>
      <c r="W504" s="68"/>
      <c r="X504" s="68"/>
      <c r="Y504" s="68"/>
    </row>
    <row r="505" s="17" customFormat="1" hidden="1" customHeight="1" spans="1:25">
      <c r="A505" s="59">
        <v>503</v>
      </c>
      <c r="B505" s="60" t="s">
        <v>1168</v>
      </c>
      <c r="C505" s="61">
        <f t="shared" si="26"/>
        <v>44865</v>
      </c>
      <c r="D505" s="62" t="str">
        <f ca="1" t="shared" si="23"/>
        <v>一年以上</v>
      </c>
      <c r="E505" s="313">
        <v>44865</v>
      </c>
      <c r="F505" s="59" t="s">
        <v>632</v>
      </c>
      <c r="G505" s="59" t="s">
        <v>993</v>
      </c>
      <c r="H505" s="63" t="s">
        <v>1169</v>
      </c>
      <c r="I505" s="63" t="s">
        <v>1169</v>
      </c>
      <c r="J505" s="314">
        <v>10000</v>
      </c>
      <c r="K505" s="59" t="s">
        <v>28</v>
      </c>
      <c r="L505" s="59" t="s">
        <v>73</v>
      </c>
      <c r="M505" s="59" t="s">
        <v>30</v>
      </c>
      <c r="N505" s="315">
        <v>10000</v>
      </c>
      <c r="O505" s="316">
        <f t="shared" si="25"/>
        <v>0</v>
      </c>
      <c r="P505" s="95">
        <v>45280</v>
      </c>
      <c r="Q505" s="61">
        <f t="shared" si="24"/>
        <v>45280</v>
      </c>
      <c r="R505" s="59"/>
      <c r="S505" s="59" t="s">
        <v>1170</v>
      </c>
      <c r="T505" s="59" t="s">
        <v>396</v>
      </c>
      <c r="U505" s="59" t="str">
        <f>VLOOKUP(T505,[1]区域划分!$A$1:$C$39,3,0)</f>
        <v>牛国庆</v>
      </c>
      <c r="V505" s="59"/>
      <c r="W505" s="68"/>
      <c r="X505" s="68"/>
      <c r="Y505" s="68"/>
    </row>
    <row r="506" s="17" customFormat="1" hidden="1" customHeight="1" spans="1:25">
      <c r="A506" s="59">
        <v>504</v>
      </c>
      <c r="B506" s="60" t="s">
        <v>1171</v>
      </c>
      <c r="C506" s="61">
        <f t="shared" si="26"/>
        <v>44869</v>
      </c>
      <c r="D506" s="62" t="str">
        <f ca="1" t="shared" si="23"/>
        <v>一年以上</v>
      </c>
      <c r="E506" s="313">
        <v>44869</v>
      </c>
      <c r="F506" s="59" t="s">
        <v>632</v>
      </c>
      <c r="G506" s="59" t="s">
        <v>450</v>
      </c>
      <c r="H506" s="63" t="s">
        <v>1172</v>
      </c>
      <c r="I506" s="63" t="s">
        <v>1172</v>
      </c>
      <c r="J506" s="314">
        <v>5000</v>
      </c>
      <c r="K506" s="59" t="s">
        <v>28</v>
      </c>
      <c r="L506" s="59" t="s">
        <v>73</v>
      </c>
      <c r="M506" s="59" t="s">
        <v>30</v>
      </c>
      <c r="N506" s="315">
        <v>5000</v>
      </c>
      <c r="O506" s="316">
        <f t="shared" si="25"/>
        <v>0</v>
      </c>
      <c r="P506" s="95">
        <v>45059</v>
      </c>
      <c r="Q506" s="61">
        <f t="shared" si="24"/>
        <v>45059</v>
      </c>
      <c r="R506" s="59"/>
      <c r="S506" s="59" t="s">
        <v>1173</v>
      </c>
      <c r="T506" s="59" t="s">
        <v>86</v>
      </c>
      <c r="U506" s="59"/>
      <c r="V506" s="59"/>
      <c r="W506" s="68"/>
      <c r="X506" s="68"/>
      <c r="Y506" s="68"/>
    </row>
    <row r="507" s="17" customFormat="1" hidden="1" customHeight="1" spans="1:25">
      <c r="A507" s="59">
        <v>505</v>
      </c>
      <c r="B507" s="60" t="s">
        <v>1174</v>
      </c>
      <c r="C507" s="61">
        <f t="shared" si="26"/>
        <v>44872</v>
      </c>
      <c r="D507" s="62" t="str">
        <f ca="1" t="shared" si="23"/>
        <v>一年以上</v>
      </c>
      <c r="E507" s="313">
        <v>44872</v>
      </c>
      <c r="F507" s="59" t="s">
        <v>632</v>
      </c>
      <c r="G507" s="59" t="s">
        <v>450</v>
      </c>
      <c r="H507" s="63" t="s">
        <v>577</v>
      </c>
      <c r="I507" s="63" t="s">
        <v>578</v>
      </c>
      <c r="J507" s="314">
        <v>10000</v>
      </c>
      <c r="K507" s="59" t="s">
        <v>28</v>
      </c>
      <c r="L507" s="59" t="s">
        <v>73</v>
      </c>
      <c r="M507" s="59" t="s">
        <v>30</v>
      </c>
      <c r="N507" s="315">
        <v>10000</v>
      </c>
      <c r="O507" s="316">
        <f t="shared" si="25"/>
        <v>0</v>
      </c>
      <c r="P507" s="95">
        <v>44880</v>
      </c>
      <c r="Q507" s="61">
        <f t="shared" si="24"/>
        <v>44880</v>
      </c>
      <c r="R507" s="59"/>
      <c r="S507" s="59" t="s">
        <v>1175</v>
      </c>
      <c r="T507" s="59"/>
      <c r="U507" s="59"/>
      <c r="V507" s="59"/>
      <c r="W507" s="68"/>
      <c r="X507" s="68"/>
      <c r="Y507" s="68"/>
    </row>
    <row r="508" s="17" customFormat="1" hidden="1" customHeight="1" spans="1:25">
      <c r="A508" s="59">
        <v>506</v>
      </c>
      <c r="B508" s="60" t="s">
        <v>1176</v>
      </c>
      <c r="C508" s="61">
        <f t="shared" si="26"/>
        <v>44872</v>
      </c>
      <c r="D508" s="62" t="str">
        <f ca="1" t="shared" si="23"/>
        <v>一年以上</v>
      </c>
      <c r="E508" s="313">
        <v>44872</v>
      </c>
      <c r="F508" s="59" t="s">
        <v>632</v>
      </c>
      <c r="G508" s="59" t="s">
        <v>450</v>
      </c>
      <c r="H508" s="63" t="s">
        <v>577</v>
      </c>
      <c r="I508" s="63" t="s">
        <v>578</v>
      </c>
      <c r="J508" s="314">
        <v>200</v>
      </c>
      <c r="K508" s="59" t="s">
        <v>28</v>
      </c>
      <c r="L508" s="59" t="s">
        <v>73</v>
      </c>
      <c r="M508" s="59" t="s">
        <v>515</v>
      </c>
      <c r="N508" s="315">
        <v>200</v>
      </c>
      <c r="O508" s="316">
        <f t="shared" si="25"/>
        <v>0</v>
      </c>
      <c r="P508" s="95">
        <v>44872</v>
      </c>
      <c r="Q508" s="61">
        <f t="shared" si="24"/>
        <v>44872</v>
      </c>
      <c r="R508" s="59"/>
      <c r="S508" s="59" t="s">
        <v>1175</v>
      </c>
      <c r="T508" s="59"/>
      <c r="U508" s="59"/>
      <c r="V508" s="59"/>
      <c r="W508" s="68"/>
      <c r="X508" s="68"/>
      <c r="Y508" s="68"/>
    </row>
    <row r="509" s="17" customFormat="1" hidden="1" customHeight="1" spans="1:25">
      <c r="A509" s="59">
        <v>507</v>
      </c>
      <c r="B509" s="60" t="s">
        <v>1177</v>
      </c>
      <c r="C509" s="61">
        <f t="shared" si="26"/>
        <v>44872</v>
      </c>
      <c r="D509" s="62" t="str">
        <f ca="1" t="shared" si="23"/>
        <v>一年以上</v>
      </c>
      <c r="E509" s="313">
        <v>44872</v>
      </c>
      <c r="F509" s="59" t="s">
        <v>632</v>
      </c>
      <c r="G509" s="59" t="s">
        <v>450</v>
      </c>
      <c r="H509" s="63" t="s">
        <v>1178</v>
      </c>
      <c r="I509" s="63" t="s">
        <v>1178</v>
      </c>
      <c r="J509" s="314">
        <v>10000</v>
      </c>
      <c r="K509" s="59" t="s">
        <v>28</v>
      </c>
      <c r="L509" s="59" t="s">
        <v>73</v>
      </c>
      <c r="M509" s="59" t="s">
        <v>30</v>
      </c>
      <c r="N509" s="315">
        <v>10000</v>
      </c>
      <c r="O509" s="316">
        <f t="shared" si="25"/>
        <v>0</v>
      </c>
      <c r="P509" s="95">
        <v>44880</v>
      </c>
      <c r="Q509" s="61">
        <f t="shared" si="24"/>
        <v>44880</v>
      </c>
      <c r="R509" s="59"/>
      <c r="S509" s="59" t="s">
        <v>1179</v>
      </c>
      <c r="T509" s="59"/>
      <c r="U509" s="59"/>
      <c r="V509" s="59"/>
      <c r="W509" s="68"/>
      <c r="X509" s="68"/>
      <c r="Y509" s="68"/>
    </row>
    <row r="510" s="17" customFormat="1" hidden="1" customHeight="1" spans="1:25">
      <c r="A510" s="59">
        <v>508</v>
      </c>
      <c r="B510" s="60" t="s">
        <v>1180</v>
      </c>
      <c r="C510" s="61">
        <f t="shared" si="26"/>
        <v>44872</v>
      </c>
      <c r="D510" s="62" t="str">
        <f ca="1" t="shared" si="23"/>
        <v>一年以上</v>
      </c>
      <c r="E510" s="313">
        <v>44872</v>
      </c>
      <c r="F510" s="59" t="s">
        <v>632</v>
      </c>
      <c r="G510" s="59" t="s">
        <v>450</v>
      </c>
      <c r="H510" s="63" t="s">
        <v>1178</v>
      </c>
      <c r="I510" s="63" t="s">
        <v>1178</v>
      </c>
      <c r="J510" s="314">
        <v>200</v>
      </c>
      <c r="K510" s="59" t="s">
        <v>28</v>
      </c>
      <c r="L510" s="59" t="s">
        <v>73</v>
      </c>
      <c r="M510" s="59" t="s">
        <v>515</v>
      </c>
      <c r="N510" s="315">
        <v>200</v>
      </c>
      <c r="O510" s="316">
        <f t="shared" si="25"/>
        <v>0</v>
      </c>
      <c r="P510" s="95">
        <v>44872</v>
      </c>
      <c r="Q510" s="61">
        <f t="shared" si="24"/>
        <v>44872</v>
      </c>
      <c r="R510" s="59"/>
      <c r="S510" s="59" t="s">
        <v>1179</v>
      </c>
      <c r="T510" s="59"/>
      <c r="U510" s="59"/>
      <c r="V510" s="59"/>
      <c r="W510" s="68"/>
      <c r="X510" s="68"/>
      <c r="Y510" s="68"/>
    </row>
    <row r="511" s="17" customFormat="1" hidden="1" customHeight="1" spans="1:25">
      <c r="A511" s="59">
        <v>509</v>
      </c>
      <c r="B511" s="60" t="s">
        <v>1181</v>
      </c>
      <c r="C511" s="61">
        <f t="shared" si="26"/>
        <v>44872</v>
      </c>
      <c r="D511" s="62" t="str">
        <f ca="1" t="shared" si="23"/>
        <v>一年以上</v>
      </c>
      <c r="E511" s="313">
        <v>44872</v>
      </c>
      <c r="F511" s="59" t="s">
        <v>632</v>
      </c>
      <c r="G511" s="59" t="s">
        <v>450</v>
      </c>
      <c r="H511" s="63" t="s">
        <v>366</v>
      </c>
      <c r="I511" s="63" t="s">
        <v>366</v>
      </c>
      <c r="J511" s="314">
        <v>5000</v>
      </c>
      <c r="K511" s="59" t="s">
        <v>356</v>
      </c>
      <c r="L511" s="59" t="s">
        <v>458</v>
      </c>
      <c r="M511" s="59" t="s">
        <v>30</v>
      </c>
      <c r="N511" s="315">
        <v>5000</v>
      </c>
      <c r="O511" s="316">
        <f t="shared" si="25"/>
        <v>0</v>
      </c>
      <c r="P511" s="95">
        <v>44887</v>
      </c>
      <c r="Q511" s="61">
        <f t="shared" si="24"/>
        <v>44887</v>
      </c>
      <c r="R511" s="59"/>
      <c r="S511" s="59" t="s">
        <v>1182</v>
      </c>
      <c r="T511" s="59"/>
      <c r="U511" s="59"/>
      <c r="V511" s="59"/>
      <c r="W511" s="68"/>
      <c r="X511" s="68"/>
      <c r="Y511" s="68"/>
    </row>
    <row r="512" s="17" customFormat="1" hidden="1" customHeight="1" spans="1:25">
      <c r="A512" s="59">
        <v>510</v>
      </c>
      <c r="B512" s="60" t="s">
        <v>1183</v>
      </c>
      <c r="C512" s="61">
        <f t="shared" si="26"/>
        <v>44872</v>
      </c>
      <c r="D512" s="62" t="str">
        <f ca="1" t="shared" si="23"/>
        <v>一年以上</v>
      </c>
      <c r="E512" s="313">
        <v>44872</v>
      </c>
      <c r="F512" s="59" t="s">
        <v>130</v>
      </c>
      <c r="G512" s="59" t="s">
        <v>569</v>
      </c>
      <c r="H512" s="63" t="s">
        <v>863</v>
      </c>
      <c r="I512" s="63" t="s">
        <v>863</v>
      </c>
      <c r="J512" s="314">
        <v>52088</v>
      </c>
      <c r="K512" s="59" t="s">
        <v>28</v>
      </c>
      <c r="L512" s="59" t="s">
        <v>57</v>
      </c>
      <c r="M512" s="59" t="s">
        <v>133</v>
      </c>
      <c r="N512" s="315">
        <v>52088</v>
      </c>
      <c r="O512" s="316">
        <f t="shared" si="25"/>
        <v>0</v>
      </c>
      <c r="P512" s="95">
        <v>45499</v>
      </c>
      <c r="Q512" s="61">
        <f t="shared" si="24"/>
        <v>45499</v>
      </c>
      <c r="R512" s="59"/>
      <c r="S512" s="59" t="s">
        <v>1118</v>
      </c>
      <c r="T512" s="59" t="s">
        <v>972</v>
      </c>
      <c r="U512" s="59" t="str">
        <f>VLOOKUP(T512,[1]区域划分!$A$1:$C$39,3,0)</f>
        <v>曾江利</v>
      </c>
      <c r="V512" s="59"/>
      <c r="W512" s="68"/>
      <c r="X512" s="68"/>
      <c r="Y512" s="68"/>
    </row>
    <row r="513" s="17" customFormat="1" hidden="1" customHeight="1" spans="1:25">
      <c r="A513" s="59">
        <v>511</v>
      </c>
      <c r="B513" s="60" t="s">
        <v>1184</v>
      </c>
      <c r="C513" s="61">
        <f t="shared" si="26"/>
        <v>44872</v>
      </c>
      <c r="D513" s="62" t="str">
        <f ca="1" t="shared" si="23"/>
        <v>一年以上</v>
      </c>
      <c r="E513" s="313">
        <v>44872</v>
      </c>
      <c r="F513" s="59" t="s">
        <v>70</v>
      </c>
      <c r="G513" s="59" t="s">
        <v>146</v>
      </c>
      <c r="H513" s="63" t="s">
        <v>305</v>
      </c>
      <c r="I513" s="63" t="s">
        <v>305</v>
      </c>
      <c r="J513" s="314">
        <v>3000</v>
      </c>
      <c r="K513" s="59" t="s">
        <v>28</v>
      </c>
      <c r="L513" s="59" t="s">
        <v>57</v>
      </c>
      <c r="M513" s="59" t="s">
        <v>65</v>
      </c>
      <c r="N513" s="315">
        <v>3000</v>
      </c>
      <c r="O513" s="316">
        <f t="shared" si="25"/>
        <v>0</v>
      </c>
      <c r="P513" s="95">
        <v>44945</v>
      </c>
      <c r="Q513" s="61">
        <f t="shared" si="24"/>
        <v>44945</v>
      </c>
      <c r="R513" s="59" t="s">
        <v>1185</v>
      </c>
      <c r="S513" s="59" t="s">
        <v>1186</v>
      </c>
      <c r="T513" s="59" t="s">
        <v>293</v>
      </c>
      <c r="U513" s="59"/>
      <c r="V513" s="59"/>
      <c r="W513" s="68"/>
      <c r="X513" s="68"/>
      <c r="Y513" s="68"/>
    </row>
    <row r="514" s="17" customFormat="1" hidden="1" customHeight="1" spans="1:25">
      <c r="A514" s="59">
        <v>512</v>
      </c>
      <c r="B514" s="60" t="s">
        <v>1187</v>
      </c>
      <c r="C514" s="61">
        <f t="shared" si="26"/>
        <v>44873</v>
      </c>
      <c r="D514" s="62" t="str">
        <f ca="1" t="shared" si="23"/>
        <v>一年以上</v>
      </c>
      <c r="E514" s="313">
        <v>44873</v>
      </c>
      <c r="F514" s="59" t="s">
        <v>632</v>
      </c>
      <c r="G514" s="59" t="s">
        <v>450</v>
      </c>
      <c r="H514" s="63" t="s">
        <v>674</v>
      </c>
      <c r="I514" s="63" t="s">
        <v>1188</v>
      </c>
      <c r="J514" s="314">
        <v>5000</v>
      </c>
      <c r="K514" s="59" t="s">
        <v>28</v>
      </c>
      <c r="L514" s="59" t="s">
        <v>57</v>
      </c>
      <c r="M514" s="59" t="s">
        <v>30</v>
      </c>
      <c r="N514" s="315">
        <v>5000</v>
      </c>
      <c r="O514" s="316">
        <f t="shared" si="25"/>
        <v>0</v>
      </c>
      <c r="P514" s="95">
        <v>45287</v>
      </c>
      <c r="Q514" s="61">
        <f t="shared" si="24"/>
        <v>45287</v>
      </c>
      <c r="R514" s="59" t="s">
        <v>1189</v>
      </c>
      <c r="S514" s="59" t="s">
        <v>1190</v>
      </c>
      <c r="T514" s="59" t="s">
        <v>581</v>
      </c>
      <c r="U514" s="59" t="str">
        <f>VLOOKUP(T514,[1]区域划分!$A$1:$C$39,3,0)</f>
        <v>新疆</v>
      </c>
      <c r="V514" s="59"/>
      <c r="W514" s="68"/>
      <c r="X514" s="68"/>
      <c r="Y514" s="68"/>
    </row>
    <row r="515" s="17" customFormat="1" hidden="1" customHeight="1" spans="1:25">
      <c r="A515" s="59">
        <v>513</v>
      </c>
      <c r="B515" s="60" t="s">
        <v>1191</v>
      </c>
      <c r="C515" s="61">
        <f t="shared" si="26"/>
        <v>44873</v>
      </c>
      <c r="D515" s="62" t="str">
        <f ca="1" t="shared" ref="D515:D578" si="27">IF(TODAY()-E515&lt;60,"2个月内",IF(TODAY()-E515&lt;180,"3-6个月",IF(TODAY()-E515&lt;360,"6个月-1年","一年以上")))</f>
        <v>一年以上</v>
      </c>
      <c r="E515" s="313">
        <v>44873</v>
      </c>
      <c r="F515" s="59" t="s">
        <v>632</v>
      </c>
      <c r="G515" s="59" t="s">
        <v>450</v>
      </c>
      <c r="H515" s="63" t="s">
        <v>674</v>
      </c>
      <c r="I515" s="63" t="s">
        <v>674</v>
      </c>
      <c r="J515" s="314">
        <v>200</v>
      </c>
      <c r="K515" s="59" t="s">
        <v>28</v>
      </c>
      <c r="L515" s="59" t="s">
        <v>57</v>
      </c>
      <c r="M515" s="59" t="s">
        <v>515</v>
      </c>
      <c r="N515" s="315">
        <v>200</v>
      </c>
      <c r="O515" s="316">
        <f t="shared" si="25"/>
        <v>0</v>
      </c>
      <c r="P515" s="95"/>
      <c r="Q515" s="61">
        <f t="shared" ref="Q515:Q578" si="28">P515</f>
        <v>0</v>
      </c>
      <c r="R515" s="59"/>
      <c r="S515" s="59" t="s">
        <v>1190</v>
      </c>
      <c r="T515" s="59"/>
      <c r="U515" s="59"/>
      <c r="V515" s="59"/>
      <c r="W515" s="68"/>
      <c r="X515" s="68"/>
      <c r="Y515" s="68"/>
    </row>
    <row r="516" s="17" customFormat="1" hidden="1" customHeight="1" spans="1:25">
      <c r="A516" s="59">
        <v>514</v>
      </c>
      <c r="B516" s="60" t="s">
        <v>1192</v>
      </c>
      <c r="C516" s="61">
        <f t="shared" si="26"/>
        <v>44874</v>
      </c>
      <c r="D516" s="62" t="str">
        <f ca="1" t="shared" si="27"/>
        <v>一年以上</v>
      </c>
      <c r="E516" s="313">
        <v>44874</v>
      </c>
      <c r="F516" s="59" t="s">
        <v>632</v>
      </c>
      <c r="G516" s="59" t="s">
        <v>450</v>
      </c>
      <c r="H516" s="63" t="s">
        <v>1101</v>
      </c>
      <c r="I516" s="63" t="s">
        <v>1101</v>
      </c>
      <c r="J516" s="314">
        <v>5000</v>
      </c>
      <c r="K516" s="59" t="s">
        <v>356</v>
      </c>
      <c r="L516" s="59" t="s">
        <v>458</v>
      </c>
      <c r="M516" s="59" t="s">
        <v>30</v>
      </c>
      <c r="N516" s="315">
        <v>5000</v>
      </c>
      <c r="O516" s="316">
        <f t="shared" si="25"/>
        <v>0</v>
      </c>
      <c r="P516" s="95">
        <v>45258</v>
      </c>
      <c r="Q516" s="61">
        <f t="shared" si="28"/>
        <v>45258</v>
      </c>
      <c r="R516" s="59"/>
      <c r="S516" s="59" t="s">
        <v>1193</v>
      </c>
      <c r="T516" s="59" t="s">
        <v>388</v>
      </c>
      <c r="U516" s="59" t="str">
        <f>VLOOKUP(T516,[1]区域划分!$A$1:$C$39,3,0)</f>
        <v>林维</v>
      </c>
      <c r="V516" s="59"/>
      <c r="W516" s="68"/>
      <c r="X516" s="68"/>
      <c r="Y516" s="68"/>
    </row>
    <row r="517" s="17" customFormat="1" hidden="1" customHeight="1" spans="1:25">
      <c r="A517" s="59">
        <v>515</v>
      </c>
      <c r="B517" s="60" t="s">
        <v>1194</v>
      </c>
      <c r="C517" s="61">
        <f t="shared" si="26"/>
        <v>44874</v>
      </c>
      <c r="D517" s="62" t="str">
        <f ca="1" t="shared" si="27"/>
        <v>一年以上</v>
      </c>
      <c r="E517" s="313">
        <v>44874</v>
      </c>
      <c r="F517" s="59" t="s">
        <v>632</v>
      </c>
      <c r="G517" s="59" t="s">
        <v>450</v>
      </c>
      <c r="H517" s="63" t="s">
        <v>1101</v>
      </c>
      <c r="I517" s="63" t="s">
        <v>1101</v>
      </c>
      <c r="J517" s="314">
        <v>9000</v>
      </c>
      <c r="K517" s="59" t="s">
        <v>356</v>
      </c>
      <c r="L517" s="59" t="s">
        <v>458</v>
      </c>
      <c r="M517" s="59" t="s">
        <v>30</v>
      </c>
      <c r="N517" s="315">
        <v>9000</v>
      </c>
      <c r="O517" s="316">
        <f t="shared" si="25"/>
        <v>0</v>
      </c>
      <c r="P517" s="95">
        <v>45950</v>
      </c>
      <c r="Q517" s="61">
        <f t="shared" si="28"/>
        <v>45950</v>
      </c>
      <c r="R517" s="317" t="s">
        <v>1195</v>
      </c>
      <c r="S517" s="59" t="s">
        <v>1196</v>
      </c>
      <c r="T517" s="59" t="s">
        <v>388</v>
      </c>
      <c r="U517" s="59" t="str">
        <f>VLOOKUP(T517,[1]区域划分!$A$1:$C$39,3,0)</f>
        <v>林维</v>
      </c>
      <c r="V517" s="59"/>
      <c r="W517" s="68"/>
      <c r="X517" s="68"/>
      <c r="Y517" s="68"/>
    </row>
    <row r="518" s="17" customFormat="1" hidden="1" customHeight="1" spans="1:25">
      <c r="A518" s="59">
        <v>516</v>
      </c>
      <c r="B518" s="60" t="s">
        <v>1197</v>
      </c>
      <c r="C518" s="61">
        <f t="shared" si="26"/>
        <v>44874</v>
      </c>
      <c r="D518" s="62" t="str">
        <f ca="1" t="shared" si="27"/>
        <v>一年以上</v>
      </c>
      <c r="E518" s="313">
        <v>44874</v>
      </c>
      <c r="F518" s="59" t="s">
        <v>632</v>
      </c>
      <c r="G518" s="59" t="s">
        <v>450</v>
      </c>
      <c r="H518" s="63" t="s">
        <v>495</v>
      </c>
      <c r="I518" s="63" t="s">
        <v>495</v>
      </c>
      <c r="J518" s="314">
        <v>2000</v>
      </c>
      <c r="K518" s="59" t="s">
        <v>356</v>
      </c>
      <c r="L518" s="59" t="s">
        <v>458</v>
      </c>
      <c r="M518" s="59" t="s">
        <v>30</v>
      </c>
      <c r="N518" s="315">
        <v>2000</v>
      </c>
      <c r="O518" s="316">
        <f t="shared" si="25"/>
        <v>0</v>
      </c>
      <c r="P518" s="95">
        <v>44932</v>
      </c>
      <c r="Q518" s="61">
        <f t="shared" si="28"/>
        <v>44932</v>
      </c>
      <c r="R518" s="59"/>
      <c r="S518" s="59" t="s">
        <v>1198</v>
      </c>
      <c r="T518" s="59" t="s">
        <v>182</v>
      </c>
      <c r="U518" s="59"/>
      <c r="V518" s="59"/>
      <c r="W518" s="68"/>
      <c r="X518" s="68"/>
      <c r="Y518" s="68"/>
    </row>
    <row r="519" s="17" customFormat="1" hidden="1" customHeight="1" spans="1:25">
      <c r="A519" s="59">
        <v>517</v>
      </c>
      <c r="B519" s="60" t="s">
        <v>1199</v>
      </c>
      <c r="C519" s="61">
        <f t="shared" si="26"/>
        <v>44875</v>
      </c>
      <c r="D519" s="62" t="str">
        <f ca="1" t="shared" si="27"/>
        <v>一年以上</v>
      </c>
      <c r="E519" s="313">
        <v>44875</v>
      </c>
      <c r="F519" s="59" t="s">
        <v>632</v>
      </c>
      <c r="G519" s="59" t="s">
        <v>450</v>
      </c>
      <c r="H519" s="63" t="s">
        <v>1200</v>
      </c>
      <c r="I519" s="63" t="s">
        <v>1200</v>
      </c>
      <c r="J519" s="314">
        <v>10500</v>
      </c>
      <c r="K519" s="59" t="s">
        <v>28</v>
      </c>
      <c r="L519" s="59" t="s">
        <v>57</v>
      </c>
      <c r="M519" s="59" t="s">
        <v>968</v>
      </c>
      <c r="N519" s="315">
        <v>10500</v>
      </c>
      <c r="O519" s="316">
        <f t="shared" si="25"/>
        <v>0</v>
      </c>
      <c r="P519" s="95">
        <v>44960</v>
      </c>
      <c r="Q519" s="61">
        <f t="shared" si="28"/>
        <v>44960</v>
      </c>
      <c r="R519" s="59" t="s">
        <v>951</v>
      </c>
      <c r="S519" s="59"/>
      <c r="T519" s="59"/>
      <c r="U519" s="59"/>
      <c r="V519" s="59"/>
      <c r="W519" s="68"/>
      <c r="X519" s="68"/>
      <c r="Y519" s="68"/>
    </row>
    <row r="520" s="17" customFormat="1" hidden="1" customHeight="1" spans="1:25">
      <c r="A520" s="59">
        <v>518</v>
      </c>
      <c r="B520" s="60" t="s">
        <v>1201</v>
      </c>
      <c r="C520" s="61">
        <f t="shared" si="26"/>
        <v>44875</v>
      </c>
      <c r="D520" s="62" t="str">
        <f ca="1" t="shared" si="27"/>
        <v>一年以上</v>
      </c>
      <c r="E520" s="313">
        <v>44875</v>
      </c>
      <c r="F520" s="59" t="s">
        <v>70</v>
      </c>
      <c r="G520" s="59" t="s">
        <v>1202</v>
      </c>
      <c r="H520" s="63" t="s">
        <v>1203</v>
      </c>
      <c r="I520" s="63" t="s">
        <v>1203</v>
      </c>
      <c r="J520" s="314">
        <v>30000</v>
      </c>
      <c r="K520" s="59" t="s">
        <v>28</v>
      </c>
      <c r="L520" s="59" t="s">
        <v>57</v>
      </c>
      <c r="M520" s="59" t="s">
        <v>65</v>
      </c>
      <c r="N520" s="315">
        <v>30000</v>
      </c>
      <c r="O520" s="316">
        <f t="shared" si="25"/>
        <v>0</v>
      </c>
      <c r="P520" s="95">
        <v>45215</v>
      </c>
      <c r="Q520" s="61">
        <f t="shared" si="28"/>
        <v>45215</v>
      </c>
      <c r="R520" s="59" t="s">
        <v>1204</v>
      </c>
      <c r="S520" s="59"/>
      <c r="T520" s="59" t="s">
        <v>86</v>
      </c>
      <c r="U520" s="59"/>
      <c r="V520" s="59"/>
      <c r="W520" s="68"/>
      <c r="X520" s="68"/>
      <c r="Y520" s="68"/>
    </row>
    <row r="521" s="17" customFormat="1" hidden="1" customHeight="1" spans="1:25">
      <c r="A521" s="59">
        <v>519</v>
      </c>
      <c r="B521" s="60" t="s">
        <v>1205</v>
      </c>
      <c r="C521" s="61">
        <f t="shared" si="26"/>
        <v>44879</v>
      </c>
      <c r="D521" s="62" t="str">
        <f ca="1" t="shared" si="27"/>
        <v>一年以上</v>
      </c>
      <c r="E521" s="313">
        <v>44879</v>
      </c>
      <c r="F521" s="59" t="s">
        <v>130</v>
      </c>
      <c r="G521" s="59" t="s">
        <v>239</v>
      </c>
      <c r="H521" s="63" t="s">
        <v>1005</v>
      </c>
      <c r="I521" s="63" t="s">
        <v>1005</v>
      </c>
      <c r="J521" s="314">
        <v>10000</v>
      </c>
      <c r="K521" s="59" t="s">
        <v>356</v>
      </c>
      <c r="L521" s="59" t="s">
        <v>1206</v>
      </c>
      <c r="M521" s="59" t="s">
        <v>30</v>
      </c>
      <c r="N521" s="315">
        <v>10000</v>
      </c>
      <c r="O521" s="316">
        <f t="shared" si="25"/>
        <v>0</v>
      </c>
      <c r="P521" s="95">
        <v>45013</v>
      </c>
      <c r="Q521" s="61">
        <f t="shared" si="28"/>
        <v>45013</v>
      </c>
      <c r="R521" s="59" t="s">
        <v>1207</v>
      </c>
      <c r="S521" s="59" t="s">
        <v>1208</v>
      </c>
      <c r="T521" s="59" t="s">
        <v>381</v>
      </c>
      <c r="U521" s="59"/>
      <c r="V521" s="59"/>
      <c r="W521" s="68"/>
      <c r="X521" s="68"/>
      <c r="Y521" s="68"/>
    </row>
    <row r="522" s="17" customFormat="1" hidden="1" customHeight="1" spans="1:25">
      <c r="A522" s="59">
        <v>520</v>
      </c>
      <c r="B522" s="60" t="s">
        <v>1209</v>
      </c>
      <c r="C522" s="61">
        <f t="shared" si="26"/>
        <v>44879</v>
      </c>
      <c r="D522" s="62" t="str">
        <f ca="1" t="shared" si="27"/>
        <v>一年以上</v>
      </c>
      <c r="E522" s="313">
        <v>44879</v>
      </c>
      <c r="F522" s="59" t="s">
        <v>632</v>
      </c>
      <c r="G522" s="59" t="s">
        <v>450</v>
      </c>
      <c r="H522" s="63" t="s">
        <v>696</v>
      </c>
      <c r="I522" s="63" t="s">
        <v>696</v>
      </c>
      <c r="J522" s="314">
        <v>3000</v>
      </c>
      <c r="K522" s="59" t="s">
        <v>356</v>
      </c>
      <c r="L522" s="59" t="s">
        <v>458</v>
      </c>
      <c r="M522" s="59" t="s">
        <v>30</v>
      </c>
      <c r="N522" s="315">
        <v>3000</v>
      </c>
      <c r="O522" s="316">
        <f t="shared" ref="O522:O585" si="29">J522-N522</f>
        <v>0</v>
      </c>
      <c r="P522" s="95">
        <v>44923</v>
      </c>
      <c r="Q522" s="61">
        <f t="shared" si="28"/>
        <v>44923</v>
      </c>
      <c r="R522" s="59"/>
      <c r="S522" s="59" t="s">
        <v>1210</v>
      </c>
      <c r="T522" s="59"/>
      <c r="U522" s="59"/>
      <c r="V522" s="59"/>
      <c r="W522" s="68"/>
      <c r="X522" s="68"/>
      <c r="Y522" s="68"/>
    </row>
    <row r="523" s="17" customFormat="1" hidden="1" customHeight="1" spans="1:25">
      <c r="A523" s="59">
        <v>521</v>
      </c>
      <c r="B523" s="60" t="s">
        <v>1211</v>
      </c>
      <c r="C523" s="61">
        <f t="shared" si="26"/>
        <v>44880</v>
      </c>
      <c r="D523" s="62" t="str">
        <f ca="1" t="shared" si="27"/>
        <v>一年以上</v>
      </c>
      <c r="E523" s="313">
        <v>44880</v>
      </c>
      <c r="F523" s="59" t="s">
        <v>632</v>
      </c>
      <c r="G523" s="59" t="s">
        <v>450</v>
      </c>
      <c r="H523" s="63" t="s">
        <v>1101</v>
      </c>
      <c r="I523" s="63" t="s">
        <v>1101</v>
      </c>
      <c r="J523" s="314">
        <v>4000</v>
      </c>
      <c r="K523" s="59" t="s">
        <v>356</v>
      </c>
      <c r="L523" s="59" t="s">
        <v>458</v>
      </c>
      <c r="M523" s="59" t="s">
        <v>30</v>
      </c>
      <c r="N523" s="315">
        <v>4000</v>
      </c>
      <c r="O523" s="316">
        <f t="shared" si="29"/>
        <v>0</v>
      </c>
      <c r="P523" s="95">
        <v>45226</v>
      </c>
      <c r="Q523" s="61">
        <f t="shared" si="28"/>
        <v>45226</v>
      </c>
      <c r="R523" s="59"/>
      <c r="S523" s="59" t="s">
        <v>1212</v>
      </c>
      <c r="T523" s="59" t="s">
        <v>388</v>
      </c>
      <c r="U523" s="59"/>
      <c r="V523" s="59"/>
      <c r="W523" s="68"/>
      <c r="X523" s="68"/>
      <c r="Y523" s="68"/>
    </row>
    <row r="524" s="17" customFormat="1" hidden="1" customHeight="1" spans="1:25">
      <c r="A524" s="59">
        <v>522</v>
      </c>
      <c r="B524" s="60" t="s">
        <v>1213</v>
      </c>
      <c r="C524" s="61">
        <f t="shared" si="26"/>
        <v>44880</v>
      </c>
      <c r="D524" s="62" t="str">
        <f ca="1" t="shared" si="27"/>
        <v>一年以上</v>
      </c>
      <c r="E524" s="313">
        <v>44880</v>
      </c>
      <c r="F524" s="59" t="s">
        <v>70</v>
      </c>
      <c r="G524" s="59" t="s">
        <v>149</v>
      </c>
      <c r="H524" s="63" t="s">
        <v>283</v>
      </c>
      <c r="I524" s="63" t="s">
        <v>283</v>
      </c>
      <c r="J524" s="314">
        <v>2500</v>
      </c>
      <c r="K524" s="59" t="s">
        <v>356</v>
      </c>
      <c r="L524" s="59" t="s">
        <v>458</v>
      </c>
      <c r="M524" s="59" t="s">
        <v>65</v>
      </c>
      <c r="N524" s="315">
        <v>2500</v>
      </c>
      <c r="O524" s="316">
        <f t="shared" si="29"/>
        <v>0</v>
      </c>
      <c r="P524" s="95">
        <v>45313</v>
      </c>
      <c r="Q524" s="61">
        <f t="shared" si="28"/>
        <v>45313</v>
      </c>
      <c r="R524" s="59"/>
      <c r="S524" s="59" t="s">
        <v>1214</v>
      </c>
      <c r="T524" s="59" t="s">
        <v>182</v>
      </c>
      <c r="U524" s="59" t="str">
        <f>VLOOKUP(T524,[1]区域划分!$A$1:$C$39,3,0)</f>
        <v>汪瑞青</v>
      </c>
      <c r="V524" s="59"/>
      <c r="W524" s="68"/>
      <c r="X524" s="68"/>
      <c r="Y524" s="68"/>
    </row>
    <row r="525" s="17" customFormat="1" hidden="1" customHeight="1" spans="1:25">
      <c r="A525" s="59">
        <v>523</v>
      </c>
      <c r="B525" s="60" t="s">
        <v>1215</v>
      </c>
      <c r="C525" s="61">
        <f t="shared" si="26"/>
        <v>44880</v>
      </c>
      <c r="D525" s="62" t="str">
        <f ca="1" t="shared" si="27"/>
        <v>一年以上</v>
      </c>
      <c r="E525" s="313">
        <v>44880</v>
      </c>
      <c r="F525" s="59" t="s">
        <v>70</v>
      </c>
      <c r="G525" s="59" t="s">
        <v>940</v>
      </c>
      <c r="H525" s="63" t="s">
        <v>863</v>
      </c>
      <c r="I525" s="63" t="s">
        <v>863</v>
      </c>
      <c r="J525" s="314">
        <v>52088</v>
      </c>
      <c r="K525" s="59" t="s">
        <v>28</v>
      </c>
      <c r="L525" s="59" t="s">
        <v>57</v>
      </c>
      <c r="M525" s="59" t="s">
        <v>941</v>
      </c>
      <c r="N525" s="315">
        <v>52088</v>
      </c>
      <c r="O525" s="316">
        <f t="shared" si="29"/>
        <v>0</v>
      </c>
      <c r="P525" s="95">
        <v>45499</v>
      </c>
      <c r="Q525" s="61">
        <f t="shared" si="28"/>
        <v>45499</v>
      </c>
      <c r="R525" s="59"/>
      <c r="S525" s="59" t="s">
        <v>1216</v>
      </c>
      <c r="T525" s="59" t="s">
        <v>972</v>
      </c>
      <c r="U525" s="59" t="str">
        <f>VLOOKUP(T525,[1]区域划分!$A$1:$C$39,3,0)</f>
        <v>曾江利</v>
      </c>
      <c r="V525" s="59" t="s">
        <v>1217</v>
      </c>
      <c r="W525" s="68"/>
      <c r="X525" s="68"/>
      <c r="Y525" s="68"/>
    </row>
    <row r="526" s="17" customFormat="1" hidden="1" customHeight="1" spans="1:25">
      <c r="A526" s="59">
        <v>524</v>
      </c>
      <c r="B526" s="60" t="s">
        <v>1218</v>
      </c>
      <c r="C526" s="61">
        <f t="shared" si="26"/>
        <v>44886</v>
      </c>
      <c r="D526" s="62" t="str">
        <f ca="1" t="shared" si="27"/>
        <v>一年以上</v>
      </c>
      <c r="E526" s="313">
        <v>44886</v>
      </c>
      <c r="F526" s="59" t="s">
        <v>632</v>
      </c>
      <c r="G526" s="59" t="s">
        <v>450</v>
      </c>
      <c r="H526" s="63" t="s">
        <v>1101</v>
      </c>
      <c r="I526" s="63" t="s">
        <v>1101</v>
      </c>
      <c r="J526" s="314">
        <v>4000</v>
      </c>
      <c r="K526" s="59" t="s">
        <v>356</v>
      </c>
      <c r="L526" s="59" t="s">
        <v>458</v>
      </c>
      <c r="M526" s="59" t="s">
        <v>30</v>
      </c>
      <c r="N526" s="315">
        <v>4000</v>
      </c>
      <c r="O526" s="316">
        <f t="shared" si="29"/>
        <v>0</v>
      </c>
      <c r="P526" s="95">
        <v>45253</v>
      </c>
      <c r="Q526" s="61">
        <f t="shared" si="28"/>
        <v>45253</v>
      </c>
      <c r="R526" s="59"/>
      <c r="S526" s="59" t="s">
        <v>1219</v>
      </c>
      <c r="T526" s="59" t="s">
        <v>388</v>
      </c>
      <c r="U526" s="59" t="str">
        <f>VLOOKUP(T526,[1]区域划分!$A$1:$C$39,3,0)</f>
        <v>林维</v>
      </c>
      <c r="V526" s="59"/>
      <c r="W526" s="68"/>
      <c r="X526" s="68"/>
      <c r="Y526" s="68"/>
    </row>
    <row r="527" s="17" customFormat="1" hidden="1" customHeight="1" spans="1:25">
      <c r="A527" s="59">
        <v>525</v>
      </c>
      <c r="B527" s="60" t="s">
        <v>1220</v>
      </c>
      <c r="C527" s="61">
        <f t="shared" si="26"/>
        <v>44887</v>
      </c>
      <c r="D527" s="62" t="str">
        <f ca="1" t="shared" si="27"/>
        <v>一年以上</v>
      </c>
      <c r="E527" s="313">
        <v>44887</v>
      </c>
      <c r="F527" s="59" t="s">
        <v>632</v>
      </c>
      <c r="G527" s="59" t="s">
        <v>993</v>
      </c>
      <c r="H527" s="63" t="s">
        <v>1221</v>
      </c>
      <c r="I527" s="63" t="s">
        <v>1221</v>
      </c>
      <c r="J527" s="314">
        <v>3000</v>
      </c>
      <c r="K527" s="59" t="s">
        <v>28</v>
      </c>
      <c r="L527" s="59" t="s">
        <v>57</v>
      </c>
      <c r="M527" s="59" t="s">
        <v>30</v>
      </c>
      <c r="N527" s="315">
        <v>3000</v>
      </c>
      <c r="O527" s="316">
        <f t="shared" si="29"/>
        <v>0</v>
      </c>
      <c r="P527" s="95">
        <v>44923</v>
      </c>
      <c r="Q527" s="61">
        <f t="shared" si="28"/>
        <v>44923</v>
      </c>
      <c r="R527" s="59"/>
      <c r="S527" s="59" t="s">
        <v>1222</v>
      </c>
      <c r="T527" s="59" t="s">
        <v>330</v>
      </c>
      <c r="U527" s="59"/>
      <c r="V527" s="59"/>
      <c r="W527" s="68"/>
      <c r="X527" s="68"/>
      <c r="Y527" s="68"/>
    </row>
    <row r="528" s="17" customFormat="1" hidden="1" customHeight="1" spans="1:25">
      <c r="A528" s="59">
        <v>526</v>
      </c>
      <c r="B528" s="60" t="s">
        <v>1223</v>
      </c>
      <c r="C528" s="61">
        <f t="shared" si="26"/>
        <v>44890</v>
      </c>
      <c r="D528" s="62" t="str">
        <f ca="1" t="shared" si="27"/>
        <v>一年以上</v>
      </c>
      <c r="E528" s="313">
        <v>44890</v>
      </c>
      <c r="F528" s="59" t="s">
        <v>632</v>
      </c>
      <c r="G528" s="59" t="s">
        <v>1088</v>
      </c>
      <c r="H528" s="63" t="s">
        <v>346</v>
      </c>
      <c r="I528" s="63" t="s">
        <v>346</v>
      </c>
      <c r="J528" s="314">
        <v>36000</v>
      </c>
      <c r="K528" s="59" t="s">
        <v>28</v>
      </c>
      <c r="L528" s="59" t="s">
        <v>57</v>
      </c>
      <c r="M528" s="59" t="s">
        <v>30</v>
      </c>
      <c r="N528" s="315">
        <v>36000</v>
      </c>
      <c r="O528" s="316">
        <f t="shared" si="29"/>
        <v>0</v>
      </c>
      <c r="P528" s="95">
        <v>44973</v>
      </c>
      <c r="Q528" s="61">
        <f t="shared" si="28"/>
        <v>44973</v>
      </c>
      <c r="R528" s="59"/>
      <c r="S528" s="59" t="s">
        <v>1224</v>
      </c>
      <c r="T528" s="59" t="s">
        <v>720</v>
      </c>
      <c r="U528" s="59"/>
      <c r="V528" s="59"/>
      <c r="W528" s="68"/>
      <c r="X528" s="68"/>
      <c r="Y528" s="68"/>
    </row>
    <row r="529" s="17" customFormat="1" hidden="1" customHeight="1" spans="1:25">
      <c r="A529" s="59">
        <v>527</v>
      </c>
      <c r="B529" s="60" t="s">
        <v>1225</v>
      </c>
      <c r="C529" s="61">
        <f t="shared" si="26"/>
        <v>44893</v>
      </c>
      <c r="D529" s="62" t="str">
        <f ca="1" t="shared" si="27"/>
        <v>一年以上</v>
      </c>
      <c r="E529" s="313">
        <v>44893</v>
      </c>
      <c r="F529" s="59" t="s">
        <v>70</v>
      </c>
      <c r="G529" s="59" t="s">
        <v>1226</v>
      </c>
      <c r="H529" s="63" t="s">
        <v>1227</v>
      </c>
      <c r="I529" s="63" t="s">
        <v>1227</v>
      </c>
      <c r="J529" s="314">
        <v>5000</v>
      </c>
      <c r="K529" s="59" t="s">
        <v>28</v>
      </c>
      <c r="L529" s="59" t="s">
        <v>57</v>
      </c>
      <c r="M529" s="59" t="s">
        <v>65</v>
      </c>
      <c r="N529" s="315">
        <v>5000</v>
      </c>
      <c r="O529" s="316">
        <f t="shared" si="29"/>
        <v>0</v>
      </c>
      <c r="P529" s="95">
        <v>45040</v>
      </c>
      <c r="Q529" s="61">
        <f t="shared" si="28"/>
        <v>45040</v>
      </c>
      <c r="R529" s="59"/>
      <c r="S529" s="59" t="s">
        <v>1228</v>
      </c>
      <c r="T529" s="59" t="s">
        <v>86</v>
      </c>
      <c r="U529" s="59"/>
      <c r="V529" s="59"/>
      <c r="W529" s="68"/>
      <c r="X529" s="68"/>
      <c r="Y529" s="68"/>
    </row>
    <row r="530" s="17" customFormat="1" hidden="1" customHeight="1" spans="1:25">
      <c r="A530" s="59">
        <v>528</v>
      </c>
      <c r="B530" s="60" t="s">
        <v>1229</v>
      </c>
      <c r="C530" s="61">
        <f t="shared" si="26"/>
        <v>44894</v>
      </c>
      <c r="D530" s="62" t="str">
        <f ca="1" t="shared" si="27"/>
        <v>一年以上</v>
      </c>
      <c r="E530" s="313">
        <v>44894</v>
      </c>
      <c r="F530" s="59" t="s">
        <v>632</v>
      </c>
      <c r="G530" s="59" t="s">
        <v>1088</v>
      </c>
      <c r="H530" s="63" t="s">
        <v>1230</v>
      </c>
      <c r="I530" s="63" t="s">
        <v>1230</v>
      </c>
      <c r="J530" s="314">
        <v>300</v>
      </c>
      <c r="K530" s="59" t="s">
        <v>28</v>
      </c>
      <c r="L530" s="59" t="s">
        <v>57</v>
      </c>
      <c r="M530" s="59" t="s">
        <v>515</v>
      </c>
      <c r="N530" s="315"/>
      <c r="O530" s="316">
        <f t="shared" si="29"/>
        <v>300</v>
      </c>
      <c r="P530" s="95"/>
      <c r="Q530" s="61">
        <f t="shared" si="28"/>
        <v>0</v>
      </c>
      <c r="R530" s="59"/>
      <c r="S530" s="59" t="s">
        <v>1231</v>
      </c>
      <c r="T530" s="59" t="s">
        <v>86</v>
      </c>
      <c r="U530" s="59" t="str">
        <f>VLOOKUP(T530,[1]区域划分!$A$1:$C$39,3,0)</f>
        <v>朱利勇</v>
      </c>
      <c r="V530" s="59"/>
      <c r="W530" s="68"/>
      <c r="X530" s="68"/>
      <c r="Y530" s="68"/>
    </row>
    <row r="531" s="17" customFormat="1" hidden="1" customHeight="1" spans="1:25">
      <c r="A531" s="59">
        <v>529</v>
      </c>
      <c r="B531" s="60" t="s">
        <v>1232</v>
      </c>
      <c r="C531" s="61">
        <f t="shared" si="26"/>
        <v>44894</v>
      </c>
      <c r="D531" s="62" t="str">
        <f ca="1" t="shared" si="27"/>
        <v>一年以上</v>
      </c>
      <c r="E531" s="313">
        <v>44894</v>
      </c>
      <c r="F531" s="59" t="s">
        <v>632</v>
      </c>
      <c r="G531" s="59" t="s">
        <v>1088</v>
      </c>
      <c r="H531" s="63" t="s">
        <v>1230</v>
      </c>
      <c r="I531" s="63" t="s">
        <v>1230</v>
      </c>
      <c r="J531" s="314">
        <v>4200</v>
      </c>
      <c r="K531" s="59" t="s">
        <v>28</v>
      </c>
      <c r="L531" s="59" t="s">
        <v>57</v>
      </c>
      <c r="M531" s="59" t="s">
        <v>30</v>
      </c>
      <c r="N531" s="315">
        <v>4200</v>
      </c>
      <c r="O531" s="316">
        <f t="shared" si="29"/>
        <v>0</v>
      </c>
      <c r="P531" s="95">
        <v>44900</v>
      </c>
      <c r="Q531" s="61">
        <f t="shared" si="28"/>
        <v>44900</v>
      </c>
      <c r="R531" s="59"/>
      <c r="S531" s="59" t="s">
        <v>1231</v>
      </c>
      <c r="T531" s="59"/>
      <c r="U531" s="59"/>
      <c r="V531" s="59"/>
      <c r="W531" s="68"/>
      <c r="X531" s="68"/>
      <c r="Y531" s="68"/>
    </row>
    <row r="532" s="17" customFormat="1" hidden="1" customHeight="1" spans="1:25">
      <c r="A532" s="59">
        <v>530</v>
      </c>
      <c r="B532" s="60" t="s">
        <v>1233</v>
      </c>
      <c r="C532" s="61">
        <f t="shared" si="26"/>
        <v>44894</v>
      </c>
      <c r="D532" s="62" t="str">
        <f ca="1" t="shared" si="27"/>
        <v>一年以上</v>
      </c>
      <c r="E532" s="313">
        <v>44894</v>
      </c>
      <c r="F532" s="59" t="s">
        <v>632</v>
      </c>
      <c r="G532" s="59" t="s">
        <v>1088</v>
      </c>
      <c r="H532" s="63" t="s">
        <v>1230</v>
      </c>
      <c r="I532" s="63" t="s">
        <v>1230</v>
      </c>
      <c r="J532" s="314">
        <v>4000</v>
      </c>
      <c r="K532" s="59" t="s">
        <v>28</v>
      </c>
      <c r="L532" s="59" t="s">
        <v>57</v>
      </c>
      <c r="M532" s="59" t="s">
        <v>30</v>
      </c>
      <c r="N532" s="315">
        <v>4000</v>
      </c>
      <c r="O532" s="316">
        <f t="shared" si="29"/>
        <v>0</v>
      </c>
      <c r="P532" s="95">
        <v>44900</v>
      </c>
      <c r="Q532" s="61">
        <f t="shared" si="28"/>
        <v>44900</v>
      </c>
      <c r="R532" s="59"/>
      <c r="S532" s="59" t="s">
        <v>1234</v>
      </c>
      <c r="T532" s="59"/>
      <c r="U532" s="59"/>
      <c r="V532" s="59"/>
      <c r="W532" s="68"/>
      <c r="X532" s="68"/>
      <c r="Y532" s="68"/>
    </row>
    <row r="533" s="17" customFormat="1" hidden="1" customHeight="1" spans="1:25">
      <c r="A533" s="59">
        <v>531</v>
      </c>
      <c r="B533" s="60" t="s">
        <v>1235</v>
      </c>
      <c r="C533" s="61">
        <f t="shared" si="26"/>
        <v>44894</v>
      </c>
      <c r="D533" s="62" t="str">
        <f ca="1" t="shared" si="27"/>
        <v>一年以上</v>
      </c>
      <c r="E533" s="313">
        <v>44894</v>
      </c>
      <c r="F533" s="59" t="s">
        <v>632</v>
      </c>
      <c r="G533" s="59" t="s">
        <v>1088</v>
      </c>
      <c r="H533" s="63" t="s">
        <v>1230</v>
      </c>
      <c r="I533" s="63" t="s">
        <v>1230</v>
      </c>
      <c r="J533" s="314">
        <v>300</v>
      </c>
      <c r="K533" s="59" t="s">
        <v>28</v>
      </c>
      <c r="L533" s="59" t="s">
        <v>57</v>
      </c>
      <c r="M533" s="59" t="s">
        <v>515</v>
      </c>
      <c r="N533" s="315"/>
      <c r="O533" s="316">
        <f t="shared" si="29"/>
        <v>300</v>
      </c>
      <c r="P533" s="95"/>
      <c r="Q533" s="61">
        <f t="shared" si="28"/>
        <v>0</v>
      </c>
      <c r="R533" s="59"/>
      <c r="S533" s="59" t="s">
        <v>1234</v>
      </c>
      <c r="T533" s="59" t="s">
        <v>86</v>
      </c>
      <c r="U533" s="59" t="str">
        <f>VLOOKUP(T533,[1]区域划分!$A$1:$C$39,3,0)</f>
        <v>朱利勇</v>
      </c>
      <c r="V533" s="59"/>
      <c r="W533" s="68"/>
      <c r="X533" s="68"/>
      <c r="Y533" s="68"/>
    </row>
    <row r="534" s="17" customFormat="1" hidden="1" customHeight="1" spans="1:25">
      <c r="A534" s="59">
        <v>532</v>
      </c>
      <c r="B534" s="60" t="s">
        <v>1236</v>
      </c>
      <c r="C534" s="61">
        <f t="shared" si="26"/>
        <v>44894</v>
      </c>
      <c r="D534" s="62" t="str">
        <f ca="1" t="shared" si="27"/>
        <v>一年以上</v>
      </c>
      <c r="E534" s="313">
        <v>44894</v>
      </c>
      <c r="F534" s="59" t="s">
        <v>632</v>
      </c>
      <c r="G534" s="59" t="s">
        <v>1088</v>
      </c>
      <c r="H534" s="63" t="s">
        <v>1230</v>
      </c>
      <c r="I534" s="63" t="s">
        <v>1230</v>
      </c>
      <c r="J534" s="314">
        <v>300</v>
      </c>
      <c r="K534" s="59" t="s">
        <v>28</v>
      </c>
      <c r="L534" s="59" t="s">
        <v>57</v>
      </c>
      <c r="M534" s="59" t="s">
        <v>515</v>
      </c>
      <c r="N534" s="315"/>
      <c r="O534" s="316">
        <f t="shared" si="29"/>
        <v>300</v>
      </c>
      <c r="P534" s="95"/>
      <c r="Q534" s="61">
        <f t="shared" si="28"/>
        <v>0</v>
      </c>
      <c r="R534" s="59"/>
      <c r="S534" s="59" t="s">
        <v>1237</v>
      </c>
      <c r="T534" s="59" t="s">
        <v>86</v>
      </c>
      <c r="U534" s="59" t="str">
        <f>VLOOKUP(T534,[1]区域划分!$A$1:$C$39,3,0)</f>
        <v>朱利勇</v>
      </c>
      <c r="V534" s="59"/>
      <c r="W534" s="68"/>
      <c r="X534" s="68"/>
      <c r="Y534" s="68"/>
    </row>
    <row r="535" s="17" customFormat="1" hidden="1" customHeight="1" spans="1:25">
      <c r="A535" s="59">
        <v>533</v>
      </c>
      <c r="B535" s="60" t="s">
        <v>1238</v>
      </c>
      <c r="C535" s="61">
        <f t="shared" si="26"/>
        <v>44894</v>
      </c>
      <c r="D535" s="62" t="str">
        <f ca="1" t="shared" si="27"/>
        <v>一年以上</v>
      </c>
      <c r="E535" s="313">
        <v>44894</v>
      </c>
      <c r="F535" s="59" t="s">
        <v>632</v>
      </c>
      <c r="G535" s="59" t="s">
        <v>1088</v>
      </c>
      <c r="H535" s="63" t="s">
        <v>1230</v>
      </c>
      <c r="I535" s="63" t="s">
        <v>1230</v>
      </c>
      <c r="J535" s="314">
        <v>3800</v>
      </c>
      <c r="K535" s="59" t="s">
        <v>28</v>
      </c>
      <c r="L535" s="59" t="s">
        <v>57</v>
      </c>
      <c r="M535" s="59" t="s">
        <v>30</v>
      </c>
      <c r="N535" s="315">
        <v>3800</v>
      </c>
      <c r="O535" s="316">
        <f t="shared" si="29"/>
        <v>0</v>
      </c>
      <c r="P535" s="95">
        <v>44900</v>
      </c>
      <c r="Q535" s="61">
        <f t="shared" si="28"/>
        <v>44900</v>
      </c>
      <c r="R535" s="59"/>
      <c r="S535" s="59" t="s">
        <v>1237</v>
      </c>
      <c r="T535" s="59"/>
      <c r="U535" s="59"/>
      <c r="V535" s="59"/>
      <c r="W535" s="68"/>
      <c r="X535" s="68"/>
      <c r="Y535" s="68"/>
    </row>
    <row r="536" s="17" customFormat="1" hidden="1" customHeight="1" spans="1:25">
      <c r="A536" s="59">
        <v>534</v>
      </c>
      <c r="B536" s="60" t="s">
        <v>1239</v>
      </c>
      <c r="C536" s="61">
        <f t="shared" si="26"/>
        <v>44896</v>
      </c>
      <c r="D536" s="62" t="str">
        <f ca="1" t="shared" si="27"/>
        <v>一年以上</v>
      </c>
      <c r="E536" s="313">
        <v>44896</v>
      </c>
      <c r="F536" s="59" t="s">
        <v>632</v>
      </c>
      <c r="G536" s="59" t="s">
        <v>1088</v>
      </c>
      <c r="H536" s="63" t="s">
        <v>1240</v>
      </c>
      <c r="I536" s="63" t="s">
        <v>1240</v>
      </c>
      <c r="J536" s="314">
        <v>190</v>
      </c>
      <c r="K536" s="59" t="s">
        <v>28</v>
      </c>
      <c r="L536" s="59" t="s">
        <v>1241</v>
      </c>
      <c r="M536" s="59" t="s">
        <v>968</v>
      </c>
      <c r="N536" s="315">
        <v>190</v>
      </c>
      <c r="O536" s="316">
        <f t="shared" si="29"/>
        <v>0</v>
      </c>
      <c r="P536" s="95">
        <v>44896</v>
      </c>
      <c r="Q536" s="61">
        <f t="shared" si="28"/>
        <v>44896</v>
      </c>
      <c r="R536" s="59" t="s">
        <v>951</v>
      </c>
      <c r="S536" s="59" t="s">
        <v>1242</v>
      </c>
      <c r="T536" s="59"/>
      <c r="U536" s="59"/>
      <c r="V536" s="59"/>
      <c r="W536" s="68"/>
      <c r="X536" s="68"/>
      <c r="Y536" s="68"/>
    </row>
    <row r="537" s="17" customFormat="1" hidden="1" customHeight="1" spans="1:25">
      <c r="A537" s="59">
        <v>535</v>
      </c>
      <c r="B537" s="60" t="s">
        <v>1243</v>
      </c>
      <c r="C537" s="61">
        <f t="shared" si="26"/>
        <v>44896</v>
      </c>
      <c r="D537" s="62" t="str">
        <f ca="1" t="shared" si="27"/>
        <v>一年以上</v>
      </c>
      <c r="E537" s="313">
        <v>44896</v>
      </c>
      <c r="F537" s="59" t="s">
        <v>632</v>
      </c>
      <c r="G537" s="59" t="s">
        <v>993</v>
      </c>
      <c r="H537" s="63" t="s">
        <v>1244</v>
      </c>
      <c r="I537" s="63" t="s">
        <v>1244</v>
      </c>
      <c r="J537" s="314">
        <v>300</v>
      </c>
      <c r="K537" s="59" t="s">
        <v>28</v>
      </c>
      <c r="L537" s="59" t="s">
        <v>57</v>
      </c>
      <c r="M537" s="59" t="s">
        <v>515</v>
      </c>
      <c r="N537" s="315">
        <v>300</v>
      </c>
      <c r="O537" s="316">
        <f t="shared" si="29"/>
        <v>0</v>
      </c>
      <c r="P537" s="95">
        <v>44956</v>
      </c>
      <c r="Q537" s="61">
        <f t="shared" si="28"/>
        <v>44956</v>
      </c>
      <c r="R537" s="59" t="s">
        <v>951</v>
      </c>
      <c r="S537" s="59" t="s">
        <v>1245</v>
      </c>
      <c r="T537" s="59"/>
      <c r="U537" s="59"/>
      <c r="V537" s="59"/>
      <c r="W537" s="68"/>
      <c r="X537" s="68"/>
      <c r="Y537" s="68"/>
    </row>
    <row r="538" s="17" customFormat="1" hidden="1" customHeight="1" spans="1:25">
      <c r="A538" s="59">
        <v>536</v>
      </c>
      <c r="B538" s="60" t="s">
        <v>1246</v>
      </c>
      <c r="C538" s="61">
        <f t="shared" si="26"/>
        <v>44896</v>
      </c>
      <c r="D538" s="62" t="str">
        <f ca="1" t="shared" si="27"/>
        <v>一年以上</v>
      </c>
      <c r="E538" s="313">
        <v>44896</v>
      </c>
      <c r="F538" s="59" t="s">
        <v>632</v>
      </c>
      <c r="G538" s="59" t="s">
        <v>993</v>
      </c>
      <c r="H538" s="63" t="s">
        <v>1244</v>
      </c>
      <c r="I538" s="63" t="s">
        <v>1244</v>
      </c>
      <c r="J538" s="314">
        <v>10000</v>
      </c>
      <c r="K538" s="59" t="s">
        <v>28</v>
      </c>
      <c r="L538" s="59" t="s">
        <v>57</v>
      </c>
      <c r="M538" s="59" t="s">
        <v>30</v>
      </c>
      <c r="N538" s="315">
        <v>10000</v>
      </c>
      <c r="O538" s="316">
        <f t="shared" si="29"/>
        <v>0</v>
      </c>
      <c r="P538" s="95">
        <v>45118</v>
      </c>
      <c r="Q538" s="61">
        <f t="shared" si="28"/>
        <v>45118</v>
      </c>
      <c r="R538" s="59"/>
      <c r="S538" s="59" t="s">
        <v>1245</v>
      </c>
      <c r="T538" s="59" t="s">
        <v>86</v>
      </c>
      <c r="U538" s="59"/>
      <c r="V538" s="59"/>
      <c r="W538" s="68"/>
      <c r="X538" s="68"/>
      <c r="Y538" s="68"/>
    </row>
    <row r="539" s="17" customFormat="1" hidden="1" customHeight="1" spans="1:25">
      <c r="A539" s="59">
        <v>537</v>
      </c>
      <c r="B539" s="60" t="s">
        <v>1247</v>
      </c>
      <c r="C539" s="61">
        <f t="shared" si="26"/>
        <v>44896</v>
      </c>
      <c r="D539" s="62" t="str">
        <f ca="1" t="shared" si="27"/>
        <v>一年以上</v>
      </c>
      <c r="E539" s="313">
        <v>44896</v>
      </c>
      <c r="F539" s="59" t="s">
        <v>632</v>
      </c>
      <c r="G539" s="59" t="s">
        <v>993</v>
      </c>
      <c r="H539" s="63" t="s">
        <v>577</v>
      </c>
      <c r="I539" s="63" t="s">
        <v>578</v>
      </c>
      <c r="J539" s="314">
        <v>10000</v>
      </c>
      <c r="K539" s="59" t="s">
        <v>28</v>
      </c>
      <c r="L539" s="59" t="s">
        <v>57</v>
      </c>
      <c r="M539" s="59" t="s">
        <v>30</v>
      </c>
      <c r="N539" s="315">
        <v>10000</v>
      </c>
      <c r="O539" s="316">
        <f t="shared" si="29"/>
        <v>0</v>
      </c>
      <c r="P539" s="95">
        <v>44902</v>
      </c>
      <c r="Q539" s="61">
        <f t="shared" si="28"/>
        <v>44902</v>
      </c>
      <c r="R539" s="59"/>
      <c r="S539" s="59" t="s">
        <v>1248</v>
      </c>
      <c r="T539" s="59"/>
      <c r="U539" s="59"/>
      <c r="V539" s="59"/>
      <c r="W539" s="68"/>
      <c r="X539" s="68"/>
      <c r="Y539" s="68"/>
    </row>
    <row r="540" s="17" customFormat="1" hidden="1" customHeight="1" spans="1:25">
      <c r="A540" s="59">
        <v>538</v>
      </c>
      <c r="B540" s="60" t="s">
        <v>1249</v>
      </c>
      <c r="C540" s="61">
        <f t="shared" si="26"/>
        <v>44896</v>
      </c>
      <c r="D540" s="62" t="str">
        <f ca="1" t="shared" si="27"/>
        <v>一年以上</v>
      </c>
      <c r="E540" s="313">
        <v>44896</v>
      </c>
      <c r="F540" s="59" t="s">
        <v>632</v>
      </c>
      <c r="G540" s="59" t="s">
        <v>993</v>
      </c>
      <c r="H540" s="63" t="s">
        <v>577</v>
      </c>
      <c r="I540" s="63" t="s">
        <v>578</v>
      </c>
      <c r="J540" s="314">
        <v>200</v>
      </c>
      <c r="K540" s="59" t="s">
        <v>28</v>
      </c>
      <c r="L540" s="59" t="s">
        <v>57</v>
      </c>
      <c r="M540" s="59" t="s">
        <v>515</v>
      </c>
      <c r="N540" s="315">
        <v>200</v>
      </c>
      <c r="O540" s="316">
        <f t="shared" si="29"/>
        <v>0</v>
      </c>
      <c r="P540" s="95">
        <v>44896</v>
      </c>
      <c r="Q540" s="61">
        <f t="shared" si="28"/>
        <v>44896</v>
      </c>
      <c r="R540" s="59" t="s">
        <v>1250</v>
      </c>
      <c r="S540" s="59" t="s">
        <v>1248</v>
      </c>
      <c r="T540" s="59"/>
      <c r="U540" s="59"/>
      <c r="V540" s="59"/>
      <c r="W540" s="68"/>
      <c r="X540" s="68"/>
      <c r="Y540" s="68"/>
    </row>
    <row r="541" s="17" customFormat="1" hidden="1" customHeight="1" spans="1:25">
      <c r="A541" s="59">
        <v>539</v>
      </c>
      <c r="B541" s="60" t="s">
        <v>1251</v>
      </c>
      <c r="C541" s="61">
        <f t="shared" si="26"/>
        <v>44900</v>
      </c>
      <c r="D541" s="62" t="str">
        <f ca="1" t="shared" si="27"/>
        <v>一年以上</v>
      </c>
      <c r="E541" s="313">
        <v>44900</v>
      </c>
      <c r="F541" s="59" t="s">
        <v>632</v>
      </c>
      <c r="G541" s="59" t="s">
        <v>450</v>
      </c>
      <c r="H541" s="63" t="s">
        <v>1252</v>
      </c>
      <c r="I541" s="63" t="s">
        <v>1252</v>
      </c>
      <c r="J541" s="314">
        <v>200</v>
      </c>
      <c r="K541" s="59" t="s">
        <v>28</v>
      </c>
      <c r="L541" s="59" t="s">
        <v>57</v>
      </c>
      <c r="M541" s="59" t="s">
        <v>515</v>
      </c>
      <c r="N541" s="315">
        <v>200</v>
      </c>
      <c r="O541" s="316">
        <f t="shared" si="29"/>
        <v>0</v>
      </c>
      <c r="P541" s="95"/>
      <c r="Q541" s="61">
        <f t="shared" si="28"/>
        <v>0</v>
      </c>
      <c r="R541" s="59" t="s">
        <v>951</v>
      </c>
      <c r="S541" s="59" t="s">
        <v>1253</v>
      </c>
      <c r="T541" s="59"/>
      <c r="U541" s="59"/>
      <c r="V541" s="59"/>
      <c r="W541" s="68"/>
      <c r="X541" s="68"/>
      <c r="Y541" s="68"/>
    </row>
    <row r="542" s="17" customFormat="1" hidden="1" customHeight="1" spans="1:25">
      <c r="A542" s="59">
        <v>540</v>
      </c>
      <c r="B542" s="60" t="s">
        <v>1254</v>
      </c>
      <c r="C542" s="61">
        <f t="shared" si="26"/>
        <v>44900</v>
      </c>
      <c r="D542" s="62" t="str">
        <f ca="1" t="shared" si="27"/>
        <v>一年以上</v>
      </c>
      <c r="E542" s="313">
        <v>44900</v>
      </c>
      <c r="F542" s="59" t="s">
        <v>632</v>
      </c>
      <c r="G542" s="59" t="s">
        <v>993</v>
      </c>
      <c r="H542" s="63" t="s">
        <v>650</v>
      </c>
      <c r="I542" s="63" t="s">
        <v>650</v>
      </c>
      <c r="J542" s="314">
        <v>200</v>
      </c>
      <c r="K542" s="59" t="s">
        <v>28</v>
      </c>
      <c r="L542" s="59" t="s">
        <v>57</v>
      </c>
      <c r="M542" s="59" t="s">
        <v>515</v>
      </c>
      <c r="N542" s="315">
        <v>200</v>
      </c>
      <c r="O542" s="316">
        <f t="shared" si="29"/>
        <v>0</v>
      </c>
      <c r="P542" s="95">
        <v>44901</v>
      </c>
      <c r="Q542" s="61">
        <f t="shared" si="28"/>
        <v>44901</v>
      </c>
      <c r="R542" s="59" t="s">
        <v>1250</v>
      </c>
      <c r="S542" s="59" t="s">
        <v>1255</v>
      </c>
      <c r="T542" s="59"/>
      <c r="U542" s="59"/>
      <c r="V542" s="59"/>
      <c r="W542" s="68"/>
      <c r="X542" s="68"/>
      <c r="Y542" s="68"/>
    </row>
    <row r="543" s="17" customFormat="1" hidden="1" customHeight="1" spans="1:25">
      <c r="A543" s="59">
        <v>541</v>
      </c>
      <c r="B543" s="60" t="s">
        <v>1256</v>
      </c>
      <c r="C543" s="61">
        <f t="shared" si="26"/>
        <v>44900</v>
      </c>
      <c r="D543" s="62" t="str">
        <f ca="1" t="shared" si="27"/>
        <v>一年以上</v>
      </c>
      <c r="E543" s="313">
        <v>44900</v>
      </c>
      <c r="F543" s="59" t="s">
        <v>130</v>
      </c>
      <c r="G543" s="59" t="s">
        <v>239</v>
      </c>
      <c r="H543" s="63" t="s">
        <v>650</v>
      </c>
      <c r="I543" s="63" t="s">
        <v>650</v>
      </c>
      <c r="J543" s="314">
        <v>1000</v>
      </c>
      <c r="K543" s="59" t="s">
        <v>28</v>
      </c>
      <c r="L543" s="59" t="s">
        <v>1206</v>
      </c>
      <c r="M543" s="59" t="s">
        <v>515</v>
      </c>
      <c r="N543" s="315">
        <v>1000</v>
      </c>
      <c r="O543" s="316">
        <f t="shared" si="29"/>
        <v>0</v>
      </c>
      <c r="P543" s="95">
        <v>44939</v>
      </c>
      <c r="Q543" s="61">
        <f t="shared" si="28"/>
        <v>44939</v>
      </c>
      <c r="R543" s="59" t="s">
        <v>951</v>
      </c>
      <c r="S543" s="59" t="s">
        <v>1257</v>
      </c>
      <c r="T543" s="59"/>
      <c r="U543" s="59"/>
      <c r="V543" s="59"/>
      <c r="W543" s="68"/>
      <c r="X543" s="68"/>
      <c r="Y543" s="68"/>
    </row>
    <row r="544" s="17" customFormat="1" hidden="1" customHeight="1" spans="1:25">
      <c r="A544" s="59">
        <v>542</v>
      </c>
      <c r="B544" s="60" t="s">
        <v>1258</v>
      </c>
      <c r="C544" s="61">
        <f t="shared" si="26"/>
        <v>44900</v>
      </c>
      <c r="D544" s="62" t="str">
        <f ca="1" t="shared" si="27"/>
        <v>一年以上</v>
      </c>
      <c r="E544" s="313">
        <v>44900</v>
      </c>
      <c r="F544" s="59" t="s">
        <v>632</v>
      </c>
      <c r="G544" s="59" t="s">
        <v>1088</v>
      </c>
      <c r="H544" s="63" t="s">
        <v>1259</v>
      </c>
      <c r="I544" s="63" t="s">
        <v>1259</v>
      </c>
      <c r="J544" s="314">
        <v>3000</v>
      </c>
      <c r="K544" s="59" t="s">
        <v>28</v>
      </c>
      <c r="L544" s="59" t="s">
        <v>57</v>
      </c>
      <c r="M544" s="59" t="s">
        <v>30</v>
      </c>
      <c r="N544" s="315">
        <v>3000</v>
      </c>
      <c r="O544" s="316">
        <f t="shared" si="29"/>
        <v>0</v>
      </c>
      <c r="P544" s="95">
        <v>45060</v>
      </c>
      <c r="Q544" s="61">
        <f t="shared" si="28"/>
        <v>45060</v>
      </c>
      <c r="R544" s="59" t="s">
        <v>1260</v>
      </c>
      <c r="S544" s="59" t="s">
        <v>1261</v>
      </c>
      <c r="T544" s="59" t="s">
        <v>32</v>
      </c>
      <c r="U544" s="59"/>
      <c r="V544" s="59"/>
      <c r="W544" s="68"/>
      <c r="X544" s="68"/>
      <c r="Y544" s="68"/>
    </row>
    <row r="545" s="17" customFormat="1" hidden="1" customHeight="1" spans="1:25">
      <c r="A545" s="59">
        <v>543</v>
      </c>
      <c r="B545" s="60" t="s">
        <v>1262</v>
      </c>
      <c r="C545" s="61">
        <f t="shared" si="26"/>
        <v>44900</v>
      </c>
      <c r="D545" s="62" t="str">
        <f ca="1" t="shared" si="27"/>
        <v>一年以上</v>
      </c>
      <c r="E545" s="313">
        <v>44900</v>
      </c>
      <c r="F545" s="59" t="s">
        <v>632</v>
      </c>
      <c r="G545" s="59" t="s">
        <v>450</v>
      </c>
      <c r="H545" s="63" t="s">
        <v>1263</v>
      </c>
      <c r="I545" s="63" t="s">
        <v>1263</v>
      </c>
      <c r="J545" s="314">
        <v>50</v>
      </c>
      <c r="K545" s="59" t="s">
        <v>28</v>
      </c>
      <c r="L545" s="59" t="s">
        <v>57</v>
      </c>
      <c r="M545" s="59" t="s">
        <v>968</v>
      </c>
      <c r="N545" s="315">
        <v>50</v>
      </c>
      <c r="O545" s="316">
        <f t="shared" si="29"/>
        <v>0</v>
      </c>
      <c r="P545" s="95">
        <v>44897</v>
      </c>
      <c r="Q545" s="61">
        <f t="shared" si="28"/>
        <v>44897</v>
      </c>
      <c r="R545" s="59" t="s">
        <v>951</v>
      </c>
      <c r="S545" s="59" t="s">
        <v>1264</v>
      </c>
      <c r="T545" s="59"/>
      <c r="U545" s="59"/>
      <c r="V545" s="59"/>
      <c r="W545" s="68"/>
      <c r="X545" s="68"/>
      <c r="Y545" s="68"/>
    </row>
    <row r="546" s="17" customFormat="1" hidden="1" customHeight="1" spans="1:25">
      <c r="A546" s="59">
        <v>544</v>
      </c>
      <c r="B546" s="60" t="s">
        <v>1265</v>
      </c>
      <c r="C546" s="61">
        <f t="shared" si="26"/>
        <v>44900</v>
      </c>
      <c r="D546" s="62" t="str">
        <f ca="1" t="shared" si="27"/>
        <v>一年以上</v>
      </c>
      <c r="E546" s="313">
        <v>44900</v>
      </c>
      <c r="F546" s="59" t="s">
        <v>632</v>
      </c>
      <c r="G546" s="59" t="s">
        <v>993</v>
      </c>
      <c r="H546" s="63" t="s">
        <v>1266</v>
      </c>
      <c r="I546" s="63" t="s">
        <v>1266</v>
      </c>
      <c r="J546" s="314">
        <v>10000</v>
      </c>
      <c r="K546" s="59" t="s">
        <v>28</v>
      </c>
      <c r="L546" s="59" t="s">
        <v>57</v>
      </c>
      <c r="M546" s="59" t="s">
        <v>30</v>
      </c>
      <c r="N546" s="315">
        <v>10000</v>
      </c>
      <c r="O546" s="316">
        <f t="shared" si="29"/>
        <v>0</v>
      </c>
      <c r="P546" s="95">
        <v>44937</v>
      </c>
      <c r="Q546" s="61">
        <f t="shared" si="28"/>
        <v>44937</v>
      </c>
      <c r="R546" s="59"/>
      <c r="S546" s="59" t="s">
        <v>1267</v>
      </c>
      <c r="T546" s="59" t="s">
        <v>267</v>
      </c>
      <c r="U546" s="59"/>
      <c r="V546" s="59"/>
      <c r="W546" s="68"/>
      <c r="X546" s="68"/>
      <c r="Y546" s="68"/>
    </row>
    <row r="547" s="17" customFormat="1" hidden="1" customHeight="1" spans="1:25">
      <c r="A547" s="59">
        <v>545</v>
      </c>
      <c r="B547" s="60" t="s">
        <v>1268</v>
      </c>
      <c r="C547" s="61">
        <f t="shared" si="26"/>
        <v>44900</v>
      </c>
      <c r="D547" s="62" t="str">
        <f ca="1" t="shared" si="27"/>
        <v>一年以上</v>
      </c>
      <c r="E547" s="313">
        <v>44900</v>
      </c>
      <c r="F547" s="59" t="s">
        <v>632</v>
      </c>
      <c r="G547" s="59" t="s">
        <v>83</v>
      </c>
      <c r="H547" s="63" t="s">
        <v>1101</v>
      </c>
      <c r="I547" s="63" t="s">
        <v>1101</v>
      </c>
      <c r="J547" s="314">
        <v>15000</v>
      </c>
      <c r="K547" s="59" t="s">
        <v>356</v>
      </c>
      <c r="L547" s="59" t="s">
        <v>458</v>
      </c>
      <c r="M547" s="59" t="s">
        <v>65</v>
      </c>
      <c r="N547" s="315">
        <f>3000+12000</f>
        <v>15000</v>
      </c>
      <c r="O547" s="316">
        <f t="shared" si="29"/>
        <v>0</v>
      </c>
      <c r="P547" s="95">
        <v>45281</v>
      </c>
      <c r="Q547" s="61">
        <f t="shared" si="28"/>
        <v>45281</v>
      </c>
      <c r="R547" s="59"/>
      <c r="S547" s="59" t="s">
        <v>1269</v>
      </c>
      <c r="T547" s="59" t="s">
        <v>388</v>
      </c>
      <c r="U547" s="59" t="str">
        <f>VLOOKUP(T547,[1]区域划分!$A$1:$C$39,3,0)</f>
        <v>林维</v>
      </c>
      <c r="V547" s="59"/>
      <c r="W547" s="68"/>
      <c r="X547" s="68"/>
      <c r="Y547" s="68"/>
    </row>
    <row r="548" s="17" customFormat="1" hidden="1" customHeight="1" spans="1:25">
      <c r="A548" s="59">
        <v>546</v>
      </c>
      <c r="B548" s="60" t="s">
        <v>1270</v>
      </c>
      <c r="C548" s="61">
        <f t="shared" si="26"/>
        <v>44901</v>
      </c>
      <c r="D548" s="62" t="str">
        <f ca="1" t="shared" si="27"/>
        <v>一年以上</v>
      </c>
      <c r="E548" s="313">
        <v>44901</v>
      </c>
      <c r="F548" s="59" t="s">
        <v>632</v>
      </c>
      <c r="G548" s="59" t="s">
        <v>993</v>
      </c>
      <c r="H548" s="63" t="s">
        <v>650</v>
      </c>
      <c r="I548" s="63" t="s">
        <v>651</v>
      </c>
      <c r="J548" s="314">
        <v>4000</v>
      </c>
      <c r="K548" s="59" t="s">
        <v>28</v>
      </c>
      <c r="L548" s="59" t="s">
        <v>57</v>
      </c>
      <c r="M548" s="59" t="s">
        <v>30</v>
      </c>
      <c r="N548" s="315">
        <v>4000</v>
      </c>
      <c r="O548" s="316">
        <f t="shared" si="29"/>
        <v>0</v>
      </c>
      <c r="P548" s="95">
        <v>45804</v>
      </c>
      <c r="Q548" s="61">
        <f t="shared" si="28"/>
        <v>45804</v>
      </c>
      <c r="R548" s="59" t="s">
        <v>1271</v>
      </c>
      <c r="S548" s="59" t="s">
        <v>1255</v>
      </c>
      <c r="T548" s="59" t="s">
        <v>581</v>
      </c>
      <c r="U548" s="59" t="str">
        <f>VLOOKUP(T548,[1]区域划分!$A$1:$C$39,3,0)</f>
        <v>新疆</v>
      </c>
      <c r="V548" s="59"/>
      <c r="W548" s="68"/>
      <c r="X548" s="68"/>
      <c r="Y548" s="68"/>
    </row>
    <row r="549" s="17" customFormat="1" hidden="1" customHeight="1" spans="1:25">
      <c r="A549" s="59">
        <v>547</v>
      </c>
      <c r="B549" s="60" t="s">
        <v>1272</v>
      </c>
      <c r="C549" s="61">
        <f t="shared" si="26"/>
        <v>44901</v>
      </c>
      <c r="D549" s="62" t="str">
        <f ca="1" t="shared" si="27"/>
        <v>一年以上</v>
      </c>
      <c r="E549" s="313">
        <v>44901</v>
      </c>
      <c r="F549" s="59" t="s">
        <v>130</v>
      </c>
      <c r="G549" s="59" t="s">
        <v>239</v>
      </c>
      <c r="H549" s="63" t="s">
        <v>650</v>
      </c>
      <c r="I549" s="63" t="s">
        <v>650</v>
      </c>
      <c r="J549" s="314">
        <v>1000</v>
      </c>
      <c r="K549" s="59" t="s">
        <v>28</v>
      </c>
      <c r="L549" s="59" t="s">
        <v>1206</v>
      </c>
      <c r="M549" s="59" t="s">
        <v>515</v>
      </c>
      <c r="N549" s="315">
        <v>1000</v>
      </c>
      <c r="O549" s="316">
        <f t="shared" si="29"/>
        <v>0</v>
      </c>
      <c r="P549" s="95">
        <v>44939</v>
      </c>
      <c r="Q549" s="61">
        <f t="shared" si="28"/>
        <v>44939</v>
      </c>
      <c r="R549" s="59" t="s">
        <v>951</v>
      </c>
      <c r="S549" s="59" t="s">
        <v>1257</v>
      </c>
      <c r="T549" s="59"/>
      <c r="U549" s="59"/>
      <c r="V549" s="59"/>
      <c r="W549" s="68"/>
      <c r="X549" s="68"/>
      <c r="Y549" s="68"/>
    </row>
    <row r="550" s="17" customFormat="1" hidden="1" customHeight="1" spans="1:25">
      <c r="A550" s="59">
        <v>548</v>
      </c>
      <c r="B550" s="60" t="s">
        <v>1273</v>
      </c>
      <c r="C550" s="61">
        <f t="shared" si="26"/>
        <v>44901</v>
      </c>
      <c r="D550" s="62" t="str">
        <f ca="1" t="shared" si="27"/>
        <v>一年以上</v>
      </c>
      <c r="E550" s="313">
        <v>44901</v>
      </c>
      <c r="F550" s="59" t="s">
        <v>632</v>
      </c>
      <c r="G550" s="59" t="s">
        <v>993</v>
      </c>
      <c r="H550" s="63" t="s">
        <v>1274</v>
      </c>
      <c r="I550" s="63" t="s">
        <v>1274</v>
      </c>
      <c r="J550" s="314">
        <v>300</v>
      </c>
      <c r="K550" s="59" t="s">
        <v>28</v>
      </c>
      <c r="L550" s="59" t="s">
        <v>57</v>
      </c>
      <c r="M550" s="59" t="s">
        <v>515</v>
      </c>
      <c r="N550" s="315">
        <v>300</v>
      </c>
      <c r="O550" s="316">
        <f t="shared" si="29"/>
        <v>0</v>
      </c>
      <c r="P550" s="95">
        <v>44956</v>
      </c>
      <c r="Q550" s="61">
        <f t="shared" si="28"/>
        <v>44956</v>
      </c>
      <c r="R550" s="59" t="s">
        <v>951</v>
      </c>
      <c r="S550" s="59" t="s">
        <v>1275</v>
      </c>
      <c r="T550" s="59"/>
      <c r="U550" s="59"/>
      <c r="V550" s="59"/>
      <c r="W550" s="68"/>
      <c r="X550" s="68"/>
      <c r="Y550" s="68"/>
    </row>
    <row r="551" s="17" customFormat="1" hidden="1" customHeight="1" spans="1:25">
      <c r="A551" s="59">
        <v>549</v>
      </c>
      <c r="B551" s="60" t="s">
        <v>1276</v>
      </c>
      <c r="C551" s="61">
        <f t="shared" si="26"/>
        <v>44901</v>
      </c>
      <c r="D551" s="62" t="str">
        <f ca="1" t="shared" si="27"/>
        <v>一年以上</v>
      </c>
      <c r="E551" s="313">
        <v>44901</v>
      </c>
      <c r="F551" s="59" t="s">
        <v>632</v>
      </c>
      <c r="G551" s="59" t="s">
        <v>993</v>
      </c>
      <c r="H551" s="63" t="s">
        <v>1274</v>
      </c>
      <c r="I551" s="63" t="s">
        <v>1274</v>
      </c>
      <c r="J551" s="314">
        <v>10000</v>
      </c>
      <c r="K551" s="59" t="s">
        <v>28</v>
      </c>
      <c r="L551" s="59" t="s">
        <v>57</v>
      </c>
      <c r="M551" s="59" t="s">
        <v>30</v>
      </c>
      <c r="N551" s="315">
        <v>10000</v>
      </c>
      <c r="O551" s="316">
        <f t="shared" si="29"/>
        <v>0</v>
      </c>
      <c r="P551" s="95">
        <v>45058</v>
      </c>
      <c r="Q551" s="61">
        <f t="shared" si="28"/>
        <v>45058</v>
      </c>
      <c r="R551" s="59"/>
      <c r="S551" s="59" t="s">
        <v>1275</v>
      </c>
      <c r="T551" s="59" t="s">
        <v>86</v>
      </c>
      <c r="U551" s="59"/>
      <c r="V551" s="59"/>
      <c r="W551" s="68"/>
      <c r="X551" s="68"/>
      <c r="Y551" s="68"/>
    </row>
    <row r="552" s="17" customFormat="1" hidden="1" customHeight="1" spans="1:25">
      <c r="A552" s="59">
        <v>550</v>
      </c>
      <c r="B552" s="169" t="s">
        <v>1277</v>
      </c>
      <c r="C552" s="61">
        <f t="shared" si="26"/>
        <v>44902</v>
      </c>
      <c r="D552" s="62" t="str">
        <f ca="1" t="shared" si="27"/>
        <v>一年以上</v>
      </c>
      <c r="E552" s="313">
        <v>44902</v>
      </c>
      <c r="F552" s="59" t="s">
        <v>632</v>
      </c>
      <c r="G552" s="59" t="s">
        <v>450</v>
      </c>
      <c r="H552" s="63" t="s">
        <v>209</v>
      </c>
      <c r="I552" s="63" t="s">
        <v>209</v>
      </c>
      <c r="J552" s="314">
        <v>50000</v>
      </c>
      <c r="K552" s="59" t="s">
        <v>28</v>
      </c>
      <c r="L552" s="59" t="s">
        <v>57</v>
      </c>
      <c r="M552" s="59" t="s">
        <v>133</v>
      </c>
      <c r="N552" s="315">
        <v>50000</v>
      </c>
      <c r="O552" s="316">
        <f t="shared" si="29"/>
        <v>0</v>
      </c>
      <c r="P552" s="95">
        <v>45401</v>
      </c>
      <c r="Q552" s="61">
        <f t="shared" si="28"/>
        <v>45401</v>
      </c>
      <c r="R552" s="59"/>
      <c r="S552" s="59" t="s">
        <v>1278</v>
      </c>
      <c r="T552" s="59" t="s">
        <v>171</v>
      </c>
      <c r="U552" s="59" t="str">
        <f>VLOOKUP(T552,[1]区域划分!$A$1:$C$39,3,0)</f>
        <v>牛国庆</v>
      </c>
      <c r="V552" s="59"/>
      <c r="W552" s="68"/>
      <c r="X552" s="68"/>
      <c r="Y552" s="68"/>
    </row>
    <row r="553" s="17" customFormat="1" hidden="1" customHeight="1" spans="1:25">
      <c r="A553" s="59">
        <v>551</v>
      </c>
      <c r="B553" s="60" t="s">
        <v>1279</v>
      </c>
      <c r="C553" s="61">
        <f t="shared" si="26"/>
        <v>44904</v>
      </c>
      <c r="D553" s="62" t="str">
        <f ca="1" t="shared" si="27"/>
        <v>一年以上</v>
      </c>
      <c r="E553" s="313">
        <v>44904</v>
      </c>
      <c r="F553" s="59" t="s">
        <v>632</v>
      </c>
      <c r="G553" s="59" t="s">
        <v>450</v>
      </c>
      <c r="H553" s="63" t="s">
        <v>1252</v>
      </c>
      <c r="I553" s="63" t="s">
        <v>1252</v>
      </c>
      <c r="J553" s="314">
        <v>3150</v>
      </c>
      <c r="K553" s="59" t="s">
        <v>28</v>
      </c>
      <c r="L553" s="59" t="s">
        <v>57</v>
      </c>
      <c r="M553" s="59" t="s">
        <v>836</v>
      </c>
      <c r="N553" s="315">
        <v>3150</v>
      </c>
      <c r="O553" s="316">
        <f t="shared" si="29"/>
        <v>0</v>
      </c>
      <c r="P553" s="95">
        <v>44999</v>
      </c>
      <c r="Q553" s="61">
        <f t="shared" si="28"/>
        <v>44999</v>
      </c>
      <c r="R553" s="59" t="s">
        <v>951</v>
      </c>
      <c r="S553" s="59" t="s">
        <v>1280</v>
      </c>
      <c r="T553" s="59"/>
      <c r="U553" s="59"/>
      <c r="V553" s="59"/>
      <c r="W553" s="68"/>
      <c r="X553" s="68"/>
      <c r="Y553" s="68"/>
    </row>
    <row r="554" s="17" customFormat="1" hidden="1" customHeight="1" spans="1:25">
      <c r="A554" s="59">
        <v>552</v>
      </c>
      <c r="B554" s="60" t="s">
        <v>1281</v>
      </c>
      <c r="C554" s="61">
        <f t="shared" si="26"/>
        <v>44904</v>
      </c>
      <c r="D554" s="62" t="str">
        <f ca="1" t="shared" si="27"/>
        <v>一年以上</v>
      </c>
      <c r="E554" s="313">
        <v>44904</v>
      </c>
      <c r="F554" s="59" t="s">
        <v>632</v>
      </c>
      <c r="G554" s="59" t="s">
        <v>993</v>
      </c>
      <c r="H554" s="63" t="s">
        <v>362</v>
      </c>
      <c r="I554" s="63" t="s">
        <v>362</v>
      </c>
      <c r="J554" s="314">
        <v>200</v>
      </c>
      <c r="K554" s="59" t="s">
        <v>28</v>
      </c>
      <c r="L554" s="59" t="s">
        <v>57</v>
      </c>
      <c r="M554" s="59" t="s">
        <v>515</v>
      </c>
      <c r="N554" s="315">
        <v>200</v>
      </c>
      <c r="O554" s="316">
        <f t="shared" si="29"/>
        <v>0</v>
      </c>
      <c r="P554" s="95">
        <v>44918</v>
      </c>
      <c r="Q554" s="61">
        <f t="shared" si="28"/>
        <v>44918</v>
      </c>
      <c r="R554" s="59" t="s">
        <v>1250</v>
      </c>
      <c r="S554" s="59" t="s">
        <v>1282</v>
      </c>
      <c r="T554" s="59"/>
      <c r="U554" s="59"/>
      <c r="V554" s="59"/>
      <c r="W554" s="68"/>
      <c r="X554" s="68"/>
      <c r="Y554" s="68"/>
    </row>
    <row r="555" s="17" customFormat="1" hidden="1" customHeight="1" spans="1:25">
      <c r="A555" s="59">
        <v>553</v>
      </c>
      <c r="B555" s="60" t="s">
        <v>1283</v>
      </c>
      <c r="C555" s="61">
        <f t="shared" si="26"/>
        <v>44904</v>
      </c>
      <c r="D555" s="62" t="str">
        <f ca="1" t="shared" si="27"/>
        <v>一年以上</v>
      </c>
      <c r="E555" s="313">
        <v>44904</v>
      </c>
      <c r="F555" s="59" t="s">
        <v>632</v>
      </c>
      <c r="G555" s="59" t="s">
        <v>993</v>
      </c>
      <c r="H555" s="63" t="s">
        <v>362</v>
      </c>
      <c r="I555" s="63" t="s">
        <v>362</v>
      </c>
      <c r="J555" s="314">
        <v>15000</v>
      </c>
      <c r="K555" s="59" t="s">
        <v>28</v>
      </c>
      <c r="L555" s="59" t="s">
        <v>57</v>
      </c>
      <c r="M555" s="59" t="s">
        <v>30</v>
      </c>
      <c r="N555" s="315">
        <v>15000</v>
      </c>
      <c r="O555" s="316">
        <f t="shared" si="29"/>
        <v>0</v>
      </c>
      <c r="P555" s="95">
        <v>44921</v>
      </c>
      <c r="Q555" s="61">
        <f t="shared" si="28"/>
        <v>44921</v>
      </c>
      <c r="R555" s="59"/>
      <c r="S555" s="59" t="s">
        <v>1282</v>
      </c>
      <c r="T555" s="59"/>
      <c r="U555" s="59"/>
      <c r="V555" s="59"/>
      <c r="W555" s="68"/>
      <c r="X555" s="68"/>
      <c r="Y555" s="68"/>
    </row>
    <row r="556" s="17" customFormat="1" hidden="1" customHeight="1" spans="1:25">
      <c r="A556" s="59">
        <v>554</v>
      </c>
      <c r="B556" s="60" t="s">
        <v>1284</v>
      </c>
      <c r="C556" s="61">
        <f t="shared" si="26"/>
        <v>44907</v>
      </c>
      <c r="D556" s="62" t="str">
        <f ca="1" t="shared" si="27"/>
        <v>一年以上</v>
      </c>
      <c r="E556" s="313">
        <v>44907</v>
      </c>
      <c r="F556" s="59" t="s">
        <v>632</v>
      </c>
      <c r="G556" s="59" t="s">
        <v>993</v>
      </c>
      <c r="H556" s="63" t="s">
        <v>362</v>
      </c>
      <c r="I556" s="63" t="s">
        <v>362</v>
      </c>
      <c r="J556" s="314">
        <v>200</v>
      </c>
      <c r="K556" s="59" t="s">
        <v>28</v>
      </c>
      <c r="L556" s="59" t="s">
        <v>57</v>
      </c>
      <c r="M556" s="59" t="s">
        <v>515</v>
      </c>
      <c r="N556" s="315">
        <v>200</v>
      </c>
      <c r="O556" s="316">
        <f t="shared" si="29"/>
        <v>0</v>
      </c>
      <c r="P556" s="95">
        <v>44918</v>
      </c>
      <c r="Q556" s="61">
        <f t="shared" si="28"/>
        <v>44918</v>
      </c>
      <c r="R556" s="59" t="s">
        <v>1250</v>
      </c>
      <c r="S556" s="59" t="s">
        <v>1285</v>
      </c>
      <c r="T556" s="59"/>
      <c r="U556" s="59"/>
      <c r="V556" s="59"/>
      <c r="W556" s="68"/>
      <c r="X556" s="68"/>
      <c r="Y556" s="68"/>
    </row>
    <row r="557" s="17" customFormat="1" hidden="1" customHeight="1" spans="1:25">
      <c r="A557" s="59">
        <v>555</v>
      </c>
      <c r="B557" s="60" t="s">
        <v>1286</v>
      </c>
      <c r="C557" s="61">
        <f t="shared" si="26"/>
        <v>44907</v>
      </c>
      <c r="D557" s="62" t="str">
        <f ca="1" t="shared" si="27"/>
        <v>一年以上</v>
      </c>
      <c r="E557" s="313">
        <v>44907</v>
      </c>
      <c r="F557" s="59" t="s">
        <v>632</v>
      </c>
      <c r="G557" s="59" t="s">
        <v>993</v>
      </c>
      <c r="H557" s="63" t="s">
        <v>362</v>
      </c>
      <c r="I557" s="63" t="s">
        <v>362</v>
      </c>
      <c r="J557" s="314">
        <v>12000</v>
      </c>
      <c r="K557" s="59" t="s">
        <v>28</v>
      </c>
      <c r="L557" s="59" t="s">
        <v>57</v>
      </c>
      <c r="M557" s="59" t="s">
        <v>30</v>
      </c>
      <c r="N557" s="315">
        <v>12000</v>
      </c>
      <c r="O557" s="316">
        <f t="shared" si="29"/>
        <v>0</v>
      </c>
      <c r="P557" s="95">
        <v>44918</v>
      </c>
      <c r="Q557" s="61">
        <f t="shared" si="28"/>
        <v>44918</v>
      </c>
      <c r="R557" s="59"/>
      <c r="S557" s="59" t="s">
        <v>1285</v>
      </c>
      <c r="T557" s="59"/>
      <c r="U557" s="59"/>
      <c r="V557" s="59"/>
      <c r="W557" s="68"/>
      <c r="X557" s="68"/>
      <c r="Y557" s="68"/>
    </row>
    <row r="558" s="17" customFormat="1" hidden="1" customHeight="1" spans="1:25">
      <c r="A558" s="59">
        <v>556</v>
      </c>
      <c r="B558" s="60" t="s">
        <v>1287</v>
      </c>
      <c r="C558" s="61">
        <f t="shared" ref="C558:C621" si="30">E558</f>
        <v>44915</v>
      </c>
      <c r="D558" s="62" t="str">
        <f ca="1" t="shared" si="27"/>
        <v>一年以上</v>
      </c>
      <c r="E558" s="313">
        <v>44915</v>
      </c>
      <c r="F558" s="59" t="s">
        <v>632</v>
      </c>
      <c r="G558" s="59" t="s">
        <v>450</v>
      </c>
      <c r="H558" s="63" t="s">
        <v>1288</v>
      </c>
      <c r="I558" s="63" t="s">
        <v>1288</v>
      </c>
      <c r="J558" s="314">
        <v>1000</v>
      </c>
      <c r="K558" s="59" t="s">
        <v>28</v>
      </c>
      <c r="L558" s="59" t="s">
        <v>57</v>
      </c>
      <c r="M558" s="59" t="s">
        <v>515</v>
      </c>
      <c r="N558" s="315">
        <v>1000</v>
      </c>
      <c r="O558" s="316">
        <f t="shared" si="29"/>
        <v>0</v>
      </c>
      <c r="P558" s="95"/>
      <c r="Q558" s="61">
        <f t="shared" si="28"/>
        <v>0</v>
      </c>
      <c r="R558" s="59" t="s">
        <v>951</v>
      </c>
      <c r="S558" s="59"/>
      <c r="T558" s="59"/>
      <c r="U558" s="59"/>
      <c r="V558" s="59"/>
      <c r="W558" s="68"/>
      <c r="X558" s="68"/>
      <c r="Y558" s="68"/>
    </row>
    <row r="559" s="17" customFormat="1" hidden="1" customHeight="1" spans="1:25">
      <c r="A559" s="59">
        <v>557</v>
      </c>
      <c r="B559" s="60" t="s">
        <v>1289</v>
      </c>
      <c r="C559" s="61">
        <f t="shared" si="30"/>
        <v>44916</v>
      </c>
      <c r="D559" s="62" t="str">
        <f ca="1" t="shared" si="27"/>
        <v>一年以上</v>
      </c>
      <c r="E559" s="313">
        <v>44916</v>
      </c>
      <c r="F559" s="59" t="s">
        <v>632</v>
      </c>
      <c r="G559" s="59" t="s">
        <v>450</v>
      </c>
      <c r="H559" s="63" t="s">
        <v>1290</v>
      </c>
      <c r="I559" s="63" t="s">
        <v>1290</v>
      </c>
      <c r="J559" s="314">
        <v>10000</v>
      </c>
      <c r="K559" s="59" t="s">
        <v>28</v>
      </c>
      <c r="L559" s="59" t="s">
        <v>1206</v>
      </c>
      <c r="M559" s="59" t="s">
        <v>30</v>
      </c>
      <c r="N559" s="315">
        <v>10000</v>
      </c>
      <c r="O559" s="316">
        <f t="shared" si="29"/>
        <v>0</v>
      </c>
      <c r="P559" s="95">
        <v>44958</v>
      </c>
      <c r="Q559" s="61">
        <f t="shared" si="28"/>
        <v>44958</v>
      </c>
      <c r="R559" s="59"/>
      <c r="S559" s="59" t="s">
        <v>1291</v>
      </c>
      <c r="T559" s="59" t="s">
        <v>311</v>
      </c>
      <c r="U559" s="59"/>
      <c r="V559" s="59"/>
      <c r="W559" s="68"/>
      <c r="X559" s="68"/>
      <c r="Y559" s="68"/>
    </row>
    <row r="560" s="17" customFormat="1" hidden="1" customHeight="1" spans="1:25">
      <c r="A560" s="59">
        <v>558</v>
      </c>
      <c r="B560" s="60" t="s">
        <v>1292</v>
      </c>
      <c r="C560" s="61">
        <f t="shared" si="30"/>
        <v>44916</v>
      </c>
      <c r="D560" s="62" t="str">
        <f ca="1" t="shared" si="27"/>
        <v>一年以上</v>
      </c>
      <c r="E560" s="313">
        <v>44916</v>
      </c>
      <c r="F560" s="59" t="s">
        <v>632</v>
      </c>
      <c r="G560" s="59" t="s">
        <v>450</v>
      </c>
      <c r="H560" s="63" t="s">
        <v>1290</v>
      </c>
      <c r="I560" s="63" t="s">
        <v>1290</v>
      </c>
      <c r="J560" s="314">
        <v>300</v>
      </c>
      <c r="K560" s="59" t="s">
        <v>28</v>
      </c>
      <c r="L560" s="59" t="s">
        <v>1206</v>
      </c>
      <c r="M560" s="59" t="s">
        <v>515</v>
      </c>
      <c r="N560" s="315">
        <v>300</v>
      </c>
      <c r="O560" s="316">
        <f t="shared" si="29"/>
        <v>0</v>
      </c>
      <c r="P560" s="95">
        <v>44977</v>
      </c>
      <c r="Q560" s="61">
        <f t="shared" si="28"/>
        <v>44977</v>
      </c>
      <c r="R560" s="59" t="s">
        <v>951</v>
      </c>
      <c r="S560" s="59" t="s">
        <v>1291</v>
      </c>
      <c r="T560" s="59"/>
      <c r="U560" s="59"/>
      <c r="V560" s="59"/>
      <c r="W560" s="68"/>
      <c r="X560" s="68"/>
      <c r="Y560" s="68"/>
    </row>
    <row r="561" s="17" customFormat="1" hidden="1" customHeight="1" spans="1:25">
      <c r="A561" s="59">
        <v>559</v>
      </c>
      <c r="B561" s="60" t="s">
        <v>1293</v>
      </c>
      <c r="C561" s="61">
        <f t="shared" si="30"/>
        <v>44918</v>
      </c>
      <c r="D561" s="62" t="str">
        <f ca="1" t="shared" si="27"/>
        <v>一年以上</v>
      </c>
      <c r="E561" s="313">
        <v>44918</v>
      </c>
      <c r="F561" s="59" t="s">
        <v>632</v>
      </c>
      <c r="G561" s="59" t="s">
        <v>450</v>
      </c>
      <c r="H561" s="63" t="s">
        <v>495</v>
      </c>
      <c r="I561" s="63" t="s">
        <v>495</v>
      </c>
      <c r="J561" s="314">
        <v>2000</v>
      </c>
      <c r="K561" s="59" t="s">
        <v>356</v>
      </c>
      <c r="L561" s="59" t="s">
        <v>73</v>
      </c>
      <c r="M561" s="59" t="s">
        <v>30</v>
      </c>
      <c r="N561" s="315">
        <v>2000</v>
      </c>
      <c r="O561" s="316">
        <f t="shared" si="29"/>
        <v>0</v>
      </c>
      <c r="P561" s="95">
        <v>44932</v>
      </c>
      <c r="Q561" s="61">
        <f t="shared" si="28"/>
        <v>44932</v>
      </c>
      <c r="R561" s="59"/>
      <c r="S561" s="59" t="s">
        <v>1294</v>
      </c>
      <c r="T561" s="59" t="s">
        <v>182</v>
      </c>
      <c r="U561" s="59"/>
      <c r="V561" s="59"/>
      <c r="W561" s="68"/>
      <c r="X561" s="68"/>
      <c r="Y561" s="68"/>
    </row>
    <row r="562" s="17" customFormat="1" hidden="1" customHeight="1" spans="1:25">
      <c r="A562" s="59">
        <v>560</v>
      </c>
      <c r="B562" s="60" t="s">
        <v>1295</v>
      </c>
      <c r="C562" s="61">
        <f t="shared" si="30"/>
        <v>44922</v>
      </c>
      <c r="D562" s="62" t="str">
        <f ca="1" t="shared" si="27"/>
        <v>一年以上</v>
      </c>
      <c r="E562" s="313">
        <v>44922</v>
      </c>
      <c r="F562" s="59" t="s">
        <v>70</v>
      </c>
      <c r="G562" s="59" t="s">
        <v>1202</v>
      </c>
      <c r="H562" s="63" t="s">
        <v>1252</v>
      </c>
      <c r="I562" s="63" t="s">
        <v>1252</v>
      </c>
      <c r="J562" s="314">
        <v>50000</v>
      </c>
      <c r="K562" s="59" t="s">
        <v>28</v>
      </c>
      <c r="L562" s="59" t="s">
        <v>73</v>
      </c>
      <c r="M562" s="59" t="s">
        <v>65</v>
      </c>
      <c r="N562" s="315">
        <v>50000</v>
      </c>
      <c r="O562" s="316">
        <f t="shared" si="29"/>
        <v>0</v>
      </c>
      <c r="P562" s="95">
        <v>45926</v>
      </c>
      <c r="Q562" s="61">
        <f t="shared" si="28"/>
        <v>45926</v>
      </c>
      <c r="R562" s="59"/>
      <c r="S562" s="59" t="s">
        <v>1296</v>
      </c>
      <c r="T562" s="59" t="s">
        <v>1152</v>
      </c>
      <c r="U562" s="59" t="str">
        <f>VLOOKUP(T562,[1]区域划分!$A$1:$C$39,3,0)</f>
        <v>饶亚龙</v>
      </c>
      <c r="V562" s="59"/>
      <c r="W562" s="68"/>
      <c r="X562" s="68"/>
      <c r="Y562" s="68"/>
    </row>
    <row r="563" s="17" customFormat="1" hidden="1" customHeight="1" spans="1:25">
      <c r="A563" s="59">
        <v>561</v>
      </c>
      <c r="B563" s="60" t="s">
        <v>1297</v>
      </c>
      <c r="C563" s="61">
        <f t="shared" si="30"/>
        <v>44925</v>
      </c>
      <c r="D563" s="62" t="str">
        <f ca="1" t="shared" si="27"/>
        <v>一年以上</v>
      </c>
      <c r="E563" s="313">
        <v>44925</v>
      </c>
      <c r="F563" s="59" t="s">
        <v>70</v>
      </c>
      <c r="G563" s="59" t="s">
        <v>460</v>
      </c>
      <c r="H563" s="63" t="s">
        <v>867</v>
      </c>
      <c r="I563" s="63" t="s">
        <v>867</v>
      </c>
      <c r="J563" s="314">
        <v>2000</v>
      </c>
      <c r="K563" s="59" t="s">
        <v>356</v>
      </c>
      <c r="L563" s="59" t="s">
        <v>458</v>
      </c>
      <c r="M563" s="59" t="s">
        <v>65</v>
      </c>
      <c r="N563" s="315">
        <v>2000</v>
      </c>
      <c r="O563" s="316">
        <f t="shared" si="29"/>
        <v>0</v>
      </c>
      <c r="P563" s="95">
        <v>44999</v>
      </c>
      <c r="Q563" s="61">
        <f t="shared" si="28"/>
        <v>44999</v>
      </c>
      <c r="R563" s="59"/>
      <c r="S563" s="59" t="s">
        <v>1298</v>
      </c>
      <c r="T563" s="59" t="s">
        <v>182</v>
      </c>
      <c r="U563" s="59"/>
      <c r="V563" s="59"/>
      <c r="W563" s="68"/>
      <c r="X563" s="68"/>
      <c r="Y563" s="68"/>
    </row>
    <row r="564" s="17" customFormat="1" hidden="1" customHeight="1" spans="1:25">
      <c r="A564" s="59">
        <v>562</v>
      </c>
      <c r="B564" s="60" t="s">
        <v>1299</v>
      </c>
      <c r="C564" s="61">
        <f t="shared" si="30"/>
        <v>44935</v>
      </c>
      <c r="D564" s="62" t="str">
        <f ca="1" t="shared" si="27"/>
        <v>一年以上</v>
      </c>
      <c r="E564" s="313">
        <v>44935</v>
      </c>
      <c r="F564" s="59" t="s">
        <v>632</v>
      </c>
      <c r="G564" s="59" t="s">
        <v>993</v>
      </c>
      <c r="H564" s="63" t="s">
        <v>996</v>
      </c>
      <c r="I564" s="63" t="s">
        <v>996</v>
      </c>
      <c r="J564" s="314">
        <v>1000</v>
      </c>
      <c r="K564" s="59" t="s">
        <v>356</v>
      </c>
      <c r="L564" s="59" t="s">
        <v>458</v>
      </c>
      <c r="M564" s="59" t="s">
        <v>30</v>
      </c>
      <c r="N564" s="315">
        <v>1000</v>
      </c>
      <c r="O564" s="316">
        <f t="shared" si="29"/>
        <v>0</v>
      </c>
      <c r="P564" s="95">
        <v>44966</v>
      </c>
      <c r="Q564" s="61">
        <f t="shared" si="28"/>
        <v>44966</v>
      </c>
      <c r="R564" s="59"/>
      <c r="S564" s="59" t="s">
        <v>1300</v>
      </c>
      <c r="T564" s="59" t="s">
        <v>44</v>
      </c>
      <c r="U564" s="59"/>
      <c r="V564" s="59"/>
      <c r="W564" s="68"/>
      <c r="X564" s="68"/>
      <c r="Y564" s="68"/>
    </row>
    <row r="565" s="17" customFormat="1" hidden="1" customHeight="1" spans="1:25">
      <c r="A565" s="59">
        <v>563</v>
      </c>
      <c r="B565" s="60" t="s">
        <v>1301</v>
      </c>
      <c r="C565" s="61">
        <f t="shared" si="30"/>
        <v>44935</v>
      </c>
      <c r="D565" s="62" t="str">
        <f ca="1" t="shared" si="27"/>
        <v>一年以上</v>
      </c>
      <c r="E565" s="313">
        <v>44935</v>
      </c>
      <c r="F565" s="59" t="s">
        <v>632</v>
      </c>
      <c r="G565" s="59" t="s">
        <v>993</v>
      </c>
      <c r="H565" s="63" t="s">
        <v>1302</v>
      </c>
      <c r="I565" s="63" t="s">
        <v>1302</v>
      </c>
      <c r="J565" s="314">
        <v>30328</v>
      </c>
      <c r="K565" s="59" t="s">
        <v>28</v>
      </c>
      <c r="L565" s="59" t="s">
        <v>57</v>
      </c>
      <c r="M565" s="59" t="s">
        <v>30</v>
      </c>
      <c r="N565" s="315">
        <v>30328</v>
      </c>
      <c r="O565" s="316">
        <f t="shared" si="29"/>
        <v>0</v>
      </c>
      <c r="P565" s="95">
        <v>45258</v>
      </c>
      <c r="Q565" s="61">
        <f t="shared" si="28"/>
        <v>45258</v>
      </c>
      <c r="R565" s="59" t="s">
        <v>1303</v>
      </c>
      <c r="S565" s="59" t="s">
        <v>1304</v>
      </c>
      <c r="T565" s="59" t="s">
        <v>171</v>
      </c>
      <c r="U565" s="59" t="str">
        <f>VLOOKUP(T565,[1]区域划分!$A$1:$C$39,3,0)</f>
        <v>牛国庆</v>
      </c>
      <c r="V565" s="59"/>
      <c r="W565" s="68"/>
      <c r="X565" s="68"/>
      <c r="Y565" s="68"/>
    </row>
    <row r="566" s="17" customFormat="1" hidden="1" customHeight="1" spans="1:25">
      <c r="A566" s="59">
        <v>564</v>
      </c>
      <c r="B566" s="60" t="s">
        <v>1305</v>
      </c>
      <c r="C566" s="61">
        <f t="shared" si="30"/>
        <v>44935</v>
      </c>
      <c r="D566" s="62" t="str">
        <f ca="1" t="shared" si="27"/>
        <v>一年以上</v>
      </c>
      <c r="E566" s="313">
        <v>44935</v>
      </c>
      <c r="F566" s="59" t="s">
        <v>632</v>
      </c>
      <c r="G566" s="59" t="s">
        <v>993</v>
      </c>
      <c r="H566" s="63" t="s">
        <v>1306</v>
      </c>
      <c r="I566" s="63" t="s">
        <v>1306</v>
      </c>
      <c r="J566" s="314">
        <v>10000</v>
      </c>
      <c r="K566" s="59" t="s">
        <v>28</v>
      </c>
      <c r="L566" s="59" t="s">
        <v>57</v>
      </c>
      <c r="M566" s="59" t="s">
        <v>30</v>
      </c>
      <c r="N566" s="315">
        <v>10000</v>
      </c>
      <c r="O566" s="316">
        <f t="shared" si="29"/>
        <v>0</v>
      </c>
      <c r="P566" s="95">
        <v>45072</v>
      </c>
      <c r="Q566" s="61">
        <f t="shared" si="28"/>
        <v>45072</v>
      </c>
      <c r="R566" s="59"/>
      <c r="S566" s="59" t="s">
        <v>1307</v>
      </c>
      <c r="T566" s="59" t="s">
        <v>44</v>
      </c>
      <c r="U566" s="59"/>
      <c r="V566" s="59"/>
      <c r="W566" s="68"/>
      <c r="X566" s="68"/>
      <c r="Y566" s="68"/>
    </row>
    <row r="567" s="17" customFormat="1" hidden="1" customHeight="1" spans="1:25">
      <c r="A567" s="59">
        <v>565</v>
      </c>
      <c r="B567" s="60" t="s">
        <v>1308</v>
      </c>
      <c r="C567" s="61">
        <f t="shared" si="30"/>
        <v>44935</v>
      </c>
      <c r="D567" s="62" t="str">
        <f ca="1" t="shared" si="27"/>
        <v>一年以上</v>
      </c>
      <c r="E567" s="313">
        <v>44935</v>
      </c>
      <c r="F567" s="59" t="s">
        <v>632</v>
      </c>
      <c r="G567" s="59" t="s">
        <v>993</v>
      </c>
      <c r="H567" s="63" t="s">
        <v>1306</v>
      </c>
      <c r="I567" s="63" t="s">
        <v>1306</v>
      </c>
      <c r="J567" s="314">
        <v>600</v>
      </c>
      <c r="K567" s="59" t="s">
        <v>28</v>
      </c>
      <c r="L567" s="59" t="s">
        <v>57</v>
      </c>
      <c r="M567" s="59" t="s">
        <v>515</v>
      </c>
      <c r="N567" s="315">
        <v>600</v>
      </c>
      <c r="O567" s="316">
        <f t="shared" si="29"/>
        <v>0</v>
      </c>
      <c r="P567" s="95">
        <v>44977</v>
      </c>
      <c r="Q567" s="61">
        <f t="shared" si="28"/>
        <v>44977</v>
      </c>
      <c r="R567" s="59" t="s">
        <v>951</v>
      </c>
      <c r="S567" s="59" t="s">
        <v>1307</v>
      </c>
      <c r="T567" s="59"/>
      <c r="U567" s="59"/>
      <c r="V567" s="59"/>
      <c r="W567" s="68"/>
      <c r="X567" s="68"/>
      <c r="Y567" s="68"/>
    </row>
    <row r="568" s="17" customFormat="1" hidden="1" customHeight="1" spans="1:25">
      <c r="A568" s="59">
        <v>566</v>
      </c>
      <c r="B568" s="60" t="s">
        <v>1309</v>
      </c>
      <c r="C568" s="61">
        <f t="shared" si="30"/>
        <v>44936</v>
      </c>
      <c r="D568" s="62" t="str">
        <f ca="1" t="shared" si="27"/>
        <v>一年以上</v>
      </c>
      <c r="E568" s="313">
        <v>44936</v>
      </c>
      <c r="F568" s="59" t="s">
        <v>130</v>
      </c>
      <c r="G568" s="59" t="s">
        <v>569</v>
      </c>
      <c r="H568" s="63" t="s">
        <v>863</v>
      </c>
      <c r="I568" s="63" t="s">
        <v>863</v>
      </c>
      <c r="J568" s="314">
        <v>6650</v>
      </c>
      <c r="K568" s="59" t="s">
        <v>28</v>
      </c>
      <c r="L568" s="59" t="s">
        <v>57</v>
      </c>
      <c r="M568" s="59" t="s">
        <v>133</v>
      </c>
      <c r="N568" s="315">
        <v>6650</v>
      </c>
      <c r="O568" s="316">
        <f t="shared" si="29"/>
        <v>0</v>
      </c>
      <c r="P568" s="95">
        <v>45285</v>
      </c>
      <c r="Q568" s="61">
        <f t="shared" si="28"/>
        <v>45285</v>
      </c>
      <c r="R568" s="59"/>
      <c r="S568" s="59" t="s">
        <v>1310</v>
      </c>
      <c r="T568" s="59" t="s">
        <v>972</v>
      </c>
      <c r="U568" s="59" t="str">
        <f>VLOOKUP(T568,[1]区域划分!$A$1:$C$39,3,0)</f>
        <v>曾江利</v>
      </c>
      <c r="V568" s="59"/>
      <c r="W568" s="68"/>
      <c r="X568" s="68"/>
      <c r="Y568" s="68"/>
    </row>
    <row r="569" s="17" customFormat="1" hidden="1" customHeight="1" spans="1:25">
      <c r="A569" s="59">
        <v>567</v>
      </c>
      <c r="B569" s="60" t="s">
        <v>1311</v>
      </c>
      <c r="C569" s="61">
        <f t="shared" si="30"/>
        <v>44937</v>
      </c>
      <c r="D569" s="62" t="str">
        <f ca="1" t="shared" si="27"/>
        <v>一年以上</v>
      </c>
      <c r="E569" s="313">
        <v>44937</v>
      </c>
      <c r="F569" s="59" t="s">
        <v>70</v>
      </c>
      <c r="G569" s="59" t="s">
        <v>1312</v>
      </c>
      <c r="H569" s="63" t="s">
        <v>1313</v>
      </c>
      <c r="I569" s="63" t="s">
        <v>1313</v>
      </c>
      <c r="J569" s="314">
        <v>5000</v>
      </c>
      <c r="K569" s="59" t="s">
        <v>28</v>
      </c>
      <c r="L569" s="59" t="s">
        <v>57</v>
      </c>
      <c r="M569" s="59" t="s">
        <v>65</v>
      </c>
      <c r="N569" s="315">
        <v>5000</v>
      </c>
      <c r="O569" s="316">
        <f t="shared" si="29"/>
        <v>0</v>
      </c>
      <c r="P569" s="95">
        <v>45008</v>
      </c>
      <c r="Q569" s="61">
        <f t="shared" si="28"/>
        <v>45008</v>
      </c>
      <c r="R569" s="59"/>
      <c r="S569" s="59"/>
      <c r="T569" s="59"/>
      <c r="U569" s="59"/>
      <c r="V569" s="59"/>
      <c r="W569" s="68"/>
      <c r="X569" s="68"/>
      <c r="Y569" s="68"/>
    </row>
    <row r="570" s="17" customFormat="1" hidden="1" customHeight="1" spans="1:25">
      <c r="A570" s="59">
        <v>568</v>
      </c>
      <c r="B570" s="60" t="s">
        <v>1314</v>
      </c>
      <c r="C570" s="61">
        <f t="shared" si="30"/>
        <v>44939</v>
      </c>
      <c r="D570" s="62" t="str">
        <f ca="1" t="shared" si="27"/>
        <v>一年以上</v>
      </c>
      <c r="E570" s="313">
        <v>44939</v>
      </c>
      <c r="F570" s="59" t="s">
        <v>632</v>
      </c>
      <c r="G570" s="59" t="s">
        <v>450</v>
      </c>
      <c r="H570" s="63" t="s">
        <v>1315</v>
      </c>
      <c r="I570" s="63" t="s">
        <v>1315</v>
      </c>
      <c r="J570" s="314">
        <v>2800</v>
      </c>
      <c r="K570" s="59" t="s">
        <v>28</v>
      </c>
      <c r="L570" s="59" t="s">
        <v>57</v>
      </c>
      <c r="M570" s="59" t="s">
        <v>30</v>
      </c>
      <c r="N570" s="315">
        <v>2800</v>
      </c>
      <c r="O570" s="316">
        <f t="shared" si="29"/>
        <v>0</v>
      </c>
      <c r="P570" s="95">
        <v>44957</v>
      </c>
      <c r="Q570" s="61">
        <f t="shared" si="28"/>
        <v>44957</v>
      </c>
      <c r="R570" s="59"/>
      <c r="S570" s="59" t="s">
        <v>1316</v>
      </c>
      <c r="T570" s="59" t="s">
        <v>38</v>
      </c>
      <c r="U570" s="59"/>
      <c r="V570" s="59"/>
      <c r="W570" s="68"/>
      <c r="X570" s="68"/>
      <c r="Y570" s="68"/>
    </row>
    <row r="571" s="17" customFormat="1" hidden="1" customHeight="1" spans="1:25">
      <c r="A571" s="59">
        <v>569</v>
      </c>
      <c r="B571" s="60" t="s">
        <v>1317</v>
      </c>
      <c r="C571" s="61">
        <f t="shared" si="30"/>
        <v>44943</v>
      </c>
      <c r="D571" s="62" t="str">
        <f ca="1" t="shared" si="27"/>
        <v>一年以上</v>
      </c>
      <c r="E571" s="313">
        <v>44943</v>
      </c>
      <c r="F571" s="59" t="s">
        <v>632</v>
      </c>
      <c r="G571" s="59" t="s">
        <v>993</v>
      </c>
      <c r="H571" s="63" t="s">
        <v>1318</v>
      </c>
      <c r="I571" s="63" t="s">
        <v>1318</v>
      </c>
      <c r="J571" s="314">
        <v>2000</v>
      </c>
      <c r="K571" s="59" t="s">
        <v>28</v>
      </c>
      <c r="L571" s="59" t="s">
        <v>57</v>
      </c>
      <c r="M571" s="59" t="s">
        <v>30</v>
      </c>
      <c r="N571" s="315">
        <v>2000</v>
      </c>
      <c r="O571" s="316">
        <f t="shared" si="29"/>
        <v>0</v>
      </c>
      <c r="P571" s="95">
        <v>44975</v>
      </c>
      <c r="Q571" s="61">
        <f t="shared" si="28"/>
        <v>44975</v>
      </c>
      <c r="R571" s="59"/>
      <c r="S571" s="59" t="s">
        <v>1319</v>
      </c>
      <c r="T571" s="59" t="s">
        <v>1320</v>
      </c>
      <c r="U571" s="59"/>
      <c r="V571" s="59"/>
      <c r="W571" s="68"/>
      <c r="X571" s="68"/>
      <c r="Y571" s="68"/>
    </row>
    <row r="572" s="17" customFormat="1" hidden="1" customHeight="1" spans="1:25">
      <c r="A572" s="59">
        <v>570</v>
      </c>
      <c r="B572" s="60" t="s">
        <v>1321</v>
      </c>
      <c r="C572" s="61">
        <f t="shared" si="30"/>
        <v>44944</v>
      </c>
      <c r="D572" s="62" t="str">
        <f ca="1" t="shared" si="27"/>
        <v>一年以上</v>
      </c>
      <c r="E572" s="313">
        <v>44944</v>
      </c>
      <c r="F572" s="59" t="s">
        <v>130</v>
      </c>
      <c r="G572" s="59" t="s">
        <v>208</v>
      </c>
      <c r="H572" s="63" t="s">
        <v>132</v>
      </c>
      <c r="I572" s="63" t="s">
        <v>132</v>
      </c>
      <c r="J572" s="314">
        <v>21560</v>
      </c>
      <c r="K572" s="59" t="s">
        <v>28</v>
      </c>
      <c r="L572" s="59" t="s">
        <v>57</v>
      </c>
      <c r="M572" s="59" t="s">
        <v>133</v>
      </c>
      <c r="N572" s="315">
        <v>21560</v>
      </c>
      <c r="O572" s="316">
        <f t="shared" si="29"/>
        <v>0</v>
      </c>
      <c r="P572" s="95">
        <v>45308</v>
      </c>
      <c r="Q572" s="61">
        <f t="shared" si="28"/>
        <v>45308</v>
      </c>
      <c r="R572" s="59"/>
      <c r="S572" s="59" t="s">
        <v>1322</v>
      </c>
      <c r="T572" s="59" t="s">
        <v>720</v>
      </c>
      <c r="U572" s="59" t="str">
        <f>VLOOKUP(T572,[1]区域划分!$A$1:$C$39,3,0)</f>
        <v>杨春龙</v>
      </c>
      <c r="V572" s="59"/>
      <c r="W572" s="68"/>
      <c r="X572" s="68"/>
      <c r="Y572" s="68"/>
    </row>
    <row r="573" s="17" customFormat="1" hidden="1" customHeight="1" spans="1:25">
      <c r="A573" s="59">
        <v>571</v>
      </c>
      <c r="B573" s="60" t="s">
        <v>1323</v>
      </c>
      <c r="C573" s="61">
        <f t="shared" si="30"/>
        <v>44945</v>
      </c>
      <c r="D573" s="62" t="str">
        <f ca="1" t="shared" si="27"/>
        <v>一年以上</v>
      </c>
      <c r="E573" s="313">
        <v>44945</v>
      </c>
      <c r="F573" s="59" t="s">
        <v>632</v>
      </c>
      <c r="G573" s="59" t="s">
        <v>993</v>
      </c>
      <c r="H573" s="63" t="s">
        <v>863</v>
      </c>
      <c r="I573" s="63" t="s">
        <v>863</v>
      </c>
      <c r="J573" s="314">
        <v>500</v>
      </c>
      <c r="K573" s="59" t="s">
        <v>28</v>
      </c>
      <c r="L573" s="59" t="s">
        <v>57</v>
      </c>
      <c r="M573" s="59" t="s">
        <v>515</v>
      </c>
      <c r="N573" s="315"/>
      <c r="O573" s="316">
        <f t="shared" si="29"/>
        <v>500</v>
      </c>
      <c r="P573" s="95"/>
      <c r="Q573" s="61">
        <f t="shared" si="28"/>
        <v>0</v>
      </c>
      <c r="R573" s="59"/>
      <c r="S573" s="59" t="s">
        <v>1324</v>
      </c>
      <c r="T573" s="59" t="s">
        <v>720</v>
      </c>
      <c r="U573" s="59" t="str">
        <f>VLOOKUP(T573,[1]区域划分!$A$1:$C$39,3,0)</f>
        <v>杨春龙</v>
      </c>
      <c r="V573" s="59"/>
      <c r="W573" s="68"/>
      <c r="X573" s="68"/>
      <c r="Y573" s="68"/>
    </row>
    <row r="574" s="17" customFormat="1" hidden="1" customHeight="1" spans="1:25">
      <c r="A574" s="59">
        <v>572</v>
      </c>
      <c r="B574" s="60" t="s">
        <v>1325</v>
      </c>
      <c r="C574" s="61">
        <f t="shared" si="30"/>
        <v>44953</v>
      </c>
      <c r="D574" s="62" t="str">
        <f ca="1" t="shared" si="27"/>
        <v>一年以上</v>
      </c>
      <c r="E574" s="313">
        <v>44953</v>
      </c>
      <c r="F574" s="59" t="s">
        <v>632</v>
      </c>
      <c r="G574" s="59" t="s">
        <v>450</v>
      </c>
      <c r="H574" s="63" t="s">
        <v>406</v>
      </c>
      <c r="I574" s="63" t="s">
        <v>406</v>
      </c>
      <c r="J574" s="314">
        <v>800</v>
      </c>
      <c r="K574" s="59" t="s">
        <v>28</v>
      </c>
      <c r="L574" s="59" t="s">
        <v>57</v>
      </c>
      <c r="M574" s="59" t="s">
        <v>515</v>
      </c>
      <c r="N574" s="315">
        <v>800</v>
      </c>
      <c r="O574" s="316">
        <f t="shared" si="29"/>
        <v>0</v>
      </c>
      <c r="P574" s="95">
        <v>44989</v>
      </c>
      <c r="Q574" s="61">
        <f t="shared" si="28"/>
        <v>44989</v>
      </c>
      <c r="R574" s="59"/>
      <c r="S574" s="59" t="s">
        <v>1326</v>
      </c>
      <c r="T574" s="59"/>
      <c r="U574" s="59"/>
      <c r="V574" s="59"/>
      <c r="W574" s="68"/>
      <c r="X574" s="68"/>
      <c r="Y574" s="68"/>
    </row>
    <row r="575" s="17" customFormat="1" hidden="1" customHeight="1" spans="1:25">
      <c r="A575" s="59">
        <v>573</v>
      </c>
      <c r="B575" s="60" t="s">
        <v>1327</v>
      </c>
      <c r="C575" s="61">
        <f t="shared" si="30"/>
        <v>44954</v>
      </c>
      <c r="D575" s="62" t="str">
        <f ca="1" t="shared" si="27"/>
        <v>一年以上</v>
      </c>
      <c r="E575" s="313">
        <v>44954</v>
      </c>
      <c r="F575" s="59" t="s">
        <v>70</v>
      </c>
      <c r="G575" s="59" t="s">
        <v>119</v>
      </c>
      <c r="H575" s="63" t="s">
        <v>1328</v>
      </c>
      <c r="I575" s="63" t="s">
        <v>1328</v>
      </c>
      <c r="J575" s="314">
        <v>14000</v>
      </c>
      <c r="K575" s="59" t="s">
        <v>28</v>
      </c>
      <c r="L575" s="59" t="s">
        <v>57</v>
      </c>
      <c r="M575" s="59" t="s">
        <v>65</v>
      </c>
      <c r="N575" s="315">
        <f>10000+4000</f>
        <v>14000</v>
      </c>
      <c r="O575" s="316">
        <f t="shared" si="29"/>
        <v>0</v>
      </c>
      <c r="P575" s="95">
        <v>45315</v>
      </c>
      <c r="Q575" s="61">
        <f t="shared" si="28"/>
        <v>45315</v>
      </c>
      <c r="R575" s="59"/>
      <c r="S575" s="59" t="s">
        <v>1329</v>
      </c>
      <c r="T575" s="59" t="s">
        <v>86</v>
      </c>
      <c r="U575" s="59" t="str">
        <f>VLOOKUP(T575,[1]区域划分!$A$1:$C$39,3,0)</f>
        <v>朱利勇</v>
      </c>
      <c r="V575" s="59"/>
      <c r="W575" s="68"/>
      <c r="X575" s="68"/>
      <c r="Y575" s="68"/>
    </row>
    <row r="576" s="17" customFormat="1" hidden="1" customHeight="1" spans="1:25">
      <c r="A576" s="59">
        <v>574</v>
      </c>
      <c r="B576" s="60" t="s">
        <v>1330</v>
      </c>
      <c r="C576" s="61">
        <f t="shared" si="30"/>
        <v>44954</v>
      </c>
      <c r="D576" s="62" t="str">
        <f ca="1" t="shared" si="27"/>
        <v>一年以上</v>
      </c>
      <c r="E576" s="313">
        <v>44954</v>
      </c>
      <c r="F576" s="59" t="s">
        <v>632</v>
      </c>
      <c r="G576" s="59" t="s">
        <v>450</v>
      </c>
      <c r="H576" s="63" t="s">
        <v>708</v>
      </c>
      <c r="I576" s="63" t="s">
        <v>708</v>
      </c>
      <c r="J576" s="314">
        <v>500</v>
      </c>
      <c r="K576" s="59" t="s">
        <v>28</v>
      </c>
      <c r="L576" s="59" t="s">
        <v>57</v>
      </c>
      <c r="M576" s="59" t="s">
        <v>515</v>
      </c>
      <c r="N576" s="315">
        <v>500</v>
      </c>
      <c r="O576" s="316">
        <f t="shared" si="29"/>
        <v>0</v>
      </c>
      <c r="P576" s="95">
        <v>44957</v>
      </c>
      <c r="Q576" s="61">
        <f t="shared" si="28"/>
        <v>44957</v>
      </c>
      <c r="R576" s="59" t="s">
        <v>951</v>
      </c>
      <c r="S576" s="59" t="s">
        <v>1167</v>
      </c>
      <c r="T576" s="59"/>
      <c r="U576" s="59"/>
      <c r="V576" s="59"/>
      <c r="W576" s="68"/>
      <c r="X576" s="68"/>
      <c r="Y576" s="68"/>
    </row>
    <row r="577" s="17" customFormat="1" hidden="1" customHeight="1" spans="1:25">
      <c r="A577" s="59">
        <v>575</v>
      </c>
      <c r="B577" s="60" t="s">
        <v>1331</v>
      </c>
      <c r="C577" s="61">
        <f t="shared" si="30"/>
        <v>44955</v>
      </c>
      <c r="D577" s="62" t="str">
        <f ca="1" t="shared" si="27"/>
        <v>一年以上</v>
      </c>
      <c r="E577" s="313">
        <v>44955</v>
      </c>
      <c r="F577" s="59" t="s">
        <v>632</v>
      </c>
      <c r="G577" s="59" t="s">
        <v>450</v>
      </c>
      <c r="H577" s="63" t="s">
        <v>863</v>
      </c>
      <c r="I577" s="63" t="s">
        <v>863</v>
      </c>
      <c r="J577" s="314">
        <v>10000</v>
      </c>
      <c r="K577" s="59" t="s">
        <v>28</v>
      </c>
      <c r="L577" s="59" t="s">
        <v>57</v>
      </c>
      <c r="M577" s="59" t="s">
        <v>30</v>
      </c>
      <c r="N577" s="315">
        <v>10000</v>
      </c>
      <c r="O577" s="316">
        <f t="shared" si="29"/>
        <v>0</v>
      </c>
      <c r="P577" s="95">
        <v>45039</v>
      </c>
      <c r="Q577" s="61">
        <f t="shared" si="28"/>
        <v>45039</v>
      </c>
      <c r="R577" s="59"/>
      <c r="S577" s="59" t="s">
        <v>1324</v>
      </c>
      <c r="T577" s="59" t="s">
        <v>972</v>
      </c>
      <c r="U577" s="59"/>
      <c r="V577" s="59"/>
      <c r="W577" s="68"/>
      <c r="X577" s="68"/>
      <c r="Y577" s="68"/>
    </row>
    <row r="578" s="17" customFormat="1" hidden="1" customHeight="1" spans="1:25">
      <c r="A578" s="59">
        <v>576</v>
      </c>
      <c r="B578" s="60" t="s">
        <v>1332</v>
      </c>
      <c r="C578" s="61">
        <f t="shared" si="30"/>
        <v>44956</v>
      </c>
      <c r="D578" s="62" t="str">
        <f ca="1" t="shared" si="27"/>
        <v>一年以上</v>
      </c>
      <c r="E578" s="313">
        <v>44956</v>
      </c>
      <c r="F578" s="59" t="s">
        <v>70</v>
      </c>
      <c r="G578" s="59" t="s">
        <v>1333</v>
      </c>
      <c r="H578" s="63" t="s">
        <v>179</v>
      </c>
      <c r="I578" s="63" t="s">
        <v>179</v>
      </c>
      <c r="J578" s="314">
        <v>2650</v>
      </c>
      <c r="K578" s="59" t="s">
        <v>28</v>
      </c>
      <c r="L578" s="59" t="s">
        <v>57</v>
      </c>
      <c r="M578" s="59" t="s">
        <v>65</v>
      </c>
      <c r="N578" s="315">
        <v>2650</v>
      </c>
      <c r="O578" s="316">
        <f t="shared" si="29"/>
        <v>0</v>
      </c>
      <c r="P578" s="95">
        <v>45069</v>
      </c>
      <c r="Q578" s="61">
        <f t="shared" si="28"/>
        <v>45069</v>
      </c>
      <c r="R578" s="59"/>
      <c r="S578" s="59" t="s">
        <v>1334</v>
      </c>
      <c r="T578" s="59"/>
      <c r="U578" s="59"/>
      <c r="V578" s="59"/>
      <c r="W578" s="68"/>
      <c r="X578" s="68"/>
      <c r="Y578" s="68"/>
    </row>
    <row r="579" s="17" customFormat="1" hidden="1" customHeight="1" spans="1:25">
      <c r="A579" s="59">
        <v>577</v>
      </c>
      <c r="B579" s="60" t="s">
        <v>1335</v>
      </c>
      <c r="C579" s="61">
        <f t="shared" si="30"/>
        <v>44958</v>
      </c>
      <c r="D579" s="62" t="str">
        <f ca="1" t="shared" ref="D579:D642" si="31">IF(TODAY()-E579&lt;60,"2个月内",IF(TODAY()-E579&lt;180,"3-6个月",IF(TODAY()-E579&lt;360,"6个月-1年","一年以上")))</f>
        <v>一年以上</v>
      </c>
      <c r="E579" s="313">
        <v>44958</v>
      </c>
      <c r="F579" s="59" t="s">
        <v>632</v>
      </c>
      <c r="G579" s="59" t="s">
        <v>450</v>
      </c>
      <c r="H579" s="63" t="s">
        <v>1336</v>
      </c>
      <c r="I579" s="63" t="s">
        <v>1336</v>
      </c>
      <c r="J579" s="314">
        <v>1000</v>
      </c>
      <c r="K579" s="59" t="s">
        <v>28</v>
      </c>
      <c r="L579" s="59" t="s">
        <v>57</v>
      </c>
      <c r="M579" s="59" t="s">
        <v>515</v>
      </c>
      <c r="N579" s="315">
        <v>1000</v>
      </c>
      <c r="O579" s="316">
        <f t="shared" si="29"/>
        <v>0</v>
      </c>
      <c r="P579" s="95">
        <v>44960</v>
      </c>
      <c r="Q579" s="61">
        <f t="shared" ref="Q579:Q642" si="32">P579</f>
        <v>44960</v>
      </c>
      <c r="R579" s="59" t="s">
        <v>951</v>
      </c>
      <c r="S579" s="59" t="s">
        <v>1337</v>
      </c>
      <c r="T579" s="59"/>
      <c r="U579" s="59"/>
      <c r="V579" s="59"/>
      <c r="W579" s="68"/>
      <c r="X579" s="68"/>
      <c r="Y579" s="68"/>
    </row>
    <row r="580" s="17" customFormat="1" hidden="1" customHeight="1" spans="1:25">
      <c r="A580" s="59">
        <v>578</v>
      </c>
      <c r="B580" s="60" t="s">
        <v>1338</v>
      </c>
      <c r="C580" s="61">
        <f t="shared" si="30"/>
        <v>44959</v>
      </c>
      <c r="D580" s="62" t="str">
        <f ca="1" t="shared" si="31"/>
        <v>一年以上</v>
      </c>
      <c r="E580" s="313">
        <v>44959</v>
      </c>
      <c r="F580" s="59" t="s">
        <v>632</v>
      </c>
      <c r="G580" s="59" t="s">
        <v>450</v>
      </c>
      <c r="H580" s="63" t="s">
        <v>495</v>
      </c>
      <c r="I580" s="63" t="s">
        <v>495</v>
      </c>
      <c r="J580" s="314">
        <v>2000</v>
      </c>
      <c r="K580" s="59" t="s">
        <v>356</v>
      </c>
      <c r="L580" s="59" t="s">
        <v>458</v>
      </c>
      <c r="M580" s="59" t="s">
        <v>30</v>
      </c>
      <c r="N580" s="315">
        <v>2000</v>
      </c>
      <c r="O580" s="316">
        <f t="shared" si="29"/>
        <v>0</v>
      </c>
      <c r="P580" s="95">
        <v>44974</v>
      </c>
      <c r="Q580" s="61">
        <f t="shared" si="32"/>
        <v>44974</v>
      </c>
      <c r="R580" s="59"/>
      <c r="S580" s="59" t="s">
        <v>1294</v>
      </c>
      <c r="T580" s="59" t="s">
        <v>182</v>
      </c>
      <c r="U580" s="59"/>
      <c r="V580" s="59"/>
      <c r="W580" s="68"/>
      <c r="X580" s="68"/>
      <c r="Y580" s="68"/>
    </row>
    <row r="581" s="17" customFormat="1" hidden="1" customHeight="1" spans="1:25">
      <c r="A581" s="59">
        <v>579</v>
      </c>
      <c r="B581" s="60" t="s">
        <v>1339</v>
      </c>
      <c r="C581" s="61">
        <f t="shared" si="30"/>
        <v>44960</v>
      </c>
      <c r="D581" s="62" t="str">
        <f ca="1" t="shared" si="31"/>
        <v>一年以上</v>
      </c>
      <c r="E581" s="313">
        <v>44960</v>
      </c>
      <c r="F581" s="59" t="s">
        <v>632</v>
      </c>
      <c r="G581" s="59" t="s">
        <v>450</v>
      </c>
      <c r="H581" s="63" t="s">
        <v>967</v>
      </c>
      <c r="I581" s="63" t="s">
        <v>967</v>
      </c>
      <c r="J581" s="314">
        <v>6000</v>
      </c>
      <c r="K581" s="59" t="s">
        <v>28</v>
      </c>
      <c r="L581" s="59" t="s">
        <v>57</v>
      </c>
      <c r="M581" s="59" t="s">
        <v>968</v>
      </c>
      <c r="N581" s="315">
        <v>6000</v>
      </c>
      <c r="O581" s="316">
        <f t="shared" si="29"/>
        <v>0</v>
      </c>
      <c r="P581" s="95">
        <v>44960</v>
      </c>
      <c r="Q581" s="61">
        <f t="shared" si="32"/>
        <v>44960</v>
      </c>
      <c r="R581" s="59" t="s">
        <v>951</v>
      </c>
      <c r="S581" s="59" t="s">
        <v>1340</v>
      </c>
      <c r="T581" s="59"/>
      <c r="U581" s="59"/>
      <c r="V581" s="59"/>
      <c r="W581" s="68"/>
      <c r="X581" s="68"/>
      <c r="Y581" s="68"/>
    </row>
    <row r="582" s="17" customFormat="1" hidden="1" customHeight="1" spans="1:25">
      <c r="A582" s="59">
        <v>580</v>
      </c>
      <c r="B582" s="60" t="s">
        <v>1341</v>
      </c>
      <c r="C582" s="61">
        <f t="shared" si="30"/>
        <v>44963</v>
      </c>
      <c r="D582" s="62" t="str">
        <f ca="1" t="shared" si="31"/>
        <v>一年以上</v>
      </c>
      <c r="E582" s="313">
        <v>44963</v>
      </c>
      <c r="F582" s="59" t="s">
        <v>70</v>
      </c>
      <c r="G582" s="59" t="s">
        <v>1342</v>
      </c>
      <c r="H582" s="63" t="s">
        <v>1343</v>
      </c>
      <c r="I582" s="63" t="s">
        <v>1343</v>
      </c>
      <c r="J582" s="314">
        <v>54479.6</v>
      </c>
      <c r="K582" s="59" t="s">
        <v>356</v>
      </c>
      <c r="L582" s="59" t="s">
        <v>458</v>
      </c>
      <c r="M582" s="59" t="s">
        <v>65</v>
      </c>
      <c r="N582" s="315">
        <v>54479.6</v>
      </c>
      <c r="O582" s="316">
        <f t="shared" si="29"/>
        <v>0</v>
      </c>
      <c r="P582" s="95">
        <v>45044</v>
      </c>
      <c r="Q582" s="61">
        <f t="shared" si="32"/>
        <v>45044</v>
      </c>
      <c r="R582" s="59"/>
      <c r="S582" s="59" t="s">
        <v>1344</v>
      </c>
      <c r="T582" s="59"/>
      <c r="U582" s="59"/>
      <c r="V582" s="59"/>
      <c r="W582" s="68"/>
      <c r="X582" s="68"/>
      <c r="Y582" s="68"/>
    </row>
    <row r="583" s="17" customFormat="1" hidden="1" customHeight="1" spans="1:25">
      <c r="A583" s="59">
        <v>581</v>
      </c>
      <c r="B583" s="60" t="s">
        <v>1345</v>
      </c>
      <c r="C583" s="61">
        <f t="shared" si="30"/>
        <v>44963</v>
      </c>
      <c r="D583" s="62" t="str">
        <f ca="1" t="shared" si="31"/>
        <v>一年以上</v>
      </c>
      <c r="E583" s="313">
        <v>44963</v>
      </c>
      <c r="F583" s="59" t="s">
        <v>632</v>
      </c>
      <c r="G583" s="59" t="s">
        <v>993</v>
      </c>
      <c r="H583" s="63" t="s">
        <v>1318</v>
      </c>
      <c r="I583" s="63" t="s">
        <v>1318</v>
      </c>
      <c r="J583" s="314">
        <v>3000</v>
      </c>
      <c r="K583" s="59" t="s">
        <v>28</v>
      </c>
      <c r="L583" s="59" t="s">
        <v>57</v>
      </c>
      <c r="M583" s="59" t="s">
        <v>30</v>
      </c>
      <c r="N583" s="315">
        <v>3000</v>
      </c>
      <c r="O583" s="316">
        <f t="shared" si="29"/>
        <v>0</v>
      </c>
      <c r="P583" s="95">
        <v>44982</v>
      </c>
      <c r="Q583" s="61">
        <f t="shared" si="32"/>
        <v>44982</v>
      </c>
      <c r="R583" s="59"/>
      <c r="S583" s="59" t="s">
        <v>1346</v>
      </c>
      <c r="T583" s="59"/>
      <c r="U583" s="59"/>
      <c r="V583" s="59"/>
      <c r="W583" s="68"/>
      <c r="X583" s="68"/>
      <c r="Y583" s="68"/>
    </row>
    <row r="584" s="17" customFormat="1" hidden="1" customHeight="1" spans="1:25">
      <c r="A584" s="59">
        <v>582</v>
      </c>
      <c r="B584" s="60" t="s">
        <v>1347</v>
      </c>
      <c r="C584" s="61">
        <f t="shared" si="30"/>
        <v>44964</v>
      </c>
      <c r="D584" s="62" t="str">
        <f ca="1" t="shared" si="31"/>
        <v>一年以上</v>
      </c>
      <c r="E584" s="313">
        <v>44964</v>
      </c>
      <c r="F584" s="59" t="s">
        <v>632</v>
      </c>
      <c r="G584" s="59" t="s">
        <v>450</v>
      </c>
      <c r="H584" s="63" t="s">
        <v>679</v>
      </c>
      <c r="I584" s="63" t="s">
        <v>679</v>
      </c>
      <c r="J584" s="314">
        <v>4000</v>
      </c>
      <c r="K584" s="59" t="s">
        <v>28</v>
      </c>
      <c r="L584" s="59" t="s">
        <v>57</v>
      </c>
      <c r="M584" s="59" t="s">
        <v>30</v>
      </c>
      <c r="N584" s="315">
        <v>4000</v>
      </c>
      <c r="O584" s="316">
        <f t="shared" si="29"/>
        <v>0</v>
      </c>
      <c r="P584" s="95">
        <v>45075</v>
      </c>
      <c r="Q584" s="61">
        <f t="shared" si="32"/>
        <v>45075</v>
      </c>
      <c r="R584" s="59"/>
      <c r="S584" s="59" t="s">
        <v>1348</v>
      </c>
      <c r="T584" s="59"/>
      <c r="U584" s="59"/>
      <c r="V584" s="59"/>
      <c r="W584" s="68"/>
      <c r="X584" s="68"/>
      <c r="Y584" s="68"/>
    </row>
    <row r="585" s="17" customFormat="1" hidden="1" customHeight="1" spans="1:25">
      <c r="A585" s="59">
        <v>583</v>
      </c>
      <c r="B585" s="60" t="s">
        <v>1349</v>
      </c>
      <c r="C585" s="61">
        <f t="shared" si="30"/>
        <v>44964</v>
      </c>
      <c r="D585" s="62" t="str">
        <f ca="1" t="shared" si="31"/>
        <v>一年以上</v>
      </c>
      <c r="E585" s="313">
        <v>44964</v>
      </c>
      <c r="F585" s="59" t="s">
        <v>632</v>
      </c>
      <c r="G585" s="59" t="s">
        <v>450</v>
      </c>
      <c r="H585" s="63" t="s">
        <v>679</v>
      </c>
      <c r="I585" s="63" t="s">
        <v>679</v>
      </c>
      <c r="J585" s="314">
        <v>500</v>
      </c>
      <c r="K585" s="59" t="s">
        <v>28</v>
      </c>
      <c r="L585" s="59" t="s">
        <v>57</v>
      </c>
      <c r="M585" s="59" t="s">
        <v>515</v>
      </c>
      <c r="N585" s="315"/>
      <c r="O585" s="316">
        <f t="shared" si="29"/>
        <v>500</v>
      </c>
      <c r="P585" s="95"/>
      <c r="Q585" s="61">
        <f t="shared" si="32"/>
        <v>0</v>
      </c>
      <c r="R585" s="59"/>
      <c r="S585" s="59" t="s">
        <v>515</v>
      </c>
      <c r="T585" s="59" t="s">
        <v>44</v>
      </c>
      <c r="U585" s="59" t="str">
        <f>VLOOKUP(T585,[1]区域划分!$A$1:$C$39,3,0)</f>
        <v>殷坤鹏</v>
      </c>
      <c r="V585" s="59"/>
      <c r="W585" s="68"/>
      <c r="X585" s="68"/>
      <c r="Y585" s="68"/>
    </row>
    <row r="586" s="17" customFormat="1" hidden="1" customHeight="1" spans="1:25">
      <c r="A586" s="59">
        <v>584</v>
      </c>
      <c r="B586" s="60" t="s">
        <v>1350</v>
      </c>
      <c r="C586" s="61">
        <f t="shared" si="30"/>
        <v>44964</v>
      </c>
      <c r="D586" s="62" t="str">
        <f ca="1" t="shared" si="31"/>
        <v>一年以上</v>
      </c>
      <c r="E586" s="313">
        <v>44964</v>
      </c>
      <c r="F586" s="59" t="s">
        <v>632</v>
      </c>
      <c r="G586" s="59" t="s">
        <v>450</v>
      </c>
      <c r="H586" s="63" t="s">
        <v>1351</v>
      </c>
      <c r="I586" s="63" t="s">
        <v>1351</v>
      </c>
      <c r="J586" s="314">
        <v>300</v>
      </c>
      <c r="K586" s="59" t="s">
        <v>28</v>
      </c>
      <c r="L586" s="59" t="s">
        <v>57</v>
      </c>
      <c r="M586" s="59" t="s">
        <v>968</v>
      </c>
      <c r="N586" s="315">
        <v>300</v>
      </c>
      <c r="O586" s="316">
        <f t="shared" ref="O586:O649" si="33">J586-N586</f>
        <v>0</v>
      </c>
      <c r="P586" s="95">
        <v>44967</v>
      </c>
      <c r="Q586" s="61">
        <f t="shared" si="32"/>
        <v>44967</v>
      </c>
      <c r="R586" s="59" t="s">
        <v>1352</v>
      </c>
      <c r="S586" s="59" t="s">
        <v>1353</v>
      </c>
      <c r="T586" s="59"/>
      <c r="U586" s="59"/>
      <c r="V586" s="59"/>
      <c r="W586" s="68"/>
      <c r="X586" s="68"/>
      <c r="Y586" s="68"/>
    </row>
    <row r="587" s="17" customFormat="1" hidden="1" customHeight="1" spans="1:25">
      <c r="A587" s="59">
        <v>585</v>
      </c>
      <c r="B587" s="60" t="s">
        <v>1354</v>
      </c>
      <c r="C587" s="61">
        <f t="shared" si="30"/>
        <v>44967</v>
      </c>
      <c r="D587" s="62" t="str">
        <f ca="1" t="shared" si="31"/>
        <v>一年以上</v>
      </c>
      <c r="E587" s="313">
        <v>44967</v>
      </c>
      <c r="F587" s="59" t="s">
        <v>632</v>
      </c>
      <c r="G587" s="59" t="s">
        <v>450</v>
      </c>
      <c r="H587" s="63" t="s">
        <v>1355</v>
      </c>
      <c r="I587" s="63" t="s">
        <v>1355</v>
      </c>
      <c r="J587" s="314">
        <v>50000</v>
      </c>
      <c r="K587" s="59" t="s">
        <v>28</v>
      </c>
      <c r="L587" s="59" t="s">
        <v>57</v>
      </c>
      <c r="M587" s="59" t="s">
        <v>30</v>
      </c>
      <c r="N587" s="315">
        <v>50000</v>
      </c>
      <c r="O587" s="316">
        <f t="shared" si="33"/>
        <v>0</v>
      </c>
      <c r="P587" s="95">
        <v>45007</v>
      </c>
      <c r="Q587" s="61">
        <f t="shared" si="32"/>
        <v>45007</v>
      </c>
      <c r="R587" s="59"/>
      <c r="S587" s="59" t="s">
        <v>1356</v>
      </c>
      <c r="T587" s="59"/>
      <c r="U587" s="59"/>
      <c r="V587" s="59"/>
      <c r="W587" s="68"/>
      <c r="X587" s="68"/>
      <c r="Y587" s="68"/>
    </row>
    <row r="588" s="17" customFormat="1" hidden="1" customHeight="1" spans="1:25">
      <c r="A588" s="59">
        <v>586</v>
      </c>
      <c r="B588" s="60" t="s">
        <v>1357</v>
      </c>
      <c r="C588" s="61">
        <f t="shared" si="30"/>
        <v>44973</v>
      </c>
      <c r="D588" s="62" t="str">
        <f ca="1" t="shared" si="31"/>
        <v>一年以上</v>
      </c>
      <c r="E588" s="313">
        <v>44973</v>
      </c>
      <c r="F588" s="59" t="s">
        <v>632</v>
      </c>
      <c r="G588" s="59" t="s">
        <v>450</v>
      </c>
      <c r="H588" s="63" t="s">
        <v>577</v>
      </c>
      <c r="I588" s="63" t="s">
        <v>578</v>
      </c>
      <c r="J588" s="314">
        <v>200</v>
      </c>
      <c r="K588" s="59" t="s">
        <v>28</v>
      </c>
      <c r="L588" s="59" t="s">
        <v>57</v>
      </c>
      <c r="M588" s="59" t="s">
        <v>515</v>
      </c>
      <c r="N588" s="315">
        <v>200</v>
      </c>
      <c r="O588" s="316">
        <f t="shared" si="33"/>
        <v>0</v>
      </c>
      <c r="P588" s="95">
        <v>44976</v>
      </c>
      <c r="Q588" s="61">
        <f t="shared" si="32"/>
        <v>44976</v>
      </c>
      <c r="R588" s="59" t="s">
        <v>1250</v>
      </c>
      <c r="S588" s="59" t="s">
        <v>1358</v>
      </c>
      <c r="T588" s="59"/>
      <c r="U588" s="59"/>
      <c r="V588" s="59"/>
      <c r="W588" s="68"/>
      <c r="X588" s="68"/>
      <c r="Y588" s="68"/>
    </row>
    <row r="589" s="17" customFormat="1" hidden="1" customHeight="1" spans="1:25">
      <c r="A589" s="59">
        <v>587</v>
      </c>
      <c r="B589" s="60" t="s">
        <v>1359</v>
      </c>
      <c r="C589" s="61">
        <f t="shared" si="30"/>
        <v>44973</v>
      </c>
      <c r="D589" s="62" t="str">
        <f ca="1" t="shared" si="31"/>
        <v>一年以上</v>
      </c>
      <c r="E589" s="313">
        <v>44973</v>
      </c>
      <c r="F589" s="59" t="s">
        <v>632</v>
      </c>
      <c r="G589" s="59" t="s">
        <v>450</v>
      </c>
      <c r="H589" s="63" t="s">
        <v>577</v>
      </c>
      <c r="I589" s="63" t="s">
        <v>578</v>
      </c>
      <c r="J589" s="314">
        <v>10000</v>
      </c>
      <c r="K589" s="59" t="s">
        <v>28</v>
      </c>
      <c r="L589" s="59" t="s">
        <v>57</v>
      </c>
      <c r="M589" s="59" t="s">
        <v>30</v>
      </c>
      <c r="N589" s="315">
        <v>10000</v>
      </c>
      <c r="O589" s="316">
        <f t="shared" si="33"/>
        <v>0</v>
      </c>
      <c r="P589" s="95">
        <v>45349</v>
      </c>
      <c r="Q589" s="61">
        <f t="shared" si="32"/>
        <v>45349</v>
      </c>
      <c r="R589" s="59"/>
      <c r="S589" s="59" t="s">
        <v>1358</v>
      </c>
      <c r="T589" s="59" t="s">
        <v>581</v>
      </c>
      <c r="U589" s="59" t="str">
        <f>VLOOKUP(T589,[1]区域划分!$A$1:$C$39,3,0)</f>
        <v>新疆</v>
      </c>
      <c r="V589" s="59"/>
      <c r="W589" s="68"/>
      <c r="X589" s="68"/>
      <c r="Y589" s="68"/>
    </row>
    <row r="590" s="17" customFormat="1" hidden="1" customHeight="1" spans="1:25">
      <c r="A590" s="59">
        <v>588</v>
      </c>
      <c r="B590" s="60" t="s">
        <v>1360</v>
      </c>
      <c r="C590" s="61">
        <f t="shared" si="30"/>
        <v>44974</v>
      </c>
      <c r="D590" s="62" t="str">
        <f ca="1" t="shared" si="31"/>
        <v>一年以上</v>
      </c>
      <c r="E590" s="313">
        <v>44974</v>
      </c>
      <c r="F590" s="59" t="s">
        <v>70</v>
      </c>
      <c r="G590" s="59" t="s">
        <v>246</v>
      </c>
      <c r="H590" s="63" t="s">
        <v>341</v>
      </c>
      <c r="I590" s="63" t="s">
        <v>341</v>
      </c>
      <c r="J590" s="314">
        <v>2000</v>
      </c>
      <c r="K590" s="59" t="s">
        <v>28</v>
      </c>
      <c r="L590" s="59" t="s">
        <v>57</v>
      </c>
      <c r="M590" s="59" t="s">
        <v>65</v>
      </c>
      <c r="N590" s="315">
        <v>2000</v>
      </c>
      <c r="O590" s="316">
        <f t="shared" si="33"/>
        <v>0</v>
      </c>
      <c r="P590" s="95">
        <v>45006</v>
      </c>
      <c r="Q590" s="61">
        <f t="shared" si="32"/>
        <v>45006</v>
      </c>
      <c r="R590" s="59"/>
      <c r="S590" s="59"/>
      <c r="T590" s="59"/>
      <c r="U590" s="59"/>
      <c r="V590" s="59"/>
      <c r="W590" s="68"/>
      <c r="X590" s="68"/>
      <c r="Y590" s="68"/>
    </row>
    <row r="591" s="17" customFormat="1" hidden="1" customHeight="1" spans="1:25">
      <c r="A591" s="59">
        <v>589</v>
      </c>
      <c r="B591" s="60" t="s">
        <v>1361</v>
      </c>
      <c r="C591" s="61">
        <f t="shared" si="30"/>
        <v>44978</v>
      </c>
      <c r="D591" s="62" t="str">
        <f ca="1" t="shared" si="31"/>
        <v>一年以上</v>
      </c>
      <c r="E591" s="313">
        <v>44978</v>
      </c>
      <c r="F591" s="59" t="s">
        <v>632</v>
      </c>
      <c r="G591" s="59" t="s">
        <v>450</v>
      </c>
      <c r="H591" s="63" t="s">
        <v>1362</v>
      </c>
      <c r="I591" s="63" t="s">
        <v>1363</v>
      </c>
      <c r="J591" s="314">
        <v>10000</v>
      </c>
      <c r="K591" s="59" t="s">
        <v>28</v>
      </c>
      <c r="L591" s="59" t="s">
        <v>73</v>
      </c>
      <c r="M591" s="59" t="s">
        <v>30</v>
      </c>
      <c r="N591" s="315">
        <v>10000</v>
      </c>
      <c r="O591" s="316">
        <f t="shared" si="33"/>
        <v>0</v>
      </c>
      <c r="P591" s="95">
        <v>45440</v>
      </c>
      <c r="Q591" s="61">
        <f t="shared" si="32"/>
        <v>45440</v>
      </c>
      <c r="R591" s="59"/>
      <c r="S591" s="59" t="s">
        <v>1364</v>
      </c>
      <c r="T591" s="59" t="s">
        <v>1365</v>
      </c>
      <c r="U591" s="59" t="str">
        <f>VLOOKUP(T591,[1]区域划分!$A$1:$C$39,3,0)</f>
        <v>方渊</v>
      </c>
      <c r="V591" s="59"/>
      <c r="W591" s="68"/>
      <c r="X591" s="68"/>
      <c r="Y591" s="68"/>
    </row>
    <row r="592" s="17" customFormat="1" hidden="1" customHeight="1" spans="1:25">
      <c r="A592" s="59">
        <v>590</v>
      </c>
      <c r="B592" s="60" t="s">
        <v>1366</v>
      </c>
      <c r="C592" s="61">
        <f t="shared" si="30"/>
        <v>44978</v>
      </c>
      <c r="D592" s="62" t="str">
        <f ca="1" t="shared" si="31"/>
        <v>一年以上</v>
      </c>
      <c r="E592" s="313">
        <v>44978</v>
      </c>
      <c r="F592" s="59" t="s">
        <v>632</v>
      </c>
      <c r="G592" s="59" t="s">
        <v>450</v>
      </c>
      <c r="H592" s="63" t="s">
        <v>1362</v>
      </c>
      <c r="I592" s="63" t="s">
        <v>1362</v>
      </c>
      <c r="J592" s="314">
        <v>200</v>
      </c>
      <c r="K592" s="59" t="s">
        <v>28</v>
      </c>
      <c r="L592" s="59" t="s">
        <v>73</v>
      </c>
      <c r="M592" s="59" t="s">
        <v>515</v>
      </c>
      <c r="N592" s="315">
        <v>200</v>
      </c>
      <c r="O592" s="316">
        <f t="shared" si="33"/>
        <v>0</v>
      </c>
      <c r="P592" s="95">
        <v>44991</v>
      </c>
      <c r="Q592" s="61">
        <f t="shared" si="32"/>
        <v>44991</v>
      </c>
      <c r="R592" s="59" t="s">
        <v>951</v>
      </c>
      <c r="S592" s="59" t="s">
        <v>1364</v>
      </c>
      <c r="T592" s="59"/>
      <c r="U592" s="59"/>
      <c r="V592" s="59"/>
      <c r="W592" s="68"/>
      <c r="X592" s="68"/>
      <c r="Y592" s="68"/>
    </row>
    <row r="593" s="17" customFormat="1" hidden="1" customHeight="1" spans="1:25">
      <c r="A593" s="59">
        <v>591</v>
      </c>
      <c r="B593" s="60" t="s">
        <v>1367</v>
      </c>
      <c r="C593" s="61">
        <f t="shared" si="30"/>
        <v>44978</v>
      </c>
      <c r="D593" s="62" t="str">
        <f ca="1" t="shared" si="31"/>
        <v>一年以上</v>
      </c>
      <c r="E593" s="313">
        <v>44978</v>
      </c>
      <c r="F593" s="59" t="s">
        <v>632</v>
      </c>
      <c r="G593" s="59" t="s">
        <v>450</v>
      </c>
      <c r="H593" s="63" t="s">
        <v>1368</v>
      </c>
      <c r="I593" s="63" t="s">
        <v>1368</v>
      </c>
      <c r="J593" s="314">
        <v>1000</v>
      </c>
      <c r="K593" s="59" t="s">
        <v>28</v>
      </c>
      <c r="L593" s="59" t="s">
        <v>73</v>
      </c>
      <c r="M593" s="59" t="s">
        <v>968</v>
      </c>
      <c r="N593" s="315">
        <v>1000</v>
      </c>
      <c r="O593" s="316">
        <f t="shared" si="33"/>
        <v>0</v>
      </c>
      <c r="P593" s="95">
        <v>45023</v>
      </c>
      <c r="Q593" s="61">
        <f t="shared" si="32"/>
        <v>45023</v>
      </c>
      <c r="R593" s="59"/>
      <c r="S593" s="59" t="s">
        <v>1369</v>
      </c>
      <c r="T593" s="59"/>
      <c r="U593" s="59"/>
      <c r="V593" s="59"/>
      <c r="W593" s="68"/>
      <c r="X593" s="68"/>
      <c r="Y593" s="68"/>
    </row>
    <row r="594" s="17" customFormat="1" hidden="1" customHeight="1" spans="1:25">
      <c r="A594" s="59">
        <v>592</v>
      </c>
      <c r="B594" s="60" t="s">
        <v>1370</v>
      </c>
      <c r="C594" s="61">
        <f t="shared" si="30"/>
        <v>44978</v>
      </c>
      <c r="D594" s="62" t="str">
        <f ca="1" t="shared" si="31"/>
        <v>一年以上</v>
      </c>
      <c r="E594" s="313">
        <v>44978</v>
      </c>
      <c r="F594" s="59" t="s">
        <v>632</v>
      </c>
      <c r="G594" s="59" t="s">
        <v>450</v>
      </c>
      <c r="H594" s="63" t="s">
        <v>495</v>
      </c>
      <c r="I594" s="63" t="s">
        <v>495</v>
      </c>
      <c r="J594" s="314">
        <v>2000</v>
      </c>
      <c r="K594" s="59" t="s">
        <v>356</v>
      </c>
      <c r="L594" s="59" t="s">
        <v>73</v>
      </c>
      <c r="M594" s="59" t="s">
        <v>30</v>
      </c>
      <c r="N594" s="315">
        <v>2000</v>
      </c>
      <c r="O594" s="316">
        <f t="shared" si="33"/>
        <v>0</v>
      </c>
      <c r="P594" s="95">
        <v>44985</v>
      </c>
      <c r="Q594" s="61">
        <f t="shared" si="32"/>
        <v>44985</v>
      </c>
      <c r="R594" s="59"/>
      <c r="S594" s="59" t="s">
        <v>1294</v>
      </c>
      <c r="T594" s="59" t="s">
        <v>182</v>
      </c>
      <c r="U594" s="59"/>
      <c r="V594" s="59"/>
      <c r="W594" s="68"/>
      <c r="X594" s="68"/>
      <c r="Y594" s="68"/>
    </row>
    <row r="595" s="17" customFormat="1" hidden="1" customHeight="1" spans="1:25">
      <c r="A595" s="59">
        <v>593</v>
      </c>
      <c r="B595" s="60" t="s">
        <v>1371</v>
      </c>
      <c r="C595" s="61">
        <f t="shared" si="30"/>
        <v>44979</v>
      </c>
      <c r="D595" s="62" t="str">
        <f ca="1" t="shared" si="31"/>
        <v>一年以上</v>
      </c>
      <c r="E595" s="313">
        <v>44979</v>
      </c>
      <c r="F595" s="59" t="s">
        <v>130</v>
      </c>
      <c r="G595" s="59" t="s">
        <v>1372</v>
      </c>
      <c r="H595" s="63" t="s">
        <v>863</v>
      </c>
      <c r="I595" s="63" t="s">
        <v>863</v>
      </c>
      <c r="J595" s="314">
        <v>5400</v>
      </c>
      <c r="K595" s="59" t="s">
        <v>28</v>
      </c>
      <c r="L595" s="59" t="s">
        <v>73</v>
      </c>
      <c r="M595" s="59" t="s">
        <v>133</v>
      </c>
      <c r="N595" s="315">
        <v>5400</v>
      </c>
      <c r="O595" s="316">
        <f t="shared" si="33"/>
        <v>0</v>
      </c>
      <c r="P595" s="95">
        <v>45230</v>
      </c>
      <c r="Q595" s="61">
        <f t="shared" si="32"/>
        <v>45230</v>
      </c>
      <c r="R595" s="59" t="s">
        <v>1077</v>
      </c>
      <c r="S595" s="59" t="s">
        <v>1373</v>
      </c>
      <c r="T595" s="59"/>
      <c r="U595" s="59"/>
      <c r="V595" s="59"/>
      <c r="W595" s="68"/>
      <c r="X595" s="68"/>
      <c r="Y595" s="68"/>
    </row>
    <row r="596" s="17" customFormat="1" hidden="1" customHeight="1" spans="1:25">
      <c r="A596" s="59">
        <v>594</v>
      </c>
      <c r="B596" s="60" t="s">
        <v>1374</v>
      </c>
      <c r="C596" s="61">
        <f t="shared" si="30"/>
        <v>44979</v>
      </c>
      <c r="D596" s="62" t="str">
        <f ca="1" t="shared" si="31"/>
        <v>一年以上</v>
      </c>
      <c r="E596" s="313">
        <v>44979</v>
      </c>
      <c r="F596" s="59" t="s">
        <v>130</v>
      </c>
      <c r="G596" s="59" t="s">
        <v>1372</v>
      </c>
      <c r="H596" s="63" t="s">
        <v>863</v>
      </c>
      <c r="I596" s="63" t="s">
        <v>863</v>
      </c>
      <c r="J596" s="314">
        <v>6400</v>
      </c>
      <c r="K596" s="59" t="s">
        <v>28</v>
      </c>
      <c r="L596" s="59" t="s">
        <v>73</v>
      </c>
      <c r="M596" s="59" t="s">
        <v>133</v>
      </c>
      <c r="N596" s="315">
        <v>6400</v>
      </c>
      <c r="O596" s="316">
        <f t="shared" si="33"/>
        <v>0</v>
      </c>
      <c r="P596" s="95">
        <v>45230</v>
      </c>
      <c r="Q596" s="61">
        <f t="shared" si="32"/>
        <v>45230</v>
      </c>
      <c r="R596" s="59" t="s">
        <v>1077</v>
      </c>
      <c r="S596" s="59" t="s">
        <v>1375</v>
      </c>
      <c r="T596" s="59"/>
      <c r="U596" s="59"/>
      <c r="V596" s="59"/>
      <c r="W596" s="68"/>
      <c r="X596" s="68"/>
      <c r="Y596" s="68"/>
    </row>
    <row r="597" s="17" customFormat="1" hidden="1" customHeight="1" spans="1:25">
      <c r="A597" s="59">
        <v>595</v>
      </c>
      <c r="B597" s="60" t="s">
        <v>1376</v>
      </c>
      <c r="C597" s="61">
        <f t="shared" si="30"/>
        <v>44979</v>
      </c>
      <c r="D597" s="62" t="str">
        <f ca="1" t="shared" si="31"/>
        <v>一年以上</v>
      </c>
      <c r="E597" s="313">
        <v>44979</v>
      </c>
      <c r="F597" s="59" t="s">
        <v>130</v>
      </c>
      <c r="G597" s="59" t="s">
        <v>1372</v>
      </c>
      <c r="H597" s="63" t="s">
        <v>863</v>
      </c>
      <c r="I597" s="63" t="s">
        <v>863</v>
      </c>
      <c r="J597" s="314">
        <v>3100</v>
      </c>
      <c r="K597" s="59" t="s">
        <v>28</v>
      </c>
      <c r="L597" s="59" t="s">
        <v>73</v>
      </c>
      <c r="M597" s="59" t="s">
        <v>133</v>
      </c>
      <c r="N597" s="315">
        <v>3100</v>
      </c>
      <c r="O597" s="316">
        <f t="shared" si="33"/>
        <v>0</v>
      </c>
      <c r="P597" s="95">
        <v>45499</v>
      </c>
      <c r="Q597" s="61">
        <f t="shared" si="32"/>
        <v>45499</v>
      </c>
      <c r="R597" s="59" t="s">
        <v>1377</v>
      </c>
      <c r="S597" s="59" t="s">
        <v>1378</v>
      </c>
      <c r="T597" s="59" t="s">
        <v>972</v>
      </c>
      <c r="U597" s="59" t="str">
        <f>VLOOKUP(T597,[1]区域划分!$A$1:$C$39,3,0)</f>
        <v>曾江利</v>
      </c>
      <c r="V597" s="59"/>
      <c r="W597" s="68"/>
      <c r="X597" s="68"/>
      <c r="Y597" s="68"/>
    </row>
    <row r="598" s="17" customFormat="1" hidden="1" customHeight="1" spans="1:25">
      <c r="A598" s="59">
        <v>596</v>
      </c>
      <c r="B598" s="60" t="s">
        <v>1379</v>
      </c>
      <c r="C598" s="61">
        <f t="shared" si="30"/>
        <v>44979</v>
      </c>
      <c r="D598" s="62" t="str">
        <f ca="1" t="shared" si="31"/>
        <v>一年以上</v>
      </c>
      <c r="E598" s="313">
        <v>44979</v>
      </c>
      <c r="F598" s="59" t="s">
        <v>130</v>
      </c>
      <c r="G598" s="59" t="s">
        <v>1372</v>
      </c>
      <c r="H598" s="63" t="s">
        <v>863</v>
      </c>
      <c r="I598" s="63" t="s">
        <v>863</v>
      </c>
      <c r="J598" s="314">
        <v>4500</v>
      </c>
      <c r="K598" s="59" t="s">
        <v>28</v>
      </c>
      <c r="L598" s="59" t="s">
        <v>73</v>
      </c>
      <c r="M598" s="59" t="s">
        <v>133</v>
      </c>
      <c r="N598" s="315">
        <v>4500</v>
      </c>
      <c r="O598" s="316">
        <f t="shared" si="33"/>
        <v>0</v>
      </c>
      <c r="P598" s="95">
        <v>45230</v>
      </c>
      <c r="Q598" s="61">
        <f t="shared" si="32"/>
        <v>45230</v>
      </c>
      <c r="R598" s="59" t="s">
        <v>1077</v>
      </c>
      <c r="S598" s="59" t="s">
        <v>1380</v>
      </c>
      <c r="T598" s="59"/>
      <c r="U598" s="59"/>
      <c r="V598" s="59"/>
      <c r="W598" s="68"/>
      <c r="X598" s="68"/>
      <c r="Y598" s="68"/>
    </row>
    <row r="599" s="17" customFormat="1" hidden="1" customHeight="1" spans="1:25">
      <c r="A599" s="59">
        <v>597</v>
      </c>
      <c r="B599" s="60" t="s">
        <v>1381</v>
      </c>
      <c r="C599" s="61">
        <f t="shared" si="30"/>
        <v>44979</v>
      </c>
      <c r="D599" s="62" t="str">
        <f ca="1" t="shared" si="31"/>
        <v>一年以上</v>
      </c>
      <c r="E599" s="313">
        <v>44979</v>
      </c>
      <c r="F599" s="59" t="s">
        <v>130</v>
      </c>
      <c r="G599" s="59" t="s">
        <v>456</v>
      </c>
      <c r="H599" s="63" t="s">
        <v>457</v>
      </c>
      <c r="I599" s="63" t="s">
        <v>1382</v>
      </c>
      <c r="J599" s="314">
        <v>15800</v>
      </c>
      <c r="K599" s="59" t="s">
        <v>28</v>
      </c>
      <c r="L599" s="59" t="s">
        <v>73</v>
      </c>
      <c r="M599" s="59" t="s">
        <v>133</v>
      </c>
      <c r="N599" s="315">
        <v>15800</v>
      </c>
      <c r="O599" s="316">
        <f t="shared" si="33"/>
        <v>0</v>
      </c>
      <c r="P599" s="95">
        <v>45847</v>
      </c>
      <c r="Q599" s="61">
        <f t="shared" si="32"/>
        <v>45847</v>
      </c>
      <c r="R599" s="59"/>
      <c r="S599" s="59" t="s">
        <v>1383</v>
      </c>
      <c r="T599" s="59" t="s">
        <v>1152</v>
      </c>
      <c r="U599" s="59" t="str">
        <f>VLOOKUP(T599,[1]区域划分!$A$1:$C$39,3,0)</f>
        <v>饶亚龙</v>
      </c>
      <c r="V599" s="59"/>
      <c r="W599" s="68"/>
      <c r="X599" s="68"/>
      <c r="Y599" s="68"/>
    </row>
    <row r="600" s="17" customFormat="1" hidden="1" customHeight="1" spans="1:25">
      <c r="A600" s="59">
        <v>598</v>
      </c>
      <c r="B600" s="60" t="s">
        <v>1384</v>
      </c>
      <c r="C600" s="61">
        <f t="shared" si="30"/>
        <v>44979</v>
      </c>
      <c r="D600" s="62" t="str">
        <f ca="1" t="shared" si="31"/>
        <v>一年以上</v>
      </c>
      <c r="E600" s="313">
        <v>44979</v>
      </c>
      <c r="F600" s="59" t="s">
        <v>632</v>
      </c>
      <c r="G600" s="59" t="s">
        <v>450</v>
      </c>
      <c r="H600" s="63" t="s">
        <v>1385</v>
      </c>
      <c r="I600" s="63" t="s">
        <v>1385</v>
      </c>
      <c r="J600" s="314">
        <v>300</v>
      </c>
      <c r="K600" s="59" t="s">
        <v>28</v>
      </c>
      <c r="L600" s="59" t="s">
        <v>73</v>
      </c>
      <c r="M600" s="59" t="s">
        <v>968</v>
      </c>
      <c r="N600" s="315">
        <v>300</v>
      </c>
      <c r="O600" s="316">
        <f t="shared" si="33"/>
        <v>0</v>
      </c>
      <c r="P600" s="95">
        <v>44987</v>
      </c>
      <c r="Q600" s="61">
        <f t="shared" si="32"/>
        <v>44987</v>
      </c>
      <c r="R600" s="59"/>
      <c r="S600" s="59" t="s">
        <v>1386</v>
      </c>
      <c r="T600" s="59"/>
      <c r="U600" s="59"/>
      <c r="V600" s="59"/>
      <c r="W600" s="68"/>
      <c r="X600" s="68"/>
      <c r="Y600" s="68"/>
    </row>
    <row r="601" s="17" customFormat="1" hidden="1" customHeight="1" spans="1:25">
      <c r="A601" s="59">
        <v>599</v>
      </c>
      <c r="B601" s="60" t="s">
        <v>1387</v>
      </c>
      <c r="C601" s="61">
        <f t="shared" si="30"/>
        <v>44980</v>
      </c>
      <c r="D601" s="62" t="str">
        <f ca="1" t="shared" si="31"/>
        <v>一年以上</v>
      </c>
      <c r="E601" s="313">
        <v>44980</v>
      </c>
      <c r="F601" s="59" t="s">
        <v>632</v>
      </c>
      <c r="G601" s="59" t="s">
        <v>450</v>
      </c>
      <c r="H601" s="63" t="s">
        <v>1388</v>
      </c>
      <c r="I601" s="63" t="s">
        <v>1388</v>
      </c>
      <c r="J601" s="314">
        <v>6000</v>
      </c>
      <c r="K601" s="59" t="s">
        <v>28</v>
      </c>
      <c r="L601" s="59" t="s">
        <v>73</v>
      </c>
      <c r="M601" s="59" t="s">
        <v>968</v>
      </c>
      <c r="N601" s="315">
        <v>6000</v>
      </c>
      <c r="O601" s="316">
        <f t="shared" si="33"/>
        <v>0</v>
      </c>
      <c r="P601" s="95">
        <v>45161</v>
      </c>
      <c r="Q601" s="61">
        <f t="shared" si="32"/>
        <v>45161</v>
      </c>
      <c r="R601" s="59" t="s">
        <v>951</v>
      </c>
      <c r="S601" s="59" t="s">
        <v>1389</v>
      </c>
      <c r="T601" s="59"/>
      <c r="U601" s="59"/>
      <c r="V601" s="59"/>
      <c r="W601" s="68"/>
      <c r="X601" s="68"/>
      <c r="Y601" s="68"/>
    </row>
    <row r="602" s="17" customFormat="1" hidden="1" customHeight="1" spans="1:25">
      <c r="A602" s="59">
        <v>600</v>
      </c>
      <c r="B602" s="60" t="s">
        <v>1390</v>
      </c>
      <c r="C602" s="61">
        <f t="shared" si="30"/>
        <v>44980</v>
      </c>
      <c r="D602" s="62" t="str">
        <f ca="1" t="shared" si="31"/>
        <v>一年以上</v>
      </c>
      <c r="E602" s="313">
        <v>44980</v>
      </c>
      <c r="F602" s="59" t="s">
        <v>632</v>
      </c>
      <c r="G602" s="59" t="s">
        <v>450</v>
      </c>
      <c r="H602" s="63" t="s">
        <v>1391</v>
      </c>
      <c r="I602" s="63" t="s">
        <v>1391</v>
      </c>
      <c r="J602" s="314">
        <v>2500</v>
      </c>
      <c r="K602" s="59" t="s">
        <v>28</v>
      </c>
      <c r="L602" s="59" t="s">
        <v>73</v>
      </c>
      <c r="M602" s="59" t="s">
        <v>968</v>
      </c>
      <c r="N602" s="315"/>
      <c r="O602" s="316">
        <f t="shared" si="33"/>
        <v>2500</v>
      </c>
      <c r="P602" s="95"/>
      <c r="Q602" s="61">
        <f t="shared" si="32"/>
        <v>0</v>
      </c>
      <c r="R602" s="59"/>
      <c r="S602" s="59" t="s">
        <v>1389</v>
      </c>
      <c r="T602" s="59" t="s">
        <v>32</v>
      </c>
      <c r="U602" s="59" t="str">
        <f>VLOOKUP(T602,[1]区域划分!$A$1:$C$39,3,0)</f>
        <v>方渊</v>
      </c>
      <c r="V602" s="59"/>
      <c r="W602" s="68"/>
      <c r="X602" s="68"/>
      <c r="Y602" s="68"/>
    </row>
    <row r="603" s="17" customFormat="1" hidden="1" customHeight="1" spans="1:25">
      <c r="A603" s="59">
        <v>601</v>
      </c>
      <c r="B603" s="60" t="s">
        <v>1392</v>
      </c>
      <c r="C603" s="61">
        <f t="shared" si="30"/>
        <v>44980</v>
      </c>
      <c r="D603" s="62" t="str">
        <f ca="1" t="shared" si="31"/>
        <v>一年以上</v>
      </c>
      <c r="E603" s="313">
        <v>44980</v>
      </c>
      <c r="F603" s="59" t="s">
        <v>632</v>
      </c>
      <c r="G603" s="59" t="s">
        <v>450</v>
      </c>
      <c r="H603" s="63" t="s">
        <v>1391</v>
      </c>
      <c r="I603" s="63" t="s">
        <v>1391</v>
      </c>
      <c r="J603" s="314">
        <v>900</v>
      </c>
      <c r="K603" s="59" t="s">
        <v>28</v>
      </c>
      <c r="L603" s="59" t="s">
        <v>73</v>
      </c>
      <c r="M603" s="59" t="s">
        <v>968</v>
      </c>
      <c r="N603" s="315"/>
      <c r="O603" s="316">
        <f t="shared" si="33"/>
        <v>900</v>
      </c>
      <c r="P603" s="95"/>
      <c r="Q603" s="61">
        <f t="shared" si="32"/>
        <v>0</v>
      </c>
      <c r="R603" s="59"/>
      <c r="S603" s="59" t="s">
        <v>1393</v>
      </c>
      <c r="T603" s="59" t="s">
        <v>32</v>
      </c>
      <c r="U603" s="59" t="str">
        <f>VLOOKUP(T603,[1]区域划分!$A$1:$C$39,3,0)</f>
        <v>方渊</v>
      </c>
      <c r="V603" s="59"/>
      <c r="W603" s="68"/>
      <c r="X603" s="68"/>
      <c r="Y603" s="68"/>
    </row>
    <row r="604" s="17" customFormat="1" hidden="1" customHeight="1" spans="1:25">
      <c r="A604" s="59">
        <v>602</v>
      </c>
      <c r="B604" s="60" t="s">
        <v>1394</v>
      </c>
      <c r="C604" s="61">
        <f t="shared" si="30"/>
        <v>44984</v>
      </c>
      <c r="D604" s="62" t="str">
        <f ca="1" t="shared" si="31"/>
        <v>一年以上</v>
      </c>
      <c r="E604" s="313">
        <v>44984</v>
      </c>
      <c r="F604" s="59" t="s">
        <v>632</v>
      </c>
      <c r="G604" s="59" t="s">
        <v>450</v>
      </c>
      <c r="H604" s="63" t="s">
        <v>1336</v>
      </c>
      <c r="I604" s="63" t="s">
        <v>1336</v>
      </c>
      <c r="J604" s="314">
        <v>20100</v>
      </c>
      <c r="K604" s="59" t="s">
        <v>28</v>
      </c>
      <c r="L604" s="59" t="s">
        <v>73</v>
      </c>
      <c r="M604" s="59" t="s">
        <v>30</v>
      </c>
      <c r="N604" s="315">
        <v>20100</v>
      </c>
      <c r="O604" s="316">
        <f t="shared" si="33"/>
        <v>0</v>
      </c>
      <c r="P604" s="95">
        <v>45060</v>
      </c>
      <c r="Q604" s="61">
        <f t="shared" si="32"/>
        <v>45060</v>
      </c>
      <c r="R604" s="59"/>
      <c r="S604" s="59" t="s">
        <v>1395</v>
      </c>
      <c r="T604" s="59"/>
      <c r="U604" s="59"/>
      <c r="V604" s="59" t="s">
        <v>1396</v>
      </c>
      <c r="W604" s="68"/>
      <c r="X604" s="68"/>
      <c r="Y604" s="68"/>
    </row>
    <row r="605" s="17" customFormat="1" hidden="1" customHeight="1" spans="1:25">
      <c r="A605" s="59">
        <v>603</v>
      </c>
      <c r="B605" s="60" t="s">
        <v>1397</v>
      </c>
      <c r="C605" s="61">
        <f t="shared" si="30"/>
        <v>44985</v>
      </c>
      <c r="D605" s="62" t="str">
        <f ca="1" t="shared" si="31"/>
        <v>一年以上</v>
      </c>
      <c r="E605" s="313">
        <v>44985</v>
      </c>
      <c r="F605" s="59" t="s">
        <v>632</v>
      </c>
      <c r="G605" s="59" t="s">
        <v>450</v>
      </c>
      <c r="H605" s="63" t="s">
        <v>1302</v>
      </c>
      <c r="I605" s="63" t="s">
        <v>1302</v>
      </c>
      <c r="J605" s="314">
        <v>20100</v>
      </c>
      <c r="K605" s="59" t="s">
        <v>28</v>
      </c>
      <c r="L605" s="59" t="s">
        <v>73</v>
      </c>
      <c r="M605" s="59" t="s">
        <v>30</v>
      </c>
      <c r="N605" s="315">
        <v>20100</v>
      </c>
      <c r="O605" s="316">
        <f t="shared" si="33"/>
        <v>0</v>
      </c>
      <c r="P605" s="95">
        <v>45258</v>
      </c>
      <c r="Q605" s="61">
        <f t="shared" si="32"/>
        <v>45258</v>
      </c>
      <c r="R605" s="59" t="s">
        <v>1398</v>
      </c>
      <c r="S605" s="59" t="s">
        <v>1395</v>
      </c>
      <c r="T605" s="59" t="s">
        <v>171</v>
      </c>
      <c r="U605" s="59" t="str">
        <f>VLOOKUP(T605,[1]区域划分!$A$1:$C$39,3,0)</f>
        <v>牛国庆</v>
      </c>
      <c r="V605" s="59" t="s">
        <v>1399</v>
      </c>
      <c r="W605" s="68"/>
      <c r="X605" s="68"/>
      <c r="Y605" s="68"/>
    </row>
    <row r="606" s="17" customFormat="1" hidden="1" customHeight="1" spans="1:25">
      <c r="A606" s="59">
        <v>604</v>
      </c>
      <c r="B606" s="60" t="s">
        <v>1400</v>
      </c>
      <c r="C606" s="61">
        <f t="shared" si="30"/>
        <v>44987</v>
      </c>
      <c r="D606" s="62" t="str">
        <f ca="1" t="shared" si="31"/>
        <v>一年以上</v>
      </c>
      <c r="E606" s="313">
        <v>44987</v>
      </c>
      <c r="F606" s="59" t="s">
        <v>632</v>
      </c>
      <c r="G606" s="59" t="s">
        <v>450</v>
      </c>
      <c r="H606" s="63" t="s">
        <v>842</v>
      </c>
      <c r="I606" s="63" t="s">
        <v>842</v>
      </c>
      <c r="J606" s="314">
        <v>1000</v>
      </c>
      <c r="K606" s="59" t="s">
        <v>28</v>
      </c>
      <c r="L606" s="59" t="s">
        <v>73</v>
      </c>
      <c r="M606" s="59" t="s">
        <v>968</v>
      </c>
      <c r="N606" s="315">
        <v>1000</v>
      </c>
      <c r="O606" s="316">
        <f t="shared" si="33"/>
        <v>0</v>
      </c>
      <c r="P606" s="95">
        <v>44998</v>
      </c>
      <c r="Q606" s="61">
        <f t="shared" si="32"/>
        <v>44998</v>
      </c>
      <c r="R606" s="59"/>
      <c r="S606" s="59" t="s">
        <v>1401</v>
      </c>
      <c r="T606" s="59"/>
      <c r="U606" s="59"/>
      <c r="V606" s="59"/>
      <c r="W606" s="68"/>
      <c r="X606" s="68"/>
      <c r="Y606" s="68"/>
    </row>
    <row r="607" s="17" customFormat="1" hidden="1" customHeight="1" spans="1:25">
      <c r="A607" s="59">
        <v>605</v>
      </c>
      <c r="B607" s="60" t="s">
        <v>1402</v>
      </c>
      <c r="C607" s="61">
        <f t="shared" si="30"/>
        <v>44987</v>
      </c>
      <c r="D607" s="62" t="str">
        <f ca="1" t="shared" si="31"/>
        <v>一年以上</v>
      </c>
      <c r="E607" s="313">
        <v>44987</v>
      </c>
      <c r="F607" s="59" t="s">
        <v>632</v>
      </c>
      <c r="G607" s="59" t="s">
        <v>450</v>
      </c>
      <c r="H607" s="63" t="s">
        <v>967</v>
      </c>
      <c r="I607" s="63" t="s">
        <v>967</v>
      </c>
      <c r="J607" s="314">
        <v>1000</v>
      </c>
      <c r="K607" s="59" t="s">
        <v>28</v>
      </c>
      <c r="L607" s="59" t="s">
        <v>73</v>
      </c>
      <c r="M607" s="59" t="s">
        <v>968</v>
      </c>
      <c r="N607" s="315"/>
      <c r="O607" s="316">
        <f t="shared" si="33"/>
        <v>1000</v>
      </c>
      <c r="P607" s="95"/>
      <c r="Q607" s="61">
        <f t="shared" si="32"/>
        <v>0</v>
      </c>
      <c r="R607" s="59"/>
      <c r="S607" s="59" t="s">
        <v>1403</v>
      </c>
      <c r="T607" s="59" t="s">
        <v>171</v>
      </c>
      <c r="U607" s="59" t="str">
        <f>VLOOKUP(T607,[1]区域划分!$A$1:$C$39,3,0)</f>
        <v>牛国庆</v>
      </c>
      <c r="V607" s="59"/>
      <c r="W607" s="68"/>
      <c r="X607" s="68"/>
      <c r="Y607" s="68"/>
    </row>
    <row r="608" s="17" customFormat="1" hidden="1" customHeight="1" spans="1:25">
      <c r="A608" s="59">
        <v>606</v>
      </c>
      <c r="B608" s="60" t="s">
        <v>1404</v>
      </c>
      <c r="C608" s="61">
        <f t="shared" si="30"/>
        <v>44988</v>
      </c>
      <c r="D608" s="62" t="str">
        <f ca="1" t="shared" si="31"/>
        <v>一年以上</v>
      </c>
      <c r="E608" s="313">
        <v>44988</v>
      </c>
      <c r="F608" s="59" t="s">
        <v>70</v>
      </c>
      <c r="G608" s="59" t="s">
        <v>1405</v>
      </c>
      <c r="H608" s="63" t="s">
        <v>286</v>
      </c>
      <c r="I608" s="63" t="s">
        <v>286</v>
      </c>
      <c r="J608" s="314">
        <v>2000</v>
      </c>
      <c r="K608" s="59" t="s">
        <v>28</v>
      </c>
      <c r="L608" s="59" t="s">
        <v>73</v>
      </c>
      <c r="M608" s="59" t="s">
        <v>65</v>
      </c>
      <c r="N608" s="315">
        <v>2000</v>
      </c>
      <c r="O608" s="316">
        <f t="shared" si="33"/>
        <v>0</v>
      </c>
      <c r="P608" s="95">
        <v>45190</v>
      </c>
      <c r="Q608" s="61">
        <f t="shared" si="32"/>
        <v>45190</v>
      </c>
      <c r="R608" s="59"/>
      <c r="S608" s="59"/>
      <c r="T608" s="59" t="s">
        <v>267</v>
      </c>
      <c r="U608" s="59" t="str">
        <f>VLOOKUP(T608,[1]区域划分!$A$1:$C$39,3,0)</f>
        <v>牛国庆</v>
      </c>
      <c r="V608" s="59"/>
      <c r="W608" s="68"/>
      <c r="X608" s="68"/>
      <c r="Y608" s="68"/>
    </row>
    <row r="609" s="17" customFormat="1" hidden="1" customHeight="1" spans="1:25">
      <c r="A609" s="59">
        <v>607</v>
      </c>
      <c r="B609" s="60" t="s">
        <v>1406</v>
      </c>
      <c r="C609" s="61">
        <f t="shared" si="30"/>
        <v>44989</v>
      </c>
      <c r="D609" s="62" t="str">
        <f ca="1" t="shared" si="31"/>
        <v>一年以上</v>
      </c>
      <c r="E609" s="313">
        <v>44989</v>
      </c>
      <c r="F609" s="59" t="s">
        <v>70</v>
      </c>
      <c r="G609" s="59" t="s">
        <v>1407</v>
      </c>
      <c r="H609" s="63" t="s">
        <v>1408</v>
      </c>
      <c r="I609" s="63" t="s">
        <v>1408</v>
      </c>
      <c r="J609" s="314">
        <v>2000</v>
      </c>
      <c r="K609" s="59" t="s">
        <v>28</v>
      </c>
      <c r="L609" s="59" t="s">
        <v>1409</v>
      </c>
      <c r="M609" s="59" t="s">
        <v>65</v>
      </c>
      <c r="N609" s="315">
        <v>2000</v>
      </c>
      <c r="O609" s="316">
        <f t="shared" si="33"/>
        <v>0</v>
      </c>
      <c r="P609" s="95">
        <v>45021</v>
      </c>
      <c r="Q609" s="61">
        <f t="shared" si="32"/>
        <v>45021</v>
      </c>
      <c r="R609" s="59" t="s">
        <v>1410</v>
      </c>
      <c r="S609" s="59" t="s">
        <v>1411</v>
      </c>
      <c r="T609" s="59"/>
      <c r="U609" s="59"/>
      <c r="V609" s="59"/>
      <c r="W609" s="68"/>
      <c r="X609" s="68"/>
      <c r="Y609" s="68"/>
    </row>
    <row r="610" s="17" customFormat="1" hidden="1" customHeight="1" spans="1:25">
      <c r="A610" s="59">
        <v>608</v>
      </c>
      <c r="B610" s="60" t="s">
        <v>1412</v>
      </c>
      <c r="C610" s="61">
        <f t="shared" si="30"/>
        <v>44991</v>
      </c>
      <c r="D610" s="62" t="str">
        <f ca="1" t="shared" si="31"/>
        <v>一年以上</v>
      </c>
      <c r="E610" s="313">
        <v>44991</v>
      </c>
      <c r="F610" s="59" t="s">
        <v>632</v>
      </c>
      <c r="G610" s="59" t="s">
        <v>993</v>
      </c>
      <c r="H610" s="63" t="s">
        <v>1413</v>
      </c>
      <c r="I610" s="63" t="s">
        <v>1413</v>
      </c>
      <c r="J610" s="314">
        <v>500</v>
      </c>
      <c r="K610" s="59" t="s">
        <v>28</v>
      </c>
      <c r="L610" s="59" t="s">
        <v>73</v>
      </c>
      <c r="M610" s="59" t="s">
        <v>515</v>
      </c>
      <c r="N610" s="315"/>
      <c r="O610" s="316">
        <f t="shared" si="33"/>
        <v>500</v>
      </c>
      <c r="P610" s="95"/>
      <c r="Q610" s="61">
        <f t="shared" si="32"/>
        <v>0</v>
      </c>
      <c r="R610" s="59"/>
      <c r="S610" s="59" t="s">
        <v>1414</v>
      </c>
      <c r="T610" s="59" t="s">
        <v>972</v>
      </c>
      <c r="U610" s="59" t="str">
        <f>VLOOKUP(T610,[1]区域划分!$A$1:$C$39,3,0)</f>
        <v>曾江利</v>
      </c>
      <c r="V610" s="59"/>
      <c r="W610" s="68"/>
      <c r="X610" s="68"/>
      <c r="Y610" s="68"/>
    </row>
    <row r="611" s="17" customFormat="1" hidden="1" customHeight="1" spans="1:25">
      <c r="A611" s="59">
        <v>609</v>
      </c>
      <c r="B611" s="60" t="s">
        <v>1415</v>
      </c>
      <c r="C611" s="61">
        <f t="shared" si="30"/>
        <v>44991</v>
      </c>
      <c r="D611" s="62" t="str">
        <f ca="1" t="shared" si="31"/>
        <v>一年以上</v>
      </c>
      <c r="E611" s="313">
        <v>44991</v>
      </c>
      <c r="F611" s="59" t="s">
        <v>632</v>
      </c>
      <c r="G611" s="59" t="s">
        <v>993</v>
      </c>
      <c r="H611" s="63" t="s">
        <v>1413</v>
      </c>
      <c r="I611" s="63" t="s">
        <v>1413</v>
      </c>
      <c r="J611" s="314">
        <v>500</v>
      </c>
      <c r="K611" s="59" t="s">
        <v>28</v>
      </c>
      <c r="L611" s="59" t="s">
        <v>73</v>
      </c>
      <c r="M611" s="59" t="s">
        <v>515</v>
      </c>
      <c r="N611" s="315"/>
      <c r="O611" s="316">
        <f t="shared" si="33"/>
        <v>500</v>
      </c>
      <c r="P611" s="95"/>
      <c r="Q611" s="61">
        <f t="shared" si="32"/>
        <v>0</v>
      </c>
      <c r="R611" s="59"/>
      <c r="S611" s="59" t="s">
        <v>1416</v>
      </c>
      <c r="T611" s="59" t="s">
        <v>972</v>
      </c>
      <c r="U611" s="59" t="str">
        <f>VLOOKUP(T611,[1]区域划分!$A$1:$C$39,3,0)</f>
        <v>曾江利</v>
      </c>
      <c r="V611" s="59"/>
      <c r="W611" s="68"/>
      <c r="X611" s="68"/>
      <c r="Y611" s="68"/>
    </row>
    <row r="612" s="17" customFormat="1" hidden="1" customHeight="1" spans="1:25">
      <c r="A612" s="59">
        <v>610</v>
      </c>
      <c r="B612" s="60" t="s">
        <v>1417</v>
      </c>
      <c r="C612" s="61">
        <f t="shared" si="30"/>
        <v>44991</v>
      </c>
      <c r="D612" s="62" t="str">
        <f ca="1" t="shared" si="31"/>
        <v>一年以上</v>
      </c>
      <c r="E612" s="313">
        <v>44991</v>
      </c>
      <c r="F612" s="59" t="s">
        <v>632</v>
      </c>
      <c r="G612" s="59" t="s">
        <v>450</v>
      </c>
      <c r="H612" s="63" t="s">
        <v>1418</v>
      </c>
      <c r="I612" s="63" t="s">
        <v>1419</v>
      </c>
      <c r="J612" s="314">
        <v>80000</v>
      </c>
      <c r="K612" s="59" t="s">
        <v>356</v>
      </c>
      <c r="L612" s="59" t="s">
        <v>73</v>
      </c>
      <c r="M612" s="59" t="s">
        <v>30</v>
      </c>
      <c r="N612" s="315">
        <v>80000</v>
      </c>
      <c r="O612" s="316">
        <f t="shared" si="33"/>
        <v>0</v>
      </c>
      <c r="P612" s="95">
        <v>45012</v>
      </c>
      <c r="Q612" s="61">
        <f t="shared" si="32"/>
        <v>45012</v>
      </c>
      <c r="R612" s="59"/>
      <c r="S612" s="59" t="s">
        <v>1420</v>
      </c>
      <c r="T612" s="59"/>
      <c r="U612" s="59"/>
      <c r="V612" s="59"/>
      <c r="W612" s="68"/>
      <c r="X612" s="68"/>
      <c r="Y612" s="68"/>
    </row>
    <row r="613" s="17" customFormat="1" hidden="1" customHeight="1" spans="1:25">
      <c r="A613" s="59">
        <v>611</v>
      </c>
      <c r="B613" s="60" t="s">
        <v>1421</v>
      </c>
      <c r="C613" s="61">
        <f t="shared" si="30"/>
        <v>44991</v>
      </c>
      <c r="D613" s="62" t="str">
        <f ca="1" t="shared" si="31"/>
        <v>一年以上</v>
      </c>
      <c r="E613" s="313">
        <v>44991</v>
      </c>
      <c r="F613" s="59" t="s">
        <v>632</v>
      </c>
      <c r="G613" s="59" t="s">
        <v>450</v>
      </c>
      <c r="H613" s="63" t="s">
        <v>1422</v>
      </c>
      <c r="I613" s="63" t="s">
        <v>1422</v>
      </c>
      <c r="J613" s="314">
        <v>10000</v>
      </c>
      <c r="K613" s="59" t="s">
        <v>28</v>
      </c>
      <c r="L613" s="59" t="s">
        <v>73</v>
      </c>
      <c r="M613" s="59" t="s">
        <v>30</v>
      </c>
      <c r="N613" s="315">
        <v>10000</v>
      </c>
      <c r="O613" s="316">
        <f t="shared" si="33"/>
        <v>0</v>
      </c>
      <c r="P613" s="95">
        <v>45005</v>
      </c>
      <c r="Q613" s="61">
        <f t="shared" si="32"/>
        <v>45005</v>
      </c>
      <c r="R613" s="59"/>
      <c r="S613" s="59" t="s">
        <v>1423</v>
      </c>
      <c r="T613" s="59"/>
      <c r="U613" s="59"/>
      <c r="V613" s="59"/>
      <c r="W613" s="68"/>
      <c r="X613" s="68"/>
      <c r="Y613" s="68"/>
    </row>
    <row r="614" s="17" customFormat="1" hidden="1" customHeight="1" spans="1:25">
      <c r="A614" s="59">
        <v>612</v>
      </c>
      <c r="B614" s="60" t="s">
        <v>1424</v>
      </c>
      <c r="C614" s="61">
        <f t="shared" si="30"/>
        <v>44991</v>
      </c>
      <c r="D614" s="62" t="str">
        <f ca="1" t="shared" si="31"/>
        <v>一年以上</v>
      </c>
      <c r="E614" s="313">
        <v>44991</v>
      </c>
      <c r="F614" s="59" t="s">
        <v>632</v>
      </c>
      <c r="G614" s="59" t="s">
        <v>450</v>
      </c>
      <c r="H614" s="63" t="s">
        <v>1422</v>
      </c>
      <c r="I614" s="63" t="s">
        <v>1422</v>
      </c>
      <c r="J614" s="314">
        <v>200</v>
      </c>
      <c r="K614" s="59" t="s">
        <v>28</v>
      </c>
      <c r="L614" s="59" t="s">
        <v>73</v>
      </c>
      <c r="M614" s="59" t="s">
        <v>515</v>
      </c>
      <c r="N614" s="315">
        <v>200</v>
      </c>
      <c r="O614" s="316">
        <f t="shared" si="33"/>
        <v>0</v>
      </c>
      <c r="P614" s="95">
        <v>45006</v>
      </c>
      <c r="Q614" s="61">
        <f t="shared" si="32"/>
        <v>45006</v>
      </c>
      <c r="R614" s="59" t="s">
        <v>1250</v>
      </c>
      <c r="S614" s="59" t="s">
        <v>1423</v>
      </c>
      <c r="T614" s="59"/>
      <c r="U614" s="59"/>
      <c r="V614" s="59"/>
      <c r="W614" s="68"/>
      <c r="X614" s="68"/>
      <c r="Y614" s="68"/>
    </row>
    <row r="615" s="17" customFormat="1" hidden="1" customHeight="1" spans="1:25">
      <c r="A615" s="59">
        <v>613</v>
      </c>
      <c r="B615" s="60" t="s">
        <v>1425</v>
      </c>
      <c r="C615" s="61">
        <f t="shared" si="30"/>
        <v>44992</v>
      </c>
      <c r="D615" s="62" t="str">
        <f ca="1" t="shared" si="31"/>
        <v>一年以上</v>
      </c>
      <c r="E615" s="313">
        <v>44992</v>
      </c>
      <c r="F615" s="59" t="s">
        <v>632</v>
      </c>
      <c r="G615" s="59" t="s">
        <v>450</v>
      </c>
      <c r="H615" s="63" t="s">
        <v>1426</v>
      </c>
      <c r="I615" s="63" t="s">
        <v>1426</v>
      </c>
      <c r="J615" s="314">
        <v>200</v>
      </c>
      <c r="K615" s="59" t="s">
        <v>28</v>
      </c>
      <c r="L615" s="59" t="s">
        <v>73</v>
      </c>
      <c r="M615" s="59" t="s">
        <v>515</v>
      </c>
      <c r="N615" s="315">
        <v>200</v>
      </c>
      <c r="O615" s="316">
        <f t="shared" si="33"/>
        <v>0</v>
      </c>
      <c r="P615" s="95">
        <v>45006</v>
      </c>
      <c r="Q615" s="61">
        <f t="shared" si="32"/>
        <v>45006</v>
      </c>
      <c r="R615" s="59" t="s">
        <v>1250</v>
      </c>
      <c r="S615" s="59" t="s">
        <v>1427</v>
      </c>
      <c r="T615" s="59"/>
      <c r="U615" s="59"/>
      <c r="V615" s="59"/>
      <c r="W615" s="68"/>
      <c r="X615" s="68"/>
      <c r="Y615" s="68"/>
    </row>
    <row r="616" s="17" customFormat="1" hidden="1" customHeight="1" spans="1:25">
      <c r="A616" s="59">
        <v>614</v>
      </c>
      <c r="B616" s="60" t="s">
        <v>1428</v>
      </c>
      <c r="C616" s="61">
        <f t="shared" si="30"/>
        <v>44992</v>
      </c>
      <c r="D616" s="62" t="str">
        <f ca="1" t="shared" si="31"/>
        <v>一年以上</v>
      </c>
      <c r="E616" s="313">
        <v>44992</v>
      </c>
      <c r="F616" s="59" t="s">
        <v>632</v>
      </c>
      <c r="G616" s="59" t="s">
        <v>450</v>
      </c>
      <c r="H616" s="63" t="s">
        <v>1426</v>
      </c>
      <c r="I616" s="63" t="s">
        <v>1426</v>
      </c>
      <c r="J616" s="314">
        <v>1000</v>
      </c>
      <c r="K616" s="59" t="s">
        <v>28</v>
      </c>
      <c r="L616" s="59" t="s">
        <v>73</v>
      </c>
      <c r="M616" s="59" t="s">
        <v>30</v>
      </c>
      <c r="N616" s="315">
        <v>1000</v>
      </c>
      <c r="O616" s="316">
        <f t="shared" si="33"/>
        <v>0</v>
      </c>
      <c r="P616" s="95">
        <v>45006</v>
      </c>
      <c r="Q616" s="61">
        <f t="shared" si="32"/>
        <v>45006</v>
      </c>
      <c r="R616" s="59"/>
      <c r="S616" s="59" t="s">
        <v>1427</v>
      </c>
      <c r="T616" s="59"/>
      <c r="U616" s="59"/>
      <c r="V616" s="59"/>
      <c r="W616" s="68"/>
      <c r="X616" s="68"/>
      <c r="Y616" s="68"/>
    </row>
    <row r="617" s="17" customFormat="1" hidden="1" customHeight="1" spans="1:25">
      <c r="A617" s="59">
        <v>615</v>
      </c>
      <c r="B617" s="60" t="s">
        <v>1429</v>
      </c>
      <c r="C617" s="61">
        <f t="shared" si="30"/>
        <v>44992</v>
      </c>
      <c r="D617" s="62" t="str">
        <f ca="1" t="shared" si="31"/>
        <v>一年以上</v>
      </c>
      <c r="E617" s="313">
        <v>44992</v>
      </c>
      <c r="F617" s="59" t="s">
        <v>632</v>
      </c>
      <c r="G617" s="59" t="s">
        <v>450</v>
      </c>
      <c r="H617" s="63" t="s">
        <v>1430</v>
      </c>
      <c r="I617" s="63" t="s">
        <v>1430</v>
      </c>
      <c r="J617" s="314">
        <v>5000</v>
      </c>
      <c r="K617" s="59" t="s">
        <v>28</v>
      </c>
      <c r="L617" s="59" t="s">
        <v>73</v>
      </c>
      <c r="M617" s="59" t="s">
        <v>30</v>
      </c>
      <c r="N617" s="315">
        <v>5000</v>
      </c>
      <c r="O617" s="316">
        <f t="shared" si="33"/>
        <v>0</v>
      </c>
      <c r="P617" s="95">
        <v>45275</v>
      </c>
      <c r="Q617" s="61">
        <f t="shared" si="32"/>
        <v>45275</v>
      </c>
      <c r="R617" s="59" t="s">
        <v>1431</v>
      </c>
      <c r="S617" s="59" t="s">
        <v>1432</v>
      </c>
      <c r="T617" s="59" t="s">
        <v>720</v>
      </c>
      <c r="U617" s="59" t="str">
        <f>VLOOKUP(T617,[1]区域划分!$A$1:$C$39,3,0)</f>
        <v>杨春龙</v>
      </c>
      <c r="V617" s="59"/>
      <c r="W617" s="68"/>
      <c r="X617" s="68"/>
      <c r="Y617" s="68"/>
    </row>
    <row r="618" s="17" customFormat="1" hidden="1" customHeight="1" spans="1:25">
      <c r="A618" s="59">
        <v>616</v>
      </c>
      <c r="B618" s="60" t="s">
        <v>1433</v>
      </c>
      <c r="C618" s="61">
        <f t="shared" si="30"/>
        <v>44994</v>
      </c>
      <c r="D618" s="62" t="str">
        <f ca="1" t="shared" si="31"/>
        <v>一年以上</v>
      </c>
      <c r="E618" s="313">
        <v>44994</v>
      </c>
      <c r="F618" s="59" t="s">
        <v>632</v>
      </c>
      <c r="G618" s="59" t="s">
        <v>450</v>
      </c>
      <c r="H618" s="63" t="s">
        <v>863</v>
      </c>
      <c r="I618" s="63" t="s">
        <v>863</v>
      </c>
      <c r="J618" s="314">
        <v>500</v>
      </c>
      <c r="K618" s="59" t="s">
        <v>28</v>
      </c>
      <c r="L618" s="59" t="s">
        <v>73</v>
      </c>
      <c r="M618" s="59" t="s">
        <v>515</v>
      </c>
      <c r="N618" s="315"/>
      <c r="O618" s="316">
        <f t="shared" si="33"/>
        <v>500</v>
      </c>
      <c r="P618" s="95"/>
      <c r="Q618" s="61">
        <f t="shared" si="32"/>
        <v>0</v>
      </c>
      <c r="R618" s="59"/>
      <c r="S618" s="59" t="s">
        <v>1434</v>
      </c>
      <c r="T618" s="59" t="s">
        <v>972</v>
      </c>
      <c r="U618" s="59" t="str">
        <f>VLOOKUP(T618,[1]区域划分!$A$1:$C$39,3,0)</f>
        <v>曾江利</v>
      </c>
      <c r="V618" s="59"/>
      <c r="W618" s="68"/>
      <c r="X618" s="68"/>
      <c r="Y618" s="68"/>
    </row>
    <row r="619" s="17" customFormat="1" hidden="1" customHeight="1" spans="1:25">
      <c r="A619" s="59">
        <v>617</v>
      </c>
      <c r="B619" s="60" t="s">
        <v>1435</v>
      </c>
      <c r="C619" s="61">
        <f t="shared" si="30"/>
        <v>44994</v>
      </c>
      <c r="D619" s="62" t="str">
        <f ca="1" t="shared" si="31"/>
        <v>一年以上</v>
      </c>
      <c r="E619" s="313">
        <v>44994</v>
      </c>
      <c r="F619" s="59" t="s">
        <v>632</v>
      </c>
      <c r="G619" s="59" t="s">
        <v>450</v>
      </c>
      <c r="H619" s="63" t="s">
        <v>1436</v>
      </c>
      <c r="I619" s="63" t="s">
        <v>1436</v>
      </c>
      <c r="J619" s="314">
        <v>9000</v>
      </c>
      <c r="K619" s="59" t="s">
        <v>28</v>
      </c>
      <c r="L619" s="59" t="s">
        <v>73</v>
      </c>
      <c r="M619" s="59" t="s">
        <v>968</v>
      </c>
      <c r="N619" s="315">
        <v>9000</v>
      </c>
      <c r="O619" s="316">
        <f t="shared" si="33"/>
        <v>0</v>
      </c>
      <c r="P619" s="95">
        <v>45016</v>
      </c>
      <c r="Q619" s="61">
        <f t="shared" si="32"/>
        <v>45016</v>
      </c>
      <c r="R619" s="59" t="s">
        <v>951</v>
      </c>
      <c r="S619" s="59" t="s">
        <v>1437</v>
      </c>
      <c r="T619" s="59"/>
      <c r="U619" s="59"/>
      <c r="V619" s="59"/>
      <c r="W619" s="68"/>
      <c r="X619" s="68"/>
      <c r="Y619" s="68"/>
    </row>
    <row r="620" s="17" customFormat="1" hidden="1" customHeight="1" spans="1:25">
      <c r="A620" s="59">
        <v>618</v>
      </c>
      <c r="B620" s="60" t="s">
        <v>1438</v>
      </c>
      <c r="C620" s="61">
        <f t="shared" si="30"/>
        <v>44996</v>
      </c>
      <c r="D620" s="62" t="str">
        <f ca="1" t="shared" si="31"/>
        <v>一年以上</v>
      </c>
      <c r="E620" s="313">
        <v>44996</v>
      </c>
      <c r="F620" s="59" t="s">
        <v>632</v>
      </c>
      <c r="G620" s="59" t="s">
        <v>450</v>
      </c>
      <c r="H620" s="63" t="s">
        <v>867</v>
      </c>
      <c r="I620" s="63" t="s">
        <v>867</v>
      </c>
      <c r="J620" s="314">
        <v>5000</v>
      </c>
      <c r="K620" s="59" t="s">
        <v>356</v>
      </c>
      <c r="L620" s="59" t="s">
        <v>73</v>
      </c>
      <c r="M620" s="59" t="s">
        <v>30</v>
      </c>
      <c r="N620" s="315">
        <v>5000</v>
      </c>
      <c r="O620" s="316">
        <f t="shared" si="33"/>
        <v>0</v>
      </c>
      <c r="P620" s="95">
        <v>45030</v>
      </c>
      <c r="Q620" s="61">
        <f t="shared" si="32"/>
        <v>45030</v>
      </c>
      <c r="R620" s="59"/>
      <c r="S620" s="59" t="s">
        <v>1439</v>
      </c>
      <c r="T620" s="59"/>
      <c r="U620" s="59"/>
      <c r="V620" s="59"/>
      <c r="W620" s="68"/>
      <c r="X620" s="68"/>
      <c r="Y620" s="68"/>
    </row>
    <row r="621" s="17" customFormat="1" hidden="1" customHeight="1" spans="1:25">
      <c r="A621" s="59">
        <v>619</v>
      </c>
      <c r="B621" s="60" t="s">
        <v>1440</v>
      </c>
      <c r="C621" s="61">
        <f t="shared" si="30"/>
        <v>44998</v>
      </c>
      <c r="D621" s="62" t="str">
        <f ca="1" t="shared" si="31"/>
        <v>一年以上</v>
      </c>
      <c r="E621" s="313">
        <v>44998</v>
      </c>
      <c r="F621" s="59" t="s">
        <v>632</v>
      </c>
      <c r="G621" s="59" t="s">
        <v>450</v>
      </c>
      <c r="H621" s="63" t="s">
        <v>1413</v>
      </c>
      <c r="I621" s="63" t="s">
        <v>1413</v>
      </c>
      <c r="J621" s="314">
        <v>20000</v>
      </c>
      <c r="K621" s="59" t="s">
        <v>28</v>
      </c>
      <c r="L621" s="59" t="s">
        <v>73</v>
      </c>
      <c r="M621" s="59" t="s">
        <v>30</v>
      </c>
      <c r="N621" s="315">
        <v>20000</v>
      </c>
      <c r="O621" s="316">
        <f t="shared" si="33"/>
        <v>0</v>
      </c>
      <c r="P621" s="95">
        <v>45022</v>
      </c>
      <c r="Q621" s="61">
        <f t="shared" si="32"/>
        <v>45022</v>
      </c>
      <c r="R621" s="59"/>
      <c r="S621" s="59" t="s">
        <v>1414</v>
      </c>
      <c r="T621" s="59"/>
      <c r="U621" s="59"/>
      <c r="V621" s="59"/>
      <c r="W621" s="68"/>
      <c r="X621" s="68"/>
      <c r="Y621" s="68"/>
    </row>
    <row r="622" s="17" customFormat="1" hidden="1" customHeight="1" spans="1:25">
      <c r="A622" s="59">
        <v>620</v>
      </c>
      <c r="B622" s="60" t="s">
        <v>1441</v>
      </c>
      <c r="C622" s="61">
        <f t="shared" ref="C622:C665" si="34">E622</f>
        <v>44998</v>
      </c>
      <c r="D622" s="62" t="str">
        <f ca="1" t="shared" si="31"/>
        <v>一年以上</v>
      </c>
      <c r="E622" s="313">
        <v>44998</v>
      </c>
      <c r="F622" s="59" t="s">
        <v>632</v>
      </c>
      <c r="G622" s="59" t="s">
        <v>450</v>
      </c>
      <c r="H622" s="63" t="s">
        <v>1413</v>
      </c>
      <c r="I622" s="63" t="s">
        <v>1413</v>
      </c>
      <c r="J622" s="314">
        <v>50000</v>
      </c>
      <c r="K622" s="59" t="s">
        <v>28</v>
      </c>
      <c r="L622" s="59" t="s">
        <v>73</v>
      </c>
      <c r="M622" s="59" t="s">
        <v>30</v>
      </c>
      <c r="N622" s="315">
        <v>50000</v>
      </c>
      <c r="O622" s="316">
        <f t="shared" si="33"/>
        <v>0</v>
      </c>
      <c r="P622" s="95">
        <v>45022</v>
      </c>
      <c r="Q622" s="61">
        <f t="shared" si="32"/>
        <v>45022</v>
      </c>
      <c r="R622" s="59"/>
      <c r="S622" s="59" t="s">
        <v>1416</v>
      </c>
      <c r="T622" s="59"/>
      <c r="U622" s="59"/>
      <c r="V622" s="59"/>
      <c r="W622" s="68"/>
      <c r="X622" s="68"/>
      <c r="Y622" s="68"/>
    </row>
    <row r="623" s="17" customFormat="1" hidden="1" customHeight="1" spans="1:25">
      <c r="A623" s="59">
        <v>621</v>
      </c>
      <c r="B623" s="60" t="s">
        <v>1442</v>
      </c>
      <c r="C623" s="61">
        <f t="shared" si="34"/>
        <v>44999</v>
      </c>
      <c r="D623" s="62" t="str">
        <f ca="1" t="shared" si="31"/>
        <v>一年以上</v>
      </c>
      <c r="E623" s="313">
        <v>44999</v>
      </c>
      <c r="F623" s="59" t="s">
        <v>632</v>
      </c>
      <c r="G623" s="59" t="s">
        <v>450</v>
      </c>
      <c r="H623" s="63" t="s">
        <v>863</v>
      </c>
      <c r="I623" s="63" t="s">
        <v>863</v>
      </c>
      <c r="J623" s="314">
        <v>20000</v>
      </c>
      <c r="K623" s="59" t="s">
        <v>28</v>
      </c>
      <c r="L623" s="59" t="s">
        <v>73</v>
      </c>
      <c r="M623" s="59" t="s">
        <v>30</v>
      </c>
      <c r="N623" s="315">
        <v>20000</v>
      </c>
      <c r="O623" s="316">
        <f t="shared" si="33"/>
        <v>0</v>
      </c>
      <c r="P623" s="95">
        <v>45042</v>
      </c>
      <c r="Q623" s="61">
        <f t="shared" si="32"/>
        <v>45042</v>
      </c>
      <c r="R623" s="59"/>
      <c r="S623" s="59" t="s">
        <v>1434</v>
      </c>
      <c r="T623" s="59"/>
      <c r="U623" s="59"/>
      <c r="V623" s="59"/>
      <c r="W623" s="68"/>
      <c r="X623" s="68"/>
      <c r="Y623" s="68"/>
    </row>
    <row r="624" s="17" customFormat="1" hidden="1" customHeight="1" spans="1:25">
      <c r="A624" s="59">
        <v>622</v>
      </c>
      <c r="B624" s="169" t="s">
        <v>1443</v>
      </c>
      <c r="C624" s="61">
        <f t="shared" si="34"/>
        <v>44999</v>
      </c>
      <c r="D624" s="62" t="str">
        <f ca="1" t="shared" si="31"/>
        <v>一年以上</v>
      </c>
      <c r="E624" s="313">
        <v>44999</v>
      </c>
      <c r="F624" s="59" t="s">
        <v>632</v>
      </c>
      <c r="G624" s="59" t="s">
        <v>450</v>
      </c>
      <c r="H624" s="63" t="s">
        <v>1444</v>
      </c>
      <c r="I624" s="63" t="s">
        <v>1444</v>
      </c>
      <c r="J624" s="314">
        <v>10000</v>
      </c>
      <c r="K624" s="59" t="s">
        <v>28</v>
      </c>
      <c r="L624" s="59" t="s">
        <v>73</v>
      </c>
      <c r="M624" s="59" t="s">
        <v>30</v>
      </c>
      <c r="N624" s="315">
        <v>10000</v>
      </c>
      <c r="O624" s="316">
        <f t="shared" si="33"/>
        <v>0</v>
      </c>
      <c r="P624" s="95">
        <v>45035</v>
      </c>
      <c r="Q624" s="61">
        <f t="shared" si="32"/>
        <v>45035</v>
      </c>
      <c r="R624" s="59"/>
      <c r="S624" s="59" t="s">
        <v>1445</v>
      </c>
      <c r="T624" s="59"/>
      <c r="U624" s="59"/>
      <c r="V624" s="59"/>
      <c r="W624" s="68"/>
      <c r="X624" s="68"/>
      <c r="Y624" s="68"/>
    </row>
    <row r="625" s="17" customFormat="1" hidden="1" customHeight="1" spans="1:25">
      <c r="A625" s="59">
        <v>623</v>
      </c>
      <c r="B625" s="60" t="s">
        <v>1446</v>
      </c>
      <c r="C625" s="61">
        <f t="shared" si="34"/>
        <v>45002</v>
      </c>
      <c r="D625" s="62" t="str">
        <f ca="1" t="shared" si="31"/>
        <v>一年以上</v>
      </c>
      <c r="E625" s="313">
        <v>45002</v>
      </c>
      <c r="F625" s="59" t="s">
        <v>632</v>
      </c>
      <c r="G625" s="59" t="s">
        <v>239</v>
      </c>
      <c r="H625" s="63" t="s">
        <v>996</v>
      </c>
      <c r="I625" s="63" t="s">
        <v>996</v>
      </c>
      <c r="J625" s="314">
        <v>22400</v>
      </c>
      <c r="K625" s="59" t="s">
        <v>356</v>
      </c>
      <c r="L625" s="59" t="s">
        <v>458</v>
      </c>
      <c r="M625" s="59" t="s">
        <v>133</v>
      </c>
      <c r="N625" s="315">
        <v>22400</v>
      </c>
      <c r="O625" s="316">
        <f t="shared" si="33"/>
        <v>0</v>
      </c>
      <c r="P625" s="95">
        <v>45071</v>
      </c>
      <c r="Q625" s="61">
        <f t="shared" si="32"/>
        <v>45071</v>
      </c>
      <c r="R625" s="59"/>
      <c r="S625" s="59" t="s">
        <v>1447</v>
      </c>
      <c r="T625" s="59"/>
      <c r="U625" s="59"/>
      <c r="V625" s="59"/>
      <c r="W625" s="68"/>
      <c r="X625" s="68"/>
      <c r="Y625" s="68"/>
    </row>
    <row r="626" s="17" customFormat="1" hidden="1" customHeight="1" spans="1:25">
      <c r="A626" s="59">
        <v>624</v>
      </c>
      <c r="B626" s="60" t="s">
        <v>1448</v>
      </c>
      <c r="C626" s="61">
        <f t="shared" si="34"/>
        <v>45006</v>
      </c>
      <c r="D626" s="62" t="str">
        <f ca="1" t="shared" si="31"/>
        <v>一年以上</v>
      </c>
      <c r="E626" s="313">
        <v>45006</v>
      </c>
      <c r="F626" s="59" t="s">
        <v>632</v>
      </c>
      <c r="G626" s="59" t="s">
        <v>450</v>
      </c>
      <c r="H626" s="63" t="s">
        <v>495</v>
      </c>
      <c r="I626" s="63" t="s">
        <v>495</v>
      </c>
      <c r="J626" s="314">
        <v>2000</v>
      </c>
      <c r="K626" s="59" t="s">
        <v>356</v>
      </c>
      <c r="L626" s="59" t="s">
        <v>73</v>
      </c>
      <c r="M626" s="59" t="s">
        <v>30</v>
      </c>
      <c r="N626" s="315">
        <v>2000</v>
      </c>
      <c r="O626" s="316">
        <f t="shared" si="33"/>
        <v>0</v>
      </c>
      <c r="P626" s="95">
        <v>45029</v>
      </c>
      <c r="Q626" s="61">
        <f t="shared" si="32"/>
        <v>45029</v>
      </c>
      <c r="R626" s="59"/>
      <c r="S626" s="59" t="s">
        <v>1294</v>
      </c>
      <c r="T626" s="59" t="s">
        <v>182</v>
      </c>
      <c r="U626" s="59"/>
      <c r="V626" s="59"/>
      <c r="W626" s="68"/>
      <c r="X626" s="68"/>
      <c r="Y626" s="68"/>
    </row>
    <row r="627" s="17" customFormat="1" hidden="1" customHeight="1" spans="1:25">
      <c r="A627" s="59">
        <v>625</v>
      </c>
      <c r="B627" s="60" t="s">
        <v>1449</v>
      </c>
      <c r="C627" s="61">
        <f t="shared" si="34"/>
        <v>45009</v>
      </c>
      <c r="D627" s="62" t="str">
        <f ca="1" t="shared" si="31"/>
        <v>一年以上</v>
      </c>
      <c r="E627" s="313">
        <v>45009</v>
      </c>
      <c r="F627" s="59" t="s">
        <v>632</v>
      </c>
      <c r="G627" s="59" t="s">
        <v>450</v>
      </c>
      <c r="H627" s="63" t="s">
        <v>1450</v>
      </c>
      <c r="I627" s="63" t="s">
        <v>1450</v>
      </c>
      <c r="J627" s="314">
        <v>200</v>
      </c>
      <c r="K627" s="59" t="s">
        <v>28</v>
      </c>
      <c r="L627" s="59" t="s">
        <v>73</v>
      </c>
      <c r="M627" s="59" t="s">
        <v>515</v>
      </c>
      <c r="N627" s="315">
        <v>200</v>
      </c>
      <c r="O627" s="316">
        <f t="shared" si="33"/>
        <v>0</v>
      </c>
      <c r="P627" s="95">
        <v>45012</v>
      </c>
      <c r="Q627" s="61">
        <f t="shared" si="32"/>
        <v>45012</v>
      </c>
      <c r="R627" s="59" t="s">
        <v>1250</v>
      </c>
      <c r="S627" s="59" t="s">
        <v>1451</v>
      </c>
      <c r="T627" s="59"/>
      <c r="U627" s="59"/>
      <c r="V627" s="59"/>
      <c r="W627" s="68"/>
      <c r="X627" s="68"/>
      <c r="Y627" s="68"/>
    </row>
    <row r="628" s="17" customFormat="1" hidden="1" customHeight="1" spans="1:25">
      <c r="A628" s="59">
        <v>626</v>
      </c>
      <c r="B628" s="60" t="s">
        <v>1452</v>
      </c>
      <c r="C628" s="61">
        <f t="shared" si="34"/>
        <v>45009</v>
      </c>
      <c r="D628" s="62" t="str">
        <f ca="1" t="shared" si="31"/>
        <v>一年以上</v>
      </c>
      <c r="E628" s="313">
        <v>45009</v>
      </c>
      <c r="F628" s="59" t="s">
        <v>632</v>
      </c>
      <c r="G628" s="59" t="s">
        <v>450</v>
      </c>
      <c r="H628" s="63" t="s">
        <v>1450</v>
      </c>
      <c r="I628" s="63" t="s">
        <v>1450</v>
      </c>
      <c r="J628" s="314">
        <v>7500</v>
      </c>
      <c r="K628" s="59" t="s">
        <v>28</v>
      </c>
      <c r="L628" s="59" t="s">
        <v>73</v>
      </c>
      <c r="M628" s="59" t="s">
        <v>30</v>
      </c>
      <c r="N628" s="315">
        <v>7500</v>
      </c>
      <c r="O628" s="316">
        <f t="shared" si="33"/>
        <v>0</v>
      </c>
      <c r="P628" s="95">
        <v>45023</v>
      </c>
      <c r="Q628" s="61">
        <f t="shared" si="32"/>
        <v>45023</v>
      </c>
      <c r="R628" s="59"/>
      <c r="S628" s="59" t="s">
        <v>1451</v>
      </c>
      <c r="T628" s="59"/>
      <c r="U628" s="59"/>
      <c r="V628" s="59"/>
      <c r="W628" s="68"/>
      <c r="X628" s="68"/>
      <c r="Y628" s="68"/>
    </row>
    <row r="629" s="17" customFormat="1" hidden="1" customHeight="1" spans="1:25">
      <c r="A629" s="59">
        <v>627</v>
      </c>
      <c r="B629" s="60" t="s">
        <v>1453</v>
      </c>
      <c r="C629" s="61">
        <f t="shared" si="34"/>
        <v>45012</v>
      </c>
      <c r="D629" s="62" t="str">
        <f ca="1" t="shared" si="31"/>
        <v>一年以上</v>
      </c>
      <c r="E629" s="313">
        <v>45012</v>
      </c>
      <c r="F629" s="59" t="s">
        <v>632</v>
      </c>
      <c r="G629" s="59" t="s">
        <v>450</v>
      </c>
      <c r="H629" s="63" t="s">
        <v>851</v>
      </c>
      <c r="I629" s="63" t="s">
        <v>851</v>
      </c>
      <c r="J629" s="314">
        <v>10000</v>
      </c>
      <c r="K629" s="59" t="s">
        <v>28</v>
      </c>
      <c r="L629" s="59" t="s">
        <v>73</v>
      </c>
      <c r="M629" s="59" t="s">
        <v>30</v>
      </c>
      <c r="N629" s="315">
        <v>10000</v>
      </c>
      <c r="O629" s="316">
        <f t="shared" si="33"/>
        <v>0</v>
      </c>
      <c r="P629" s="95">
        <v>45120</v>
      </c>
      <c r="Q629" s="61">
        <f t="shared" si="32"/>
        <v>45120</v>
      </c>
      <c r="R629" s="59"/>
      <c r="S629" s="59" t="s">
        <v>1454</v>
      </c>
      <c r="T629" s="59"/>
      <c r="U629" s="59"/>
      <c r="V629" s="59"/>
      <c r="W629" s="68"/>
      <c r="X629" s="68"/>
      <c r="Y629" s="68"/>
    </row>
    <row r="630" s="17" customFormat="1" hidden="1" customHeight="1" spans="1:25">
      <c r="A630" s="59">
        <v>628</v>
      </c>
      <c r="B630" s="60" t="s">
        <v>1455</v>
      </c>
      <c r="C630" s="61">
        <f t="shared" si="34"/>
        <v>45012</v>
      </c>
      <c r="D630" s="62" t="str">
        <f ca="1" t="shared" si="31"/>
        <v>一年以上</v>
      </c>
      <c r="E630" s="313">
        <v>45012</v>
      </c>
      <c r="F630" s="59" t="s">
        <v>130</v>
      </c>
      <c r="G630" s="59" t="s">
        <v>1372</v>
      </c>
      <c r="H630" s="63" t="s">
        <v>863</v>
      </c>
      <c r="I630" s="63" t="s">
        <v>863</v>
      </c>
      <c r="J630" s="314">
        <v>7550</v>
      </c>
      <c r="K630" s="59" t="s">
        <v>28</v>
      </c>
      <c r="L630" s="59" t="s">
        <v>73</v>
      </c>
      <c r="M630" s="59" t="s">
        <v>133</v>
      </c>
      <c r="N630" s="315">
        <v>7550</v>
      </c>
      <c r="O630" s="316">
        <f t="shared" si="33"/>
        <v>0</v>
      </c>
      <c r="P630" s="95">
        <v>45230</v>
      </c>
      <c r="Q630" s="61">
        <f t="shared" si="32"/>
        <v>45230</v>
      </c>
      <c r="R630" s="59" t="s">
        <v>1077</v>
      </c>
      <c r="S630" s="59" t="s">
        <v>1456</v>
      </c>
      <c r="T630" s="59"/>
      <c r="U630" s="59"/>
      <c r="V630" s="59"/>
      <c r="W630" s="68"/>
      <c r="X630" s="68"/>
      <c r="Y630" s="68"/>
    </row>
    <row r="631" s="17" customFormat="1" hidden="1" customHeight="1" spans="1:25">
      <c r="A631" s="59">
        <v>629</v>
      </c>
      <c r="B631" s="60" t="s">
        <v>1457</v>
      </c>
      <c r="C631" s="61">
        <f t="shared" si="34"/>
        <v>45012</v>
      </c>
      <c r="D631" s="62" t="str">
        <f ca="1" t="shared" si="31"/>
        <v>一年以上</v>
      </c>
      <c r="E631" s="313">
        <v>45012</v>
      </c>
      <c r="F631" s="59" t="s">
        <v>130</v>
      </c>
      <c r="G631" s="59" t="s">
        <v>1372</v>
      </c>
      <c r="H631" s="63" t="s">
        <v>863</v>
      </c>
      <c r="I631" s="63" t="s">
        <v>863</v>
      </c>
      <c r="J631" s="314">
        <v>31000</v>
      </c>
      <c r="K631" s="59" t="s">
        <v>28</v>
      </c>
      <c r="L631" s="59" t="s">
        <v>73</v>
      </c>
      <c r="M631" s="59" t="s">
        <v>133</v>
      </c>
      <c r="N631" s="315">
        <v>31000</v>
      </c>
      <c r="O631" s="316">
        <f t="shared" si="33"/>
        <v>0</v>
      </c>
      <c r="P631" s="95">
        <v>45499</v>
      </c>
      <c r="Q631" s="61">
        <f t="shared" si="32"/>
        <v>45499</v>
      </c>
      <c r="R631" s="59"/>
      <c r="S631" s="59" t="s">
        <v>1458</v>
      </c>
      <c r="T631" s="59" t="s">
        <v>972</v>
      </c>
      <c r="U631" s="59" t="str">
        <f>VLOOKUP(T631,[1]区域划分!$A$1:$C$39,3,0)</f>
        <v>曾江利</v>
      </c>
      <c r="V631" s="59"/>
      <c r="W631" s="68"/>
      <c r="X631" s="68"/>
      <c r="Y631" s="68"/>
    </row>
    <row r="632" s="17" customFormat="1" hidden="1" customHeight="1" spans="1:25">
      <c r="A632" s="59">
        <v>630</v>
      </c>
      <c r="B632" s="60" t="s">
        <v>1459</v>
      </c>
      <c r="C632" s="61">
        <f t="shared" si="34"/>
        <v>45013</v>
      </c>
      <c r="D632" s="62" t="str">
        <f ca="1" t="shared" si="31"/>
        <v>一年以上</v>
      </c>
      <c r="E632" s="313">
        <v>45013</v>
      </c>
      <c r="F632" s="59" t="s">
        <v>130</v>
      </c>
      <c r="G632" s="59" t="s">
        <v>450</v>
      </c>
      <c r="H632" s="63" t="s">
        <v>1460</v>
      </c>
      <c r="I632" s="63" t="s">
        <v>1460</v>
      </c>
      <c r="J632" s="314">
        <v>10000</v>
      </c>
      <c r="K632" s="59" t="s">
        <v>28</v>
      </c>
      <c r="L632" s="59" t="s">
        <v>73</v>
      </c>
      <c r="M632" s="59" t="s">
        <v>30</v>
      </c>
      <c r="N632" s="315">
        <v>10000</v>
      </c>
      <c r="O632" s="316">
        <f t="shared" si="33"/>
        <v>0</v>
      </c>
      <c r="P632" s="95">
        <v>45085</v>
      </c>
      <c r="Q632" s="61">
        <f t="shared" si="32"/>
        <v>45085</v>
      </c>
      <c r="R632" s="59"/>
      <c r="S632" s="59" t="s">
        <v>1461</v>
      </c>
      <c r="T632" s="59"/>
      <c r="U632" s="59"/>
      <c r="V632" s="59"/>
      <c r="W632" s="68"/>
      <c r="X632" s="68"/>
      <c r="Y632" s="68"/>
    </row>
    <row r="633" s="17" customFormat="1" hidden="1" customHeight="1" spans="1:25">
      <c r="A633" s="59">
        <v>631</v>
      </c>
      <c r="B633" s="60" t="s">
        <v>1462</v>
      </c>
      <c r="C633" s="61">
        <f t="shared" si="34"/>
        <v>45014</v>
      </c>
      <c r="D633" s="62" t="str">
        <f ca="1" t="shared" si="31"/>
        <v>一年以上</v>
      </c>
      <c r="E633" s="313">
        <v>45014</v>
      </c>
      <c r="F633" s="59" t="s">
        <v>632</v>
      </c>
      <c r="G633" s="59" t="s">
        <v>450</v>
      </c>
      <c r="H633" s="63" t="s">
        <v>867</v>
      </c>
      <c r="I633" s="63" t="s">
        <v>867</v>
      </c>
      <c r="J633" s="314">
        <v>5000</v>
      </c>
      <c r="K633" s="59" t="s">
        <v>356</v>
      </c>
      <c r="L633" s="59" t="s">
        <v>73</v>
      </c>
      <c r="M633" s="59" t="s">
        <v>30</v>
      </c>
      <c r="N633" s="315">
        <v>5000</v>
      </c>
      <c r="O633" s="316">
        <f t="shared" si="33"/>
        <v>0</v>
      </c>
      <c r="P633" s="95">
        <v>45059</v>
      </c>
      <c r="Q633" s="61">
        <f t="shared" si="32"/>
        <v>45059</v>
      </c>
      <c r="R633" s="59"/>
      <c r="S633" s="59" t="s">
        <v>1463</v>
      </c>
      <c r="T633" s="59"/>
      <c r="U633" s="59"/>
      <c r="V633" s="59"/>
      <c r="W633" s="68"/>
      <c r="X633" s="68"/>
      <c r="Y633" s="68"/>
    </row>
    <row r="634" s="17" customFormat="1" hidden="1" customHeight="1" spans="1:25">
      <c r="A634" s="59">
        <v>632</v>
      </c>
      <c r="B634" s="60" t="s">
        <v>1464</v>
      </c>
      <c r="C634" s="61">
        <f t="shared" si="34"/>
        <v>45016</v>
      </c>
      <c r="D634" s="62" t="str">
        <f ca="1" t="shared" si="31"/>
        <v>一年以上</v>
      </c>
      <c r="E634" s="313">
        <v>45016</v>
      </c>
      <c r="F634" s="59" t="s">
        <v>130</v>
      </c>
      <c r="G634" s="59" t="s">
        <v>1465</v>
      </c>
      <c r="H634" s="63" t="s">
        <v>1430</v>
      </c>
      <c r="I634" s="63" t="s">
        <v>1430</v>
      </c>
      <c r="J634" s="314">
        <v>27800</v>
      </c>
      <c r="K634" s="59" t="s">
        <v>28</v>
      </c>
      <c r="L634" s="59" t="s">
        <v>73</v>
      </c>
      <c r="M634" s="59" t="s">
        <v>133</v>
      </c>
      <c r="N634" s="315">
        <v>27780</v>
      </c>
      <c r="O634" s="316">
        <f t="shared" si="33"/>
        <v>20</v>
      </c>
      <c r="P634" s="95">
        <v>45288</v>
      </c>
      <c r="Q634" s="61">
        <f t="shared" si="32"/>
        <v>45288</v>
      </c>
      <c r="R634" s="59" t="s">
        <v>1431</v>
      </c>
      <c r="S634" s="59" t="s">
        <v>1432</v>
      </c>
      <c r="T634" s="59" t="s">
        <v>720</v>
      </c>
      <c r="U634" s="59" t="str">
        <f>VLOOKUP(T634,[1]区域划分!$A$1:$C$39,3,0)</f>
        <v>杨春龙</v>
      </c>
      <c r="V634" s="59"/>
      <c r="W634" s="68"/>
      <c r="X634" s="68"/>
      <c r="Y634" s="68"/>
    </row>
    <row r="635" s="17" customFormat="1" hidden="1" customHeight="1" spans="1:25">
      <c r="A635" s="59">
        <v>633</v>
      </c>
      <c r="B635" s="60" t="s">
        <v>1466</v>
      </c>
      <c r="C635" s="61">
        <f t="shared" si="34"/>
        <v>45019</v>
      </c>
      <c r="D635" s="62" t="str">
        <f ca="1" t="shared" si="31"/>
        <v>一年以上</v>
      </c>
      <c r="E635" s="313">
        <v>45019</v>
      </c>
      <c r="F635" s="59" t="s">
        <v>632</v>
      </c>
      <c r="G635" s="59" t="s">
        <v>450</v>
      </c>
      <c r="H635" s="63" t="s">
        <v>863</v>
      </c>
      <c r="I635" s="63" t="s">
        <v>863</v>
      </c>
      <c r="J635" s="314">
        <v>20000</v>
      </c>
      <c r="K635" s="59" t="s">
        <v>28</v>
      </c>
      <c r="L635" s="59" t="s">
        <v>73</v>
      </c>
      <c r="M635" s="59" t="s">
        <v>30</v>
      </c>
      <c r="N635" s="315">
        <v>20000</v>
      </c>
      <c r="O635" s="316">
        <f t="shared" si="33"/>
        <v>0</v>
      </c>
      <c r="P635" s="95">
        <v>45065</v>
      </c>
      <c r="Q635" s="61">
        <f t="shared" si="32"/>
        <v>45065</v>
      </c>
      <c r="R635" s="59"/>
      <c r="S635" s="59" t="s">
        <v>1467</v>
      </c>
      <c r="T635" s="59"/>
      <c r="U635" s="59"/>
      <c r="V635" s="59"/>
      <c r="W635" s="68"/>
      <c r="X635" s="68"/>
      <c r="Y635" s="68"/>
    </row>
    <row r="636" s="17" customFormat="1" hidden="1" customHeight="1" spans="1:25">
      <c r="A636" s="59">
        <v>634</v>
      </c>
      <c r="B636" s="60" t="s">
        <v>1468</v>
      </c>
      <c r="C636" s="61">
        <f t="shared" si="34"/>
        <v>45023</v>
      </c>
      <c r="D636" s="62" t="str">
        <f ca="1" t="shared" si="31"/>
        <v>一年以上</v>
      </c>
      <c r="E636" s="313">
        <v>45023</v>
      </c>
      <c r="F636" s="59" t="s">
        <v>130</v>
      </c>
      <c r="G636" s="59" t="s">
        <v>1372</v>
      </c>
      <c r="H636" s="63" t="s">
        <v>863</v>
      </c>
      <c r="I636" s="63" t="s">
        <v>863</v>
      </c>
      <c r="J636" s="314">
        <v>34600</v>
      </c>
      <c r="K636" s="59" t="s">
        <v>28</v>
      </c>
      <c r="L636" s="59" t="s">
        <v>73</v>
      </c>
      <c r="M636" s="59" t="s">
        <v>133</v>
      </c>
      <c r="N636" s="315">
        <v>34600</v>
      </c>
      <c r="O636" s="316">
        <f t="shared" si="33"/>
        <v>0</v>
      </c>
      <c r="P636" s="95">
        <v>45499</v>
      </c>
      <c r="Q636" s="61">
        <f t="shared" si="32"/>
        <v>45499</v>
      </c>
      <c r="R636" s="59"/>
      <c r="S636" s="59" t="s">
        <v>1469</v>
      </c>
      <c r="T636" s="59" t="s">
        <v>972</v>
      </c>
      <c r="U636" s="59" t="str">
        <f>VLOOKUP(T636,[1]区域划分!$A$1:$C$39,3,0)</f>
        <v>曾江利</v>
      </c>
      <c r="V636" s="59"/>
      <c r="W636" s="68"/>
      <c r="X636" s="68"/>
      <c r="Y636" s="68"/>
    </row>
    <row r="637" s="17" customFormat="1" hidden="1" customHeight="1" spans="1:25">
      <c r="A637" s="59">
        <v>635</v>
      </c>
      <c r="B637" s="60" t="s">
        <v>1470</v>
      </c>
      <c r="C637" s="61">
        <f t="shared" si="34"/>
        <v>45023</v>
      </c>
      <c r="D637" s="62" t="str">
        <f ca="1" t="shared" si="31"/>
        <v>一年以上</v>
      </c>
      <c r="E637" s="313">
        <v>45023</v>
      </c>
      <c r="F637" s="59" t="s">
        <v>130</v>
      </c>
      <c r="G637" s="59" t="s">
        <v>1372</v>
      </c>
      <c r="H637" s="63" t="s">
        <v>863</v>
      </c>
      <c r="I637" s="63" t="s">
        <v>863</v>
      </c>
      <c r="J637" s="314">
        <v>14000</v>
      </c>
      <c r="K637" s="59" t="s">
        <v>28</v>
      </c>
      <c r="L637" s="59" t="s">
        <v>73</v>
      </c>
      <c r="M637" s="59" t="s">
        <v>133</v>
      </c>
      <c r="N637" s="315">
        <v>14000</v>
      </c>
      <c r="O637" s="316">
        <f t="shared" si="33"/>
        <v>0</v>
      </c>
      <c r="P637" s="95">
        <v>45499</v>
      </c>
      <c r="Q637" s="61">
        <f t="shared" si="32"/>
        <v>45499</v>
      </c>
      <c r="R637" s="59"/>
      <c r="S637" s="59" t="s">
        <v>1471</v>
      </c>
      <c r="T637" s="59" t="s">
        <v>972</v>
      </c>
      <c r="U637" s="59" t="str">
        <f>VLOOKUP(T637,[1]区域划分!$A$1:$C$39,3,0)</f>
        <v>曾江利</v>
      </c>
      <c r="V637" s="59"/>
      <c r="W637" s="68"/>
      <c r="X637" s="68"/>
      <c r="Y637" s="68"/>
    </row>
    <row r="638" s="17" customFormat="1" hidden="1" customHeight="1" spans="1:25">
      <c r="A638" s="59">
        <v>636</v>
      </c>
      <c r="B638" s="60" t="s">
        <v>1472</v>
      </c>
      <c r="C638" s="61">
        <f t="shared" si="34"/>
        <v>45028</v>
      </c>
      <c r="D638" s="62" t="str">
        <f ca="1" t="shared" si="31"/>
        <v>一年以上</v>
      </c>
      <c r="E638" s="313">
        <v>45028</v>
      </c>
      <c r="F638" s="59" t="s">
        <v>632</v>
      </c>
      <c r="G638" s="59" t="s">
        <v>450</v>
      </c>
      <c r="H638" s="63" t="s">
        <v>1473</v>
      </c>
      <c r="I638" s="63" t="s">
        <v>1473</v>
      </c>
      <c r="J638" s="314">
        <v>2000</v>
      </c>
      <c r="K638" s="59" t="s">
        <v>356</v>
      </c>
      <c r="L638" s="59" t="s">
        <v>73</v>
      </c>
      <c r="M638" s="59" t="s">
        <v>30</v>
      </c>
      <c r="N638" s="315">
        <v>2000</v>
      </c>
      <c r="O638" s="316">
        <f t="shared" si="33"/>
        <v>0</v>
      </c>
      <c r="P638" s="95">
        <v>45103</v>
      </c>
      <c r="Q638" s="61">
        <f t="shared" si="32"/>
        <v>45103</v>
      </c>
      <c r="R638" s="59"/>
      <c r="S638" s="59" t="s">
        <v>1474</v>
      </c>
      <c r="T638" s="59"/>
      <c r="U638" s="59"/>
      <c r="V638" s="59"/>
      <c r="W638" s="68"/>
      <c r="X638" s="68"/>
      <c r="Y638" s="68"/>
    </row>
    <row r="639" s="17" customFormat="1" hidden="1" customHeight="1" spans="1:25">
      <c r="A639" s="59">
        <v>637</v>
      </c>
      <c r="B639" s="60" t="s">
        <v>1475</v>
      </c>
      <c r="C639" s="61">
        <f t="shared" si="34"/>
        <v>45028</v>
      </c>
      <c r="D639" s="62" t="str">
        <f ca="1" t="shared" si="31"/>
        <v>一年以上</v>
      </c>
      <c r="E639" s="313">
        <v>45028</v>
      </c>
      <c r="F639" s="59" t="s">
        <v>632</v>
      </c>
      <c r="G639" s="59" t="s">
        <v>450</v>
      </c>
      <c r="H639" s="63" t="s">
        <v>315</v>
      </c>
      <c r="I639" s="63" t="s">
        <v>315</v>
      </c>
      <c r="J639" s="314">
        <v>20000</v>
      </c>
      <c r="K639" s="59" t="s">
        <v>28</v>
      </c>
      <c r="L639" s="59" t="s">
        <v>73</v>
      </c>
      <c r="M639" s="59" t="s">
        <v>30</v>
      </c>
      <c r="N639" s="315">
        <v>20000</v>
      </c>
      <c r="O639" s="316">
        <f t="shared" si="33"/>
        <v>0</v>
      </c>
      <c r="P639" s="95">
        <v>45104</v>
      </c>
      <c r="Q639" s="61">
        <f t="shared" si="32"/>
        <v>45104</v>
      </c>
      <c r="R639" s="59"/>
      <c r="S639" s="59" t="s">
        <v>1476</v>
      </c>
      <c r="T639" s="59"/>
      <c r="U639" s="59"/>
      <c r="V639" s="59"/>
      <c r="W639" s="68"/>
      <c r="X639" s="68"/>
      <c r="Y639" s="68"/>
    </row>
    <row r="640" s="17" customFormat="1" hidden="1" customHeight="1" spans="1:25">
      <c r="A640" s="59">
        <v>638</v>
      </c>
      <c r="B640" s="60" t="s">
        <v>1477</v>
      </c>
      <c r="C640" s="61">
        <f t="shared" si="34"/>
        <v>45028</v>
      </c>
      <c r="D640" s="62" t="str">
        <f ca="1" t="shared" si="31"/>
        <v>一年以上</v>
      </c>
      <c r="E640" s="313">
        <v>45028</v>
      </c>
      <c r="F640" s="59" t="s">
        <v>632</v>
      </c>
      <c r="G640" s="59" t="s">
        <v>450</v>
      </c>
      <c r="H640" s="63" t="s">
        <v>967</v>
      </c>
      <c r="I640" s="63" t="s">
        <v>967</v>
      </c>
      <c r="J640" s="314">
        <v>3840</v>
      </c>
      <c r="K640" s="59" t="s">
        <v>28</v>
      </c>
      <c r="L640" s="59" t="s">
        <v>73</v>
      </c>
      <c r="M640" s="59" t="s">
        <v>836</v>
      </c>
      <c r="N640" s="315"/>
      <c r="O640" s="316">
        <f t="shared" si="33"/>
        <v>3840</v>
      </c>
      <c r="P640" s="95"/>
      <c r="Q640" s="61">
        <f t="shared" si="32"/>
        <v>0</v>
      </c>
      <c r="R640" s="59"/>
      <c r="S640" s="59" t="s">
        <v>1478</v>
      </c>
      <c r="T640" s="59" t="s">
        <v>171</v>
      </c>
      <c r="U640" s="59" t="str">
        <f>VLOOKUP(T640,[1]区域划分!$A$1:$C$39,3,0)</f>
        <v>牛国庆</v>
      </c>
      <c r="V640" s="59"/>
      <c r="W640" s="68"/>
      <c r="X640" s="68"/>
      <c r="Y640" s="68"/>
    </row>
    <row r="641" s="17" customFormat="1" hidden="1" customHeight="1" spans="1:25">
      <c r="A641" s="59">
        <v>639</v>
      </c>
      <c r="B641" s="60" t="s">
        <v>1479</v>
      </c>
      <c r="C641" s="61">
        <f t="shared" si="34"/>
        <v>45028</v>
      </c>
      <c r="D641" s="62" t="str">
        <f ca="1" t="shared" si="31"/>
        <v>一年以上</v>
      </c>
      <c r="E641" s="313">
        <v>45028</v>
      </c>
      <c r="F641" s="59" t="s">
        <v>632</v>
      </c>
      <c r="G641" s="59" t="s">
        <v>450</v>
      </c>
      <c r="H641" s="63" t="s">
        <v>967</v>
      </c>
      <c r="I641" s="63" t="s">
        <v>967</v>
      </c>
      <c r="J641" s="314">
        <v>320</v>
      </c>
      <c r="K641" s="59" t="s">
        <v>28</v>
      </c>
      <c r="L641" s="59" t="s">
        <v>73</v>
      </c>
      <c r="M641" s="59" t="s">
        <v>836</v>
      </c>
      <c r="N641" s="315"/>
      <c r="O641" s="316">
        <f t="shared" si="33"/>
        <v>320</v>
      </c>
      <c r="P641" s="95"/>
      <c r="Q641" s="61">
        <f t="shared" si="32"/>
        <v>0</v>
      </c>
      <c r="R641" s="59"/>
      <c r="S641" s="59" t="s">
        <v>1480</v>
      </c>
      <c r="T641" s="59" t="s">
        <v>171</v>
      </c>
      <c r="U641" s="59" t="str">
        <f>VLOOKUP(T641,[1]区域划分!$A$1:$C$39,3,0)</f>
        <v>牛国庆</v>
      </c>
      <c r="V641" s="59"/>
      <c r="W641" s="68"/>
      <c r="X641" s="68"/>
      <c r="Y641" s="68"/>
    </row>
    <row r="642" s="17" customFormat="1" hidden="1" customHeight="1" spans="1:25">
      <c r="A642" s="59">
        <v>640</v>
      </c>
      <c r="B642" s="60" t="s">
        <v>1481</v>
      </c>
      <c r="C642" s="61">
        <f t="shared" si="34"/>
        <v>45030</v>
      </c>
      <c r="D642" s="62" t="str">
        <f ca="1" t="shared" si="31"/>
        <v>一年以上</v>
      </c>
      <c r="E642" s="313">
        <v>45030</v>
      </c>
      <c r="F642" s="59" t="s">
        <v>632</v>
      </c>
      <c r="G642" s="59" t="s">
        <v>450</v>
      </c>
      <c r="H642" s="63" t="s">
        <v>1482</v>
      </c>
      <c r="I642" s="63" t="s">
        <v>1482</v>
      </c>
      <c r="J642" s="314">
        <v>100000</v>
      </c>
      <c r="K642" s="59" t="s">
        <v>28</v>
      </c>
      <c r="L642" s="59" t="s">
        <v>73</v>
      </c>
      <c r="M642" s="59" t="s">
        <v>30</v>
      </c>
      <c r="N642" s="315">
        <v>100000</v>
      </c>
      <c r="O642" s="316">
        <f t="shared" si="33"/>
        <v>0</v>
      </c>
      <c r="P642" s="95">
        <v>45064</v>
      </c>
      <c r="Q642" s="61">
        <f t="shared" si="32"/>
        <v>45064</v>
      </c>
      <c r="R642" s="59"/>
      <c r="S642" s="59" t="s">
        <v>1483</v>
      </c>
      <c r="T642" s="59"/>
      <c r="U642" s="59"/>
      <c r="V642" s="59"/>
      <c r="W642" s="68"/>
      <c r="X642" s="68"/>
      <c r="Y642" s="68"/>
    </row>
    <row r="643" s="17" customFormat="1" hidden="1" customHeight="1" spans="1:25">
      <c r="A643" s="59">
        <v>641</v>
      </c>
      <c r="B643" s="60" t="s">
        <v>1484</v>
      </c>
      <c r="C643" s="61">
        <f t="shared" si="34"/>
        <v>45030</v>
      </c>
      <c r="D643" s="62" t="str">
        <f ca="1" t="shared" ref="D643:D665" si="35">IF(TODAY()-E643&lt;60,"2个月内",IF(TODAY()-E643&lt;180,"3-6个月",IF(TODAY()-E643&lt;360,"6个月-1年","一年以上")))</f>
        <v>一年以上</v>
      </c>
      <c r="E643" s="313">
        <v>45030</v>
      </c>
      <c r="F643" s="59" t="s">
        <v>632</v>
      </c>
      <c r="G643" s="59" t="s">
        <v>450</v>
      </c>
      <c r="H643" s="63" t="s">
        <v>323</v>
      </c>
      <c r="I643" s="63" t="s">
        <v>323</v>
      </c>
      <c r="J643" s="314">
        <v>14000</v>
      </c>
      <c r="K643" s="59" t="s">
        <v>28</v>
      </c>
      <c r="L643" s="59" t="s">
        <v>73</v>
      </c>
      <c r="M643" s="59" t="s">
        <v>30</v>
      </c>
      <c r="N643" s="315">
        <v>14000</v>
      </c>
      <c r="O643" s="316">
        <f t="shared" si="33"/>
        <v>0</v>
      </c>
      <c r="P643" s="95">
        <v>45098</v>
      </c>
      <c r="Q643" s="61">
        <f t="shared" ref="Q643:Q706" si="36">P643</f>
        <v>45098</v>
      </c>
      <c r="R643" s="59"/>
      <c r="S643" s="59" t="s">
        <v>1485</v>
      </c>
      <c r="T643" s="59"/>
      <c r="U643" s="59"/>
      <c r="V643" s="59"/>
      <c r="W643" s="68"/>
      <c r="X643" s="68"/>
      <c r="Y643" s="68"/>
    </row>
    <row r="644" s="17" customFormat="1" hidden="1" customHeight="1" spans="1:25">
      <c r="A644" s="59">
        <v>642</v>
      </c>
      <c r="B644" s="60" t="s">
        <v>1486</v>
      </c>
      <c r="C644" s="61">
        <f t="shared" si="34"/>
        <v>45033</v>
      </c>
      <c r="D644" s="62" t="str">
        <f ca="1" t="shared" si="35"/>
        <v>一年以上</v>
      </c>
      <c r="E644" s="313">
        <v>45033</v>
      </c>
      <c r="F644" s="59" t="s">
        <v>632</v>
      </c>
      <c r="G644" s="59" t="s">
        <v>450</v>
      </c>
      <c r="H644" s="63" t="s">
        <v>1487</v>
      </c>
      <c r="I644" s="63" t="s">
        <v>1487</v>
      </c>
      <c r="J644" s="314">
        <v>3800</v>
      </c>
      <c r="K644" s="59" t="s">
        <v>28</v>
      </c>
      <c r="L644" s="59" t="s">
        <v>73</v>
      </c>
      <c r="M644" s="59" t="s">
        <v>30</v>
      </c>
      <c r="N644" s="315">
        <v>3800</v>
      </c>
      <c r="O644" s="316">
        <f t="shared" si="33"/>
        <v>0</v>
      </c>
      <c r="P644" s="95">
        <v>45057</v>
      </c>
      <c r="Q644" s="61">
        <f t="shared" si="36"/>
        <v>45057</v>
      </c>
      <c r="R644" s="59"/>
      <c r="S644" s="59" t="s">
        <v>1488</v>
      </c>
      <c r="T644" s="59"/>
      <c r="U644" s="59"/>
      <c r="V644" s="59"/>
      <c r="W644" s="68"/>
      <c r="X644" s="68"/>
      <c r="Y644" s="68"/>
    </row>
    <row r="645" s="17" customFormat="1" hidden="1" customHeight="1" spans="1:25">
      <c r="A645" s="59">
        <v>643</v>
      </c>
      <c r="B645" s="60" t="s">
        <v>1489</v>
      </c>
      <c r="C645" s="61">
        <f t="shared" si="34"/>
        <v>45034</v>
      </c>
      <c r="D645" s="62" t="str">
        <f ca="1" t="shared" si="35"/>
        <v>一年以上</v>
      </c>
      <c r="E645" s="313">
        <v>45034</v>
      </c>
      <c r="F645" s="59" t="s">
        <v>632</v>
      </c>
      <c r="G645" s="59" t="s">
        <v>450</v>
      </c>
      <c r="H645" s="63" t="s">
        <v>1490</v>
      </c>
      <c r="I645" s="63" t="s">
        <v>1490</v>
      </c>
      <c r="J645" s="314">
        <v>12000</v>
      </c>
      <c r="K645" s="59" t="s">
        <v>28</v>
      </c>
      <c r="L645" s="59" t="s">
        <v>73</v>
      </c>
      <c r="M645" s="59" t="s">
        <v>30</v>
      </c>
      <c r="N645" s="315">
        <v>12000</v>
      </c>
      <c r="O645" s="316">
        <f t="shared" si="33"/>
        <v>0</v>
      </c>
      <c r="P645" s="95">
        <v>45064</v>
      </c>
      <c r="Q645" s="61">
        <f t="shared" si="36"/>
        <v>45064</v>
      </c>
      <c r="R645" s="59"/>
      <c r="S645" s="59" t="s">
        <v>1491</v>
      </c>
      <c r="T645" s="59"/>
      <c r="U645" s="59"/>
      <c r="V645" s="59"/>
      <c r="W645" s="68"/>
      <c r="X645" s="68"/>
      <c r="Y645" s="68"/>
    </row>
    <row r="646" s="17" customFormat="1" hidden="1" customHeight="1" spans="1:25">
      <c r="A646" s="59">
        <v>644</v>
      </c>
      <c r="B646" s="60" t="s">
        <v>1492</v>
      </c>
      <c r="C646" s="61">
        <f t="shared" si="34"/>
        <v>45035</v>
      </c>
      <c r="D646" s="62" t="str">
        <f ca="1" t="shared" si="35"/>
        <v>一年以上</v>
      </c>
      <c r="E646" s="313">
        <v>45035</v>
      </c>
      <c r="F646" s="59" t="s">
        <v>130</v>
      </c>
      <c r="G646" s="59" t="s">
        <v>456</v>
      </c>
      <c r="H646" s="63" t="s">
        <v>801</v>
      </c>
      <c r="I646" s="63" t="s">
        <v>801</v>
      </c>
      <c r="J646" s="314">
        <v>940</v>
      </c>
      <c r="K646" s="59" t="s">
        <v>28</v>
      </c>
      <c r="L646" s="59" t="s">
        <v>73</v>
      </c>
      <c r="M646" s="59" t="s">
        <v>836</v>
      </c>
      <c r="N646" s="315">
        <v>940</v>
      </c>
      <c r="O646" s="316">
        <f t="shared" si="33"/>
        <v>0</v>
      </c>
      <c r="P646" s="95">
        <v>45076</v>
      </c>
      <c r="Q646" s="61">
        <f t="shared" si="36"/>
        <v>45076</v>
      </c>
      <c r="R646" s="59"/>
      <c r="S646" s="59" t="s">
        <v>1493</v>
      </c>
      <c r="T646" s="59"/>
      <c r="U646" s="59"/>
      <c r="V646" s="59"/>
      <c r="W646" s="68"/>
      <c r="X646" s="68"/>
      <c r="Y646" s="68"/>
    </row>
    <row r="647" s="17" customFormat="1" hidden="1" customHeight="1" spans="1:25">
      <c r="A647" s="59">
        <v>645</v>
      </c>
      <c r="B647" s="60" t="s">
        <v>1494</v>
      </c>
      <c r="C647" s="61">
        <f t="shared" si="34"/>
        <v>45035</v>
      </c>
      <c r="D647" s="62" t="str">
        <f ca="1" t="shared" si="35"/>
        <v>一年以上</v>
      </c>
      <c r="E647" s="313">
        <v>45035</v>
      </c>
      <c r="F647" s="59" t="s">
        <v>130</v>
      </c>
      <c r="G647" s="59" t="s">
        <v>1372</v>
      </c>
      <c r="H647" s="63" t="s">
        <v>863</v>
      </c>
      <c r="I647" s="63" t="s">
        <v>863</v>
      </c>
      <c r="J647" s="314">
        <v>14900</v>
      </c>
      <c r="K647" s="59" t="s">
        <v>28</v>
      </c>
      <c r="L647" s="59" t="s">
        <v>73</v>
      </c>
      <c r="M647" s="59" t="s">
        <v>133</v>
      </c>
      <c r="N647" s="315">
        <v>14900</v>
      </c>
      <c r="O647" s="316">
        <f t="shared" si="33"/>
        <v>0</v>
      </c>
      <c r="P647" s="95">
        <v>45230</v>
      </c>
      <c r="Q647" s="61">
        <f t="shared" si="36"/>
        <v>45230</v>
      </c>
      <c r="R647" s="59" t="s">
        <v>1077</v>
      </c>
      <c r="S647" s="59" t="s">
        <v>1495</v>
      </c>
      <c r="T647" s="59"/>
      <c r="U647" s="59"/>
      <c r="V647" s="59"/>
      <c r="W647" s="68"/>
      <c r="X647" s="68"/>
      <c r="Y647" s="68"/>
    </row>
    <row r="648" s="17" customFormat="1" hidden="1" customHeight="1" spans="1:25">
      <c r="A648" s="59">
        <v>646</v>
      </c>
      <c r="B648" s="60" t="s">
        <v>1496</v>
      </c>
      <c r="C648" s="61">
        <f t="shared" si="34"/>
        <v>45035</v>
      </c>
      <c r="D648" s="62" t="str">
        <f ca="1" t="shared" si="35"/>
        <v>一年以上</v>
      </c>
      <c r="E648" s="313">
        <v>45035</v>
      </c>
      <c r="F648" s="59" t="s">
        <v>130</v>
      </c>
      <c r="G648" s="59" t="s">
        <v>1372</v>
      </c>
      <c r="H648" s="63" t="s">
        <v>863</v>
      </c>
      <c r="I648" s="63" t="s">
        <v>863</v>
      </c>
      <c r="J648" s="314">
        <v>11500</v>
      </c>
      <c r="K648" s="59" t="s">
        <v>28</v>
      </c>
      <c r="L648" s="59" t="s">
        <v>73</v>
      </c>
      <c r="M648" s="59" t="s">
        <v>133</v>
      </c>
      <c r="N648" s="315">
        <v>11500</v>
      </c>
      <c r="O648" s="316">
        <f t="shared" si="33"/>
        <v>0</v>
      </c>
      <c r="P648" s="95">
        <v>45230</v>
      </c>
      <c r="Q648" s="61">
        <f t="shared" si="36"/>
        <v>45230</v>
      </c>
      <c r="R648" s="59" t="s">
        <v>1077</v>
      </c>
      <c r="S648" s="59" t="s">
        <v>1497</v>
      </c>
      <c r="T648" s="59"/>
      <c r="U648" s="59"/>
      <c r="V648" s="59"/>
      <c r="W648" s="68"/>
      <c r="X648" s="68"/>
      <c r="Y648" s="68"/>
    </row>
    <row r="649" s="17" customFormat="1" hidden="1" customHeight="1" spans="1:25">
      <c r="A649" s="59">
        <v>647</v>
      </c>
      <c r="B649" s="60" t="s">
        <v>1498</v>
      </c>
      <c r="C649" s="61">
        <f t="shared" si="34"/>
        <v>45040</v>
      </c>
      <c r="D649" s="62" t="str">
        <f ca="1" t="shared" si="35"/>
        <v>一年以上</v>
      </c>
      <c r="E649" s="313">
        <v>45040</v>
      </c>
      <c r="F649" s="59" t="s">
        <v>632</v>
      </c>
      <c r="G649" s="59" t="s">
        <v>993</v>
      </c>
      <c r="H649" s="63" t="s">
        <v>1487</v>
      </c>
      <c r="I649" s="63" t="s">
        <v>1487</v>
      </c>
      <c r="J649" s="314">
        <v>3000</v>
      </c>
      <c r="K649" s="59" t="s">
        <v>28</v>
      </c>
      <c r="L649" s="59" t="s">
        <v>73</v>
      </c>
      <c r="M649" s="59" t="s">
        <v>30</v>
      </c>
      <c r="N649" s="315">
        <v>3000</v>
      </c>
      <c r="O649" s="316">
        <f t="shared" si="33"/>
        <v>0</v>
      </c>
      <c r="P649" s="95">
        <v>45057</v>
      </c>
      <c r="Q649" s="61">
        <f t="shared" si="36"/>
        <v>45057</v>
      </c>
      <c r="R649" s="59"/>
      <c r="S649" s="59" t="s">
        <v>1499</v>
      </c>
      <c r="T649" s="59"/>
      <c r="U649" s="59"/>
      <c r="V649" s="59"/>
      <c r="W649" s="68"/>
      <c r="X649" s="68"/>
      <c r="Y649" s="68"/>
    </row>
    <row r="650" s="17" customFormat="1" hidden="1" customHeight="1" spans="1:25">
      <c r="A650" s="59">
        <v>648</v>
      </c>
      <c r="B650" s="60" t="s">
        <v>1500</v>
      </c>
      <c r="C650" s="61">
        <f t="shared" si="34"/>
        <v>45040</v>
      </c>
      <c r="D650" s="62" t="str">
        <f ca="1" t="shared" si="35"/>
        <v>一年以上</v>
      </c>
      <c r="E650" s="313">
        <v>45040</v>
      </c>
      <c r="F650" s="59" t="s">
        <v>632</v>
      </c>
      <c r="G650" s="59" t="s">
        <v>450</v>
      </c>
      <c r="H650" s="63" t="s">
        <v>1501</v>
      </c>
      <c r="I650" s="63" t="s">
        <v>1501</v>
      </c>
      <c r="J650" s="314">
        <v>20000</v>
      </c>
      <c r="K650" s="59" t="s">
        <v>28</v>
      </c>
      <c r="L650" s="59" t="s">
        <v>73</v>
      </c>
      <c r="M650" s="59" t="s">
        <v>30</v>
      </c>
      <c r="N650" s="315">
        <v>20000</v>
      </c>
      <c r="O650" s="316">
        <f t="shared" ref="O650:O665" si="37">J650-N650</f>
        <v>0</v>
      </c>
      <c r="P650" s="95">
        <v>45043</v>
      </c>
      <c r="Q650" s="61">
        <f t="shared" si="36"/>
        <v>45043</v>
      </c>
      <c r="R650" s="59"/>
      <c r="S650" s="59" t="s">
        <v>1502</v>
      </c>
      <c r="T650" s="59"/>
      <c r="U650" s="59"/>
      <c r="V650" s="59"/>
      <c r="W650" s="68"/>
      <c r="X650" s="68"/>
      <c r="Y650" s="68"/>
    </row>
    <row r="651" s="17" customFormat="1" hidden="1" customHeight="1" spans="1:25">
      <c r="A651" s="59">
        <v>649</v>
      </c>
      <c r="B651" s="60" t="s">
        <v>1503</v>
      </c>
      <c r="C651" s="61">
        <f t="shared" si="34"/>
        <v>45040</v>
      </c>
      <c r="D651" s="62" t="str">
        <f ca="1" t="shared" si="35"/>
        <v>一年以上</v>
      </c>
      <c r="E651" s="313">
        <v>45040</v>
      </c>
      <c r="F651" s="59" t="s">
        <v>632</v>
      </c>
      <c r="G651" s="59" t="s">
        <v>450</v>
      </c>
      <c r="H651" s="63" t="s">
        <v>1501</v>
      </c>
      <c r="I651" s="63" t="s">
        <v>1501</v>
      </c>
      <c r="J651" s="314">
        <v>200</v>
      </c>
      <c r="K651" s="59" t="s">
        <v>28</v>
      </c>
      <c r="L651" s="59" t="s">
        <v>73</v>
      </c>
      <c r="M651" s="59" t="s">
        <v>515</v>
      </c>
      <c r="N651" s="315"/>
      <c r="O651" s="316">
        <f t="shared" si="37"/>
        <v>200</v>
      </c>
      <c r="P651" s="95"/>
      <c r="Q651" s="61">
        <f t="shared" si="36"/>
        <v>0</v>
      </c>
      <c r="R651" s="59"/>
      <c r="S651" s="59" t="s">
        <v>1502</v>
      </c>
      <c r="T651" s="59" t="s">
        <v>581</v>
      </c>
      <c r="U651" s="59" t="str">
        <f>VLOOKUP(T651,[1]区域划分!$A$1:$C$39,3,0)</f>
        <v>新疆</v>
      </c>
      <c r="V651" s="59"/>
      <c r="W651" s="68"/>
      <c r="X651" s="68"/>
      <c r="Y651" s="68"/>
    </row>
    <row r="652" s="17" customFormat="1" hidden="1" customHeight="1" spans="1:25">
      <c r="A652" s="59">
        <v>650</v>
      </c>
      <c r="B652" s="60" t="s">
        <v>1504</v>
      </c>
      <c r="C652" s="61">
        <f t="shared" si="34"/>
        <v>45040</v>
      </c>
      <c r="D652" s="62" t="str">
        <f ca="1" t="shared" si="35"/>
        <v>一年以上</v>
      </c>
      <c r="E652" s="313">
        <v>45040</v>
      </c>
      <c r="F652" s="59" t="s">
        <v>632</v>
      </c>
      <c r="G652" s="59" t="s">
        <v>450</v>
      </c>
      <c r="H652" s="63" t="s">
        <v>1505</v>
      </c>
      <c r="I652" s="63" t="s">
        <v>1505</v>
      </c>
      <c r="J652" s="314">
        <v>1000</v>
      </c>
      <c r="K652" s="59" t="s">
        <v>28</v>
      </c>
      <c r="L652" s="59" t="s">
        <v>73</v>
      </c>
      <c r="M652" s="59" t="s">
        <v>30</v>
      </c>
      <c r="N652" s="315">
        <v>1000</v>
      </c>
      <c r="O652" s="316">
        <f t="shared" si="37"/>
        <v>0</v>
      </c>
      <c r="P652" s="95">
        <v>45056</v>
      </c>
      <c r="Q652" s="61">
        <f t="shared" si="36"/>
        <v>45056</v>
      </c>
      <c r="R652" s="59"/>
      <c r="S652" s="59" t="s">
        <v>1506</v>
      </c>
      <c r="T652" s="59"/>
      <c r="U652" s="59"/>
      <c r="V652" s="59"/>
      <c r="W652" s="68"/>
      <c r="X652" s="68"/>
      <c r="Y652" s="68"/>
    </row>
    <row r="653" s="17" customFormat="1" hidden="1" customHeight="1" spans="1:25">
      <c r="A653" s="59">
        <v>651</v>
      </c>
      <c r="B653" s="60" t="s">
        <v>1507</v>
      </c>
      <c r="C653" s="61">
        <f t="shared" si="34"/>
        <v>45040</v>
      </c>
      <c r="D653" s="62" t="str">
        <f ca="1" t="shared" si="35"/>
        <v>一年以上</v>
      </c>
      <c r="E653" s="313">
        <v>45040</v>
      </c>
      <c r="F653" s="59" t="s">
        <v>632</v>
      </c>
      <c r="G653" s="59" t="s">
        <v>450</v>
      </c>
      <c r="H653" s="63" t="s">
        <v>1508</v>
      </c>
      <c r="I653" s="63" t="s">
        <v>1508</v>
      </c>
      <c r="J653" s="314">
        <v>30</v>
      </c>
      <c r="K653" s="59" t="s">
        <v>28</v>
      </c>
      <c r="L653" s="59" t="s">
        <v>73</v>
      </c>
      <c r="M653" s="59" t="s">
        <v>515</v>
      </c>
      <c r="N653" s="315"/>
      <c r="O653" s="316">
        <f t="shared" si="37"/>
        <v>30</v>
      </c>
      <c r="P653" s="95"/>
      <c r="Q653" s="61">
        <f t="shared" si="36"/>
        <v>0</v>
      </c>
      <c r="R653" s="59"/>
      <c r="S653" s="59" t="s">
        <v>1509</v>
      </c>
      <c r="T653" s="59"/>
      <c r="U653" s="59" t="e">
        <f>VLOOKUP(T653,[1]区域划分!$A$1:$C$39,3,0)</f>
        <v>#N/A</v>
      </c>
      <c r="V653" s="59"/>
      <c r="W653" s="68"/>
      <c r="X653" s="68"/>
      <c r="Y653" s="68"/>
    </row>
    <row r="654" s="17" customFormat="1" hidden="1" customHeight="1" spans="1:25">
      <c r="A654" s="59">
        <v>652</v>
      </c>
      <c r="B654" s="60" t="s">
        <v>1510</v>
      </c>
      <c r="C654" s="61">
        <f t="shared" si="34"/>
        <v>45040</v>
      </c>
      <c r="D654" s="62" t="str">
        <f ca="1" t="shared" si="35"/>
        <v>一年以上</v>
      </c>
      <c r="E654" s="313">
        <v>45040</v>
      </c>
      <c r="F654" s="59" t="s">
        <v>632</v>
      </c>
      <c r="G654" s="59" t="s">
        <v>450</v>
      </c>
      <c r="H654" s="63" t="s">
        <v>1511</v>
      </c>
      <c r="I654" s="63" t="s">
        <v>1511</v>
      </c>
      <c r="J654" s="314">
        <v>500</v>
      </c>
      <c r="K654" s="59" t="s">
        <v>28</v>
      </c>
      <c r="L654" s="59" t="s">
        <v>73</v>
      </c>
      <c r="M654" s="59" t="s">
        <v>968</v>
      </c>
      <c r="N654" s="315"/>
      <c r="O654" s="316">
        <f t="shared" si="37"/>
        <v>500</v>
      </c>
      <c r="P654" s="95"/>
      <c r="Q654" s="61">
        <f t="shared" si="36"/>
        <v>0</v>
      </c>
      <c r="R654" s="59"/>
      <c r="S654" s="59" t="s">
        <v>1512</v>
      </c>
      <c r="T654" s="59"/>
      <c r="U654" s="59" t="e">
        <f>VLOOKUP(T654,[1]区域划分!$A$1:$C$39,3,0)</f>
        <v>#N/A</v>
      </c>
      <c r="V654" s="59"/>
      <c r="W654" s="68"/>
      <c r="X654" s="68"/>
      <c r="Y654" s="68"/>
    </row>
    <row r="655" s="17" customFormat="1" hidden="1" customHeight="1" spans="1:25">
      <c r="A655" s="59">
        <v>653</v>
      </c>
      <c r="B655" s="60" t="s">
        <v>1513</v>
      </c>
      <c r="C655" s="61">
        <f t="shared" si="34"/>
        <v>45040</v>
      </c>
      <c r="D655" s="62" t="str">
        <f ca="1" t="shared" si="35"/>
        <v>一年以上</v>
      </c>
      <c r="E655" s="313">
        <v>45040</v>
      </c>
      <c r="F655" s="59" t="s">
        <v>632</v>
      </c>
      <c r="G655" s="59" t="s">
        <v>450</v>
      </c>
      <c r="H655" s="63" t="s">
        <v>1511</v>
      </c>
      <c r="I655" s="63" t="s">
        <v>1511</v>
      </c>
      <c r="J655" s="314">
        <v>3000</v>
      </c>
      <c r="K655" s="59" t="s">
        <v>28</v>
      </c>
      <c r="L655" s="59" t="s">
        <v>73</v>
      </c>
      <c r="M655" s="59" t="s">
        <v>968</v>
      </c>
      <c r="N655" s="315"/>
      <c r="O655" s="316">
        <f t="shared" si="37"/>
        <v>3000</v>
      </c>
      <c r="P655" s="95"/>
      <c r="Q655" s="61">
        <f t="shared" si="36"/>
        <v>0</v>
      </c>
      <c r="R655" s="59"/>
      <c r="S655" s="59" t="s">
        <v>1512</v>
      </c>
      <c r="T655" s="59"/>
      <c r="U655" s="59" t="e">
        <f>VLOOKUP(T655,[1]区域划分!$A$1:$C$39,3,0)</f>
        <v>#N/A</v>
      </c>
      <c r="V655" s="59"/>
      <c r="W655" s="68"/>
      <c r="X655" s="68"/>
      <c r="Y655" s="68"/>
    </row>
    <row r="656" s="17" customFormat="1" hidden="1" customHeight="1" spans="1:25">
      <c r="A656" s="59">
        <v>654</v>
      </c>
      <c r="B656" s="60" t="s">
        <v>1514</v>
      </c>
      <c r="C656" s="61">
        <f t="shared" si="34"/>
        <v>45052</v>
      </c>
      <c r="D656" s="62" t="str">
        <f ca="1" t="shared" si="35"/>
        <v>一年以上</v>
      </c>
      <c r="E656" s="313">
        <v>45052</v>
      </c>
      <c r="F656" s="59" t="s">
        <v>70</v>
      </c>
      <c r="G656" s="59" t="s">
        <v>1515</v>
      </c>
      <c r="H656" s="63" t="s">
        <v>1150</v>
      </c>
      <c r="I656" s="63" t="s">
        <v>1150</v>
      </c>
      <c r="J656" s="314">
        <v>3760</v>
      </c>
      <c r="K656" s="59" t="s">
        <v>28</v>
      </c>
      <c r="L656" s="59" t="s">
        <v>73</v>
      </c>
      <c r="M656" s="59" t="s">
        <v>65</v>
      </c>
      <c r="N656" s="315">
        <v>3760</v>
      </c>
      <c r="O656" s="316">
        <f t="shared" si="37"/>
        <v>0</v>
      </c>
      <c r="P656" s="95">
        <v>45320</v>
      </c>
      <c r="Q656" s="61">
        <f t="shared" si="36"/>
        <v>45320</v>
      </c>
      <c r="R656" s="59"/>
      <c r="S656" s="59"/>
      <c r="T656" s="59" t="s">
        <v>1152</v>
      </c>
      <c r="U656" s="59" t="str">
        <f>VLOOKUP(T656,[1]区域划分!$A$1:$C$39,3,0)</f>
        <v>饶亚龙</v>
      </c>
      <c r="V656" s="59"/>
      <c r="W656" s="68"/>
      <c r="X656" s="68"/>
      <c r="Y656" s="68"/>
    </row>
    <row r="657" s="17" customFormat="1" hidden="1" customHeight="1" spans="1:25">
      <c r="A657" s="59">
        <v>655</v>
      </c>
      <c r="B657" s="60" t="s">
        <v>1516</v>
      </c>
      <c r="C657" s="61">
        <f t="shared" si="34"/>
        <v>45056</v>
      </c>
      <c r="D657" s="62" t="str">
        <f ca="1" t="shared" si="35"/>
        <v>一年以上</v>
      </c>
      <c r="E657" s="313">
        <v>45056</v>
      </c>
      <c r="F657" s="59" t="s">
        <v>130</v>
      </c>
      <c r="G657" s="59" t="s">
        <v>1372</v>
      </c>
      <c r="H657" s="63" t="s">
        <v>863</v>
      </c>
      <c r="I657" s="63" t="s">
        <v>863</v>
      </c>
      <c r="J657" s="314">
        <v>7800</v>
      </c>
      <c r="K657" s="59" t="s">
        <v>28</v>
      </c>
      <c r="L657" s="59" t="s">
        <v>73</v>
      </c>
      <c r="M657" s="59" t="s">
        <v>133</v>
      </c>
      <c r="N657" s="315">
        <v>7800</v>
      </c>
      <c r="O657" s="316">
        <f t="shared" si="37"/>
        <v>0</v>
      </c>
      <c r="P657" s="95">
        <v>45230</v>
      </c>
      <c r="Q657" s="61">
        <f t="shared" si="36"/>
        <v>45230</v>
      </c>
      <c r="R657" s="59" t="s">
        <v>1077</v>
      </c>
      <c r="S657" s="59" t="s">
        <v>1517</v>
      </c>
      <c r="T657" s="59"/>
      <c r="U657" s="59"/>
      <c r="V657" s="59"/>
      <c r="W657" s="68"/>
      <c r="X657" s="68"/>
      <c r="Y657" s="68"/>
    </row>
    <row r="658" s="17" customFormat="1" hidden="1" customHeight="1" spans="1:25">
      <c r="A658" s="59">
        <v>656</v>
      </c>
      <c r="B658" s="60" t="s">
        <v>1518</v>
      </c>
      <c r="C658" s="61">
        <f t="shared" si="34"/>
        <v>45057</v>
      </c>
      <c r="D658" s="62" t="str">
        <f ca="1" t="shared" si="35"/>
        <v>一年以上</v>
      </c>
      <c r="E658" s="313">
        <v>45057</v>
      </c>
      <c r="F658" s="59" t="s">
        <v>632</v>
      </c>
      <c r="G658" s="59" t="s">
        <v>450</v>
      </c>
      <c r="H658" s="63" t="s">
        <v>1519</v>
      </c>
      <c r="I658" s="63" t="s">
        <v>1519</v>
      </c>
      <c r="J658" s="314">
        <v>3000</v>
      </c>
      <c r="K658" s="59" t="s">
        <v>28</v>
      </c>
      <c r="L658" s="59" t="s">
        <v>73</v>
      </c>
      <c r="M658" s="59" t="s">
        <v>968</v>
      </c>
      <c r="N658" s="315">
        <v>3000</v>
      </c>
      <c r="O658" s="316">
        <f t="shared" si="37"/>
        <v>0</v>
      </c>
      <c r="P658" s="95">
        <v>45058</v>
      </c>
      <c r="Q658" s="61">
        <f t="shared" si="36"/>
        <v>45058</v>
      </c>
      <c r="R658" s="59" t="s">
        <v>1520</v>
      </c>
      <c r="S658" s="59" t="s">
        <v>1521</v>
      </c>
      <c r="T658" s="59"/>
      <c r="U658" s="59"/>
      <c r="V658" s="59"/>
      <c r="W658" s="68"/>
      <c r="X658" s="68"/>
      <c r="Y658" s="68"/>
    </row>
    <row r="659" s="17" customFormat="1" hidden="1" customHeight="1" spans="1:25">
      <c r="A659" s="59">
        <v>657</v>
      </c>
      <c r="B659" s="60">
        <v>657</v>
      </c>
      <c r="C659" s="61">
        <f t="shared" si="34"/>
        <v>45058</v>
      </c>
      <c r="D659" s="62" t="str">
        <f ca="1" t="shared" si="35"/>
        <v>一年以上</v>
      </c>
      <c r="E659" s="313">
        <v>45058</v>
      </c>
      <c r="F659" s="59" t="s">
        <v>70</v>
      </c>
      <c r="G659" s="59" t="s">
        <v>239</v>
      </c>
      <c r="H659" s="63" t="s">
        <v>1522</v>
      </c>
      <c r="I659" s="63" t="s">
        <v>1522</v>
      </c>
      <c r="J659" s="314">
        <v>32300</v>
      </c>
      <c r="K659" s="59" t="s">
        <v>28</v>
      </c>
      <c r="L659" s="59" t="s">
        <v>73</v>
      </c>
      <c r="M659" s="59" t="s">
        <v>941</v>
      </c>
      <c r="N659" s="315">
        <v>32300</v>
      </c>
      <c r="O659" s="316">
        <f t="shared" si="37"/>
        <v>0</v>
      </c>
      <c r="P659" s="95">
        <v>45741</v>
      </c>
      <c r="Q659" s="61">
        <f t="shared" si="36"/>
        <v>45741</v>
      </c>
      <c r="R659" s="59"/>
      <c r="S659" s="59" t="s">
        <v>1523</v>
      </c>
      <c r="T659" s="59" t="s">
        <v>581</v>
      </c>
      <c r="U659" s="59" t="str">
        <f>VLOOKUP(T659,[1]区域划分!$A$1:$C$39,3,0)</f>
        <v>新疆</v>
      </c>
      <c r="V659" s="59"/>
      <c r="W659" s="68"/>
      <c r="X659" s="68"/>
      <c r="Y659" s="68"/>
    </row>
    <row r="660" s="17" customFormat="1" hidden="1" customHeight="1" spans="1:25">
      <c r="A660" s="59">
        <v>658</v>
      </c>
      <c r="B660" s="60" t="s">
        <v>1524</v>
      </c>
      <c r="C660" s="61">
        <f t="shared" si="34"/>
        <v>45058</v>
      </c>
      <c r="D660" s="62" t="str">
        <f ca="1" t="shared" si="35"/>
        <v>一年以上</v>
      </c>
      <c r="E660" s="313">
        <v>45058</v>
      </c>
      <c r="F660" s="59" t="s">
        <v>70</v>
      </c>
      <c r="G660" s="59" t="s">
        <v>149</v>
      </c>
      <c r="H660" s="63" t="s">
        <v>612</v>
      </c>
      <c r="I660" s="63" t="s">
        <v>612</v>
      </c>
      <c r="J660" s="314">
        <v>2000</v>
      </c>
      <c r="K660" s="59" t="s">
        <v>28</v>
      </c>
      <c r="L660" s="59" t="s">
        <v>73</v>
      </c>
      <c r="M660" s="59" t="s">
        <v>65</v>
      </c>
      <c r="N660" s="315">
        <v>2000</v>
      </c>
      <c r="O660" s="316">
        <f t="shared" si="37"/>
        <v>0</v>
      </c>
      <c r="P660" s="95">
        <v>45128</v>
      </c>
      <c r="Q660" s="61">
        <f t="shared" si="36"/>
        <v>45128</v>
      </c>
      <c r="R660" s="59"/>
      <c r="S660" s="59" t="s">
        <v>1525</v>
      </c>
      <c r="T660" s="59"/>
      <c r="U660" s="59"/>
      <c r="V660" s="59"/>
      <c r="W660" s="68"/>
      <c r="X660" s="68"/>
      <c r="Y660" s="68"/>
    </row>
    <row r="661" s="17" customFormat="1" hidden="1" customHeight="1" spans="1:25">
      <c r="A661" s="59">
        <v>659</v>
      </c>
      <c r="B661" s="60" t="s">
        <v>1526</v>
      </c>
      <c r="C661" s="61">
        <f t="shared" si="34"/>
        <v>45062</v>
      </c>
      <c r="D661" s="62" t="str">
        <f ca="1" t="shared" si="35"/>
        <v>一年以上</v>
      </c>
      <c r="E661" s="313">
        <v>45062</v>
      </c>
      <c r="F661" s="59" t="s">
        <v>632</v>
      </c>
      <c r="G661" s="59" t="s">
        <v>993</v>
      </c>
      <c r="H661" s="63" t="s">
        <v>1527</v>
      </c>
      <c r="I661" s="63" t="s">
        <v>1527</v>
      </c>
      <c r="J661" s="314">
        <v>20000</v>
      </c>
      <c r="K661" s="59" t="s">
        <v>28</v>
      </c>
      <c r="L661" s="59" t="s">
        <v>73</v>
      </c>
      <c r="M661" s="59" t="s">
        <v>30</v>
      </c>
      <c r="N661" s="315">
        <v>20000</v>
      </c>
      <c r="O661" s="316">
        <f t="shared" si="37"/>
        <v>0</v>
      </c>
      <c r="P661" s="95">
        <v>45107</v>
      </c>
      <c r="Q661" s="61">
        <f t="shared" si="36"/>
        <v>45107</v>
      </c>
      <c r="R661" s="59"/>
      <c r="S661" s="59" t="s">
        <v>1528</v>
      </c>
      <c r="T661" s="59"/>
      <c r="U661" s="59"/>
      <c r="V661" s="59"/>
      <c r="W661" s="68"/>
      <c r="X661" s="68"/>
      <c r="Y661" s="68"/>
    </row>
    <row r="662" s="17" customFormat="1" hidden="1" customHeight="1" spans="1:25">
      <c r="A662" s="59">
        <v>660</v>
      </c>
      <c r="B662" s="60" t="s">
        <v>1529</v>
      </c>
      <c r="C662" s="61">
        <f t="shared" si="34"/>
        <v>45065</v>
      </c>
      <c r="D662" s="62" t="str">
        <f ca="1" t="shared" si="35"/>
        <v>一年以上</v>
      </c>
      <c r="E662" s="313">
        <v>45065</v>
      </c>
      <c r="F662" s="59" t="s">
        <v>632</v>
      </c>
      <c r="G662" s="59" t="s">
        <v>450</v>
      </c>
      <c r="H662" s="63" t="s">
        <v>215</v>
      </c>
      <c r="I662" s="63" t="s">
        <v>215</v>
      </c>
      <c r="J662" s="314">
        <v>10000</v>
      </c>
      <c r="K662" s="59" t="s">
        <v>28</v>
      </c>
      <c r="L662" s="59" t="s">
        <v>73</v>
      </c>
      <c r="M662" s="59" t="s">
        <v>30</v>
      </c>
      <c r="N662" s="315">
        <v>10000</v>
      </c>
      <c r="O662" s="316">
        <f t="shared" si="37"/>
        <v>0</v>
      </c>
      <c r="P662" s="95">
        <v>45259</v>
      </c>
      <c r="Q662" s="61">
        <f t="shared" si="36"/>
        <v>45259</v>
      </c>
      <c r="R662" s="59"/>
      <c r="S662" s="59" t="s">
        <v>1530</v>
      </c>
      <c r="T662" s="59" t="s">
        <v>49</v>
      </c>
      <c r="U662" s="59" t="str">
        <f>VLOOKUP(T662,[1]区域划分!$A$1:$C$39,3,0)</f>
        <v>龚运谱</v>
      </c>
      <c r="V662" s="59"/>
      <c r="W662" s="68"/>
      <c r="X662" s="68"/>
      <c r="Y662" s="68"/>
    </row>
    <row r="663" s="17" customFormat="1" hidden="1" customHeight="1" spans="1:25">
      <c r="A663" s="59">
        <v>661</v>
      </c>
      <c r="B663" s="60" t="s">
        <v>1531</v>
      </c>
      <c r="C663" s="61">
        <f t="shared" si="34"/>
        <v>45068</v>
      </c>
      <c r="D663" s="62" t="str">
        <f ca="1" t="shared" si="35"/>
        <v>一年以上</v>
      </c>
      <c r="E663" s="313">
        <v>45068</v>
      </c>
      <c r="F663" s="59" t="s">
        <v>632</v>
      </c>
      <c r="G663" s="59" t="s">
        <v>993</v>
      </c>
      <c r="H663" s="63" t="s">
        <v>115</v>
      </c>
      <c r="I663" s="63" t="s">
        <v>115</v>
      </c>
      <c r="J663" s="314">
        <v>20000</v>
      </c>
      <c r="K663" s="59" t="s">
        <v>356</v>
      </c>
      <c r="L663" s="59" t="s">
        <v>73</v>
      </c>
      <c r="M663" s="59" t="s">
        <v>30</v>
      </c>
      <c r="N663" s="315">
        <v>20000</v>
      </c>
      <c r="O663" s="316">
        <f t="shared" si="37"/>
        <v>0</v>
      </c>
      <c r="P663" s="95">
        <v>45084</v>
      </c>
      <c r="Q663" s="61">
        <f t="shared" si="36"/>
        <v>45084</v>
      </c>
      <c r="R663" s="59"/>
      <c r="S663" s="59" t="s">
        <v>1532</v>
      </c>
      <c r="T663" s="59"/>
      <c r="U663" s="59"/>
      <c r="V663" s="59" t="s">
        <v>1533</v>
      </c>
      <c r="W663" s="68"/>
      <c r="X663" s="68"/>
      <c r="Y663" s="68"/>
    </row>
    <row r="664" s="17" customFormat="1" hidden="1" customHeight="1" spans="1:25">
      <c r="A664" s="59">
        <v>662</v>
      </c>
      <c r="B664" s="60" t="s">
        <v>1534</v>
      </c>
      <c r="C664" s="61">
        <f t="shared" si="34"/>
        <v>45068</v>
      </c>
      <c r="D664" s="62" t="str">
        <f ca="1" t="shared" si="35"/>
        <v>一年以上</v>
      </c>
      <c r="E664" s="313">
        <v>45068</v>
      </c>
      <c r="F664" s="59" t="s">
        <v>632</v>
      </c>
      <c r="G664" s="59" t="s">
        <v>993</v>
      </c>
      <c r="H664" s="63" t="s">
        <v>1005</v>
      </c>
      <c r="I664" s="63" t="s">
        <v>1005</v>
      </c>
      <c r="J664" s="314">
        <v>20000</v>
      </c>
      <c r="K664" s="59" t="s">
        <v>356</v>
      </c>
      <c r="L664" s="59" t="s">
        <v>73</v>
      </c>
      <c r="M664" s="59" t="s">
        <v>30</v>
      </c>
      <c r="N664" s="315">
        <v>20000</v>
      </c>
      <c r="O664" s="316">
        <f t="shared" si="37"/>
        <v>0</v>
      </c>
      <c r="P664" s="95">
        <v>45133</v>
      </c>
      <c r="Q664" s="61">
        <f t="shared" si="36"/>
        <v>45133</v>
      </c>
      <c r="R664" s="59"/>
      <c r="S664" s="59" t="s">
        <v>1535</v>
      </c>
      <c r="T664" s="59"/>
      <c r="U664" s="59"/>
      <c r="V664" s="59"/>
      <c r="W664" s="68"/>
      <c r="X664" s="68"/>
      <c r="Y664" s="68"/>
    </row>
    <row r="665" s="17" customFormat="1" hidden="1" customHeight="1" spans="1:25">
      <c r="A665" s="59">
        <v>663</v>
      </c>
      <c r="B665" s="60" t="s">
        <v>1536</v>
      </c>
      <c r="C665" s="61">
        <f t="shared" si="34"/>
        <v>45070</v>
      </c>
      <c r="D665" s="62" t="str">
        <f ca="1" t="shared" si="35"/>
        <v>一年以上</v>
      </c>
      <c r="E665" s="313">
        <v>45070</v>
      </c>
      <c r="F665" s="59" t="s">
        <v>632</v>
      </c>
      <c r="G665" s="59" t="s">
        <v>450</v>
      </c>
      <c r="H665" s="63" t="s">
        <v>1537</v>
      </c>
      <c r="I665" s="63" t="s">
        <v>1537</v>
      </c>
      <c r="J665" s="314">
        <v>20000</v>
      </c>
      <c r="K665" s="59" t="s">
        <v>28</v>
      </c>
      <c r="L665" s="59" t="s">
        <v>73</v>
      </c>
      <c r="M665" s="59" t="s">
        <v>30</v>
      </c>
      <c r="N665" s="315">
        <v>20000</v>
      </c>
      <c r="O665" s="316">
        <f t="shared" si="37"/>
        <v>0</v>
      </c>
      <c r="P665" s="95">
        <v>45085</v>
      </c>
      <c r="Q665" s="61">
        <f t="shared" si="36"/>
        <v>45085</v>
      </c>
      <c r="R665" s="59"/>
      <c r="S665" s="59" t="s">
        <v>1538</v>
      </c>
      <c r="T665" s="59"/>
      <c r="U665" s="59"/>
      <c r="V665" s="59"/>
      <c r="W665" s="68"/>
      <c r="X665" s="68"/>
      <c r="Y665" s="68"/>
    </row>
    <row r="666" s="17" customFormat="1" hidden="1" customHeight="1" spans="1:25">
      <c r="A666" s="59">
        <v>664</v>
      </c>
      <c r="B666" s="60" t="s">
        <v>1539</v>
      </c>
      <c r="C666" s="61">
        <v>45047</v>
      </c>
      <c r="D666" s="62" t="s">
        <v>1540</v>
      </c>
      <c r="E666" s="313">
        <v>45077</v>
      </c>
      <c r="F666" s="59" t="s">
        <v>632</v>
      </c>
      <c r="G666" s="59" t="s">
        <v>993</v>
      </c>
      <c r="H666" s="63" t="s">
        <v>1541</v>
      </c>
      <c r="I666" s="63" t="s">
        <v>1541</v>
      </c>
      <c r="J666" s="314">
        <v>12000</v>
      </c>
      <c r="K666" s="59" t="s">
        <v>28</v>
      </c>
      <c r="L666" s="59" t="s">
        <v>73</v>
      </c>
      <c r="M666" s="59" t="s">
        <v>30</v>
      </c>
      <c r="N666" s="315">
        <v>12000</v>
      </c>
      <c r="O666" s="316">
        <v>0</v>
      </c>
      <c r="P666" s="95">
        <v>45077</v>
      </c>
      <c r="Q666" s="61">
        <f t="shared" si="36"/>
        <v>45077</v>
      </c>
      <c r="R666" s="59"/>
      <c r="S666" s="59" t="s">
        <v>1542</v>
      </c>
      <c r="T666" s="59"/>
      <c r="U666" s="59"/>
      <c r="V666" s="59"/>
      <c r="W666" s="68"/>
      <c r="X666" s="68"/>
      <c r="Y666" s="68"/>
    </row>
    <row r="667" s="17" customFormat="1" hidden="1" customHeight="1" spans="1:25">
      <c r="A667" s="59">
        <v>665</v>
      </c>
      <c r="B667" s="60" t="s">
        <v>1543</v>
      </c>
      <c r="C667" s="61">
        <f t="shared" ref="C667:C677" si="38">E667</f>
        <v>45086</v>
      </c>
      <c r="D667" s="62" t="str">
        <f ca="1" t="shared" ref="D667:D730" si="39">IF(TODAY()-E667&lt;60,"2个月内",IF(TODAY()-E667&lt;180,"3-6个月",IF(TODAY()-E667&lt;360,"6个月-1年","一年以上")))</f>
        <v>一年以上</v>
      </c>
      <c r="E667" s="313">
        <v>45086</v>
      </c>
      <c r="F667" s="59" t="s">
        <v>632</v>
      </c>
      <c r="G667" s="59" t="s">
        <v>450</v>
      </c>
      <c r="H667" s="63" t="s">
        <v>1505</v>
      </c>
      <c r="I667" s="63" t="s">
        <v>1505</v>
      </c>
      <c r="J667" s="314">
        <v>1000</v>
      </c>
      <c r="K667" s="59" t="s">
        <v>28</v>
      </c>
      <c r="L667" s="59" t="s">
        <v>73</v>
      </c>
      <c r="M667" s="59" t="s">
        <v>30</v>
      </c>
      <c r="N667" s="315">
        <v>1000</v>
      </c>
      <c r="O667" s="316">
        <f t="shared" ref="O667:O730" si="40">J667-N667</f>
        <v>0</v>
      </c>
      <c r="P667" s="95">
        <v>45268</v>
      </c>
      <c r="Q667" s="61">
        <f t="shared" si="36"/>
        <v>45268</v>
      </c>
      <c r="R667" s="59" t="s">
        <v>1544</v>
      </c>
      <c r="S667" s="59" t="s">
        <v>1545</v>
      </c>
      <c r="T667" s="59" t="s">
        <v>720</v>
      </c>
      <c r="U667" s="59" t="str">
        <f>VLOOKUP(T667,[1]区域划分!$A$1:$C$39,3,0)</f>
        <v>杨春龙</v>
      </c>
      <c r="V667" s="59"/>
      <c r="W667" s="68"/>
      <c r="X667" s="68"/>
      <c r="Y667" s="68"/>
    </row>
    <row r="668" s="17" customFormat="1" hidden="1" customHeight="1" spans="1:25">
      <c r="A668" s="59">
        <v>666</v>
      </c>
      <c r="B668" s="60" t="s">
        <v>1546</v>
      </c>
      <c r="C668" s="61">
        <f t="shared" si="38"/>
        <v>45087</v>
      </c>
      <c r="D668" s="62" t="str">
        <f ca="1" t="shared" si="39"/>
        <v>一年以上</v>
      </c>
      <c r="E668" s="313">
        <v>45087</v>
      </c>
      <c r="F668" s="59" t="s">
        <v>632</v>
      </c>
      <c r="G668" s="59" t="s">
        <v>450</v>
      </c>
      <c r="H668" s="63" t="s">
        <v>1547</v>
      </c>
      <c r="I668" s="63" t="s">
        <v>1547</v>
      </c>
      <c r="J668" s="314">
        <v>20000</v>
      </c>
      <c r="K668" s="59" t="s">
        <v>28</v>
      </c>
      <c r="L668" s="59" t="s">
        <v>73</v>
      </c>
      <c r="M668" s="59" t="s">
        <v>30</v>
      </c>
      <c r="N668" s="315">
        <v>20000</v>
      </c>
      <c r="O668" s="316">
        <f t="shared" si="40"/>
        <v>0</v>
      </c>
      <c r="P668" s="95">
        <v>45316</v>
      </c>
      <c r="Q668" s="61">
        <f t="shared" si="36"/>
        <v>45316</v>
      </c>
      <c r="R668" s="59"/>
      <c r="S668" s="59" t="s">
        <v>1548</v>
      </c>
      <c r="T668" s="59" t="s">
        <v>581</v>
      </c>
      <c r="U668" s="59" t="str">
        <f>VLOOKUP(T668,[1]区域划分!$A$1:$C$39,3,0)</f>
        <v>新疆</v>
      </c>
      <c r="V668" s="59"/>
      <c r="W668" s="68"/>
      <c r="X668" s="68"/>
      <c r="Y668" s="68"/>
    </row>
    <row r="669" s="17" customFormat="1" hidden="1" customHeight="1" spans="1:25">
      <c r="A669" s="59">
        <v>667</v>
      </c>
      <c r="B669" s="60" t="s">
        <v>1549</v>
      </c>
      <c r="C669" s="61">
        <f t="shared" si="38"/>
        <v>45087</v>
      </c>
      <c r="D669" s="62" t="str">
        <f ca="1" t="shared" si="39"/>
        <v>一年以上</v>
      </c>
      <c r="E669" s="313">
        <v>45087</v>
      </c>
      <c r="F669" s="59" t="s">
        <v>632</v>
      </c>
      <c r="G669" s="59" t="s">
        <v>450</v>
      </c>
      <c r="H669" s="63" t="s">
        <v>1547</v>
      </c>
      <c r="I669" s="63" t="s">
        <v>1547</v>
      </c>
      <c r="J669" s="314">
        <v>200</v>
      </c>
      <c r="K669" s="59" t="s">
        <v>28</v>
      </c>
      <c r="L669" s="59" t="s">
        <v>73</v>
      </c>
      <c r="M669" s="59" t="s">
        <v>515</v>
      </c>
      <c r="N669" s="315"/>
      <c r="O669" s="316">
        <f t="shared" si="40"/>
        <v>200</v>
      </c>
      <c r="P669" s="95"/>
      <c r="Q669" s="61">
        <f t="shared" si="36"/>
        <v>0</v>
      </c>
      <c r="R669" s="59"/>
      <c r="S669" s="59" t="s">
        <v>1548</v>
      </c>
      <c r="T669" s="59" t="s">
        <v>581</v>
      </c>
      <c r="U669" s="59" t="str">
        <f>VLOOKUP(T669,[1]区域划分!$A$1:$C$39,3,0)</f>
        <v>新疆</v>
      </c>
      <c r="V669" s="59"/>
      <c r="W669" s="68"/>
      <c r="X669" s="68"/>
      <c r="Y669" s="68"/>
    </row>
    <row r="670" s="17" customFormat="1" hidden="1" customHeight="1" spans="1:25">
      <c r="A670" s="59">
        <v>668</v>
      </c>
      <c r="B670" s="60" t="s">
        <v>1550</v>
      </c>
      <c r="C670" s="61">
        <f t="shared" si="38"/>
        <v>45090</v>
      </c>
      <c r="D670" s="62" t="str">
        <f ca="1" t="shared" si="39"/>
        <v>一年以上</v>
      </c>
      <c r="E670" s="313">
        <v>45090</v>
      </c>
      <c r="F670" s="59" t="s">
        <v>632</v>
      </c>
      <c r="G670" s="59" t="s">
        <v>450</v>
      </c>
      <c r="H670" s="63" t="s">
        <v>1551</v>
      </c>
      <c r="I670" s="63" t="s">
        <v>1551</v>
      </c>
      <c r="J670" s="314">
        <v>5000</v>
      </c>
      <c r="K670" s="59" t="s">
        <v>356</v>
      </c>
      <c r="L670" s="59" t="s">
        <v>73</v>
      </c>
      <c r="M670" s="59" t="s">
        <v>30</v>
      </c>
      <c r="N670" s="315">
        <v>5000</v>
      </c>
      <c r="O670" s="316">
        <f t="shared" si="40"/>
        <v>0</v>
      </c>
      <c r="P670" s="95">
        <v>45105</v>
      </c>
      <c r="Q670" s="61">
        <f t="shared" si="36"/>
        <v>45105</v>
      </c>
      <c r="R670" s="59"/>
      <c r="S670" s="59" t="s">
        <v>1552</v>
      </c>
      <c r="T670" s="59"/>
      <c r="U670" s="59"/>
      <c r="V670" s="59"/>
      <c r="W670" s="68"/>
      <c r="X670" s="68"/>
      <c r="Y670" s="68"/>
    </row>
    <row r="671" s="17" customFormat="1" hidden="1" customHeight="1" spans="1:25">
      <c r="A671" s="59">
        <v>669</v>
      </c>
      <c r="B671" s="60" t="s">
        <v>1553</v>
      </c>
      <c r="C671" s="61">
        <f t="shared" si="38"/>
        <v>45092</v>
      </c>
      <c r="D671" s="62" t="str">
        <f ca="1" t="shared" si="39"/>
        <v>一年以上</v>
      </c>
      <c r="E671" s="313">
        <v>45092</v>
      </c>
      <c r="F671" s="59" t="s">
        <v>632</v>
      </c>
      <c r="G671" s="59" t="s">
        <v>450</v>
      </c>
      <c r="H671" s="63" t="s">
        <v>325</v>
      </c>
      <c r="I671" s="63" t="s">
        <v>325</v>
      </c>
      <c r="J671" s="314">
        <v>1000</v>
      </c>
      <c r="K671" s="59" t="s">
        <v>356</v>
      </c>
      <c r="L671" s="59" t="s">
        <v>73</v>
      </c>
      <c r="M671" s="59" t="s">
        <v>30</v>
      </c>
      <c r="N671" s="315">
        <v>1000</v>
      </c>
      <c r="O671" s="316">
        <f t="shared" si="40"/>
        <v>0</v>
      </c>
      <c r="P671" s="95">
        <v>45961</v>
      </c>
      <c r="Q671" s="61">
        <f t="shared" si="36"/>
        <v>45961</v>
      </c>
      <c r="R671" s="59"/>
      <c r="S671" s="59" t="s">
        <v>1554</v>
      </c>
      <c r="T671" s="59" t="s">
        <v>80</v>
      </c>
      <c r="U671" s="59" t="str">
        <f>VLOOKUP(T671,[1]区域划分!$A$1:$C$39,3,0)</f>
        <v>殷坤鹏</v>
      </c>
      <c r="V671" s="59"/>
      <c r="W671" s="68"/>
      <c r="X671" s="68"/>
      <c r="Y671" s="68"/>
    </row>
    <row r="672" s="17" customFormat="1" hidden="1" customHeight="1" spans="1:25">
      <c r="A672" s="59">
        <v>670</v>
      </c>
      <c r="B672" s="60" t="s">
        <v>1555</v>
      </c>
      <c r="C672" s="61">
        <f t="shared" si="38"/>
        <v>45092</v>
      </c>
      <c r="D672" s="62" t="str">
        <f ca="1" t="shared" si="39"/>
        <v>一年以上</v>
      </c>
      <c r="E672" s="313">
        <v>45092</v>
      </c>
      <c r="F672" s="59" t="s">
        <v>632</v>
      </c>
      <c r="G672" s="59" t="s">
        <v>450</v>
      </c>
      <c r="H672" s="63" t="s">
        <v>1556</v>
      </c>
      <c r="I672" s="63" t="s">
        <v>1556</v>
      </c>
      <c r="J672" s="314">
        <v>10000</v>
      </c>
      <c r="K672" s="59" t="s">
        <v>28</v>
      </c>
      <c r="L672" s="59" t="s">
        <v>73</v>
      </c>
      <c r="M672" s="59" t="s">
        <v>30</v>
      </c>
      <c r="N672" s="315">
        <v>10000</v>
      </c>
      <c r="O672" s="316">
        <f t="shared" si="40"/>
        <v>0</v>
      </c>
      <c r="P672" s="95">
        <v>45114</v>
      </c>
      <c r="Q672" s="61">
        <f t="shared" si="36"/>
        <v>45114</v>
      </c>
      <c r="R672" s="59"/>
      <c r="S672" s="59" t="s">
        <v>1557</v>
      </c>
      <c r="T672" s="59"/>
      <c r="U672" s="59"/>
      <c r="V672" s="59"/>
      <c r="W672" s="68"/>
      <c r="X672" s="68"/>
      <c r="Y672" s="68"/>
    </row>
    <row r="673" s="17" customFormat="1" hidden="1" customHeight="1" spans="1:25">
      <c r="A673" s="59">
        <v>671</v>
      </c>
      <c r="B673" s="60" t="s">
        <v>1558</v>
      </c>
      <c r="C673" s="61">
        <f t="shared" si="38"/>
        <v>45092</v>
      </c>
      <c r="D673" s="62" t="str">
        <f ca="1" t="shared" si="39"/>
        <v>一年以上</v>
      </c>
      <c r="E673" s="313">
        <v>45092</v>
      </c>
      <c r="F673" s="59" t="s">
        <v>632</v>
      </c>
      <c r="G673" s="59" t="s">
        <v>450</v>
      </c>
      <c r="H673" s="63" t="s">
        <v>1556</v>
      </c>
      <c r="I673" s="63" t="s">
        <v>1556</v>
      </c>
      <c r="J673" s="314">
        <v>220</v>
      </c>
      <c r="K673" s="59" t="s">
        <v>28</v>
      </c>
      <c r="L673" s="59" t="s">
        <v>73</v>
      </c>
      <c r="M673" s="59" t="s">
        <v>515</v>
      </c>
      <c r="N673" s="315"/>
      <c r="O673" s="316">
        <f t="shared" si="40"/>
        <v>220</v>
      </c>
      <c r="P673" s="95"/>
      <c r="Q673" s="61">
        <f t="shared" si="36"/>
        <v>0</v>
      </c>
      <c r="R673" s="59"/>
      <c r="S673" s="59" t="s">
        <v>1557</v>
      </c>
      <c r="T673" s="59" t="s">
        <v>720</v>
      </c>
      <c r="U673" s="59" t="str">
        <f>VLOOKUP(T673,[1]区域划分!$A$1:$C$39,3,0)</f>
        <v>杨春龙</v>
      </c>
      <c r="V673" s="59"/>
      <c r="W673" s="68"/>
      <c r="X673" s="68"/>
      <c r="Y673" s="68"/>
    </row>
    <row r="674" s="17" customFormat="1" hidden="1" customHeight="1" spans="1:25">
      <c r="A674" s="59">
        <v>672</v>
      </c>
      <c r="B674" s="60" t="s">
        <v>1559</v>
      </c>
      <c r="C674" s="61">
        <f t="shared" si="38"/>
        <v>45098</v>
      </c>
      <c r="D674" s="62" t="str">
        <f ca="1" t="shared" si="39"/>
        <v>一年以上</v>
      </c>
      <c r="E674" s="313">
        <v>45098</v>
      </c>
      <c r="F674" s="59" t="s">
        <v>632</v>
      </c>
      <c r="G674" s="59" t="s">
        <v>450</v>
      </c>
      <c r="H674" s="63" t="s">
        <v>912</v>
      </c>
      <c r="I674" s="63" t="s">
        <v>912</v>
      </c>
      <c r="J674" s="314">
        <v>6000</v>
      </c>
      <c r="K674" s="59" t="s">
        <v>28</v>
      </c>
      <c r="L674" s="59" t="s">
        <v>73</v>
      </c>
      <c r="M674" s="59" t="s">
        <v>30</v>
      </c>
      <c r="N674" s="315">
        <v>6000</v>
      </c>
      <c r="O674" s="316">
        <f t="shared" si="40"/>
        <v>0</v>
      </c>
      <c r="P674" s="95">
        <v>45106</v>
      </c>
      <c r="Q674" s="61">
        <f t="shared" si="36"/>
        <v>45106</v>
      </c>
      <c r="R674" s="59"/>
      <c r="S674" s="59" t="s">
        <v>1560</v>
      </c>
      <c r="T674" s="59"/>
      <c r="U674" s="59"/>
      <c r="V674" s="59"/>
      <c r="W674" s="68"/>
      <c r="X674" s="68"/>
      <c r="Y674" s="68"/>
    </row>
    <row r="675" s="17" customFormat="1" hidden="1" customHeight="1" spans="1:25">
      <c r="A675" s="59">
        <v>673</v>
      </c>
      <c r="B675" s="60" t="s">
        <v>1561</v>
      </c>
      <c r="C675" s="61">
        <f t="shared" si="38"/>
        <v>45098</v>
      </c>
      <c r="D675" s="62" t="str">
        <f ca="1" t="shared" si="39"/>
        <v>一年以上</v>
      </c>
      <c r="E675" s="313">
        <v>45098</v>
      </c>
      <c r="F675" s="59" t="s">
        <v>632</v>
      </c>
      <c r="G675" s="59" t="s">
        <v>450</v>
      </c>
      <c r="H675" s="63" t="s">
        <v>912</v>
      </c>
      <c r="I675" s="63" t="s">
        <v>912</v>
      </c>
      <c r="J675" s="314">
        <v>200</v>
      </c>
      <c r="K675" s="59" t="s">
        <v>28</v>
      </c>
      <c r="L675" s="59" t="s">
        <v>73</v>
      </c>
      <c r="M675" s="59" t="s">
        <v>515</v>
      </c>
      <c r="N675" s="315"/>
      <c r="O675" s="316">
        <f t="shared" si="40"/>
        <v>200</v>
      </c>
      <c r="P675" s="95"/>
      <c r="Q675" s="61">
        <f t="shared" si="36"/>
        <v>0</v>
      </c>
      <c r="R675" s="59"/>
      <c r="S675" s="59" t="s">
        <v>1560</v>
      </c>
      <c r="T675" s="59" t="s">
        <v>581</v>
      </c>
      <c r="U675" s="59" t="str">
        <f>VLOOKUP(T675,[1]区域划分!$A$1:$C$39,3,0)</f>
        <v>新疆</v>
      </c>
      <c r="V675" s="59"/>
      <c r="W675" s="68"/>
      <c r="X675" s="68"/>
      <c r="Y675" s="68"/>
    </row>
    <row r="676" s="17" customFormat="1" hidden="1" customHeight="1" spans="1:25">
      <c r="A676" s="59">
        <v>674</v>
      </c>
      <c r="B676" s="60" t="s">
        <v>1562</v>
      </c>
      <c r="C676" s="61">
        <f t="shared" si="38"/>
        <v>45098</v>
      </c>
      <c r="D676" s="62" t="str">
        <f ca="1" t="shared" si="39"/>
        <v>一年以上</v>
      </c>
      <c r="E676" s="313">
        <v>45098</v>
      </c>
      <c r="F676" s="59" t="s">
        <v>70</v>
      </c>
      <c r="G676" s="59" t="s">
        <v>1563</v>
      </c>
      <c r="H676" s="63" t="s">
        <v>578</v>
      </c>
      <c r="I676" s="63" t="s">
        <v>578</v>
      </c>
      <c r="J676" s="314">
        <v>10000</v>
      </c>
      <c r="K676" s="59" t="s">
        <v>28</v>
      </c>
      <c r="L676" s="59" t="s">
        <v>73</v>
      </c>
      <c r="M676" s="59" t="s">
        <v>65</v>
      </c>
      <c r="N676" s="315">
        <v>10000</v>
      </c>
      <c r="O676" s="316">
        <f t="shared" si="40"/>
        <v>0</v>
      </c>
      <c r="P676" s="95">
        <v>45943</v>
      </c>
      <c r="Q676" s="61">
        <f t="shared" si="36"/>
        <v>45943</v>
      </c>
      <c r="R676" s="59"/>
      <c r="S676" s="59" t="s">
        <v>1564</v>
      </c>
      <c r="T676" s="59" t="s">
        <v>581</v>
      </c>
      <c r="U676" s="59" t="str">
        <f>VLOOKUP(T676,[1]区域划分!$A$1:$C$39,3,0)</f>
        <v>新疆</v>
      </c>
      <c r="V676" s="59"/>
      <c r="W676" s="68"/>
      <c r="X676" s="68"/>
      <c r="Y676" s="68"/>
    </row>
    <row r="677" s="17" customFormat="1" hidden="1" customHeight="1" spans="1:25">
      <c r="A677" s="59">
        <v>675</v>
      </c>
      <c r="B677" s="60" t="s">
        <v>1565</v>
      </c>
      <c r="C677" s="61">
        <f t="shared" si="38"/>
        <v>45103</v>
      </c>
      <c r="D677" s="62" t="str">
        <f ca="1" t="shared" si="39"/>
        <v>一年以上</v>
      </c>
      <c r="E677" s="313">
        <v>45103</v>
      </c>
      <c r="F677" s="59" t="s">
        <v>632</v>
      </c>
      <c r="G677" s="59" t="s">
        <v>450</v>
      </c>
      <c r="H677" s="63" t="s">
        <v>1505</v>
      </c>
      <c r="I677" s="63" t="s">
        <v>1505</v>
      </c>
      <c r="J677" s="314">
        <v>2000</v>
      </c>
      <c r="K677" s="59" t="s">
        <v>28</v>
      </c>
      <c r="L677" s="59" t="s">
        <v>73</v>
      </c>
      <c r="M677" s="59" t="s">
        <v>30</v>
      </c>
      <c r="N677" s="315">
        <v>2000</v>
      </c>
      <c r="O677" s="316">
        <f t="shared" si="40"/>
        <v>0</v>
      </c>
      <c r="P677" s="95">
        <v>45268</v>
      </c>
      <c r="Q677" s="61">
        <f t="shared" si="36"/>
        <v>45268</v>
      </c>
      <c r="R677" s="59" t="s">
        <v>1544</v>
      </c>
      <c r="S677" s="59" t="s">
        <v>1566</v>
      </c>
      <c r="T677" s="59" t="s">
        <v>720</v>
      </c>
      <c r="U677" s="59" t="str">
        <f>VLOOKUP(T677,[1]区域划分!$A$1:$C$39,3,0)</f>
        <v>杨春龙</v>
      </c>
      <c r="V677" s="59"/>
      <c r="W677" s="68"/>
      <c r="X677" s="68"/>
      <c r="Y677" s="68"/>
    </row>
    <row r="678" s="17" customFormat="1" hidden="1" customHeight="1" spans="1:25">
      <c r="A678" s="59">
        <v>676</v>
      </c>
      <c r="B678" s="60" t="s">
        <v>1567</v>
      </c>
      <c r="C678" s="61">
        <v>45078</v>
      </c>
      <c r="D678" s="62" t="str">
        <f ca="1" t="shared" si="39"/>
        <v>一年以上</v>
      </c>
      <c r="E678" s="313">
        <v>45103</v>
      </c>
      <c r="F678" s="59" t="s">
        <v>632</v>
      </c>
      <c r="G678" s="59" t="s">
        <v>450</v>
      </c>
      <c r="H678" s="63" t="s">
        <v>1568</v>
      </c>
      <c r="I678" s="63" t="s">
        <v>1569</v>
      </c>
      <c r="J678" s="314">
        <v>20000</v>
      </c>
      <c r="K678" s="59" t="s">
        <v>28</v>
      </c>
      <c r="L678" s="59" t="s">
        <v>73</v>
      </c>
      <c r="M678" s="59" t="s">
        <v>30</v>
      </c>
      <c r="N678" s="315">
        <v>20000</v>
      </c>
      <c r="O678" s="316">
        <f t="shared" si="40"/>
        <v>0</v>
      </c>
      <c r="P678" s="95">
        <v>45119</v>
      </c>
      <c r="Q678" s="61">
        <f t="shared" si="36"/>
        <v>45119</v>
      </c>
      <c r="R678" s="59"/>
      <c r="S678" s="59" t="s">
        <v>1570</v>
      </c>
      <c r="T678" s="59"/>
      <c r="U678" s="59"/>
      <c r="V678" s="59"/>
      <c r="W678" s="68"/>
      <c r="X678" s="68"/>
      <c r="Y678" s="68"/>
    </row>
    <row r="679" s="17" customFormat="1" hidden="1" customHeight="1" spans="1:25">
      <c r="A679" s="59">
        <v>677</v>
      </c>
      <c r="B679" s="60" t="s">
        <v>1571</v>
      </c>
      <c r="C679" s="61">
        <f>E679</f>
        <v>45105</v>
      </c>
      <c r="D679" s="62" t="str">
        <f ca="1" t="shared" si="39"/>
        <v>一年以上</v>
      </c>
      <c r="E679" s="313">
        <v>45105</v>
      </c>
      <c r="F679" s="59" t="s">
        <v>70</v>
      </c>
      <c r="G679" s="59" t="s">
        <v>434</v>
      </c>
      <c r="H679" s="63" t="s">
        <v>605</v>
      </c>
      <c r="I679" s="63" t="s">
        <v>605</v>
      </c>
      <c r="J679" s="314">
        <v>2750</v>
      </c>
      <c r="K679" s="59" t="s">
        <v>28</v>
      </c>
      <c r="L679" s="59" t="s">
        <v>73</v>
      </c>
      <c r="M679" s="59" t="s">
        <v>65</v>
      </c>
      <c r="N679" s="315">
        <v>2750</v>
      </c>
      <c r="O679" s="316">
        <f t="shared" si="40"/>
        <v>0</v>
      </c>
      <c r="P679" s="95">
        <v>45176</v>
      </c>
      <c r="Q679" s="61">
        <f t="shared" si="36"/>
        <v>45176</v>
      </c>
      <c r="R679" s="59"/>
      <c r="S679" s="59" t="s">
        <v>1000</v>
      </c>
      <c r="T679" s="59"/>
      <c r="U679" s="59"/>
      <c r="V679" s="59"/>
      <c r="W679" s="68"/>
      <c r="X679" s="68"/>
      <c r="Y679" s="68"/>
    </row>
    <row r="680" s="17" customFormat="1" hidden="1" customHeight="1" spans="1:25">
      <c r="A680" s="59">
        <v>678</v>
      </c>
      <c r="B680" s="60" t="s">
        <v>1572</v>
      </c>
      <c r="C680" s="61">
        <v>45078</v>
      </c>
      <c r="D680" s="62" t="str">
        <f ca="1" t="shared" si="39"/>
        <v>一年以上</v>
      </c>
      <c r="E680" s="313">
        <v>45109</v>
      </c>
      <c r="F680" s="59" t="s">
        <v>632</v>
      </c>
      <c r="G680" s="59" t="s">
        <v>450</v>
      </c>
      <c r="H680" s="63" t="s">
        <v>188</v>
      </c>
      <c r="I680" s="63" t="s">
        <v>188</v>
      </c>
      <c r="J680" s="314">
        <v>10000</v>
      </c>
      <c r="K680" s="59" t="s">
        <v>28</v>
      </c>
      <c r="L680" s="59" t="s">
        <v>73</v>
      </c>
      <c r="M680" s="59" t="s">
        <v>30</v>
      </c>
      <c r="N680" s="315">
        <v>10000</v>
      </c>
      <c r="O680" s="316">
        <f t="shared" si="40"/>
        <v>0</v>
      </c>
      <c r="P680" s="95">
        <v>45156</v>
      </c>
      <c r="Q680" s="61">
        <f t="shared" si="36"/>
        <v>45156</v>
      </c>
      <c r="R680" s="59"/>
      <c r="S680" s="59" t="s">
        <v>1573</v>
      </c>
      <c r="T680" s="59"/>
      <c r="U680" s="59"/>
      <c r="V680" s="59"/>
      <c r="W680" s="68"/>
      <c r="X680" s="68"/>
      <c r="Y680" s="68"/>
    </row>
    <row r="681" s="17" customFormat="1" hidden="1" customHeight="1" spans="1:25">
      <c r="A681" s="59">
        <v>679</v>
      </c>
      <c r="B681" s="60" t="s">
        <v>1574</v>
      </c>
      <c r="C681" s="61">
        <f t="shared" ref="C681:C743" si="41">E681</f>
        <v>45112</v>
      </c>
      <c r="D681" s="62" t="str">
        <f ca="1" t="shared" si="39"/>
        <v>一年以上</v>
      </c>
      <c r="E681" s="313">
        <v>45112</v>
      </c>
      <c r="F681" s="59" t="s">
        <v>632</v>
      </c>
      <c r="G681" s="59" t="s">
        <v>993</v>
      </c>
      <c r="H681" s="63" t="s">
        <v>1290</v>
      </c>
      <c r="I681" s="63" t="s">
        <v>1290</v>
      </c>
      <c r="J681" s="314">
        <v>500</v>
      </c>
      <c r="K681" s="59" t="s">
        <v>28</v>
      </c>
      <c r="L681" s="59" t="s">
        <v>73</v>
      </c>
      <c r="M681" s="59" t="s">
        <v>515</v>
      </c>
      <c r="N681" s="315"/>
      <c r="O681" s="316">
        <f t="shared" si="40"/>
        <v>500</v>
      </c>
      <c r="P681" s="95"/>
      <c r="Q681" s="61">
        <f t="shared" si="36"/>
        <v>0</v>
      </c>
      <c r="R681" s="59"/>
      <c r="S681" s="59" t="s">
        <v>1575</v>
      </c>
      <c r="T681" s="59" t="s">
        <v>311</v>
      </c>
      <c r="U681" s="59" t="str">
        <f>VLOOKUP(T681,[1]区域划分!$A$1:$C$39,3,0)</f>
        <v>牛国庆</v>
      </c>
      <c r="V681" s="59"/>
      <c r="W681" s="68"/>
      <c r="X681" s="68"/>
      <c r="Y681" s="68"/>
    </row>
    <row r="682" s="17" customFormat="1" hidden="1" customHeight="1" spans="1:25">
      <c r="A682" s="59">
        <v>680</v>
      </c>
      <c r="B682" s="60" t="s">
        <v>1576</v>
      </c>
      <c r="C682" s="61">
        <f t="shared" si="41"/>
        <v>45112</v>
      </c>
      <c r="D682" s="62" t="str">
        <f ca="1" t="shared" si="39"/>
        <v>一年以上</v>
      </c>
      <c r="E682" s="313">
        <v>45112</v>
      </c>
      <c r="F682" s="59" t="s">
        <v>632</v>
      </c>
      <c r="G682" s="59" t="s">
        <v>993</v>
      </c>
      <c r="H682" s="63" t="s">
        <v>665</v>
      </c>
      <c r="I682" s="63" t="s">
        <v>665</v>
      </c>
      <c r="J682" s="314">
        <v>5000</v>
      </c>
      <c r="K682" s="59" t="s">
        <v>356</v>
      </c>
      <c r="L682" s="59" t="s">
        <v>73</v>
      </c>
      <c r="M682" s="59" t="s">
        <v>30</v>
      </c>
      <c r="N682" s="315">
        <v>5000</v>
      </c>
      <c r="O682" s="316">
        <f t="shared" si="40"/>
        <v>0</v>
      </c>
      <c r="P682" s="95">
        <v>45259</v>
      </c>
      <c r="Q682" s="61">
        <f t="shared" si="36"/>
        <v>45259</v>
      </c>
      <c r="R682" s="59"/>
      <c r="S682" s="59" t="s">
        <v>1577</v>
      </c>
      <c r="T682" s="59" t="s">
        <v>182</v>
      </c>
      <c r="U682" s="59" t="str">
        <f>VLOOKUP(T682,[1]区域划分!$A$1:$C$39,3,0)</f>
        <v>汪瑞青</v>
      </c>
      <c r="V682" s="59"/>
      <c r="W682" s="68"/>
      <c r="X682" s="68"/>
      <c r="Y682" s="68"/>
    </row>
    <row r="683" s="17" customFormat="1" hidden="1" customHeight="1" spans="1:25">
      <c r="A683" s="59">
        <v>681</v>
      </c>
      <c r="B683" s="60" t="s">
        <v>1578</v>
      </c>
      <c r="C683" s="61">
        <f t="shared" si="41"/>
        <v>45114</v>
      </c>
      <c r="D683" s="62" t="str">
        <f ca="1" t="shared" si="39"/>
        <v>一年以上</v>
      </c>
      <c r="E683" s="313">
        <v>45114</v>
      </c>
      <c r="F683" s="59" t="s">
        <v>632</v>
      </c>
      <c r="G683" s="59" t="s">
        <v>450</v>
      </c>
      <c r="H683" s="63" t="s">
        <v>325</v>
      </c>
      <c r="I683" s="63" t="s">
        <v>325</v>
      </c>
      <c r="J683" s="314">
        <v>2000</v>
      </c>
      <c r="K683" s="59" t="s">
        <v>356</v>
      </c>
      <c r="L683" s="59" t="s">
        <v>73</v>
      </c>
      <c r="M683" s="59" t="s">
        <v>30</v>
      </c>
      <c r="N683" s="315">
        <v>2000</v>
      </c>
      <c r="O683" s="316">
        <f t="shared" si="40"/>
        <v>0</v>
      </c>
      <c r="P683" s="95">
        <v>45169</v>
      </c>
      <c r="Q683" s="61">
        <f t="shared" si="36"/>
        <v>45169</v>
      </c>
      <c r="R683" s="59"/>
      <c r="S683" s="59" t="s">
        <v>1579</v>
      </c>
      <c r="T683" s="59"/>
      <c r="U683" s="59"/>
      <c r="V683" s="59"/>
      <c r="W683" s="68"/>
      <c r="X683" s="68"/>
      <c r="Y683" s="68"/>
    </row>
    <row r="684" s="17" customFormat="1" hidden="1" customHeight="1" spans="1:25">
      <c r="A684" s="59">
        <v>682</v>
      </c>
      <c r="B684" s="60" t="s">
        <v>1580</v>
      </c>
      <c r="C684" s="61">
        <f t="shared" si="41"/>
        <v>45114</v>
      </c>
      <c r="D684" s="62" t="str">
        <f ca="1" t="shared" si="39"/>
        <v>一年以上</v>
      </c>
      <c r="E684" s="313">
        <v>45114</v>
      </c>
      <c r="F684" s="59" t="s">
        <v>632</v>
      </c>
      <c r="G684" s="59" t="s">
        <v>450</v>
      </c>
      <c r="H684" s="63" t="s">
        <v>1259</v>
      </c>
      <c r="I684" s="63" t="s">
        <v>1259</v>
      </c>
      <c r="J684" s="314">
        <v>5000</v>
      </c>
      <c r="K684" s="59" t="s">
        <v>28</v>
      </c>
      <c r="L684" s="59" t="s">
        <v>73</v>
      </c>
      <c r="M684" s="59" t="s">
        <v>30</v>
      </c>
      <c r="N684" s="315">
        <v>3000</v>
      </c>
      <c r="O684" s="316">
        <f t="shared" si="40"/>
        <v>2000</v>
      </c>
      <c r="P684" s="95">
        <v>45138</v>
      </c>
      <c r="Q684" s="61">
        <f t="shared" si="36"/>
        <v>45138</v>
      </c>
      <c r="R684" s="59" t="s">
        <v>1581</v>
      </c>
      <c r="S684" s="59" t="s">
        <v>1582</v>
      </c>
      <c r="T684" s="59" t="s">
        <v>32</v>
      </c>
      <c r="U684" s="59" t="str">
        <f>VLOOKUP(T684,[1]区域划分!$A$1:$C$39,3,0)</f>
        <v>方渊</v>
      </c>
      <c r="V684" s="59"/>
      <c r="W684" s="68"/>
      <c r="X684" s="68"/>
      <c r="Y684" s="68"/>
    </row>
    <row r="685" s="17" customFormat="1" hidden="1" customHeight="1" spans="1:25">
      <c r="A685" s="59">
        <v>685</v>
      </c>
      <c r="B685" s="60" t="s">
        <v>1583</v>
      </c>
      <c r="C685" s="61">
        <f t="shared" si="41"/>
        <v>45124</v>
      </c>
      <c r="D685" s="62" t="str">
        <f ca="1" t="shared" si="39"/>
        <v>一年以上</v>
      </c>
      <c r="E685" s="313">
        <v>45124</v>
      </c>
      <c r="F685" s="59" t="s">
        <v>70</v>
      </c>
      <c r="G685" s="59" t="s">
        <v>146</v>
      </c>
      <c r="H685" s="63" t="s">
        <v>517</v>
      </c>
      <c r="I685" s="63" t="s">
        <v>517</v>
      </c>
      <c r="J685" s="314">
        <v>2000</v>
      </c>
      <c r="K685" s="59" t="s">
        <v>28</v>
      </c>
      <c r="L685" s="59" t="s">
        <v>73</v>
      </c>
      <c r="M685" s="59" t="s">
        <v>65</v>
      </c>
      <c r="N685" s="315">
        <v>2000</v>
      </c>
      <c r="O685" s="316">
        <f t="shared" si="40"/>
        <v>0</v>
      </c>
      <c r="P685" s="95">
        <v>45138</v>
      </c>
      <c r="Q685" s="61">
        <f t="shared" si="36"/>
        <v>45138</v>
      </c>
      <c r="R685" s="59"/>
      <c r="S685" s="59" t="s">
        <v>1584</v>
      </c>
      <c r="T685" s="59"/>
      <c r="U685" s="59"/>
      <c r="V685" s="59"/>
      <c r="W685" s="68"/>
      <c r="X685" s="68"/>
      <c r="Y685" s="68"/>
    </row>
    <row r="686" s="17" customFormat="1" hidden="1" customHeight="1" spans="1:25">
      <c r="A686" s="59">
        <v>686</v>
      </c>
      <c r="B686" s="60" t="s">
        <v>1585</v>
      </c>
      <c r="C686" s="61">
        <f t="shared" si="41"/>
        <v>45124</v>
      </c>
      <c r="D686" s="62" t="str">
        <f ca="1" t="shared" si="39"/>
        <v>一年以上</v>
      </c>
      <c r="E686" s="313">
        <v>45124</v>
      </c>
      <c r="F686" s="59" t="s">
        <v>632</v>
      </c>
      <c r="G686" s="59" t="s">
        <v>450</v>
      </c>
      <c r="H686" s="63" t="s">
        <v>1586</v>
      </c>
      <c r="I686" s="63" t="s">
        <v>1586</v>
      </c>
      <c r="J686" s="314">
        <v>5000</v>
      </c>
      <c r="K686" s="59" t="s">
        <v>28</v>
      </c>
      <c r="L686" s="59" t="s">
        <v>73</v>
      </c>
      <c r="M686" s="59" t="s">
        <v>30</v>
      </c>
      <c r="N686" s="315">
        <v>5000</v>
      </c>
      <c r="O686" s="316">
        <f t="shared" si="40"/>
        <v>0</v>
      </c>
      <c r="P686" s="95">
        <v>45238</v>
      </c>
      <c r="Q686" s="61">
        <f t="shared" si="36"/>
        <v>45238</v>
      </c>
      <c r="R686" s="59"/>
      <c r="S686" s="59" t="s">
        <v>1587</v>
      </c>
      <c r="T686" s="59"/>
      <c r="U686" s="59"/>
      <c r="V686" s="59"/>
      <c r="W686" s="68"/>
      <c r="X686" s="68"/>
      <c r="Y686" s="68"/>
    </row>
    <row r="687" s="17" customFormat="1" hidden="1" customHeight="1" spans="1:25">
      <c r="A687" s="59">
        <v>683</v>
      </c>
      <c r="B687" s="60" t="s">
        <v>1588</v>
      </c>
      <c r="C687" s="61">
        <f t="shared" si="41"/>
        <v>45126</v>
      </c>
      <c r="D687" s="62" t="str">
        <f ca="1" t="shared" si="39"/>
        <v>一年以上</v>
      </c>
      <c r="E687" s="313">
        <v>45126</v>
      </c>
      <c r="F687" s="59" t="s">
        <v>70</v>
      </c>
      <c r="G687" s="59" t="s">
        <v>1515</v>
      </c>
      <c r="H687" s="63" t="s">
        <v>341</v>
      </c>
      <c r="I687" s="63" t="s">
        <v>341</v>
      </c>
      <c r="J687" s="314">
        <v>1000</v>
      </c>
      <c r="K687" s="59" t="s">
        <v>28</v>
      </c>
      <c r="L687" s="59" t="s">
        <v>73</v>
      </c>
      <c r="M687" s="59" t="s">
        <v>65</v>
      </c>
      <c r="N687" s="315">
        <v>1000</v>
      </c>
      <c r="O687" s="316">
        <f t="shared" si="40"/>
        <v>0</v>
      </c>
      <c r="P687" s="95">
        <v>45405</v>
      </c>
      <c r="Q687" s="61">
        <f t="shared" si="36"/>
        <v>45405</v>
      </c>
      <c r="R687" s="59"/>
      <c r="S687" s="59" t="s">
        <v>1589</v>
      </c>
      <c r="T687" s="59" t="s">
        <v>86</v>
      </c>
      <c r="U687" s="59" t="str">
        <f>VLOOKUP(T687,[1]区域划分!$A$1:$C$39,3,0)</f>
        <v>朱利勇</v>
      </c>
      <c r="V687" s="59"/>
      <c r="W687" s="68"/>
      <c r="X687" s="68"/>
      <c r="Y687" s="68"/>
    </row>
    <row r="688" s="17" customFormat="1" hidden="1" customHeight="1" spans="1:25">
      <c r="A688" s="59">
        <v>684</v>
      </c>
      <c r="B688" s="60" t="s">
        <v>1590</v>
      </c>
      <c r="C688" s="61">
        <f t="shared" si="41"/>
        <v>45126</v>
      </c>
      <c r="D688" s="62" t="str">
        <f ca="1" t="shared" si="39"/>
        <v>一年以上</v>
      </c>
      <c r="E688" s="313">
        <v>45126</v>
      </c>
      <c r="F688" s="59" t="s">
        <v>70</v>
      </c>
      <c r="G688" s="59" t="s">
        <v>1591</v>
      </c>
      <c r="H688" s="63" t="s">
        <v>115</v>
      </c>
      <c r="I688" s="63" t="s">
        <v>115</v>
      </c>
      <c r="J688" s="314">
        <v>2000</v>
      </c>
      <c r="K688" s="59" t="s">
        <v>356</v>
      </c>
      <c r="L688" s="59" t="s">
        <v>73</v>
      </c>
      <c r="M688" s="59" t="s">
        <v>65</v>
      </c>
      <c r="N688" s="315">
        <v>2000</v>
      </c>
      <c r="O688" s="316">
        <f t="shared" si="40"/>
        <v>0</v>
      </c>
      <c r="P688" s="95">
        <v>45222</v>
      </c>
      <c r="Q688" s="61">
        <f t="shared" si="36"/>
        <v>45222</v>
      </c>
      <c r="R688" s="59"/>
      <c r="S688" s="59" t="s">
        <v>1592</v>
      </c>
      <c r="T688" s="59"/>
      <c r="U688" s="59"/>
      <c r="V688" s="59"/>
      <c r="W688" s="68"/>
      <c r="X688" s="68"/>
      <c r="Y688" s="68"/>
    </row>
    <row r="689" s="17" customFormat="1" hidden="1" customHeight="1" spans="1:25">
      <c r="A689" s="59">
        <v>687</v>
      </c>
      <c r="B689" s="60" t="s">
        <v>1593</v>
      </c>
      <c r="C689" s="61">
        <f t="shared" si="41"/>
        <v>45134</v>
      </c>
      <c r="D689" s="62" t="str">
        <f ca="1" t="shared" si="39"/>
        <v>一年以上</v>
      </c>
      <c r="E689" s="313">
        <v>45134</v>
      </c>
      <c r="F689" s="59" t="s">
        <v>70</v>
      </c>
      <c r="G689" s="59" t="s">
        <v>1515</v>
      </c>
      <c r="H689" s="63" t="s">
        <v>863</v>
      </c>
      <c r="I689" s="63" t="s">
        <v>863</v>
      </c>
      <c r="J689" s="314">
        <f>7550+450</f>
        <v>8000</v>
      </c>
      <c r="K689" s="59" t="s">
        <v>28</v>
      </c>
      <c r="L689" s="59" t="s">
        <v>73</v>
      </c>
      <c r="M689" s="59" t="s">
        <v>65</v>
      </c>
      <c r="N689" s="315">
        <v>8000</v>
      </c>
      <c r="O689" s="316">
        <f t="shared" si="40"/>
        <v>0</v>
      </c>
      <c r="P689" s="95">
        <v>45286</v>
      </c>
      <c r="Q689" s="61">
        <f t="shared" si="36"/>
        <v>45286</v>
      </c>
      <c r="R689" s="59"/>
      <c r="S689" s="59" t="s">
        <v>1594</v>
      </c>
      <c r="T689" s="59" t="s">
        <v>972</v>
      </c>
      <c r="U689" s="59" t="str">
        <f>VLOOKUP(T689,[1]区域划分!$A$1:$C$39,3,0)</f>
        <v>曾江利</v>
      </c>
      <c r="V689" s="59"/>
      <c r="W689" s="68"/>
      <c r="X689" s="68"/>
      <c r="Y689" s="68"/>
    </row>
    <row r="690" s="17" customFormat="1" hidden="1" customHeight="1" spans="1:25">
      <c r="A690" s="59">
        <v>688</v>
      </c>
      <c r="B690" s="60" t="s">
        <v>1595</v>
      </c>
      <c r="C690" s="61">
        <f t="shared" si="41"/>
        <v>45142</v>
      </c>
      <c r="D690" s="62" t="str">
        <f ca="1" t="shared" si="39"/>
        <v>一年以上</v>
      </c>
      <c r="E690" s="313">
        <v>45142</v>
      </c>
      <c r="F690" s="59" t="s">
        <v>130</v>
      </c>
      <c r="G690" s="59" t="s">
        <v>1596</v>
      </c>
      <c r="H690" s="63" t="s">
        <v>863</v>
      </c>
      <c r="I690" s="63" t="s">
        <v>863</v>
      </c>
      <c r="J690" s="314">
        <v>15490</v>
      </c>
      <c r="K690" s="59" t="s">
        <v>28</v>
      </c>
      <c r="L690" s="59" t="s">
        <v>73</v>
      </c>
      <c r="M690" s="59" t="s">
        <v>133</v>
      </c>
      <c r="N690" s="315">
        <v>15490</v>
      </c>
      <c r="O690" s="316">
        <f t="shared" si="40"/>
        <v>0</v>
      </c>
      <c r="P690" s="95">
        <v>45230</v>
      </c>
      <c r="Q690" s="61">
        <f t="shared" si="36"/>
        <v>45230</v>
      </c>
      <c r="R690" s="59" t="s">
        <v>1077</v>
      </c>
      <c r="S690" s="59" t="s">
        <v>1597</v>
      </c>
      <c r="T690" s="59"/>
      <c r="U690" s="59"/>
      <c r="V690" s="59"/>
      <c r="W690" s="68"/>
      <c r="X690" s="68"/>
      <c r="Y690" s="68"/>
    </row>
    <row r="691" s="17" customFormat="1" hidden="1" customHeight="1" spans="1:25">
      <c r="A691" s="59">
        <v>689</v>
      </c>
      <c r="B691" s="60" t="s">
        <v>1598</v>
      </c>
      <c r="C691" s="61">
        <f t="shared" si="41"/>
        <v>45142</v>
      </c>
      <c r="D691" s="62" t="str">
        <f ca="1" t="shared" si="39"/>
        <v>一年以上</v>
      </c>
      <c r="E691" s="313">
        <v>45142</v>
      </c>
      <c r="F691" s="59" t="s">
        <v>130</v>
      </c>
      <c r="G691" s="59" t="s">
        <v>1596</v>
      </c>
      <c r="H691" s="63" t="s">
        <v>863</v>
      </c>
      <c r="I691" s="63" t="s">
        <v>863</v>
      </c>
      <c r="J691" s="314">
        <v>6000</v>
      </c>
      <c r="K691" s="59" t="s">
        <v>28</v>
      </c>
      <c r="L691" s="59" t="s">
        <v>73</v>
      </c>
      <c r="M691" s="59" t="s">
        <v>133</v>
      </c>
      <c r="N691" s="315">
        <v>6000</v>
      </c>
      <c r="O691" s="316">
        <f t="shared" si="40"/>
        <v>0</v>
      </c>
      <c r="P691" s="95">
        <v>45230</v>
      </c>
      <c r="Q691" s="61">
        <f t="shared" si="36"/>
        <v>45230</v>
      </c>
      <c r="R691" s="59" t="s">
        <v>1077</v>
      </c>
      <c r="S691" s="59" t="s">
        <v>1599</v>
      </c>
      <c r="T691" s="59"/>
      <c r="U691" s="59"/>
      <c r="V691" s="59"/>
      <c r="W691" s="68"/>
      <c r="X691" s="68"/>
      <c r="Y691" s="68"/>
    </row>
    <row r="692" s="17" customFormat="1" hidden="1" customHeight="1" spans="1:25">
      <c r="A692" s="59">
        <v>690</v>
      </c>
      <c r="B692" s="60" t="s">
        <v>1600</v>
      </c>
      <c r="C692" s="61">
        <f t="shared" si="41"/>
        <v>45145</v>
      </c>
      <c r="D692" s="62" t="str">
        <f ca="1" t="shared" si="39"/>
        <v>一年以上</v>
      </c>
      <c r="E692" s="313">
        <v>45145</v>
      </c>
      <c r="F692" s="59" t="s">
        <v>70</v>
      </c>
      <c r="G692" s="59" t="s">
        <v>1591</v>
      </c>
      <c r="H692" s="63" t="s">
        <v>863</v>
      </c>
      <c r="I692" s="63" t="s">
        <v>863</v>
      </c>
      <c r="J692" s="314">
        <v>46000</v>
      </c>
      <c r="K692" s="59" t="s">
        <v>28</v>
      </c>
      <c r="L692" s="59" t="s">
        <v>73</v>
      </c>
      <c r="M692" s="59" t="s">
        <v>65</v>
      </c>
      <c r="N692" s="315">
        <v>46000</v>
      </c>
      <c r="O692" s="316">
        <f t="shared" si="40"/>
        <v>0</v>
      </c>
      <c r="P692" s="95">
        <v>45315</v>
      </c>
      <c r="Q692" s="61">
        <f t="shared" si="36"/>
        <v>45315</v>
      </c>
      <c r="R692" s="59"/>
      <c r="S692" s="59" t="s">
        <v>1601</v>
      </c>
      <c r="T692" s="59" t="s">
        <v>972</v>
      </c>
      <c r="U692" s="59" t="str">
        <f>VLOOKUP(T692,[1]区域划分!$A$1:$C$39,3,0)</f>
        <v>曾江利</v>
      </c>
      <c r="V692" s="59"/>
      <c r="W692" s="68"/>
      <c r="X692" s="68"/>
      <c r="Y692" s="68"/>
    </row>
    <row r="693" s="17" customFormat="1" hidden="1" customHeight="1" spans="1:25">
      <c r="A693" s="59">
        <v>691</v>
      </c>
      <c r="B693" s="60" t="s">
        <v>1602</v>
      </c>
      <c r="C693" s="61">
        <f t="shared" si="41"/>
        <v>45145</v>
      </c>
      <c r="D693" s="62" t="str">
        <f ca="1" t="shared" si="39"/>
        <v>一年以上</v>
      </c>
      <c r="E693" s="313">
        <v>45145</v>
      </c>
      <c r="F693" s="59" t="s">
        <v>632</v>
      </c>
      <c r="G693" s="59" t="s">
        <v>993</v>
      </c>
      <c r="H693" s="63" t="s">
        <v>1101</v>
      </c>
      <c r="I693" s="63" t="s">
        <v>1101</v>
      </c>
      <c r="J693" s="314">
        <v>4000</v>
      </c>
      <c r="K693" s="59" t="s">
        <v>356</v>
      </c>
      <c r="L693" s="59" t="s">
        <v>73</v>
      </c>
      <c r="M693" s="59" t="s">
        <v>30</v>
      </c>
      <c r="N693" s="315">
        <v>4000</v>
      </c>
      <c r="O693" s="316">
        <f t="shared" si="40"/>
        <v>0</v>
      </c>
      <c r="P693" s="95">
        <v>45950</v>
      </c>
      <c r="Q693" s="61">
        <f t="shared" si="36"/>
        <v>45950</v>
      </c>
      <c r="R693" s="59" t="s">
        <v>1603</v>
      </c>
      <c r="S693" s="59" t="s">
        <v>1604</v>
      </c>
      <c r="T693" s="59" t="s">
        <v>388</v>
      </c>
      <c r="U693" s="59" t="str">
        <f>VLOOKUP(T693,[1]区域划分!$A$1:$C$39,3,0)</f>
        <v>林维</v>
      </c>
      <c r="V693" s="59"/>
      <c r="W693" s="68"/>
      <c r="X693" s="68"/>
      <c r="Y693" s="68"/>
    </row>
    <row r="694" s="17" customFormat="1" hidden="1" customHeight="1" spans="1:25">
      <c r="A694" s="59">
        <v>693</v>
      </c>
      <c r="B694" s="60" t="s">
        <v>1605</v>
      </c>
      <c r="C694" s="61">
        <f t="shared" si="41"/>
        <v>45148</v>
      </c>
      <c r="D694" s="62" t="str">
        <f ca="1" t="shared" si="39"/>
        <v>一年以上</v>
      </c>
      <c r="E694" s="313">
        <v>45148</v>
      </c>
      <c r="F694" s="59" t="s">
        <v>70</v>
      </c>
      <c r="G694" s="59" t="s">
        <v>1591</v>
      </c>
      <c r="H694" s="63" t="s">
        <v>863</v>
      </c>
      <c r="I694" s="63" t="s">
        <v>863</v>
      </c>
      <c r="J694" s="314">
        <v>26000</v>
      </c>
      <c r="K694" s="59" t="s">
        <v>28</v>
      </c>
      <c r="L694" s="59" t="s">
        <v>73</v>
      </c>
      <c r="M694" s="59" t="s">
        <v>65</v>
      </c>
      <c r="N694" s="315">
        <v>26000</v>
      </c>
      <c r="O694" s="316">
        <f t="shared" si="40"/>
        <v>0</v>
      </c>
      <c r="P694" s="95">
        <v>45286</v>
      </c>
      <c r="Q694" s="61">
        <f t="shared" si="36"/>
        <v>45286</v>
      </c>
      <c r="R694" s="59"/>
      <c r="S694" s="59" t="s">
        <v>1606</v>
      </c>
      <c r="T694" s="59" t="s">
        <v>972</v>
      </c>
      <c r="U694" s="59" t="str">
        <f>VLOOKUP(T694,[1]区域划分!$A$1:$C$39,3,0)</f>
        <v>曾江利</v>
      </c>
      <c r="V694" s="59"/>
      <c r="W694" s="68"/>
      <c r="X694" s="68"/>
      <c r="Y694" s="68"/>
    </row>
    <row r="695" s="17" customFormat="1" hidden="1" customHeight="1" spans="1:25">
      <c r="A695" s="59">
        <v>694</v>
      </c>
      <c r="B695" s="60" t="s">
        <v>1607</v>
      </c>
      <c r="C695" s="61">
        <f t="shared" si="41"/>
        <v>45153</v>
      </c>
      <c r="D695" s="62" t="str">
        <f ca="1" t="shared" si="39"/>
        <v>一年以上</v>
      </c>
      <c r="E695" s="313">
        <v>45153</v>
      </c>
      <c r="F695" s="59" t="s">
        <v>70</v>
      </c>
      <c r="G695" s="59" t="s">
        <v>1591</v>
      </c>
      <c r="H695" s="63" t="s">
        <v>863</v>
      </c>
      <c r="I695" s="63" t="s">
        <v>863</v>
      </c>
      <c r="J695" s="314">
        <v>14000</v>
      </c>
      <c r="K695" s="59" t="s">
        <v>28</v>
      </c>
      <c r="L695" s="59" t="s">
        <v>73</v>
      </c>
      <c r="M695" s="59" t="s">
        <v>65</v>
      </c>
      <c r="N695" s="315">
        <v>14000</v>
      </c>
      <c r="O695" s="316">
        <f t="shared" si="40"/>
        <v>0</v>
      </c>
      <c r="P695" s="95">
        <v>45345</v>
      </c>
      <c r="Q695" s="61">
        <f t="shared" si="36"/>
        <v>45345</v>
      </c>
      <c r="R695" s="59"/>
      <c r="S695" s="59" t="s">
        <v>1608</v>
      </c>
      <c r="T695" s="59" t="s">
        <v>972</v>
      </c>
      <c r="U695" s="59" t="str">
        <f>VLOOKUP(T695,[1]区域划分!$A$1:$C$39,3,0)</f>
        <v>曾江利</v>
      </c>
      <c r="V695" s="59"/>
      <c r="W695" s="68"/>
      <c r="X695" s="68"/>
      <c r="Y695" s="68"/>
    </row>
    <row r="696" s="17" customFormat="1" hidden="1" customHeight="1" spans="1:25">
      <c r="A696" s="59">
        <v>695</v>
      </c>
      <c r="B696" s="60" t="s">
        <v>1609</v>
      </c>
      <c r="C696" s="61">
        <f t="shared" si="41"/>
        <v>45153</v>
      </c>
      <c r="D696" s="62" t="str">
        <f ca="1" t="shared" si="39"/>
        <v>一年以上</v>
      </c>
      <c r="E696" s="313">
        <v>45153</v>
      </c>
      <c r="F696" s="59" t="s">
        <v>70</v>
      </c>
      <c r="G696" s="59" t="s">
        <v>1591</v>
      </c>
      <c r="H696" s="63" t="s">
        <v>1610</v>
      </c>
      <c r="I696" s="63" t="s">
        <v>1610</v>
      </c>
      <c r="J696" s="314">
        <v>5000</v>
      </c>
      <c r="K696" s="59" t="s">
        <v>28</v>
      </c>
      <c r="L696" s="59" t="s">
        <v>73</v>
      </c>
      <c r="M696" s="59" t="s">
        <v>65</v>
      </c>
      <c r="N696" s="315">
        <v>5000</v>
      </c>
      <c r="O696" s="316">
        <f t="shared" si="40"/>
        <v>0</v>
      </c>
      <c r="P696" s="95">
        <v>45217</v>
      </c>
      <c r="Q696" s="61">
        <f t="shared" si="36"/>
        <v>45217</v>
      </c>
      <c r="R696" s="59"/>
      <c r="S696" s="59" t="s">
        <v>1611</v>
      </c>
      <c r="T696" s="59"/>
      <c r="U696" s="59"/>
      <c r="V696" s="59"/>
      <c r="W696" s="68"/>
      <c r="X696" s="68"/>
      <c r="Y696" s="68"/>
    </row>
    <row r="697" s="17" customFormat="1" hidden="1" customHeight="1" spans="1:25">
      <c r="A697" s="59">
        <v>696</v>
      </c>
      <c r="B697" s="60" t="s">
        <v>1612</v>
      </c>
      <c r="C697" s="61">
        <f t="shared" si="41"/>
        <v>45166</v>
      </c>
      <c r="D697" s="62" t="str">
        <f ca="1" t="shared" si="39"/>
        <v>一年以上</v>
      </c>
      <c r="E697" s="313">
        <v>45166</v>
      </c>
      <c r="F697" s="59" t="s">
        <v>632</v>
      </c>
      <c r="G697" s="59" t="s">
        <v>450</v>
      </c>
      <c r="H697" s="63" t="s">
        <v>863</v>
      </c>
      <c r="I697" s="63" t="s">
        <v>863</v>
      </c>
      <c r="J697" s="314">
        <v>500</v>
      </c>
      <c r="K697" s="59" t="s">
        <v>28</v>
      </c>
      <c r="L697" s="59" t="s">
        <v>73</v>
      </c>
      <c r="M697" s="59" t="s">
        <v>515</v>
      </c>
      <c r="N697" s="315"/>
      <c r="O697" s="316">
        <f t="shared" si="40"/>
        <v>500</v>
      </c>
      <c r="P697" s="95"/>
      <c r="Q697" s="61">
        <f t="shared" si="36"/>
        <v>0</v>
      </c>
      <c r="R697" s="59"/>
      <c r="S697" s="59" t="s">
        <v>1613</v>
      </c>
      <c r="T697" s="59" t="s">
        <v>972</v>
      </c>
      <c r="U697" s="59" t="str">
        <f>VLOOKUP(T697,[1]区域划分!$A$1:$C$39,3,0)</f>
        <v>曾江利</v>
      </c>
      <c r="V697" s="59"/>
      <c r="W697" s="68"/>
      <c r="X697" s="68"/>
      <c r="Y697" s="68"/>
    </row>
    <row r="698" s="17" customFormat="1" hidden="1" customHeight="1" spans="1:25">
      <c r="A698" s="59">
        <v>697</v>
      </c>
      <c r="B698" s="60" t="s">
        <v>1614</v>
      </c>
      <c r="C698" s="61">
        <f t="shared" si="41"/>
        <v>45166</v>
      </c>
      <c r="D698" s="62" t="str">
        <f ca="1" t="shared" si="39"/>
        <v>一年以上</v>
      </c>
      <c r="E698" s="313">
        <v>45166</v>
      </c>
      <c r="F698" s="59" t="s">
        <v>632</v>
      </c>
      <c r="G698" s="59" t="s">
        <v>450</v>
      </c>
      <c r="H698" s="63" t="s">
        <v>1615</v>
      </c>
      <c r="I698" s="63" t="s">
        <v>1615</v>
      </c>
      <c r="J698" s="314">
        <v>500</v>
      </c>
      <c r="K698" s="59" t="s">
        <v>28</v>
      </c>
      <c r="L698" s="59" t="s">
        <v>73</v>
      </c>
      <c r="M698" s="59" t="s">
        <v>515</v>
      </c>
      <c r="N698" s="315"/>
      <c r="O698" s="316">
        <f t="shared" si="40"/>
        <v>500</v>
      </c>
      <c r="P698" s="95"/>
      <c r="Q698" s="61">
        <f t="shared" si="36"/>
        <v>0</v>
      </c>
      <c r="R698" s="59"/>
      <c r="S698" s="59" t="s">
        <v>1616</v>
      </c>
      <c r="T698" s="59" t="s">
        <v>32</v>
      </c>
      <c r="U698" s="59" t="str">
        <f>VLOOKUP(T698,[1]区域划分!$A$1:$C$39,3,0)</f>
        <v>方渊</v>
      </c>
      <c r="V698" s="59"/>
      <c r="W698" s="68"/>
      <c r="X698" s="68"/>
      <c r="Y698" s="68"/>
    </row>
    <row r="699" s="17" customFormat="1" hidden="1" customHeight="1" spans="1:25">
      <c r="A699" s="59">
        <v>698</v>
      </c>
      <c r="B699" s="60" t="s">
        <v>1617</v>
      </c>
      <c r="C699" s="61">
        <f t="shared" si="41"/>
        <v>45167</v>
      </c>
      <c r="D699" s="62" t="str">
        <f ca="1" t="shared" si="39"/>
        <v>一年以上</v>
      </c>
      <c r="E699" s="313">
        <v>45167</v>
      </c>
      <c r="F699" s="59" t="s">
        <v>632</v>
      </c>
      <c r="G699" s="59" t="s">
        <v>1372</v>
      </c>
      <c r="H699" s="63" t="s">
        <v>863</v>
      </c>
      <c r="I699" s="63" t="s">
        <v>863</v>
      </c>
      <c r="J699" s="314">
        <v>3340</v>
      </c>
      <c r="K699" s="59" t="s">
        <v>28</v>
      </c>
      <c r="L699" s="59" t="s">
        <v>73</v>
      </c>
      <c r="M699" s="59" t="s">
        <v>133</v>
      </c>
      <c r="N699" s="315">
        <v>3340</v>
      </c>
      <c r="O699" s="316">
        <f t="shared" si="40"/>
        <v>0</v>
      </c>
      <c r="P699" s="95">
        <v>45230</v>
      </c>
      <c r="Q699" s="61">
        <f t="shared" si="36"/>
        <v>45230</v>
      </c>
      <c r="R699" s="59" t="s">
        <v>1077</v>
      </c>
      <c r="S699" s="59" t="s">
        <v>1618</v>
      </c>
      <c r="T699" s="59"/>
      <c r="U699" s="59"/>
      <c r="V699" s="59"/>
      <c r="W699" s="68"/>
      <c r="X699" s="68"/>
      <c r="Y699" s="68"/>
    </row>
    <row r="700" s="17" customFormat="1" hidden="1" customHeight="1" spans="1:25">
      <c r="A700" s="59">
        <v>699</v>
      </c>
      <c r="B700" s="60" t="s">
        <v>1619</v>
      </c>
      <c r="C700" s="61">
        <f t="shared" si="41"/>
        <v>45172</v>
      </c>
      <c r="D700" s="62" t="str">
        <f ca="1" t="shared" si="39"/>
        <v>一年以上</v>
      </c>
      <c r="E700" s="313">
        <v>45172</v>
      </c>
      <c r="F700" s="59" t="s">
        <v>632</v>
      </c>
      <c r="G700" s="59" t="s">
        <v>1372</v>
      </c>
      <c r="H700" s="63" t="s">
        <v>863</v>
      </c>
      <c r="I700" s="63" t="s">
        <v>863</v>
      </c>
      <c r="J700" s="314">
        <v>500</v>
      </c>
      <c r="K700" s="59" t="s">
        <v>28</v>
      </c>
      <c r="L700" s="59" t="s">
        <v>73</v>
      </c>
      <c r="M700" s="59" t="s">
        <v>515</v>
      </c>
      <c r="N700" s="315"/>
      <c r="O700" s="316">
        <f t="shared" si="40"/>
        <v>500</v>
      </c>
      <c r="P700" s="95"/>
      <c r="Q700" s="61">
        <f t="shared" si="36"/>
        <v>0</v>
      </c>
      <c r="R700" s="59"/>
      <c r="S700" s="59" t="s">
        <v>1620</v>
      </c>
      <c r="T700" s="59" t="s">
        <v>972</v>
      </c>
      <c r="U700" s="59" t="str">
        <f>VLOOKUP(T700,[1]区域划分!$A$1:$C$39,3,0)</f>
        <v>曾江利</v>
      </c>
      <c r="V700" s="59"/>
      <c r="W700" s="68"/>
      <c r="X700" s="68"/>
      <c r="Y700" s="68"/>
    </row>
    <row r="701" s="17" customFormat="1" hidden="1" customHeight="1" spans="1:25">
      <c r="A701" s="59">
        <v>700</v>
      </c>
      <c r="B701" s="60" t="s">
        <v>1621</v>
      </c>
      <c r="C701" s="61">
        <f t="shared" si="41"/>
        <v>45173</v>
      </c>
      <c r="D701" s="62" t="str">
        <f ca="1" t="shared" si="39"/>
        <v>一年以上</v>
      </c>
      <c r="E701" s="313">
        <v>45173</v>
      </c>
      <c r="F701" s="59" t="s">
        <v>632</v>
      </c>
      <c r="G701" s="59" t="s">
        <v>450</v>
      </c>
      <c r="H701" s="63" t="s">
        <v>863</v>
      </c>
      <c r="I701" s="63" t="s">
        <v>863</v>
      </c>
      <c r="J701" s="314">
        <v>10000</v>
      </c>
      <c r="K701" s="59" t="s">
        <v>28</v>
      </c>
      <c r="L701" s="59" t="s">
        <v>73</v>
      </c>
      <c r="M701" s="59" t="s">
        <v>30</v>
      </c>
      <c r="N701" s="315">
        <v>10000</v>
      </c>
      <c r="O701" s="316">
        <f t="shared" si="40"/>
        <v>0</v>
      </c>
      <c r="P701" s="95">
        <v>45194</v>
      </c>
      <c r="Q701" s="61">
        <f t="shared" si="36"/>
        <v>45194</v>
      </c>
      <c r="R701" s="59"/>
      <c r="S701" s="59" t="s">
        <v>1622</v>
      </c>
      <c r="T701" s="59"/>
      <c r="U701" s="59"/>
      <c r="V701" s="59"/>
      <c r="W701" s="68"/>
      <c r="X701" s="68"/>
      <c r="Y701" s="68"/>
    </row>
    <row r="702" s="17" customFormat="1" hidden="1" customHeight="1" spans="1:25">
      <c r="A702" s="59">
        <v>706</v>
      </c>
      <c r="B702" s="60" t="s">
        <v>1623</v>
      </c>
      <c r="C702" s="61">
        <f t="shared" si="41"/>
        <v>45174</v>
      </c>
      <c r="D702" s="62" t="str">
        <f ca="1" t="shared" si="39"/>
        <v>一年以上</v>
      </c>
      <c r="E702" s="313">
        <v>45174</v>
      </c>
      <c r="F702" s="59" t="s">
        <v>632</v>
      </c>
      <c r="G702" s="59" t="s">
        <v>450</v>
      </c>
      <c r="H702" s="63" t="s">
        <v>851</v>
      </c>
      <c r="I702" s="63" t="s">
        <v>851</v>
      </c>
      <c r="J702" s="314">
        <v>100000</v>
      </c>
      <c r="K702" s="59" t="s">
        <v>28</v>
      </c>
      <c r="L702" s="59" t="s">
        <v>73</v>
      </c>
      <c r="M702" s="59" t="s">
        <v>30</v>
      </c>
      <c r="N702" s="315">
        <v>100000</v>
      </c>
      <c r="O702" s="316">
        <f t="shared" si="40"/>
        <v>0</v>
      </c>
      <c r="P702" s="95">
        <v>45184</v>
      </c>
      <c r="Q702" s="61">
        <f t="shared" si="36"/>
        <v>45184</v>
      </c>
      <c r="R702" s="59"/>
      <c r="S702" s="59" t="s">
        <v>1624</v>
      </c>
      <c r="T702" s="59"/>
      <c r="U702" s="59"/>
      <c r="V702" s="59"/>
      <c r="W702" s="68"/>
      <c r="X702" s="68"/>
      <c r="Y702" s="68"/>
    </row>
    <row r="703" s="17" customFormat="1" hidden="1" customHeight="1" spans="1:25">
      <c r="A703" s="59">
        <v>701</v>
      </c>
      <c r="B703" s="60" t="s">
        <v>1625</v>
      </c>
      <c r="C703" s="61">
        <f t="shared" si="41"/>
        <v>45177</v>
      </c>
      <c r="D703" s="62" t="str">
        <f ca="1" t="shared" si="39"/>
        <v>一年以上</v>
      </c>
      <c r="E703" s="313">
        <v>45177</v>
      </c>
      <c r="F703" s="59" t="s">
        <v>70</v>
      </c>
      <c r="G703" s="59" t="s">
        <v>1591</v>
      </c>
      <c r="H703" s="63" t="s">
        <v>291</v>
      </c>
      <c r="I703" s="63" t="s">
        <v>291</v>
      </c>
      <c r="J703" s="314">
        <v>2000</v>
      </c>
      <c r="K703" s="59" t="s">
        <v>356</v>
      </c>
      <c r="L703" s="59" t="s">
        <v>73</v>
      </c>
      <c r="M703" s="59" t="s">
        <v>65</v>
      </c>
      <c r="N703" s="315">
        <v>2000</v>
      </c>
      <c r="O703" s="316">
        <f t="shared" si="40"/>
        <v>0</v>
      </c>
      <c r="P703" s="95">
        <v>45226</v>
      </c>
      <c r="Q703" s="61">
        <f t="shared" si="36"/>
        <v>45226</v>
      </c>
      <c r="R703" s="59"/>
      <c r="S703" s="59" t="s">
        <v>1626</v>
      </c>
      <c r="T703" s="59"/>
      <c r="U703" s="59"/>
      <c r="V703" s="59"/>
      <c r="W703" s="68"/>
      <c r="X703" s="68"/>
      <c r="Y703" s="68"/>
    </row>
    <row r="704" s="17" customFormat="1" hidden="1" customHeight="1" spans="1:25">
      <c r="A704" s="59">
        <v>702</v>
      </c>
      <c r="B704" s="60" t="s">
        <v>1627</v>
      </c>
      <c r="C704" s="61">
        <f t="shared" si="41"/>
        <v>45181</v>
      </c>
      <c r="D704" s="62" t="str">
        <f ca="1" t="shared" si="39"/>
        <v>一年以上</v>
      </c>
      <c r="E704" s="313">
        <v>45181</v>
      </c>
      <c r="F704" s="59" t="s">
        <v>130</v>
      </c>
      <c r="G704" s="59" t="s">
        <v>1372</v>
      </c>
      <c r="H704" s="63" t="s">
        <v>863</v>
      </c>
      <c r="I704" s="63" t="s">
        <v>863</v>
      </c>
      <c r="J704" s="314">
        <v>6300</v>
      </c>
      <c r="K704" s="59" t="s">
        <v>28</v>
      </c>
      <c r="L704" s="59" t="s">
        <v>73</v>
      </c>
      <c r="M704" s="59" t="s">
        <v>133</v>
      </c>
      <c r="N704" s="315">
        <v>6300</v>
      </c>
      <c r="O704" s="316">
        <f t="shared" si="40"/>
        <v>0</v>
      </c>
      <c r="P704" s="95">
        <v>45230</v>
      </c>
      <c r="Q704" s="61">
        <f t="shared" si="36"/>
        <v>45230</v>
      </c>
      <c r="R704" s="59" t="s">
        <v>1077</v>
      </c>
      <c r="S704" s="59" t="s">
        <v>1628</v>
      </c>
      <c r="T704" s="59"/>
      <c r="U704" s="59"/>
      <c r="V704" s="59"/>
      <c r="W704" s="68"/>
      <c r="X704" s="68"/>
      <c r="Y704" s="68"/>
    </row>
    <row r="705" s="17" customFormat="1" hidden="1" customHeight="1" spans="1:25">
      <c r="A705" s="59">
        <v>703</v>
      </c>
      <c r="B705" s="60" t="s">
        <v>1629</v>
      </c>
      <c r="C705" s="61">
        <f t="shared" si="41"/>
        <v>45182</v>
      </c>
      <c r="D705" s="62" t="str">
        <f ca="1" t="shared" si="39"/>
        <v>一年以上</v>
      </c>
      <c r="E705" s="313">
        <v>45182</v>
      </c>
      <c r="F705" s="59" t="s">
        <v>130</v>
      </c>
      <c r="G705" s="59" t="s">
        <v>1372</v>
      </c>
      <c r="H705" s="63" t="s">
        <v>863</v>
      </c>
      <c r="I705" s="63" t="s">
        <v>863</v>
      </c>
      <c r="J705" s="314">
        <v>30000</v>
      </c>
      <c r="K705" s="59" t="s">
        <v>28</v>
      </c>
      <c r="L705" s="59" t="s">
        <v>73</v>
      </c>
      <c r="M705" s="59" t="s">
        <v>30</v>
      </c>
      <c r="N705" s="315">
        <v>30000</v>
      </c>
      <c r="O705" s="316">
        <f t="shared" si="40"/>
        <v>0</v>
      </c>
      <c r="P705" s="95">
        <v>45225</v>
      </c>
      <c r="Q705" s="61">
        <f t="shared" si="36"/>
        <v>45225</v>
      </c>
      <c r="R705" s="59"/>
      <c r="S705" s="59" t="s">
        <v>1620</v>
      </c>
      <c r="T705" s="59"/>
      <c r="U705" s="59"/>
      <c r="V705" s="59"/>
      <c r="W705" s="68"/>
      <c r="X705" s="68"/>
      <c r="Y705" s="68"/>
    </row>
    <row r="706" s="17" customFormat="1" hidden="1" customHeight="1" spans="1:25">
      <c r="A706" s="59">
        <v>704</v>
      </c>
      <c r="B706" s="169" t="s">
        <v>1630</v>
      </c>
      <c r="C706" s="61">
        <f t="shared" si="41"/>
        <v>45186</v>
      </c>
      <c r="D706" s="62" t="str">
        <f ca="1" t="shared" si="39"/>
        <v>一年以上</v>
      </c>
      <c r="E706" s="313">
        <v>45186</v>
      </c>
      <c r="F706" s="59" t="s">
        <v>632</v>
      </c>
      <c r="G706" s="59" t="s">
        <v>450</v>
      </c>
      <c r="H706" s="63" t="s">
        <v>1631</v>
      </c>
      <c r="I706" s="63" t="s">
        <v>1631</v>
      </c>
      <c r="J706" s="314">
        <v>4000</v>
      </c>
      <c r="K706" s="59" t="s">
        <v>356</v>
      </c>
      <c r="L706" s="59" t="s">
        <v>73</v>
      </c>
      <c r="M706" s="59" t="s">
        <v>30</v>
      </c>
      <c r="N706" s="315">
        <v>4000</v>
      </c>
      <c r="O706" s="316">
        <f t="shared" si="40"/>
        <v>0</v>
      </c>
      <c r="P706" s="95">
        <v>46079</v>
      </c>
      <c r="Q706" s="61">
        <f t="shared" si="36"/>
        <v>46079</v>
      </c>
      <c r="R706" s="59" t="s">
        <v>1632</v>
      </c>
      <c r="S706" s="59" t="s">
        <v>1633</v>
      </c>
      <c r="T706" s="59" t="s">
        <v>388</v>
      </c>
      <c r="U706" s="59" t="str">
        <f>VLOOKUP(T706,[1]区域划分!$A$1:$C$39,3,0)</f>
        <v>林维</v>
      </c>
      <c r="V706" s="59" t="s">
        <v>1634</v>
      </c>
      <c r="W706" s="68"/>
      <c r="X706" s="68"/>
      <c r="Y706" s="68"/>
    </row>
    <row r="707" s="17" customFormat="1" hidden="1" customHeight="1" spans="1:25">
      <c r="A707" s="59">
        <v>705</v>
      </c>
      <c r="B707" s="60" t="s">
        <v>1635</v>
      </c>
      <c r="C707" s="61">
        <f t="shared" si="41"/>
        <v>45186</v>
      </c>
      <c r="D707" s="62" t="str">
        <f ca="1" t="shared" si="39"/>
        <v>一年以上</v>
      </c>
      <c r="E707" s="313">
        <v>45186</v>
      </c>
      <c r="F707" s="59" t="s">
        <v>632</v>
      </c>
      <c r="G707" s="59" t="s">
        <v>450</v>
      </c>
      <c r="H707" s="63" t="s">
        <v>1636</v>
      </c>
      <c r="I707" s="63" t="s">
        <v>1636</v>
      </c>
      <c r="J707" s="314">
        <v>4000</v>
      </c>
      <c r="K707" s="59" t="s">
        <v>356</v>
      </c>
      <c r="L707" s="59" t="s">
        <v>73</v>
      </c>
      <c r="M707" s="59" t="s">
        <v>30</v>
      </c>
      <c r="N707" s="315">
        <v>4000</v>
      </c>
      <c r="O707" s="316">
        <f t="shared" si="40"/>
        <v>0</v>
      </c>
      <c r="P707" s="95">
        <v>45230</v>
      </c>
      <c r="Q707" s="61">
        <f t="shared" ref="Q707:Q754" si="42">P707</f>
        <v>45230</v>
      </c>
      <c r="R707" s="59" t="s">
        <v>1637</v>
      </c>
      <c r="S707" s="59"/>
      <c r="T707" s="59"/>
      <c r="U707" s="59"/>
      <c r="V707" s="59"/>
      <c r="W707" s="68"/>
      <c r="X707" s="68"/>
      <c r="Y707" s="68"/>
    </row>
    <row r="708" s="17" customFormat="1" hidden="1" customHeight="1" spans="1:25">
      <c r="A708" s="59">
        <v>692</v>
      </c>
      <c r="B708" s="60" t="s">
        <v>1638</v>
      </c>
      <c r="C708" s="61">
        <f t="shared" si="41"/>
        <v>45189</v>
      </c>
      <c r="D708" s="62" t="str">
        <f ca="1" t="shared" si="39"/>
        <v>一年以上</v>
      </c>
      <c r="E708" s="313">
        <v>45189</v>
      </c>
      <c r="F708" s="59" t="s">
        <v>70</v>
      </c>
      <c r="G708" s="59" t="s">
        <v>1591</v>
      </c>
      <c r="H708" s="63" t="s">
        <v>1639</v>
      </c>
      <c r="I708" s="63" t="s">
        <v>1639</v>
      </c>
      <c r="J708" s="314">
        <v>10000</v>
      </c>
      <c r="K708" s="59" t="s">
        <v>28</v>
      </c>
      <c r="L708" s="59" t="s">
        <v>73</v>
      </c>
      <c r="M708" s="59" t="s">
        <v>65</v>
      </c>
      <c r="N708" s="315">
        <v>10000</v>
      </c>
      <c r="O708" s="316">
        <f t="shared" si="40"/>
        <v>0</v>
      </c>
      <c r="P708" s="95">
        <v>45560</v>
      </c>
      <c r="Q708" s="61">
        <f t="shared" si="42"/>
        <v>45560</v>
      </c>
      <c r="R708" s="59"/>
      <c r="S708" s="59" t="s">
        <v>1640</v>
      </c>
      <c r="T708" s="59" t="s">
        <v>330</v>
      </c>
      <c r="U708" s="59" t="str">
        <f>VLOOKUP(T708,[1]区域划分!$A$1:$C$39,3,0)</f>
        <v>伍平</v>
      </c>
      <c r="V708" s="59"/>
      <c r="W708" s="68"/>
      <c r="X708" s="68"/>
      <c r="Y708" s="68"/>
    </row>
    <row r="709" s="17" customFormat="1" hidden="1" customHeight="1" spans="1:25">
      <c r="A709" s="59">
        <v>707</v>
      </c>
      <c r="B709" s="60" t="s">
        <v>1641</v>
      </c>
      <c r="C709" s="61">
        <f t="shared" si="41"/>
        <v>45190</v>
      </c>
      <c r="D709" s="62" t="str">
        <f ca="1" t="shared" si="39"/>
        <v>一年以上</v>
      </c>
      <c r="E709" s="313">
        <v>45190</v>
      </c>
      <c r="F709" s="59" t="s">
        <v>632</v>
      </c>
      <c r="G709" s="59" t="s">
        <v>450</v>
      </c>
      <c r="H709" s="63" t="s">
        <v>34</v>
      </c>
      <c r="I709" s="63" t="s">
        <v>34</v>
      </c>
      <c r="J709" s="314">
        <v>50000</v>
      </c>
      <c r="K709" s="59" t="s">
        <v>28</v>
      </c>
      <c r="L709" s="59" t="s">
        <v>73</v>
      </c>
      <c r="M709" s="59" t="s">
        <v>30</v>
      </c>
      <c r="N709" s="315">
        <v>50000</v>
      </c>
      <c r="O709" s="316">
        <f t="shared" si="40"/>
        <v>0</v>
      </c>
      <c r="P709" s="95">
        <v>45257</v>
      </c>
      <c r="Q709" s="61">
        <f t="shared" si="42"/>
        <v>45257</v>
      </c>
      <c r="R709" s="59"/>
      <c r="S709" s="59" t="s">
        <v>1642</v>
      </c>
      <c r="T709" s="59" t="s">
        <v>311</v>
      </c>
      <c r="U709" s="59" t="str">
        <f>VLOOKUP(T709,[1]区域划分!$A$1:$C$39,3,0)</f>
        <v>牛国庆</v>
      </c>
      <c r="V709" s="59"/>
      <c r="W709" s="68"/>
      <c r="X709" s="68"/>
      <c r="Y709" s="68"/>
    </row>
    <row r="710" s="17" customFormat="1" hidden="1" customHeight="1" spans="1:25">
      <c r="A710" s="59">
        <v>708</v>
      </c>
      <c r="B710" s="60" t="s">
        <v>1643</v>
      </c>
      <c r="C710" s="61">
        <f t="shared" si="41"/>
        <v>45194</v>
      </c>
      <c r="D710" s="62" t="str">
        <f ca="1" t="shared" si="39"/>
        <v>一年以上</v>
      </c>
      <c r="E710" s="313">
        <v>45194</v>
      </c>
      <c r="F710" s="59" t="s">
        <v>632</v>
      </c>
      <c r="G710" s="59" t="s">
        <v>450</v>
      </c>
      <c r="H710" s="63" t="s">
        <v>1315</v>
      </c>
      <c r="I710" s="63" t="s">
        <v>1315</v>
      </c>
      <c r="J710" s="314">
        <v>2000</v>
      </c>
      <c r="K710" s="59" t="s">
        <v>28</v>
      </c>
      <c r="L710" s="59" t="s">
        <v>73</v>
      </c>
      <c r="M710" s="59" t="s">
        <v>30</v>
      </c>
      <c r="N710" s="315">
        <v>2000</v>
      </c>
      <c r="O710" s="316">
        <f t="shared" si="40"/>
        <v>0</v>
      </c>
      <c r="P710" s="95">
        <v>45231</v>
      </c>
      <c r="Q710" s="61">
        <f t="shared" si="42"/>
        <v>45231</v>
      </c>
      <c r="R710" s="59"/>
      <c r="S710" s="59" t="s">
        <v>1644</v>
      </c>
      <c r="T710" s="59" t="s">
        <v>38</v>
      </c>
      <c r="U710" s="59" t="str">
        <f>VLOOKUP(T710,[1]区域划分!$A$1:$C$39,3,0)</f>
        <v>方渊</v>
      </c>
      <c r="V710" s="59"/>
      <c r="W710" s="68"/>
      <c r="X710" s="68"/>
      <c r="Y710" s="68"/>
    </row>
    <row r="711" s="17" customFormat="1" hidden="1" customHeight="1" spans="1:25">
      <c r="A711" s="59">
        <v>709</v>
      </c>
      <c r="B711" s="60" t="s">
        <v>1645</v>
      </c>
      <c r="C711" s="61">
        <f t="shared" si="41"/>
        <v>45194</v>
      </c>
      <c r="D711" s="62" t="str">
        <f ca="1" t="shared" si="39"/>
        <v>一年以上</v>
      </c>
      <c r="E711" s="313">
        <v>45194</v>
      </c>
      <c r="F711" s="59" t="s">
        <v>130</v>
      </c>
      <c r="G711" s="59" t="s">
        <v>1372</v>
      </c>
      <c r="H711" s="63" t="s">
        <v>863</v>
      </c>
      <c r="I711" s="63" t="s">
        <v>863</v>
      </c>
      <c r="J711" s="314">
        <v>70000</v>
      </c>
      <c r="K711" s="59" t="s">
        <v>28</v>
      </c>
      <c r="L711" s="59" t="s">
        <v>73</v>
      </c>
      <c r="M711" s="59" t="s">
        <v>133</v>
      </c>
      <c r="N711" s="315">
        <v>70000</v>
      </c>
      <c r="O711" s="316">
        <f t="shared" si="40"/>
        <v>0</v>
      </c>
      <c r="P711" s="95">
        <v>45499</v>
      </c>
      <c r="Q711" s="61">
        <f t="shared" si="42"/>
        <v>45499</v>
      </c>
      <c r="R711" s="59"/>
      <c r="S711" s="59" t="s">
        <v>1646</v>
      </c>
      <c r="T711" s="59" t="s">
        <v>972</v>
      </c>
      <c r="U711" s="59" t="str">
        <f>VLOOKUP(T711,[1]区域划分!$A$1:$C$39,3,0)</f>
        <v>曾江利</v>
      </c>
      <c r="V711" s="59"/>
      <c r="W711" s="68"/>
      <c r="X711" s="68"/>
      <c r="Y711" s="68"/>
    </row>
    <row r="712" s="17" customFormat="1" hidden="1" customHeight="1" spans="1:25">
      <c r="A712" s="59">
        <v>710</v>
      </c>
      <c r="B712" s="60" t="s">
        <v>1647</v>
      </c>
      <c r="C712" s="61">
        <f t="shared" si="41"/>
        <v>45195</v>
      </c>
      <c r="D712" s="62" t="str">
        <f ca="1" t="shared" si="39"/>
        <v>一年以上</v>
      </c>
      <c r="E712" s="313">
        <v>45195</v>
      </c>
      <c r="F712" s="59" t="s">
        <v>70</v>
      </c>
      <c r="G712" s="59" t="s">
        <v>1591</v>
      </c>
      <c r="H712" s="63" t="s">
        <v>332</v>
      </c>
      <c r="I712" s="63" t="s">
        <v>332</v>
      </c>
      <c r="J712" s="314">
        <v>13300</v>
      </c>
      <c r="K712" s="59" t="s">
        <v>28</v>
      </c>
      <c r="L712" s="59" t="s">
        <v>73</v>
      </c>
      <c r="M712" s="59" t="s">
        <v>65</v>
      </c>
      <c r="N712" s="315">
        <v>13300</v>
      </c>
      <c r="O712" s="316">
        <f t="shared" si="40"/>
        <v>0</v>
      </c>
      <c r="P712" s="95">
        <v>45252</v>
      </c>
      <c r="Q712" s="61">
        <f t="shared" si="42"/>
        <v>45252</v>
      </c>
      <c r="R712" s="59"/>
      <c r="S712" s="59" t="s">
        <v>1648</v>
      </c>
      <c r="T712" s="59" t="s">
        <v>311</v>
      </c>
      <c r="U712" s="59" t="str">
        <f>VLOOKUP(T712,[1]区域划分!$A$1:$C$39,3,0)</f>
        <v>牛国庆</v>
      </c>
      <c r="V712" s="59"/>
      <c r="W712" s="68"/>
      <c r="X712" s="68"/>
      <c r="Y712" s="68"/>
    </row>
    <row r="713" s="17" customFormat="1" hidden="1" customHeight="1" spans="1:25">
      <c r="A713" s="59">
        <v>711</v>
      </c>
      <c r="B713" s="60" t="s">
        <v>1649</v>
      </c>
      <c r="C713" s="61">
        <f t="shared" si="41"/>
        <v>45196</v>
      </c>
      <c r="D713" s="62" t="str">
        <f ca="1" t="shared" si="39"/>
        <v>一年以上</v>
      </c>
      <c r="E713" s="313">
        <v>45196</v>
      </c>
      <c r="F713" s="59" t="s">
        <v>632</v>
      </c>
      <c r="G713" s="59" t="s">
        <v>450</v>
      </c>
      <c r="H713" s="63" t="s">
        <v>1101</v>
      </c>
      <c r="I713" s="63" t="s">
        <v>1101</v>
      </c>
      <c r="J713" s="314">
        <v>2500</v>
      </c>
      <c r="K713" s="59" t="s">
        <v>356</v>
      </c>
      <c r="L713" s="59" t="s">
        <v>73</v>
      </c>
      <c r="M713" s="59" t="s">
        <v>30</v>
      </c>
      <c r="N713" s="315">
        <v>2500</v>
      </c>
      <c r="O713" s="316">
        <f t="shared" si="40"/>
        <v>0</v>
      </c>
      <c r="P713" s="95">
        <v>45271</v>
      </c>
      <c r="Q713" s="61">
        <f t="shared" si="42"/>
        <v>45271</v>
      </c>
      <c r="R713" s="59"/>
      <c r="S713" s="59" t="s">
        <v>1650</v>
      </c>
      <c r="T713" s="59" t="s">
        <v>388</v>
      </c>
      <c r="U713" s="59" t="str">
        <f>VLOOKUP(T713,[1]区域划分!$A$1:$C$39,3,0)</f>
        <v>林维</v>
      </c>
      <c r="V713" s="59"/>
      <c r="W713" s="68"/>
      <c r="X713" s="68"/>
      <c r="Y713" s="68"/>
    </row>
    <row r="714" s="17" customFormat="1" hidden="1" customHeight="1" spans="1:25">
      <c r="A714" s="59">
        <v>712</v>
      </c>
      <c r="B714" s="60" t="s">
        <v>1651</v>
      </c>
      <c r="C714" s="61">
        <f t="shared" si="41"/>
        <v>45211</v>
      </c>
      <c r="D714" s="62" t="str">
        <f ca="1" t="shared" si="39"/>
        <v>一年以上</v>
      </c>
      <c r="E714" s="313">
        <v>45211</v>
      </c>
      <c r="F714" s="59" t="s">
        <v>632</v>
      </c>
      <c r="G714" s="59" t="s">
        <v>450</v>
      </c>
      <c r="H714" s="63" t="s">
        <v>215</v>
      </c>
      <c r="I714" s="63" t="s">
        <v>215</v>
      </c>
      <c r="J714" s="314">
        <v>10000</v>
      </c>
      <c r="K714" s="59" t="s">
        <v>28</v>
      </c>
      <c r="L714" s="59" t="s">
        <v>73</v>
      </c>
      <c r="M714" s="59" t="s">
        <v>30</v>
      </c>
      <c r="N714" s="315">
        <v>10000</v>
      </c>
      <c r="O714" s="316">
        <f t="shared" si="40"/>
        <v>0</v>
      </c>
      <c r="P714" s="95">
        <v>45259</v>
      </c>
      <c r="Q714" s="61">
        <f t="shared" si="42"/>
        <v>45259</v>
      </c>
      <c r="R714" s="59"/>
      <c r="S714" s="59" t="s">
        <v>1652</v>
      </c>
      <c r="T714" s="59" t="s">
        <v>49</v>
      </c>
      <c r="U714" s="59" t="str">
        <f>VLOOKUP(T714,[1]区域划分!$A$1:$C$39,3,0)</f>
        <v>龚运谱</v>
      </c>
      <c r="V714" s="59"/>
      <c r="W714" s="68"/>
      <c r="X714" s="68"/>
      <c r="Y714" s="68"/>
    </row>
    <row r="715" s="17" customFormat="1" hidden="1" customHeight="1" spans="1:25">
      <c r="A715" s="59">
        <v>713</v>
      </c>
      <c r="B715" s="60" t="s">
        <v>1653</v>
      </c>
      <c r="C715" s="61">
        <f t="shared" si="41"/>
        <v>45211</v>
      </c>
      <c r="D715" s="62" t="str">
        <f ca="1" t="shared" si="39"/>
        <v>一年以上</v>
      </c>
      <c r="E715" s="313">
        <v>45211</v>
      </c>
      <c r="F715" s="59" t="s">
        <v>70</v>
      </c>
      <c r="G715" s="59" t="s">
        <v>1591</v>
      </c>
      <c r="H715" s="63" t="s">
        <v>398</v>
      </c>
      <c r="I715" s="63" t="s">
        <v>399</v>
      </c>
      <c r="J715" s="314">
        <v>10000</v>
      </c>
      <c r="K715" s="59" t="s">
        <v>28</v>
      </c>
      <c r="L715" s="59" t="s">
        <v>73</v>
      </c>
      <c r="M715" s="59" t="s">
        <v>65</v>
      </c>
      <c r="N715" s="315">
        <v>10000</v>
      </c>
      <c r="O715" s="316">
        <f t="shared" si="40"/>
        <v>0</v>
      </c>
      <c r="P715" s="95">
        <v>45540</v>
      </c>
      <c r="Q715" s="61">
        <f t="shared" si="42"/>
        <v>45540</v>
      </c>
      <c r="R715" s="59"/>
      <c r="S715" s="59" t="s">
        <v>1654</v>
      </c>
      <c r="T715" s="59" t="s">
        <v>49</v>
      </c>
      <c r="U715" s="59" t="str">
        <f>VLOOKUP(T715,[1]区域划分!$A$1:$C$39,3,0)</f>
        <v>龚运谱</v>
      </c>
      <c r="V715" s="59" t="s">
        <v>1655</v>
      </c>
      <c r="W715" s="68"/>
      <c r="X715" s="68"/>
      <c r="Y715" s="68"/>
    </row>
    <row r="716" s="17" customFormat="1" hidden="1" customHeight="1" spans="1:25">
      <c r="A716" s="59">
        <v>714</v>
      </c>
      <c r="B716" s="60" t="s">
        <v>1656</v>
      </c>
      <c r="C716" s="61">
        <f t="shared" si="41"/>
        <v>45217</v>
      </c>
      <c r="D716" s="62" t="str">
        <f ca="1" t="shared" si="39"/>
        <v>一年以上</v>
      </c>
      <c r="E716" s="313">
        <v>45217</v>
      </c>
      <c r="F716" s="59" t="s">
        <v>632</v>
      </c>
      <c r="G716" s="59" t="s">
        <v>450</v>
      </c>
      <c r="H716" s="63" t="s">
        <v>1657</v>
      </c>
      <c r="I716" s="63" t="s">
        <v>1657</v>
      </c>
      <c r="J716" s="314">
        <v>100</v>
      </c>
      <c r="K716" s="59" t="s">
        <v>28</v>
      </c>
      <c r="L716" s="59" t="s">
        <v>73</v>
      </c>
      <c r="M716" s="59" t="s">
        <v>515</v>
      </c>
      <c r="N716" s="315"/>
      <c r="O716" s="316">
        <f t="shared" si="40"/>
        <v>100</v>
      </c>
      <c r="P716" s="95"/>
      <c r="Q716" s="61">
        <f t="shared" si="42"/>
        <v>0</v>
      </c>
      <c r="R716" s="59"/>
      <c r="S716" s="59"/>
      <c r="T716" s="59" t="s">
        <v>49</v>
      </c>
      <c r="U716" s="59" t="str">
        <f>VLOOKUP(T716,[1]区域划分!$A$1:$C$39,3,0)</f>
        <v>龚运谱</v>
      </c>
      <c r="V716" s="59"/>
      <c r="W716" s="68"/>
      <c r="X716" s="68"/>
      <c r="Y716" s="68"/>
    </row>
    <row r="717" s="17" customFormat="1" hidden="1" customHeight="1" spans="1:25">
      <c r="A717" s="59">
        <v>715</v>
      </c>
      <c r="B717" s="169" t="s">
        <v>1658</v>
      </c>
      <c r="C717" s="61">
        <f t="shared" si="41"/>
        <v>45217</v>
      </c>
      <c r="D717" s="62" t="str">
        <f ca="1" t="shared" si="39"/>
        <v>一年以上</v>
      </c>
      <c r="E717" s="313">
        <v>45217</v>
      </c>
      <c r="F717" s="59" t="s">
        <v>632</v>
      </c>
      <c r="G717" s="59" t="s">
        <v>450</v>
      </c>
      <c r="H717" s="63" t="s">
        <v>398</v>
      </c>
      <c r="I717" s="63" t="s">
        <v>398</v>
      </c>
      <c r="J717" s="314">
        <v>10000</v>
      </c>
      <c r="K717" s="59" t="s">
        <v>28</v>
      </c>
      <c r="L717" s="59" t="s">
        <v>73</v>
      </c>
      <c r="M717" s="59" t="s">
        <v>30</v>
      </c>
      <c r="N717" s="315"/>
      <c r="O717" s="316">
        <f t="shared" si="40"/>
        <v>10000</v>
      </c>
      <c r="P717" s="95"/>
      <c r="Q717" s="61">
        <f t="shared" si="42"/>
        <v>0</v>
      </c>
      <c r="R717" s="59" t="s">
        <v>1659</v>
      </c>
      <c r="S717" s="59" t="s">
        <v>1660</v>
      </c>
      <c r="T717" s="59" t="s">
        <v>49</v>
      </c>
      <c r="U717" s="59" t="str">
        <f>VLOOKUP(T717,[1]区域划分!$A$1:$C$39,3,0)</f>
        <v>龚运谱</v>
      </c>
      <c r="V717" s="59"/>
      <c r="W717" s="68"/>
      <c r="X717" s="68"/>
      <c r="Y717" s="68"/>
    </row>
    <row r="718" s="17" customFormat="1" hidden="1" customHeight="1" spans="1:25">
      <c r="A718" s="59">
        <v>716</v>
      </c>
      <c r="B718" s="60" t="s">
        <v>1661</v>
      </c>
      <c r="C718" s="61">
        <f t="shared" si="41"/>
        <v>45226</v>
      </c>
      <c r="D718" s="62" t="str">
        <f ca="1" t="shared" si="39"/>
        <v>一年以上</v>
      </c>
      <c r="E718" s="313">
        <v>45226</v>
      </c>
      <c r="F718" s="59" t="s">
        <v>632</v>
      </c>
      <c r="G718" s="59" t="s">
        <v>450</v>
      </c>
      <c r="H718" s="63" t="s">
        <v>1662</v>
      </c>
      <c r="I718" s="63" t="s">
        <v>1662</v>
      </c>
      <c r="J718" s="314">
        <v>4000</v>
      </c>
      <c r="K718" s="59" t="s">
        <v>28</v>
      </c>
      <c r="L718" s="59" t="s">
        <v>73</v>
      </c>
      <c r="M718" s="59" t="s">
        <v>30</v>
      </c>
      <c r="N718" s="315">
        <v>4000</v>
      </c>
      <c r="O718" s="316">
        <f t="shared" si="40"/>
        <v>0</v>
      </c>
      <c r="P718" s="95">
        <v>45316</v>
      </c>
      <c r="Q718" s="61">
        <f t="shared" si="42"/>
        <v>45316</v>
      </c>
      <c r="R718" s="59"/>
      <c r="S718" s="59" t="s">
        <v>1663</v>
      </c>
      <c r="T718" s="59" t="s">
        <v>267</v>
      </c>
      <c r="U718" s="59" t="str">
        <f>VLOOKUP(T718,[1]区域划分!$A$1:$C$39,3,0)</f>
        <v>牛国庆</v>
      </c>
      <c r="V718" s="59"/>
      <c r="W718" s="68"/>
      <c r="X718" s="68"/>
      <c r="Y718" s="68"/>
    </row>
    <row r="719" s="17" customFormat="1" hidden="1" customHeight="1" spans="1:25">
      <c r="A719" s="59">
        <v>717</v>
      </c>
      <c r="B719" s="60" t="s">
        <v>1664</v>
      </c>
      <c r="C719" s="61">
        <f t="shared" si="41"/>
        <v>45226</v>
      </c>
      <c r="D719" s="62" t="str">
        <f ca="1" t="shared" si="39"/>
        <v>一年以上</v>
      </c>
      <c r="E719" s="313">
        <v>45226</v>
      </c>
      <c r="F719" s="59" t="s">
        <v>632</v>
      </c>
      <c r="G719" s="59" t="s">
        <v>450</v>
      </c>
      <c r="H719" s="63" t="s">
        <v>1665</v>
      </c>
      <c r="I719" s="63" t="s">
        <v>1665</v>
      </c>
      <c r="J719" s="314">
        <v>500</v>
      </c>
      <c r="K719" s="59" t="s">
        <v>28</v>
      </c>
      <c r="L719" s="59" t="s">
        <v>73</v>
      </c>
      <c r="M719" s="59" t="s">
        <v>515</v>
      </c>
      <c r="N719" s="315"/>
      <c r="O719" s="316">
        <f t="shared" si="40"/>
        <v>500</v>
      </c>
      <c r="P719" s="95"/>
      <c r="Q719" s="61">
        <f t="shared" si="42"/>
        <v>0</v>
      </c>
      <c r="R719" s="59"/>
      <c r="S719" s="59" t="s">
        <v>1666</v>
      </c>
      <c r="T719" s="59" t="s">
        <v>44</v>
      </c>
      <c r="U719" s="59" t="str">
        <f>VLOOKUP(T719,[1]区域划分!$A$1:$C$39,3,0)</f>
        <v>殷坤鹏</v>
      </c>
      <c r="V719" s="59" t="s">
        <v>1667</v>
      </c>
      <c r="W719" s="68"/>
      <c r="X719" s="68"/>
      <c r="Y719" s="68"/>
    </row>
    <row r="720" s="17" customFormat="1" hidden="1" customHeight="1" spans="1:25">
      <c r="A720" s="59">
        <v>718</v>
      </c>
      <c r="B720" s="60" t="s">
        <v>1668</v>
      </c>
      <c r="C720" s="61">
        <f t="shared" si="41"/>
        <v>45235</v>
      </c>
      <c r="D720" s="62" t="str">
        <f ca="1" t="shared" si="39"/>
        <v>一年以上</v>
      </c>
      <c r="E720" s="313">
        <v>45235</v>
      </c>
      <c r="F720" s="59" t="s">
        <v>632</v>
      </c>
      <c r="G720" s="59" t="s">
        <v>450</v>
      </c>
      <c r="H720" s="63" t="s">
        <v>1669</v>
      </c>
      <c r="I720" s="63" t="s">
        <v>1669</v>
      </c>
      <c r="J720" s="314">
        <v>2000</v>
      </c>
      <c r="K720" s="59" t="s">
        <v>356</v>
      </c>
      <c r="L720" s="59" t="s">
        <v>73</v>
      </c>
      <c r="M720" s="59" t="s">
        <v>30</v>
      </c>
      <c r="N720" s="315">
        <v>2000</v>
      </c>
      <c r="O720" s="316">
        <f t="shared" si="40"/>
        <v>0</v>
      </c>
      <c r="P720" s="95">
        <v>45271</v>
      </c>
      <c r="Q720" s="61">
        <f t="shared" si="42"/>
        <v>45271</v>
      </c>
      <c r="R720" s="59"/>
      <c r="S720" s="59" t="s">
        <v>1670</v>
      </c>
      <c r="T720" s="59" t="s">
        <v>32</v>
      </c>
      <c r="U720" s="59" t="str">
        <f>VLOOKUP(T720,[1]区域划分!$A$1:$C$39,3,0)</f>
        <v>方渊</v>
      </c>
      <c r="V720" s="59"/>
      <c r="W720" s="68"/>
      <c r="X720" s="68"/>
      <c r="Y720" s="68"/>
    </row>
    <row r="721" s="17" customFormat="1" hidden="1" customHeight="1" spans="1:25">
      <c r="A721" s="59">
        <v>719</v>
      </c>
      <c r="B721" s="60" t="s">
        <v>1671</v>
      </c>
      <c r="C721" s="61">
        <f t="shared" si="41"/>
        <v>45238</v>
      </c>
      <c r="D721" s="62" t="str">
        <f ca="1" t="shared" si="39"/>
        <v>一年以上</v>
      </c>
      <c r="E721" s="313">
        <v>45238</v>
      </c>
      <c r="F721" s="59" t="s">
        <v>70</v>
      </c>
      <c r="G721" s="59" t="s">
        <v>1672</v>
      </c>
      <c r="H721" s="63" t="s">
        <v>1673</v>
      </c>
      <c r="I721" s="63" t="s">
        <v>1673</v>
      </c>
      <c r="J721" s="314">
        <v>5000</v>
      </c>
      <c r="K721" s="59" t="s">
        <v>28</v>
      </c>
      <c r="L721" s="59" t="s">
        <v>73</v>
      </c>
      <c r="M721" s="59" t="s">
        <v>65</v>
      </c>
      <c r="N721" s="315">
        <v>5000</v>
      </c>
      <c r="O721" s="316">
        <f t="shared" si="40"/>
        <v>0</v>
      </c>
      <c r="P721" s="95">
        <v>45834</v>
      </c>
      <c r="Q721" s="61">
        <f t="shared" si="42"/>
        <v>45834</v>
      </c>
      <c r="R721" s="59"/>
      <c r="S721" s="59" t="s">
        <v>1674</v>
      </c>
      <c r="T721" s="59" t="s">
        <v>381</v>
      </c>
      <c r="U721" s="59" t="str">
        <f>VLOOKUP(T721,[1]区域划分!$A$1:$C$39,3,0)</f>
        <v>林维</v>
      </c>
      <c r="V721" s="59"/>
      <c r="W721" s="68"/>
      <c r="X721" s="68"/>
      <c r="Y721" s="68"/>
    </row>
    <row r="722" s="17" customFormat="1" hidden="1" customHeight="1" spans="1:25">
      <c r="A722" s="59">
        <v>720</v>
      </c>
      <c r="B722" s="60" t="s">
        <v>1675</v>
      </c>
      <c r="C722" s="61">
        <f t="shared" si="41"/>
        <v>45238</v>
      </c>
      <c r="D722" s="62" t="str">
        <f ca="1" t="shared" si="39"/>
        <v>一年以上</v>
      </c>
      <c r="E722" s="313">
        <v>45238</v>
      </c>
      <c r="F722" s="59" t="s">
        <v>632</v>
      </c>
      <c r="G722" s="59" t="s">
        <v>450</v>
      </c>
      <c r="H722" s="63" t="s">
        <v>1676</v>
      </c>
      <c r="I722" s="63" t="s">
        <v>1676</v>
      </c>
      <c r="J722" s="314">
        <v>218</v>
      </c>
      <c r="K722" s="59" t="s">
        <v>28</v>
      </c>
      <c r="L722" s="59" t="s">
        <v>73</v>
      </c>
      <c r="M722" s="59" t="s">
        <v>515</v>
      </c>
      <c r="N722" s="315"/>
      <c r="O722" s="316">
        <f t="shared" si="40"/>
        <v>218</v>
      </c>
      <c r="P722" s="95"/>
      <c r="Q722" s="61">
        <f t="shared" si="42"/>
        <v>0</v>
      </c>
      <c r="R722" s="59" t="s">
        <v>515</v>
      </c>
      <c r="S722" s="59" t="s">
        <v>1677</v>
      </c>
      <c r="T722" s="59" t="s">
        <v>720</v>
      </c>
      <c r="U722" s="59" t="str">
        <f>VLOOKUP(T722,[1]区域划分!$A$1:$C$39,3,0)</f>
        <v>杨春龙</v>
      </c>
      <c r="V722" s="59"/>
      <c r="W722" s="68"/>
      <c r="X722" s="68"/>
      <c r="Y722" s="68"/>
    </row>
    <row r="723" s="17" customFormat="1" hidden="1" customHeight="1" spans="1:25">
      <c r="A723" s="59">
        <v>721</v>
      </c>
      <c r="B723" s="60" t="s">
        <v>1678</v>
      </c>
      <c r="C723" s="61">
        <f t="shared" si="41"/>
        <v>45241</v>
      </c>
      <c r="D723" s="62" t="str">
        <f ca="1" t="shared" si="39"/>
        <v>一年以上</v>
      </c>
      <c r="E723" s="313">
        <v>45241</v>
      </c>
      <c r="F723" s="59" t="s">
        <v>632</v>
      </c>
      <c r="G723" s="59" t="s">
        <v>450</v>
      </c>
      <c r="H723" s="63" t="s">
        <v>1679</v>
      </c>
      <c r="I723" s="63" t="s">
        <v>1679</v>
      </c>
      <c r="J723" s="314">
        <v>500</v>
      </c>
      <c r="K723" s="59" t="s">
        <v>28</v>
      </c>
      <c r="L723" s="59" t="s">
        <v>73</v>
      </c>
      <c r="M723" s="59" t="s">
        <v>515</v>
      </c>
      <c r="N723" s="315">
        <v>500</v>
      </c>
      <c r="O723" s="316">
        <f t="shared" si="40"/>
        <v>0</v>
      </c>
      <c r="P723" s="95">
        <v>45252</v>
      </c>
      <c r="Q723" s="61">
        <f t="shared" si="42"/>
        <v>45252</v>
      </c>
      <c r="R723" s="59" t="s">
        <v>951</v>
      </c>
      <c r="S723" s="59" t="s">
        <v>1680</v>
      </c>
      <c r="T723" s="59" t="s">
        <v>581</v>
      </c>
      <c r="U723" s="59" t="str">
        <f>VLOOKUP(T723,[1]区域划分!$A$1:$C$39,3,0)</f>
        <v>新疆</v>
      </c>
      <c r="V723" s="59"/>
      <c r="W723" s="68"/>
      <c r="X723" s="68"/>
      <c r="Y723" s="68"/>
    </row>
    <row r="724" s="17" customFormat="1" hidden="1" customHeight="1" spans="1:25">
      <c r="A724" s="59">
        <v>721</v>
      </c>
      <c r="B724" s="60" t="s">
        <v>1678</v>
      </c>
      <c r="C724" s="61">
        <f t="shared" si="41"/>
        <v>45243</v>
      </c>
      <c r="D724" s="62" t="str">
        <f ca="1" t="shared" si="39"/>
        <v>一年以上</v>
      </c>
      <c r="E724" s="313">
        <v>45243</v>
      </c>
      <c r="F724" s="59" t="s">
        <v>632</v>
      </c>
      <c r="G724" s="59" t="s">
        <v>450</v>
      </c>
      <c r="H724" s="63" t="s">
        <v>1679</v>
      </c>
      <c r="I724" s="63" t="s">
        <v>1679</v>
      </c>
      <c r="J724" s="314">
        <v>25000</v>
      </c>
      <c r="K724" s="59" t="s">
        <v>28</v>
      </c>
      <c r="L724" s="59" t="s">
        <v>73</v>
      </c>
      <c r="M724" s="59" t="s">
        <v>30</v>
      </c>
      <c r="N724" s="315">
        <v>25000</v>
      </c>
      <c r="O724" s="316">
        <f t="shared" si="40"/>
        <v>0</v>
      </c>
      <c r="P724" s="95">
        <v>45268</v>
      </c>
      <c r="Q724" s="61">
        <f t="shared" si="42"/>
        <v>45268</v>
      </c>
      <c r="R724" s="59"/>
      <c r="S724" s="59" t="s">
        <v>1680</v>
      </c>
      <c r="T724" s="59" t="s">
        <v>581</v>
      </c>
      <c r="U724" s="59" t="str">
        <f>VLOOKUP(T724,[1]区域划分!$A$1:$C$39,3,0)</f>
        <v>新疆</v>
      </c>
      <c r="V724" s="59"/>
      <c r="W724" s="68"/>
      <c r="X724" s="68"/>
      <c r="Y724" s="68"/>
    </row>
    <row r="725" s="17" customFormat="1" hidden="1" customHeight="1" spans="1:25">
      <c r="A725" s="59">
        <v>722</v>
      </c>
      <c r="B725" s="60" t="s">
        <v>1681</v>
      </c>
      <c r="C725" s="61">
        <f t="shared" si="41"/>
        <v>45243</v>
      </c>
      <c r="D725" s="62" t="str">
        <f ca="1" t="shared" si="39"/>
        <v>一年以上</v>
      </c>
      <c r="E725" s="313">
        <v>45243</v>
      </c>
      <c r="F725" s="59" t="s">
        <v>632</v>
      </c>
      <c r="G725" s="59" t="s">
        <v>450</v>
      </c>
      <c r="H725" s="63" t="s">
        <v>657</v>
      </c>
      <c r="I725" s="63" t="s">
        <v>657</v>
      </c>
      <c r="J725" s="314">
        <v>4000</v>
      </c>
      <c r="K725" s="59" t="s">
        <v>356</v>
      </c>
      <c r="L725" s="59" t="s">
        <v>73</v>
      </c>
      <c r="M725" s="59" t="s">
        <v>30</v>
      </c>
      <c r="N725" s="315">
        <v>4000</v>
      </c>
      <c r="O725" s="316">
        <f t="shared" si="40"/>
        <v>0</v>
      </c>
      <c r="P725" s="95">
        <v>45320</v>
      </c>
      <c r="Q725" s="61">
        <f t="shared" si="42"/>
        <v>45320</v>
      </c>
      <c r="R725" s="59"/>
      <c r="S725" s="59" t="s">
        <v>1682</v>
      </c>
      <c r="T725" s="59" t="s">
        <v>300</v>
      </c>
      <c r="U725" s="59" t="str">
        <f>VLOOKUP(T725,[1]区域划分!$A$1:$C$39,3,0)</f>
        <v>林维</v>
      </c>
      <c r="V725" s="59"/>
      <c r="W725" s="68"/>
      <c r="X725" s="68"/>
      <c r="Y725" s="68"/>
    </row>
    <row r="726" s="17" customFormat="1" hidden="1" customHeight="1" spans="1:25">
      <c r="A726" s="59">
        <v>723</v>
      </c>
      <c r="B726" s="60" t="s">
        <v>1683</v>
      </c>
      <c r="C726" s="61">
        <f t="shared" si="41"/>
        <v>45245</v>
      </c>
      <c r="D726" s="62" t="str">
        <f ca="1" t="shared" si="39"/>
        <v>一年以上</v>
      </c>
      <c r="E726" s="313">
        <v>45245</v>
      </c>
      <c r="F726" s="59" t="s">
        <v>632</v>
      </c>
      <c r="G726" s="59" t="s">
        <v>450</v>
      </c>
      <c r="H726" s="63" t="s">
        <v>1684</v>
      </c>
      <c r="I726" s="63" t="s">
        <v>1684</v>
      </c>
      <c r="J726" s="314">
        <v>1300</v>
      </c>
      <c r="K726" s="59" t="s">
        <v>28</v>
      </c>
      <c r="L726" s="59" t="s">
        <v>73</v>
      </c>
      <c r="M726" s="59" t="s">
        <v>30</v>
      </c>
      <c r="N726" s="315">
        <v>1300</v>
      </c>
      <c r="O726" s="316">
        <f t="shared" si="40"/>
        <v>0</v>
      </c>
      <c r="P726" s="95">
        <v>45246</v>
      </c>
      <c r="Q726" s="61">
        <f t="shared" si="42"/>
        <v>45246</v>
      </c>
      <c r="R726" s="59"/>
      <c r="S726" s="59"/>
      <c r="T726" s="59" t="s">
        <v>581</v>
      </c>
      <c r="U726" s="59" t="str">
        <f>VLOOKUP(T726,[1]区域划分!$A$1:$C$39,3,0)</f>
        <v>新疆</v>
      </c>
      <c r="V726" s="59"/>
      <c r="W726" s="68"/>
      <c r="X726" s="68"/>
      <c r="Y726" s="68"/>
    </row>
    <row r="727" s="17" customFormat="1" hidden="1" customHeight="1" spans="1:25">
      <c r="A727" s="59">
        <v>724</v>
      </c>
      <c r="B727" s="60" t="s">
        <v>1685</v>
      </c>
      <c r="C727" s="61">
        <f t="shared" si="41"/>
        <v>45246</v>
      </c>
      <c r="D727" s="62" t="str">
        <f ca="1" t="shared" si="39"/>
        <v>一年以上</v>
      </c>
      <c r="E727" s="313">
        <v>45246</v>
      </c>
      <c r="F727" s="59" t="s">
        <v>632</v>
      </c>
      <c r="G727" s="59" t="s">
        <v>450</v>
      </c>
      <c r="H727" s="63" t="s">
        <v>592</v>
      </c>
      <c r="I727" s="63" t="s">
        <v>592</v>
      </c>
      <c r="J727" s="314">
        <v>600</v>
      </c>
      <c r="K727" s="59" t="s">
        <v>28</v>
      </c>
      <c r="L727" s="59" t="s">
        <v>96</v>
      </c>
      <c r="M727" s="59" t="s">
        <v>515</v>
      </c>
      <c r="N727" s="315"/>
      <c r="O727" s="316">
        <f t="shared" si="40"/>
        <v>600</v>
      </c>
      <c r="P727" s="95"/>
      <c r="Q727" s="61">
        <f t="shared" si="42"/>
        <v>0</v>
      </c>
      <c r="R727" s="59" t="s">
        <v>1686</v>
      </c>
      <c r="S727" s="59" t="s">
        <v>1687</v>
      </c>
      <c r="T727" s="59" t="s">
        <v>38</v>
      </c>
      <c r="U727" s="59" t="str">
        <f>VLOOKUP(T727,[1]区域划分!$A$1:$C$39,3,0)</f>
        <v>方渊</v>
      </c>
      <c r="V727" s="59"/>
      <c r="W727" s="68"/>
      <c r="X727" s="68"/>
      <c r="Y727" s="68"/>
    </row>
    <row r="728" s="17" customFormat="1" hidden="1" customHeight="1" spans="1:25">
      <c r="A728" s="59">
        <v>725</v>
      </c>
      <c r="B728" s="60" t="s">
        <v>1688</v>
      </c>
      <c r="C728" s="61">
        <f t="shared" si="41"/>
        <v>45247</v>
      </c>
      <c r="D728" s="62" t="str">
        <f ca="1" t="shared" si="39"/>
        <v>一年以上</v>
      </c>
      <c r="E728" s="313">
        <v>45247</v>
      </c>
      <c r="F728" s="59" t="s">
        <v>632</v>
      </c>
      <c r="G728" s="59" t="s">
        <v>450</v>
      </c>
      <c r="H728" s="63" t="s">
        <v>1689</v>
      </c>
      <c r="I728" s="63" t="s">
        <v>1689</v>
      </c>
      <c r="J728" s="314">
        <v>3600</v>
      </c>
      <c r="K728" s="59" t="s">
        <v>28</v>
      </c>
      <c r="L728" s="59" t="s">
        <v>73</v>
      </c>
      <c r="M728" s="59" t="s">
        <v>968</v>
      </c>
      <c r="N728" s="315"/>
      <c r="O728" s="316">
        <f t="shared" si="40"/>
        <v>3600</v>
      </c>
      <c r="P728" s="95"/>
      <c r="Q728" s="61">
        <f t="shared" si="42"/>
        <v>0</v>
      </c>
      <c r="R728" s="59"/>
      <c r="S728" s="59" t="s">
        <v>1690</v>
      </c>
      <c r="T728" s="59"/>
      <c r="U728" s="59"/>
      <c r="V728" s="59"/>
      <c r="W728" s="68"/>
      <c r="X728" s="68"/>
      <c r="Y728" s="68"/>
    </row>
    <row r="729" s="17" customFormat="1" hidden="1" customHeight="1" spans="1:25">
      <c r="A729" s="59">
        <v>726</v>
      </c>
      <c r="B729" s="60" t="s">
        <v>1691</v>
      </c>
      <c r="C729" s="61">
        <f t="shared" si="41"/>
        <v>45247</v>
      </c>
      <c r="D729" s="62" t="str">
        <f ca="1" t="shared" si="39"/>
        <v>一年以上</v>
      </c>
      <c r="E729" s="313">
        <v>45247</v>
      </c>
      <c r="F729" s="59" t="s">
        <v>632</v>
      </c>
      <c r="G729" s="59" t="s">
        <v>450</v>
      </c>
      <c r="H729" s="63" t="s">
        <v>1692</v>
      </c>
      <c r="I729" s="63" t="s">
        <v>708</v>
      </c>
      <c r="J729" s="314">
        <v>5000</v>
      </c>
      <c r="K729" s="59" t="s">
        <v>28</v>
      </c>
      <c r="L729" s="59" t="s">
        <v>73</v>
      </c>
      <c r="M729" s="59" t="s">
        <v>30</v>
      </c>
      <c r="N729" s="315">
        <v>5000</v>
      </c>
      <c r="O729" s="316">
        <f t="shared" si="40"/>
        <v>0</v>
      </c>
      <c r="P729" s="95">
        <v>45315</v>
      </c>
      <c r="Q729" s="61">
        <f t="shared" si="42"/>
        <v>45315</v>
      </c>
      <c r="R729" s="59"/>
      <c r="S729" s="59" t="s">
        <v>1693</v>
      </c>
      <c r="T729" s="59" t="s">
        <v>267</v>
      </c>
      <c r="U729" s="59" t="str">
        <f>VLOOKUP(T729,[1]区域划分!$A$1:$C$39,3,0)</f>
        <v>牛国庆</v>
      </c>
      <c r="V729" s="59"/>
      <c r="W729" s="68"/>
      <c r="X729" s="68"/>
      <c r="Y729" s="68"/>
    </row>
    <row r="730" s="17" customFormat="1" hidden="1" customHeight="1" spans="1:25">
      <c r="A730" s="59">
        <v>727</v>
      </c>
      <c r="B730" s="60" t="s">
        <v>1694</v>
      </c>
      <c r="C730" s="61">
        <f t="shared" si="41"/>
        <v>45250</v>
      </c>
      <c r="D730" s="62" t="str">
        <f ca="1" t="shared" si="39"/>
        <v>一年以上</v>
      </c>
      <c r="E730" s="313">
        <v>45250</v>
      </c>
      <c r="F730" s="59" t="s">
        <v>130</v>
      </c>
      <c r="G730" s="59" t="s">
        <v>1465</v>
      </c>
      <c r="H730" s="63" t="s">
        <v>863</v>
      </c>
      <c r="I730" s="63" t="s">
        <v>863</v>
      </c>
      <c r="J730" s="314">
        <v>6000</v>
      </c>
      <c r="K730" s="59" t="s">
        <v>28</v>
      </c>
      <c r="L730" s="59" t="s">
        <v>73</v>
      </c>
      <c r="M730" s="59" t="s">
        <v>133</v>
      </c>
      <c r="N730" s="315"/>
      <c r="O730" s="318">
        <f t="shared" si="40"/>
        <v>6000</v>
      </c>
      <c r="P730" s="95"/>
      <c r="Q730" s="61">
        <f t="shared" si="42"/>
        <v>0</v>
      </c>
      <c r="R730" s="59"/>
      <c r="S730" s="59" t="s">
        <v>1695</v>
      </c>
      <c r="T730" s="59" t="s">
        <v>972</v>
      </c>
      <c r="U730" s="59" t="str">
        <f>VLOOKUP(T730,[1]区域划分!$A$1:$C$39,3,0)</f>
        <v>曾江利</v>
      </c>
      <c r="V730" s="59"/>
      <c r="W730" s="68"/>
      <c r="X730" s="68"/>
      <c r="Y730" s="68"/>
    </row>
    <row r="731" s="17" customFormat="1" hidden="1" customHeight="1" spans="1:25">
      <c r="A731" s="59">
        <v>728</v>
      </c>
      <c r="B731" s="60" t="s">
        <v>1696</v>
      </c>
      <c r="C731" s="61">
        <f t="shared" si="41"/>
        <v>45251</v>
      </c>
      <c r="D731" s="62" t="str">
        <f ca="1" t="shared" ref="D731:D780" si="43">IF(TODAY()-E731&lt;60,"2个月内",IF(TODAY()-E731&lt;180,"3-6个月",IF(TODAY()-E731&lt;360,"6个月-1年","一年以上")))</f>
        <v>一年以上</v>
      </c>
      <c r="E731" s="313">
        <v>45251</v>
      </c>
      <c r="F731" s="59" t="s">
        <v>632</v>
      </c>
      <c r="G731" s="59" t="s">
        <v>450</v>
      </c>
      <c r="H731" s="63" t="s">
        <v>1676</v>
      </c>
      <c r="I731" s="63" t="s">
        <v>1676</v>
      </c>
      <c r="J731" s="314">
        <v>20000</v>
      </c>
      <c r="K731" s="59" t="s">
        <v>28</v>
      </c>
      <c r="L731" s="59" t="s">
        <v>73</v>
      </c>
      <c r="M731" s="59" t="s">
        <v>30</v>
      </c>
      <c r="N731" s="315">
        <v>20000</v>
      </c>
      <c r="O731" s="316">
        <f t="shared" ref="O731:O794" si="44">J731-N731</f>
        <v>0</v>
      </c>
      <c r="P731" s="95">
        <v>45265</v>
      </c>
      <c r="Q731" s="61">
        <f t="shared" si="42"/>
        <v>45265</v>
      </c>
      <c r="R731" s="59"/>
      <c r="S731" s="59" t="s">
        <v>1677</v>
      </c>
      <c r="T731" s="59" t="s">
        <v>720</v>
      </c>
      <c r="U731" s="59" t="str">
        <f>VLOOKUP(T731,[1]区域划分!$A$1:$C$39,3,0)</f>
        <v>杨春龙</v>
      </c>
      <c r="V731" s="59"/>
      <c r="W731" s="68"/>
      <c r="X731" s="68"/>
      <c r="Y731" s="68"/>
    </row>
    <row r="732" s="17" customFormat="1" hidden="1" customHeight="1" spans="1:25">
      <c r="A732" s="59">
        <v>729</v>
      </c>
      <c r="B732" s="60" t="s">
        <v>1697</v>
      </c>
      <c r="C732" s="61">
        <f t="shared" si="41"/>
        <v>45252</v>
      </c>
      <c r="D732" s="62" t="str">
        <f ca="1" t="shared" si="43"/>
        <v>一年以上</v>
      </c>
      <c r="E732" s="313">
        <v>45252</v>
      </c>
      <c r="F732" s="59" t="s">
        <v>632</v>
      </c>
      <c r="G732" s="59" t="s">
        <v>450</v>
      </c>
      <c r="H732" s="63" t="s">
        <v>1698</v>
      </c>
      <c r="I732" s="63" t="s">
        <v>1698</v>
      </c>
      <c r="J732" s="314">
        <v>200</v>
      </c>
      <c r="K732" s="59" t="s">
        <v>28</v>
      </c>
      <c r="L732" s="59" t="s">
        <v>73</v>
      </c>
      <c r="M732" s="59" t="s">
        <v>515</v>
      </c>
      <c r="N732" s="315"/>
      <c r="O732" s="316">
        <f t="shared" si="44"/>
        <v>200</v>
      </c>
      <c r="P732" s="95"/>
      <c r="Q732" s="61">
        <f t="shared" si="42"/>
        <v>0</v>
      </c>
      <c r="R732" s="59"/>
      <c r="S732" s="59" t="s">
        <v>1699</v>
      </c>
      <c r="T732" s="59" t="s">
        <v>581</v>
      </c>
      <c r="U732" s="59" t="str">
        <f>VLOOKUP(T732,[1]区域划分!$A$1:$C$39,3,0)</f>
        <v>新疆</v>
      </c>
      <c r="V732" s="59"/>
      <c r="W732" s="68"/>
      <c r="X732" s="68"/>
      <c r="Y732" s="68"/>
    </row>
    <row r="733" s="17" customFormat="1" hidden="1" customHeight="1" spans="1:25">
      <c r="A733" s="59">
        <v>730</v>
      </c>
      <c r="B733" s="60" t="s">
        <v>1700</v>
      </c>
      <c r="C733" s="61">
        <f t="shared" si="41"/>
        <v>45252</v>
      </c>
      <c r="D733" s="62" t="str">
        <f ca="1" t="shared" si="43"/>
        <v>一年以上</v>
      </c>
      <c r="E733" s="313">
        <v>45252</v>
      </c>
      <c r="F733" s="59" t="s">
        <v>632</v>
      </c>
      <c r="G733" s="59" t="s">
        <v>450</v>
      </c>
      <c r="H733" s="63" t="s">
        <v>1698</v>
      </c>
      <c r="I733" s="63" t="s">
        <v>1698</v>
      </c>
      <c r="J733" s="314">
        <v>200</v>
      </c>
      <c r="K733" s="59" t="s">
        <v>28</v>
      </c>
      <c r="L733" s="59" t="s">
        <v>73</v>
      </c>
      <c r="M733" s="59" t="s">
        <v>515</v>
      </c>
      <c r="N733" s="315"/>
      <c r="O733" s="316">
        <f t="shared" si="44"/>
        <v>200</v>
      </c>
      <c r="P733" s="95"/>
      <c r="Q733" s="61">
        <f t="shared" si="42"/>
        <v>0</v>
      </c>
      <c r="R733" s="59"/>
      <c r="S733" s="59" t="s">
        <v>1701</v>
      </c>
      <c r="T733" s="59" t="s">
        <v>581</v>
      </c>
      <c r="U733" s="59" t="str">
        <f>VLOOKUP(T733,[1]区域划分!$A$1:$C$39,3,0)</f>
        <v>新疆</v>
      </c>
      <c r="V733" s="59"/>
      <c r="W733" s="68"/>
      <c r="X733" s="68"/>
      <c r="Y733" s="68"/>
    </row>
    <row r="734" s="17" customFormat="1" hidden="1" customHeight="1" spans="1:25">
      <c r="A734" s="59">
        <v>731</v>
      </c>
      <c r="B734" s="60" t="s">
        <v>1702</v>
      </c>
      <c r="C734" s="61">
        <f t="shared" si="41"/>
        <v>45252</v>
      </c>
      <c r="D734" s="62" t="str">
        <f ca="1" t="shared" si="43"/>
        <v>一年以上</v>
      </c>
      <c r="E734" s="313">
        <v>45252</v>
      </c>
      <c r="F734" s="59" t="s">
        <v>632</v>
      </c>
      <c r="G734" s="59" t="s">
        <v>450</v>
      </c>
      <c r="H734" s="63" t="s">
        <v>1703</v>
      </c>
      <c r="I734" s="63" t="s">
        <v>1703</v>
      </c>
      <c r="J734" s="314">
        <v>200</v>
      </c>
      <c r="K734" s="59" t="s">
        <v>28</v>
      </c>
      <c r="L734" s="59" t="s">
        <v>73</v>
      </c>
      <c r="M734" s="59" t="s">
        <v>515</v>
      </c>
      <c r="N734" s="315"/>
      <c r="O734" s="316">
        <f t="shared" si="44"/>
        <v>200</v>
      </c>
      <c r="P734" s="95"/>
      <c r="Q734" s="61">
        <f t="shared" si="42"/>
        <v>0</v>
      </c>
      <c r="R734" s="59"/>
      <c r="S734" s="59" t="s">
        <v>1704</v>
      </c>
      <c r="T734" s="59" t="s">
        <v>86</v>
      </c>
      <c r="U734" s="59" t="str">
        <f>VLOOKUP(T734,[1]区域划分!$A$1:$C$39,3,0)</f>
        <v>朱利勇</v>
      </c>
      <c r="V734" s="59"/>
      <c r="W734" s="68"/>
      <c r="X734" s="68"/>
      <c r="Y734" s="68"/>
    </row>
    <row r="735" s="17" customFormat="1" hidden="1" customHeight="1" spans="1:25">
      <c r="A735" s="59">
        <v>732</v>
      </c>
      <c r="B735" s="60" t="s">
        <v>1705</v>
      </c>
      <c r="C735" s="61">
        <f t="shared" si="41"/>
        <v>45254</v>
      </c>
      <c r="D735" s="62" t="str">
        <f ca="1" t="shared" si="43"/>
        <v>一年以上</v>
      </c>
      <c r="E735" s="313">
        <v>45254</v>
      </c>
      <c r="F735" s="59" t="s">
        <v>632</v>
      </c>
      <c r="G735" s="59" t="s">
        <v>450</v>
      </c>
      <c r="H735" s="63" t="s">
        <v>863</v>
      </c>
      <c r="I735" s="63" t="s">
        <v>863</v>
      </c>
      <c r="J735" s="314">
        <v>20000</v>
      </c>
      <c r="K735" s="59" t="s">
        <v>1706</v>
      </c>
      <c r="L735" s="59" t="s">
        <v>73</v>
      </c>
      <c r="M735" s="59" t="s">
        <v>30</v>
      </c>
      <c r="N735" s="315">
        <v>20000</v>
      </c>
      <c r="O735" s="316">
        <f t="shared" si="44"/>
        <v>0</v>
      </c>
      <c r="P735" s="95">
        <v>45317</v>
      </c>
      <c r="Q735" s="61">
        <f t="shared" si="42"/>
        <v>45317</v>
      </c>
      <c r="R735" s="59"/>
      <c r="S735" s="59" t="s">
        <v>1707</v>
      </c>
      <c r="T735" s="59" t="s">
        <v>972</v>
      </c>
      <c r="U735" s="59" t="str">
        <f>VLOOKUP(T735,[1]区域划分!$A$1:$C$39,3,0)</f>
        <v>曾江利</v>
      </c>
      <c r="V735" s="59"/>
      <c r="W735" s="68"/>
      <c r="X735" s="68"/>
      <c r="Y735" s="68"/>
    </row>
    <row r="736" s="17" customFormat="1" hidden="1" customHeight="1" spans="1:25">
      <c r="A736" s="59">
        <v>733</v>
      </c>
      <c r="B736" s="60" t="s">
        <v>1708</v>
      </c>
      <c r="C736" s="61">
        <f t="shared" si="41"/>
        <v>45254</v>
      </c>
      <c r="D736" s="62" t="str">
        <f ca="1" t="shared" si="43"/>
        <v>一年以上</v>
      </c>
      <c r="E736" s="313">
        <v>45254</v>
      </c>
      <c r="F736" s="59" t="s">
        <v>632</v>
      </c>
      <c r="G736" s="59" t="s">
        <v>450</v>
      </c>
      <c r="H736" s="63" t="s">
        <v>1689</v>
      </c>
      <c r="I736" s="63" t="s">
        <v>1689</v>
      </c>
      <c r="J736" s="314">
        <v>300</v>
      </c>
      <c r="K736" s="59" t="s">
        <v>28</v>
      </c>
      <c r="L736" s="59" t="s">
        <v>73</v>
      </c>
      <c r="M736" s="59" t="s">
        <v>968</v>
      </c>
      <c r="N736" s="315">
        <v>300</v>
      </c>
      <c r="O736" s="316">
        <f t="shared" si="44"/>
        <v>0</v>
      </c>
      <c r="P736" s="95">
        <v>45254</v>
      </c>
      <c r="Q736" s="61">
        <f t="shared" si="42"/>
        <v>45254</v>
      </c>
      <c r="R736" s="59"/>
      <c r="S736" s="59" t="s">
        <v>1709</v>
      </c>
      <c r="T736" s="59"/>
      <c r="U736" s="59"/>
      <c r="V736" s="59"/>
      <c r="W736" s="68"/>
      <c r="X736" s="68"/>
      <c r="Y736" s="68"/>
    </row>
    <row r="737" s="17" customFormat="1" hidden="1" customHeight="1" spans="1:25">
      <c r="A737" s="59">
        <v>734</v>
      </c>
      <c r="B737" s="60" t="s">
        <v>1710</v>
      </c>
      <c r="C737" s="61">
        <f t="shared" si="41"/>
        <v>45254</v>
      </c>
      <c r="D737" s="62" t="str">
        <f ca="1" t="shared" si="43"/>
        <v>一年以上</v>
      </c>
      <c r="E737" s="313">
        <v>45254</v>
      </c>
      <c r="F737" s="59" t="s">
        <v>632</v>
      </c>
      <c r="G737" s="59" t="s">
        <v>450</v>
      </c>
      <c r="H737" s="63" t="s">
        <v>1711</v>
      </c>
      <c r="I737" s="63" t="s">
        <v>1711</v>
      </c>
      <c r="J737" s="314">
        <v>200</v>
      </c>
      <c r="K737" s="59" t="s">
        <v>28</v>
      </c>
      <c r="L737" s="59" t="s">
        <v>73</v>
      </c>
      <c r="M737" s="59" t="s">
        <v>968</v>
      </c>
      <c r="N737" s="315">
        <v>200</v>
      </c>
      <c r="O737" s="316">
        <f t="shared" si="44"/>
        <v>0</v>
      </c>
      <c r="P737" s="95">
        <v>45254</v>
      </c>
      <c r="Q737" s="61">
        <f t="shared" si="42"/>
        <v>45254</v>
      </c>
      <c r="R737" s="59"/>
      <c r="S737" s="59" t="s">
        <v>1712</v>
      </c>
      <c r="T737" s="59"/>
      <c r="U737" s="59"/>
      <c r="V737" s="59"/>
      <c r="W737" s="68"/>
      <c r="X737" s="68"/>
      <c r="Y737" s="68"/>
    </row>
    <row r="738" s="17" customFormat="1" hidden="1" customHeight="1" spans="1:25">
      <c r="A738" s="59">
        <v>735</v>
      </c>
      <c r="B738" s="60" t="s">
        <v>1713</v>
      </c>
      <c r="C738" s="61">
        <f t="shared" si="41"/>
        <v>45258</v>
      </c>
      <c r="D738" s="62" t="str">
        <f ca="1" t="shared" si="43"/>
        <v>一年以上</v>
      </c>
      <c r="E738" s="313">
        <v>45258</v>
      </c>
      <c r="F738" s="59" t="s">
        <v>632</v>
      </c>
      <c r="G738" s="59" t="s">
        <v>450</v>
      </c>
      <c r="H738" s="63" t="s">
        <v>1703</v>
      </c>
      <c r="I738" s="63" t="s">
        <v>1703</v>
      </c>
      <c r="J738" s="314">
        <v>3000</v>
      </c>
      <c r="K738" s="59" t="s">
        <v>28</v>
      </c>
      <c r="L738" s="59" t="s">
        <v>73</v>
      </c>
      <c r="M738" s="59" t="s">
        <v>30</v>
      </c>
      <c r="N738" s="315">
        <v>3000</v>
      </c>
      <c r="O738" s="316">
        <f t="shared" si="44"/>
        <v>0</v>
      </c>
      <c r="P738" s="95">
        <v>45267</v>
      </c>
      <c r="Q738" s="61">
        <f t="shared" si="42"/>
        <v>45267</v>
      </c>
      <c r="R738" s="59"/>
      <c r="S738" s="59" t="s">
        <v>1704</v>
      </c>
      <c r="T738" s="59" t="s">
        <v>86</v>
      </c>
      <c r="U738" s="59" t="str">
        <f>VLOOKUP(T738,[1]区域划分!$A$1:$C$39,3,0)</f>
        <v>朱利勇</v>
      </c>
      <c r="V738" s="59"/>
      <c r="W738" s="68"/>
      <c r="X738" s="68"/>
      <c r="Y738" s="68"/>
    </row>
    <row r="739" s="17" customFormat="1" hidden="1" customHeight="1" spans="1:25">
      <c r="A739" s="59">
        <v>736</v>
      </c>
      <c r="B739" s="60" t="s">
        <v>1714</v>
      </c>
      <c r="C739" s="61">
        <f t="shared" si="41"/>
        <v>45238</v>
      </c>
      <c r="D739" s="62" t="str">
        <f ca="1" t="shared" si="43"/>
        <v>一年以上</v>
      </c>
      <c r="E739" s="313">
        <v>45238</v>
      </c>
      <c r="F739" s="59" t="s">
        <v>632</v>
      </c>
      <c r="G739" s="59" t="s">
        <v>993</v>
      </c>
      <c r="H739" s="63" t="s">
        <v>1715</v>
      </c>
      <c r="I739" s="63" t="s">
        <v>1715</v>
      </c>
      <c r="J739" s="314">
        <v>12800</v>
      </c>
      <c r="K739" s="59" t="s">
        <v>28</v>
      </c>
      <c r="L739" s="59" t="s">
        <v>73</v>
      </c>
      <c r="M739" s="59" t="s">
        <v>968</v>
      </c>
      <c r="N739" s="315"/>
      <c r="O739" s="316">
        <f t="shared" si="44"/>
        <v>12800</v>
      </c>
      <c r="P739" s="95"/>
      <c r="Q739" s="61">
        <f t="shared" si="42"/>
        <v>0</v>
      </c>
      <c r="R739" s="59"/>
      <c r="S739" s="59"/>
      <c r="T739" s="59"/>
      <c r="U739" s="59"/>
      <c r="V739" s="59"/>
      <c r="W739" s="68"/>
      <c r="X739" s="68"/>
      <c r="Y739" s="68"/>
    </row>
    <row r="740" s="17" customFormat="1" hidden="1" customHeight="1" spans="1:25">
      <c r="A740" s="59">
        <v>737</v>
      </c>
      <c r="B740" s="60" t="s">
        <v>1716</v>
      </c>
      <c r="C740" s="61">
        <f t="shared" si="41"/>
        <v>45258</v>
      </c>
      <c r="D740" s="62" t="str">
        <f ca="1" t="shared" si="43"/>
        <v>一年以上</v>
      </c>
      <c r="E740" s="313">
        <v>45258</v>
      </c>
      <c r="F740" s="59" t="s">
        <v>70</v>
      </c>
      <c r="G740" s="59" t="s">
        <v>1672</v>
      </c>
      <c r="H740" s="63" t="s">
        <v>863</v>
      </c>
      <c r="I740" s="63" t="s">
        <v>863</v>
      </c>
      <c r="J740" s="314">
        <v>6000</v>
      </c>
      <c r="K740" s="59" t="s">
        <v>28</v>
      </c>
      <c r="L740" s="59" t="s">
        <v>73</v>
      </c>
      <c r="M740" s="59" t="s">
        <v>65</v>
      </c>
      <c r="N740" s="315">
        <v>6000</v>
      </c>
      <c r="O740" s="316">
        <f t="shared" si="44"/>
        <v>0</v>
      </c>
      <c r="P740" s="95">
        <v>45345</v>
      </c>
      <c r="Q740" s="61">
        <f t="shared" si="42"/>
        <v>45345</v>
      </c>
      <c r="R740" s="59"/>
      <c r="S740" s="59" t="s">
        <v>1695</v>
      </c>
      <c r="T740" s="59" t="s">
        <v>972</v>
      </c>
      <c r="U740" s="59" t="str">
        <f>VLOOKUP(T740,[1]区域划分!$A$1:$C$39,3,0)</f>
        <v>曾江利</v>
      </c>
      <c r="V740" s="59"/>
      <c r="W740" s="68"/>
      <c r="X740" s="68"/>
      <c r="Y740" s="68"/>
    </row>
    <row r="741" s="17" customFormat="1" hidden="1" customHeight="1" spans="1:25">
      <c r="A741" s="59">
        <v>738</v>
      </c>
      <c r="B741" s="60" t="s">
        <v>1717</v>
      </c>
      <c r="C741" s="61">
        <f t="shared" si="41"/>
        <v>45258</v>
      </c>
      <c r="D741" s="62" t="str">
        <f ca="1" t="shared" si="43"/>
        <v>一年以上</v>
      </c>
      <c r="E741" s="313">
        <v>45258</v>
      </c>
      <c r="F741" s="59" t="s">
        <v>70</v>
      </c>
      <c r="G741" s="59" t="s">
        <v>1672</v>
      </c>
      <c r="H741" s="63" t="s">
        <v>863</v>
      </c>
      <c r="I741" s="63" t="s">
        <v>863</v>
      </c>
      <c r="J741" s="314">
        <v>9000</v>
      </c>
      <c r="K741" s="59" t="s">
        <v>28</v>
      </c>
      <c r="L741" s="59" t="s">
        <v>73</v>
      </c>
      <c r="M741" s="59" t="s">
        <v>65</v>
      </c>
      <c r="N741" s="315">
        <v>9000</v>
      </c>
      <c r="O741" s="316">
        <f t="shared" si="44"/>
        <v>0</v>
      </c>
      <c r="P741" s="95">
        <v>45831</v>
      </c>
      <c r="Q741" s="61">
        <f t="shared" si="42"/>
        <v>45831</v>
      </c>
      <c r="R741" s="59"/>
      <c r="S741" s="59" t="s">
        <v>1718</v>
      </c>
      <c r="T741" s="59" t="s">
        <v>972</v>
      </c>
      <c r="U741" s="59" t="str">
        <f>VLOOKUP(T741,[1]区域划分!$A$1:$C$39,3,0)</f>
        <v>曾江利</v>
      </c>
      <c r="V741" s="59"/>
      <c r="W741" s="68"/>
      <c r="X741" s="68"/>
      <c r="Y741" s="68"/>
    </row>
    <row r="742" s="17" customFormat="1" hidden="1" customHeight="1" spans="1:25">
      <c r="A742" s="59">
        <v>739</v>
      </c>
      <c r="B742" s="60" t="s">
        <v>1719</v>
      </c>
      <c r="C742" s="61">
        <f t="shared" si="41"/>
        <v>45258</v>
      </c>
      <c r="D742" s="62" t="str">
        <f ca="1" t="shared" si="43"/>
        <v>一年以上</v>
      </c>
      <c r="E742" s="313">
        <v>45258</v>
      </c>
      <c r="F742" s="59" t="s">
        <v>130</v>
      </c>
      <c r="G742" s="59" t="s">
        <v>1465</v>
      </c>
      <c r="H742" s="63" t="s">
        <v>863</v>
      </c>
      <c r="I742" s="63" t="s">
        <v>863</v>
      </c>
      <c r="J742" s="314">
        <v>9000</v>
      </c>
      <c r="K742" s="59" t="s">
        <v>28</v>
      </c>
      <c r="L742" s="59" t="s">
        <v>73</v>
      </c>
      <c r="M742" s="59" t="s">
        <v>133</v>
      </c>
      <c r="N742" s="315">
        <v>9000</v>
      </c>
      <c r="O742" s="316">
        <f t="shared" si="44"/>
        <v>0</v>
      </c>
      <c r="P742" s="95">
        <v>45832</v>
      </c>
      <c r="Q742" s="61">
        <f t="shared" si="42"/>
        <v>45832</v>
      </c>
      <c r="R742" s="59"/>
      <c r="S742" s="59" t="s">
        <v>1718</v>
      </c>
      <c r="T742" s="59" t="s">
        <v>972</v>
      </c>
      <c r="U742" s="59" t="str">
        <f>VLOOKUP(T742,[1]区域划分!$A$1:$C$39,3,0)</f>
        <v>曾江利</v>
      </c>
      <c r="V742" s="59"/>
      <c r="W742" s="68"/>
      <c r="X742" s="68"/>
      <c r="Y742" s="68"/>
    </row>
    <row r="743" s="17" customFormat="1" hidden="1" customHeight="1" spans="1:25">
      <c r="A743" s="59">
        <v>740</v>
      </c>
      <c r="B743" s="60" t="s">
        <v>1720</v>
      </c>
      <c r="C743" s="61">
        <f t="shared" si="41"/>
        <v>45258</v>
      </c>
      <c r="D743" s="62" t="str">
        <f ca="1" t="shared" si="43"/>
        <v>一年以上</v>
      </c>
      <c r="E743" s="313">
        <v>45258</v>
      </c>
      <c r="F743" s="59" t="s">
        <v>70</v>
      </c>
      <c r="G743" s="59" t="s">
        <v>1672</v>
      </c>
      <c r="H743" s="63" t="s">
        <v>663</v>
      </c>
      <c r="I743" s="63" t="s">
        <v>663</v>
      </c>
      <c r="J743" s="314">
        <v>59000</v>
      </c>
      <c r="K743" s="59" t="s">
        <v>28</v>
      </c>
      <c r="L743" s="59" t="s">
        <v>73</v>
      </c>
      <c r="M743" s="59" t="s">
        <v>941</v>
      </c>
      <c r="N743" s="315">
        <v>59000</v>
      </c>
      <c r="O743" s="316">
        <f t="shared" si="44"/>
        <v>0</v>
      </c>
      <c r="P743" s="95">
        <v>45989</v>
      </c>
      <c r="Q743" s="61">
        <f t="shared" si="42"/>
        <v>45989</v>
      </c>
      <c r="R743" s="59"/>
      <c r="S743" s="59" t="s">
        <v>1721</v>
      </c>
      <c r="T743" s="59" t="s">
        <v>581</v>
      </c>
      <c r="U743" s="59" t="str">
        <f>VLOOKUP(T743,[1]区域划分!$A$1:$C$39,3,0)</f>
        <v>新疆</v>
      </c>
      <c r="V743" s="59" t="s">
        <v>1722</v>
      </c>
      <c r="W743" s="68"/>
      <c r="X743" s="68"/>
      <c r="Y743" s="68"/>
    </row>
    <row r="744" s="17" customFormat="1" hidden="1" customHeight="1" spans="1:25">
      <c r="A744" s="59">
        <v>741</v>
      </c>
      <c r="B744" s="60" t="s">
        <v>1723</v>
      </c>
      <c r="C744" s="61">
        <v>45261</v>
      </c>
      <c r="D744" s="62" t="str">
        <f ca="1" t="shared" si="43"/>
        <v>一年以上</v>
      </c>
      <c r="E744" s="313">
        <v>45258</v>
      </c>
      <c r="F744" s="59" t="s">
        <v>70</v>
      </c>
      <c r="G744" s="59" t="s">
        <v>1672</v>
      </c>
      <c r="H744" s="63" t="s">
        <v>663</v>
      </c>
      <c r="I744" s="63" t="s">
        <v>663</v>
      </c>
      <c r="J744" s="314">
        <v>44802</v>
      </c>
      <c r="K744" s="59" t="s">
        <v>28</v>
      </c>
      <c r="L744" s="59" t="s">
        <v>73</v>
      </c>
      <c r="M744" s="59" t="s">
        <v>941</v>
      </c>
      <c r="N744" s="315">
        <v>44802</v>
      </c>
      <c r="O744" s="316">
        <f t="shared" si="44"/>
        <v>0</v>
      </c>
      <c r="P744" s="95">
        <v>45989</v>
      </c>
      <c r="Q744" s="61">
        <f t="shared" si="42"/>
        <v>45989</v>
      </c>
      <c r="R744" s="59"/>
      <c r="S744" s="59" t="s">
        <v>1724</v>
      </c>
      <c r="T744" s="59" t="s">
        <v>581</v>
      </c>
      <c r="U744" s="59" t="str">
        <f>VLOOKUP(T744,[1]区域划分!$A$1:$C$39,3,0)</f>
        <v>新疆</v>
      </c>
      <c r="V744" s="59" t="s">
        <v>1722</v>
      </c>
      <c r="W744" s="68"/>
      <c r="X744" s="68"/>
      <c r="Y744" s="68"/>
    </row>
    <row r="745" s="17" customFormat="1" hidden="1" customHeight="1" spans="1:25">
      <c r="A745" s="59">
        <v>742</v>
      </c>
      <c r="B745" s="60" t="s">
        <v>1725</v>
      </c>
      <c r="C745" s="61">
        <v>45261</v>
      </c>
      <c r="D745" s="62" t="str">
        <f ca="1" t="shared" si="43"/>
        <v>一年以上</v>
      </c>
      <c r="E745" s="313">
        <v>45258</v>
      </c>
      <c r="F745" s="59" t="s">
        <v>70</v>
      </c>
      <c r="G745" s="59" t="s">
        <v>1672</v>
      </c>
      <c r="H745" s="63" t="s">
        <v>663</v>
      </c>
      <c r="I745" s="63" t="s">
        <v>663</v>
      </c>
      <c r="J745" s="314">
        <v>32400</v>
      </c>
      <c r="K745" s="59" t="s">
        <v>28</v>
      </c>
      <c r="L745" s="59" t="s">
        <v>73</v>
      </c>
      <c r="M745" s="59" t="s">
        <v>941</v>
      </c>
      <c r="N745" s="315">
        <v>32400</v>
      </c>
      <c r="O745" s="316">
        <f t="shared" si="44"/>
        <v>0</v>
      </c>
      <c r="P745" s="95">
        <v>45863</v>
      </c>
      <c r="Q745" s="61">
        <f t="shared" si="42"/>
        <v>45863</v>
      </c>
      <c r="R745" s="59"/>
      <c r="S745" s="59" t="s">
        <v>1726</v>
      </c>
      <c r="T745" s="59" t="s">
        <v>581</v>
      </c>
      <c r="U745" s="59" t="str">
        <f>VLOOKUP(T745,[1]区域划分!$A$1:$C$39,3,0)</f>
        <v>新疆</v>
      </c>
      <c r="V745" s="59" t="s">
        <v>1722</v>
      </c>
      <c r="W745" s="68"/>
      <c r="X745" s="68"/>
      <c r="Y745" s="68"/>
    </row>
    <row r="746" s="17" customFormat="1" hidden="1" customHeight="1" spans="1:25">
      <c r="A746" s="59">
        <v>743</v>
      </c>
      <c r="B746" s="60" t="s">
        <v>1727</v>
      </c>
      <c r="C746" s="61">
        <f t="shared" ref="C746:C780" si="45">E746</f>
        <v>45258</v>
      </c>
      <c r="D746" s="62" t="str">
        <f ca="1" t="shared" si="43"/>
        <v>一年以上</v>
      </c>
      <c r="E746" s="313">
        <v>45258</v>
      </c>
      <c r="F746" s="59" t="s">
        <v>70</v>
      </c>
      <c r="G746" s="59" t="s">
        <v>1672</v>
      </c>
      <c r="H746" s="63" t="s">
        <v>663</v>
      </c>
      <c r="I746" s="63" t="s">
        <v>663</v>
      </c>
      <c r="J746" s="314">
        <v>20000</v>
      </c>
      <c r="K746" s="59" t="s">
        <v>28</v>
      </c>
      <c r="L746" s="59" t="s">
        <v>73</v>
      </c>
      <c r="M746" s="59" t="s">
        <v>65</v>
      </c>
      <c r="N746" s="315">
        <v>20000</v>
      </c>
      <c r="O746" s="316">
        <f t="shared" si="44"/>
        <v>0</v>
      </c>
      <c r="P746" s="95">
        <v>45897</v>
      </c>
      <c r="Q746" s="61">
        <f t="shared" si="42"/>
        <v>45897</v>
      </c>
      <c r="R746" s="59"/>
      <c r="S746" s="59" t="s">
        <v>1724</v>
      </c>
      <c r="T746" s="59" t="s">
        <v>581</v>
      </c>
      <c r="U746" s="59" t="str">
        <f>VLOOKUP(T746,[1]区域划分!$A$1:$C$39,3,0)</f>
        <v>新疆</v>
      </c>
      <c r="V746" s="59" t="s">
        <v>1722</v>
      </c>
      <c r="W746" s="68"/>
      <c r="X746" s="68"/>
      <c r="Y746" s="68"/>
    </row>
    <row r="747" s="17" customFormat="1" hidden="1" customHeight="1" spans="1:25">
      <c r="A747" s="59">
        <v>744</v>
      </c>
      <c r="B747" s="60" t="s">
        <v>1728</v>
      </c>
      <c r="C747" s="61">
        <f t="shared" si="45"/>
        <v>45260</v>
      </c>
      <c r="D747" s="62" t="str">
        <f ca="1" t="shared" si="43"/>
        <v>一年以上</v>
      </c>
      <c r="E747" s="313">
        <v>45260</v>
      </c>
      <c r="F747" s="59" t="s">
        <v>632</v>
      </c>
      <c r="G747" s="59" t="s">
        <v>450</v>
      </c>
      <c r="H747" s="63" t="s">
        <v>1729</v>
      </c>
      <c r="I747" s="63" t="s">
        <v>1729</v>
      </c>
      <c r="J747" s="314">
        <v>200</v>
      </c>
      <c r="K747" s="59" t="s">
        <v>28</v>
      </c>
      <c r="L747" s="59" t="s">
        <v>73</v>
      </c>
      <c r="M747" s="59" t="s">
        <v>515</v>
      </c>
      <c r="N747" s="315"/>
      <c r="O747" s="316">
        <f t="shared" si="44"/>
        <v>200</v>
      </c>
      <c r="P747" s="95"/>
      <c r="Q747" s="61">
        <f t="shared" si="42"/>
        <v>0</v>
      </c>
      <c r="R747" s="59"/>
      <c r="S747" s="59" t="s">
        <v>1730</v>
      </c>
      <c r="T747" s="59" t="s">
        <v>581</v>
      </c>
      <c r="U747" s="59" t="str">
        <f>VLOOKUP(T747,[1]区域划分!$A$1:$C$39,3,0)</f>
        <v>新疆</v>
      </c>
      <c r="V747" s="59"/>
      <c r="W747" s="68"/>
      <c r="X747" s="68"/>
      <c r="Y747" s="68"/>
    </row>
    <row r="748" s="17" customFormat="1" hidden="1" customHeight="1" spans="1:25">
      <c r="A748" s="59">
        <v>745</v>
      </c>
      <c r="B748" s="60" t="s">
        <v>1731</v>
      </c>
      <c r="C748" s="61">
        <f t="shared" si="45"/>
        <v>45260</v>
      </c>
      <c r="D748" s="62" t="str">
        <f ca="1" t="shared" si="43"/>
        <v>一年以上</v>
      </c>
      <c r="E748" s="313">
        <v>45260</v>
      </c>
      <c r="F748" s="59" t="s">
        <v>632</v>
      </c>
      <c r="G748" s="59" t="s">
        <v>450</v>
      </c>
      <c r="H748" s="63" t="s">
        <v>1729</v>
      </c>
      <c r="I748" s="63" t="s">
        <v>1729</v>
      </c>
      <c r="J748" s="314">
        <v>12000</v>
      </c>
      <c r="K748" s="59" t="s">
        <v>28</v>
      </c>
      <c r="L748" s="59" t="s">
        <v>73</v>
      </c>
      <c r="M748" s="59" t="s">
        <v>30</v>
      </c>
      <c r="N748" s="315">
        <v>12000</v>
      </c>
      <c r="O748" s="316">
        <f t="shared" si="44"/>
        <v>0</v>
      </c>
      <c r="P748" s="95">
        <v>45832</v>
      </c>
      <c r="Q748" s="61">
        <f t="shared" si="42"/>
        <v>45832</v>
      </c>
      <c r="R748" s="59" t="s">
        <v>1732</v>
      </c>
      <c r="S748" s="59" t="s">
        <v>1730</v>
      </c>
      <c r="T748" s="59" t="s">
        <v>581</v>
      </c>
      <c r="U748" s="59" t="str">
        <f>VLOOKUP(T748,[1]区域划分!$A$1:$C$39,3,0)</f>
        <v>新疆</v>
      </c>
      <c r="V748" s="59"/>
      <c r="W748" s="68"/>
      <c r="X748" s="68"/>
      <c r="Y748" s="68"/>
    </row>
    <row r="749" s="17" customFormat="1" hidden="1" customHeight="1" spans="1:25">
      <c r="A749" s="59">
        <v>746</v>
      </c>
      <c r="B749" s="60" t="s">
        <v>1733</v>
      </c>
      <c r="C749" s="61">
        <f t="shared" si="45"/>
        <v>45260</v>
      </c>
      <c r="D749" s="62" t="str">
        <f ca="1" t="shared" si="43"/>
        <v>一年以上</v>
      </c>
      <c r="E749" s="313">
        <v>45260</v>
      </c>
      <c r="F749" s="59" t="s">
        <v>632</v>
      </c>
      <c r="G749" s="59" t="s">
        <v>993</v>
      </c>
      <c r="H749" s="63" t="s">
        <v>1734</v>
      </c>
      <c r="I749" s="63" t="s">
        <v>1734</v>
      </c>
      <c r="J749" s="314">
        <v>400</v>
      </c>
      <c r="K749" s="59" t="s">
        <v>28</v>
      </c>
      <c r="L749" s="59" t="s">
        <v>73</v>
      </c>
      <c r="M749" s="59" t="s">
        <v>968</v>
      </c>
      <c r="N749" s="315">
        <v>400</v>
      </c>
      <c r="O749" s="316">
        <f t="shared" si="44"/>
        <v>0</v>
      </c>
      <c r="P749" s="95">
        <v>45265</v>
      </c>
      <c r="Q749" s="61">
        <f t="shared" si="42"/>
        <v>45265</v>
      </c>
      <c r="R749" s="59"/>
      <c r="S749" s="59" t="s">
        <v>1735</v>
      </c>
      <c r="T749" s="59" t="s">
        <v>581</v>
      </c>
      <c r="U749" s="59" t="str">
        <f>VLOOKUP(T749,[1]区域划分!$A$1:$C$39,3,0)</f>
        <v>新疆</v>
      </c>
      <c r="V749" s="59"/>
      <c r="W749" s="68"/>
      <c r="X749" s="68"/>
      <c r="Y749" s="68"/>
    </row>
    <row r="750" s="17" customFormat="1" hidden="1" customHeight="1" spans="1:25">
      <c r="A750" s="59">
        <v>747</v>
      </c>
      <c r="B750" s="60" t="s">
        <v>1736</v>
      </c>
      <c r="C750" s="61">
        <f t="shared" si="45"/>
        <v>45260</v>
      </c>
      <c r="D750" s="62" t="str">
        <f ca="1" t="shared" si="43"/>
        <v>一年以上</v>
      </c>
      <c r="E750" s="313">
        <v>45260</v>
      </c>
      <c r="F750" s="59" t="s">
        <v>632</v>
      </c>
      <c r="G750" s="59" t="s">
        <v>993</v>
      </c>
      <c r="H750" s="63" t="s">
        <v>1734</v>
      </c>
      <c r="I750" s="63" t="s">
        <v>1734</v>
      </c>
      <c r="J750" s="314">
        <v>650</v>
      </c>
      <c r="K750" s="59" t="s">
        <v>28</v>
      </c>
      <c r="L750" s="59" t="s">
        <v>73</v>
      </c>
      <c r="M750" s="59" t="s">
        <v>968</v>
      </c>
      <c r="N750" s="315">
        <v>650</v>
      </c>
      <c r="O750" s="316">
        <f t="shared" si="44"/>
        <v>0</v>
      </c>
      <c r="P750" s="95">
        <v>45260</v>
      </c>
      <c r="Q750" s="61">
        <f t="shared" si="42"/>
        <v>45260</v>
      </c>
      <c r="R750" s="59"/>
      <c r="S750" s="59" t="s">
        <v>1737</v>
      </c>
      <c r="T750" s="59" t="s">
        <v>972</v>
      </c>
      <c r="U750" s="59" t="str">
        <f>VLOOKUP(T750,[1]区域划分!$A$1:$C$39,3,0)</f>
        <v>曾江利</v>
      </c>
      <c r="V750" s="59"/>
      <c r="W750" s="68"/>
      <c r="X750" s="68"/>
      <c r="Y750" s="68"/>
    </row>
    <row r="751" s="17" customFormat="1" hidden="1" customHeight="1" spans="1:25">
      <c r="A751" s="59">
        <v>748</v>
      </c>
      <c r="B751" s="60" t="s">
        <v>1738</v>
      </c>
      <c r="C751" s="61">
        <f t="shared" si="45"/>
        <v>45260</v>
      </c>
      <c r="D751" s="62" t="str">
        <f ca="1" t="shared" si="43"/>
        <v>一年以上</v>
      </c>
      <c r="E751" s="313">
        <v>45260</v>
      </c>
      <c r="F751" s="59" t="s">
        <v>632</v>
      </c>
      <c r="G751" s="59" t="s">
        <v>450</v>
      </c>
      <c r="H751" s="63" t="s">
        <v>1739</v>
      </c>
      <c r="I751" s="63" t="s">
        <v>406</v>
      </c>
      <c r="J751" s="314">
        <v>30000</v>
      </c>
      <c r="K751" s="59" t="s">
        <v>28</v>
      </c>
      <c r="L751" s="59" t="s">
        <v>73</v>
      </c>
      <c r="M751" s="59" t="s">
        <v>30</v>
      </c>
      <c r="N751" s="315">
        <v>30000</v>
      </c>
      <c r="O751" s="316">
        <f t="shared" si="44"/>
        <v>0</v>
      </c>
      <c r="P751" s="95">
        <v>45295</v>
      </c>
      <c r="Q751" s="61">
        <f t="shared" si="42"/>
        <v>45295</v>
      </c>
      <c r="R751" s="59"/>
      <c r="S751" s="59" t="s">
        <v>1687</v>
      </c>
      <c r="T751" s="59" t="s">
        <v>38</v>
      </c>
      <c r="U751" s="59" t="str">
        <f>VLOOKUP(T751,[1]区域划分!$A$1:$C$39,3,0)</f>
        <v>方渊</v>
      </c>
      <c r="V751" s="59"/>
      <c r="W751" s="68"/>
      <c r="X751" s="68"/>
      <c r="Y751" s="68"/>
    </row>
    <row r="752" s="17" customFormat="1" hidden="1" customHeight="1" spans="1:25">
      <c r="A752" s="59">
        <v>749</v>
      </c>
      <c r="B752" s="60" t="s">
        <v>1740</v>
      </c>
      <c r="C752" s="61">
        <f t="shared" si="45"/>
        <v>45260</v>
      </c>
      <c r="D752" s="62" t="str">
        <f ca="1" t="shared" si="43"/>
        <v>一年以上</v>
      </c>
      <c r="E752" s="313">
        <v>45260</v>
      </c>
      <c r="F752" s="59" t="s">
        <v>632</v>
      </c>
      <c r="G752" s="59" t="s">
        <v>450</v>
      </c>
      <c r="H752" s="63" t="s">
        <v>663</v>
      </c>
      <c r="I752" s="63" t="s">
        <v>663</v>
      </c>
      <c r="J752" s="314">
        <v>10000</v>
      </c>
      <c r="K752" s="59" t="s">
        <v>28</v>
      </c>
      <c r="L752" s="59" t="s">
        <v>73</v>
      </c>
      <c r="M752" s="59" t="s">
        <v>30</v>
      </c>
      <c r="N752" s="315">
        <v>10000</v>
      </c>
      <c r="O752" s="316">
        <f t="shared" si="44"/>
        <v>0</v>
      </c>
      <c r="P752" s="95">
        <v>45446</v>
      </c>
      <c r="Q752" s="61">
        <f t="shared" si="42"/>
        <v>45446</v>
      </c>
      <c r="R752" s="59"/>
      <c r="S752" s="59" t="s">
        <v>1741</v>
      </c>
      <c r="T752" s="59" t="s">
        <v>581</v>
      </c>
      <c r="U752" s="59" t="str">
        <f>VLOOKUP(T752,[1]区域划分!$A$1:$C$39,3,0)</f>
        <v>新疆</v>
      </c>
      <c r="V752" s="59"/>
      <c r="W752" s="68"/>
      <c r="X752" s="68"/>
      <c r="Y752" s="68"/>
    </row>
    <row r="753" s="17" customFormat="1" hidden="1" customHeight="1" spans="1:25">
      <c r="A753" s="59">
        <v>750</v>
      </c>
      <c r="B753" s="60" t="s">
        <v>1742</v>
      </c>
      <c r="C753" s="61">
        <f t="shared" si="45"/>
        <v>45260</v>
      </c>
      <c r="D753" s="62" t="str">
        <f ca="1" t="shared" si="43"/>
        <v>一年以上</v>
      </c>
      <c r="E753" s="313">
        <v>45260</v>
      </c>
      <c r="F753" s="59" t="s">
        <v>632</v>
      </c>
      <c r="G753" s="59" t="s">
        <v>450</v>
      </c>
      <c r="H753" s="63" t="s">
        <v>663</v>
      </c>
      <c r="I753" s="63" t="s">
        <v>663</v>
      </c>
      <c r="J753" s="314">
        <v>20000</v>
      </c>
      <c r="K753" s="59" t="s">
        <v>28</v>
      </c>
      <c r="L753" s="59" t="s">
        <v>73</v>
      </c>
      <c r="M753" s="59" t="s">
        <v>30</v>
      </c>
      <c r="N753" s="315">
        <v>20000</v>
      </c>
      <c r="O753" s="316">
        <f t="shared" si="44"/>
        <v>0</v>
      </c>
      <c r="P753" s="95">
        <v>45446</v>
      </c>
      <c r="Q753" s="61">
        <f t="shared" si="42"/>
        <v>45446</v>
      </c>
      <c r="R753" s="59"/>
      <c r="S753" s="59" t="s">
        <v>1735</v>
      </c>
      <c r="T753" s="59" t="s">
        <v>581</v>
      </c>
      <c r="U753" s="59" t="str">
        <f>VLOOKUP(T753,[1]区域划分!$A$1:$C$39,3,0)</f>
        <v>新疆</v>
      </c>
      <c r="V753" s="59" t="s">
        <v>1743</v>
      </c>
      <c r="W753" s="68"/>
      <c r="X753" s="68"/>
      <c r="Y753" s="68"/>
    </row>
    <row r="754" s="17" customFormat="1" hidden="1" customHeight="1" spans="1:25">
      <c r="A754" s="59">
        <v>751</v>
      </c>
      <c r="B754" s="60" t="s">
        <v>1744</v>
      </c>
      <c r="C754" s="61">
        <f t="shared" si="45"/>
        <v>45261</v>
      </c>
      <c r="D754" s="62" t="str">
        <f ca="1" t="shared" si="43"/>
        <v>一年以上</v>
      </c>
      <c r="E754" s="313">
        <v>45261</v>
      </c>
      <c r="F754" s="59" t="s">
        <v>70</v>
      </c>
      <c r="G754" s="59" t="s">
        <v>1672</v>
      </c>
      <c r="H754" s="63" t="s">
        <v>863</v>
      </c>
      <c r="I754" s="63" t="s">
        <v>863</v>
      </c>
      <c r="J754" s="314">
        <v>9000</v>
      </c>
      <c r="K754" s="59" t="s">
        <v>28</v>
      </c>
      <c r="L754" s="59" t="s">
        <v>73</v>
      </c>
      <c r="M754" s="59" t="s">
        <v>941</v>
      </c>
      <c r="N754" s="315">
        <v>9000</v>
      </c>
      <c r="O754" s="316">
        <f t="shared" si="44"/>
        <v>0</v>
      </c>
      <c r="P754" s="95">
        <v>45831</v>
      </c>
      <c r="Q754" s="61">
        <f t="shared" si="42"/>
        <v>45831</v>
      </c>
      <c r="R754" s="59"/>
      <c r="S754" s="59" t="s">
        <v>1718</v>
      </c>
      <c r="T754" s="59" t="s">
        <v>972</v>
      </c>
      <c r="U754" s="59" t="str">
        <f>VLOOKUP(T754,[1]区域划分!$A$1:$C$39,3,0)</f>
        <v>曾江利</v>
      </c>
      <c r="V754" s="59"/>
      <c r="W754" s="68"/>
      <c r="X754" s="68"/>
      <c r="Y754" s="68"/>
    </row>
    <row r="755" s="17" customFormat="1" hidden="1" customHeight="1" spans="1:25">
      <c r="A755" s="59">
        <v>752</v>
      </c>
      <c r="B755" s="60" t="s">
        <v>1745</v>
      </c>
      <c r="C755" s="61">
        <f t="shared" si="45"/>
        <v>45261</v>
      </c>
      <c r="D755" s="62" t="str">
        <f ca="1" t="shared" si="43"/>
        <v>一年以上</v>
      </c>
      <c r="E755" s="313">
        <v>45261</v>
      </c>
      <c r="F755" s="59" t="s">
        <v>130</v>
      </c>
      <c r="G755" s="59" t="s">
        <v>1596</v>
      </c>
      <c r="H755" s="63" t="s">
        <v>1746</v>
      </c>
      <c r="I755" s="63" t="s">
        <v>1746</v>
      </c>
      <c r="J755" s="314">
        <v>50000</v>
      </c>
      <c r="K755" s="59" t="s">
        <v>28</v>
      </c>
      <c r="L755" s="59" t="s">
        <v>73</v>
      </c>
      <c r="M755" s="59" t="s">
        <v>133</v>
      </c>
      <c r="N755" s="315">
        <v>50000</v>
      </c>
      <c r="O755" s="316">
        <f t="shared" si="44"/>
        <v>0</v>
      </c>
      <c r="P755" s="95">
        <v>45728</v>
      </c>
      <c r="Q755" s="61">
        <v>45728</v>
      </c>
      <c r="R755" s="59"/>
      <c r="S755" s="59" t="s">
        <v>1747</v>
      </c>
      <c r="T755" s="59" t="s">
        <v>720</v>
      </c>
      <c r="U755" s="59" t="str">
        <f>VLOOKUP(T755,[1]区域划分!$A$1:$C$39,3,0)</f>
        <v>杨春龙</v>
      </c>
      <c r="V755" s="59" t="s">
        <v>1748</v>
      </c>
      <c r="W755" s="68"/>
      <c r="X755" s="68"/>
      <c r="Y755" s="68"/>
    </row>
    <row r="756" s="17" customFormat="1" hidden="1" customHeight="1" spans="1:25">
      <c r="A756" s="59">
        <v>753</v>
      </c>
      <c r="B756" s="60" t="s">
        <v>1749</v>
      </c>
      <c r="C756" s="61">
        <f t="shared" si="45"/>
        <v>45264</v>
      </c>
      <c r="D756" s="62" t="str">
        <f ca="1" t="shared" si="43"/>
        <v>一年以上</v>
      </c>
      <c r="E756" s="313">
        <v>45264</v>
      </c>
      <c r="F756" s="59" t="s">
        <v>632</v>
      </c>
      <c r="G756" s="59" t="s">
        <v>450</v>
      </c>
      <c r="H756" s="63" t="s">
        <v>1676</v>
      </c>
      <c r="I756" s="63" t="s">
        <v>1676</v>
      </c>
      <c r="J756" s="314">
        <v>1000</v>
      </c>
      <c r="K756" s="59" t="s">
        <v>28</v>
      </c>
      <c r="L756" s="59" t="s">
        <v>73</v>
      </c>
      <c r="M756" s="59" t="s">
        <v>968</v>
      </c>
      <c r="N756" s="315"/>
      <c r="O756" s="316">
        <f t="shared" si="44"/>
        <v>1000</v>
      </c>
      <c r="P756" s="95"/>
      <c r="Q756" s="61">
        <f t="shared" ref="Q756:Q819" si="46">P756</f>
        <v>0</v>
      </c>
      <c r="R756" s="59"/>
      <c r="S756" s="59" t="s">
        <v>1750</v>
      </c>
      <c r="T756" s="59" t="s">
        <v>720</v>
      </c>
      <c r="U756" s="59" t="str">
        <f>VLOOKUP(T756,[1]区域划分!$A$1:$C$39,3,0)</f>
        <v>杨春龙</v>
      </c>
      <c r="V756" s="59"/>
      <c r="W756" s="68"/>
      <c r="X756" s="68"/>
      <c r="Y756" s="68"/>
    </row>
    <row r="757" s="17" customFormat="1" hidden="1" customHeight="1" spans="1:25">
      <c r="A757" s="59">
        <v>754</v>
      </c>
      <c r="B757" s="60" t="s">
        <v>1751</v>
      </c>
      <c r="C757" s="61">
        <f t="shared" si="45"/>
        <v>45266</v>
      </c>
      <c r="D757" s="62" t="str">
        <f ca="1" t="shared" si="43"/>
        <v>一年以上</v>
      </c>
      <c r="E757" s="313">
        <v>45266</v>
      </c>
      <c r="F757" s="59" t="s">
        <v>70</v>
      </c>
      <c r="G757" s="59" t="s">
        <v>1672</v>
      </c>
      <c r="H757" s="63" t="s">
        <v>1746</v>
      </c>
      <c r="I757" s="63" t="s">
        <v>1746</v>
      </c>
      <c r="J757" s="314">
        <v>1000</v>
      </c>
      <c r="K757" s="59" t="s">
        <v>28</v>
      </c>
      <c r="L757" s="59" t="s">
        <v>73</v>
      </c>
      <c r="M757" s="59" t="s">
        <v>65</v>
      </c>
      <c r="N757" s="315"/>
      <c r="O757" s="316">
        <f t="shared" si="44"/>
        <v>1000</v>
      </c>
      <c r="P757" s="95"/>
      <c r="Q757" s="61">
        <f t="shared" si="46"/>
        <v>0</v>
      </c>
      <c r="R757" s="59"/>
      <c r="S757" s="59" t="s">
        <v>1747</v>
      </c>
      <c r="T757" s="59" t="s">
        <v>720</v>
      </c>
      <c r="U757" s="59" t="str">
        <f>VLOOKUP(T757,[1]区域划分!$A$1:$C$39,3,0)</f>
        <v>杨春龙</v>
      </c>
      <c r="V757" s="59" t="s">
        <v>1752</v>
      </c>
      <c r="W757" s="68"/>
      <c r="X757" s="68"/>
      <c r="Y757" s="68"/>
    </row>
    <row r="758" s="17" customFormat="1" hidden="1" customHeight="1" spans="1:25">
      <c r="A758" s="59">
        <v>755</v>
      </c>
      <c r="B758" s="60" t="s">
        <v>1753</v>
      </c>
      <c r="C758" s="61">
        <f t="shared" si="45"/>
        <v>45266</v>
      </c>
      <c r="D758" s="62" t="str">
        <f ca="1" t="shared" si="43"/>
        <v>一年以上</v>
      </c>
      <c r="E758" s="313">
        <v>45266</v>
      </c>
      <c r="F758" s="59" t="s">
        <v>632</v>
      </c>
      <c r="G758" s="59" t="s">
        <v>993</v>
      </c>
      <c r="H758" s="63" t="s">
        <v>1754</v>
      </c>
      <c r="I758" s="63" t="s">
        <v>1754</v>
      </c>
      <c r="J758" s="314">
        <v>200</v>
      </c>
      <c r="K758" s="59" t="s">
        <v>28</v>
      </c>
      <c r="L758" s="59" t="s">
        <v>73</v>
      </c>
      <c r="M758" s="59" t="s">
        <v>515</v>
      </c>
      <c r="N758" s="315">
        <v>200</v>
      </c>
      <c r="O758" s="316">
        <f t="shared" si="44"/>
        <v>0</v>
      </c>
      <c r="P758" s="95">
        <v>45266</v>
      </c>
      <c r="Q758" s="61">
        <f t="shared" si="46"/>
        <v>45266</v>
      </c>
      <c r="R758" s="59" t="s">
        <v>951</v>
      </c>
      <c r="S758" s="59" t="s">
        <v>1755</v>
      </c>
      <c r="T758" s="59"/>
      <c r="U758" s="59"/>
      <c r="V758" s="59"/>
      <c r="W758" s="68"/>
      <c r="X758" s="68"/>
      <c r="Y758" s="68"/>
    </row>
    <row r="759" s="17" customFormat="1" hidden="1" customHeight="1" spans="1:25">
      <c r="A759" s="59">
        <v>756</v>
      </c>
      <c r="B759" s="60" t="s">
        <v>1756</v>
      </c>
      <c r="C759" s="61">
        <f t="shared" si="45"/>
        <v>45266</v>
      </c>
      <c r="D759" s="62" t="str">
        <f ca="1" t="shared" si="43"/>
        <v>一年以上</v>
      </c>
      <c r="E759" s="313">
        <v>45266</v>
      </c>
      <c r="F759" s="59" t="s">
        <v>632</v>
      </c>
      <c r="G759" s="59" t="s">
        <v>993</v>
      </c>
      <c r="H759" s="63" t="s">
        <v>1754</v>
      </c>
      <c r="I759" s="63" t="s">
        <v>1754</v>
      </c>
      <c r="J759" s="314">
        <v>10000</v>
      </c>
      <c r="K759" s="59" t="s">
        <v>28</v>
      </c>
      <c r="L759" s="59" t="s">
        <v>73</v>
      </c>
      <c r="M759" s="59" t="s">
        <v>30</v>
      </c>
      <c r="N759" s="315">
        <v>10000</v>
      </c>
      <c r="O759" s="316">
        <f t="shared" si="44"/>
        <v>0</v>
      </c>
      <c r="P759" s="95">
        <v>45394</v>
      </c>
      <c r="Q759" s="61">
        <f t="shared" si="46"/>
        <v>45394</v>
      </c>
      <c r="R759" s="59"/>
      <c r="S759" s="59" t="s">
        <v>1755</v>
      </c>
      <c r="T759" s="59"/>
      <c r="U759" s="59"/>
      <c r="V759" s="59" t="s">
        <v>1757</v>
      </c>
      <c r="W759" s="68"/>
      <c r="X759" s="68"/>
      <c r="Y759" s="68"/>
    </row>
    <row r="760" s="17" customFormat="1" hidden="1" customHeight="1" spans="1:25">
      <c r="A760" s="59">
        <v>757</v>
      </c>
      <c r="B760" s="60" t="s">
        <v>1758</v>
      </c>
      <c r="C760" s="61">
        <f t="shared" si="45"/>
        <v>45266</v>
      </c>
      <c r="D760" s="62" t="str">
        <f ca="1" t="shared" si="43"/>
        <v>一年以上</v>
      </c>
      <c r="E760" s="313">
        <v>45266</v>
      </c>
      <c r="F760" s="59" t="s">
        <v>632</v>
      </c>
      <c r="G760" s="59" t="s">
        <v>450</v>
      </c>
      <c r="H760" s="63" t="s">
        <v>1759</v>
      </c>
      <c r="I760" s="63" t="s">
        <v>1759</v>
      </c>
      <c r="J760" s="314">
        <v>3900</v>
      </c>
      <c r="K760" s="59" t="s">
        <v>28</v>
      </c>
      <c r="L760" s="59" t="s">
        <v>73</v>
      </c>
      <c r="M760" s="59" t="s">
        <v>30</v>
      </c>
      <c r="N760" s="315">
        <v>3900</v>
      </c>
      <c r="O760" s="316">
        <f t="shared" si="44"/>
        <v>0</v>
      </c>
      <c r="P760" s="95">
        <v>45274</v>
      </c>
      <c r="Q760" s="61">
        <f t="shared" si="46"/>
        <v>45274</v>
      </c>
      <c r="R760" s="59"/>
      <c r="S760" s="59" t="s">
        <v>1760</v>
      </c>
      <c r="T760" s="59"/>
      <c r="U760" s="59"/>
      <c r="V760" s="59"/>
      <c r="W760" s="68"/>
      <c r="X760" s="68"/>
      <c r="Y760" s="68"/>
    </row>
    <row r="761" s="17" customFormat="1" hidden="1" customHeight="1" spans="1:25">
      <c r="A761" s="59">
        <v>758</v>
      </c>
      <c r="B761" s="60" t="s">
        <v>1761</v>
      </c>
      <c r="C761" s="61">
        <f t="shared" si="45"/>
        <v>45266</v>
      </c>
      <c r="D761" s="62" t="str">
        <f ca="1" t="shared" si="43"/>
        <v>一年以上</v>
      </c>
      <c r="E761" s="313">
        <v>45266</v>
      </c>
      <c r="F761" s="59" t="s">
        <v>632</v>
      </c>
      <c r="G761" s="59" t="s">
        <v>450</v>
      </c>
      <c r="H761" s="63" t="s">
        <v>1759</v>
      </c>
      <c r="I761" s="63" t="s">
        <v>1759</v>
      </c>
      <c r="J761" s="314">
        <v>3900</v>
      </c>
      <c r="K761" s="59" t="s">
        <v>28</v>
      </c>
      <c r="L761" s="59" t="s">
        <v>73</v>
      </c>
      <c r="M761" s="59" t="s">
        <v>30</v>
      </c>
      <c r="N761" s="315">
        <v>3900</v>
      </c>
      <c r="O761" s="316">
        <f t="shared" si="44"/>
        <v>0</v>
      </c>
      <c r="P761" s="95">
        <v>45271</v>
      </c>
      <c r="Q761" s="61">
        <f t="shared" si="46"/>
        <v>45271</v>
      </c>
      <c r="R761" s="59"/>
      <c r="S761" s="59" t="s">
        <v>1762</v>
      </c>
      <c r="T761" s="59"/>
      <c r="U761" s="59"/>
      <c r="V761" s="59"/>
      <c r="W761" s="68"/>
      <c r="X761" s="68"/>
      <c r="Y761" s="68"/>
    </row>
    <row r="762" s="17" customFormat="1" hidden="1" customHeight="1" spans="1:25">
      <c r="A762" s="59">
        <v>759</v>
      </c>
      <c r="B762" s="60" t="s">
        <v>1763</v>
      </c>
      <c r="C762" s="61">
        <f t="shared" si="45"/>
        <v>45266</v>
      </c>
      <c r="D762" s="62" t="str">
        <f ca="1" t="shared" si="43"/>
        <v>一年以上</v>
      </c>
      <c r="E762" s="313">
        <v>45266</v>
      </c>
      <c r="F762" s="59" t="s">
        <v>632</v>
      </c>
      <c r="G762" s="59" t="s">
        <v>450</v>
      </c>
      <c r="H762" s="63" t="s">
        <v>1759</v>
      </c>
      <c r="I762" s="63" t="s">
        <v>1759</v>
      </c>
      <c r="J762" s="314">
        <v>9000</v>
      </c>
      <c r="K762" s="59" t="s">
        <v>28</v>
      </c>
      <c r="L762" s="59" t="s">
        <v>73</v>
      </c>
      <c r="M762" s="59" t="s">
        <v>30</v>
      </c>
      <c r="N762" s="315">
        <v>9000</v>
      </c>
      <c r="O762" s="316">
        <f t="shared" si="44"/>
        <v>0</v>
      </c>
      <c r="P762" s="95">
        <v>45271</v>
      </c>
      <c r="Q762" s="61">
        <f t="shared" si="46"/>
        <v>45271</v>
      </c>
      <c r="R762" s="59"/>
      <c r="S762" s="59" t="s">
        <v>1764</v>
      </c>
      <c r="T762" s="59"/>
      <c r="U762" s="59"/>
      <c r="V762" s="59"/>
      <c r="W762" s="68"/>
      <c r="X762" s="68"/>
      <c r="Y762" s="68"/>
    </row>
    <row r="763" s="17" customFormat="1" hidden="1" customHeight="1" spans="1:25">
      <c r="A763" s="59">
        <v>760</v>
      </c>
      <c r="B763" s="60" t="s">
        <v>1765</v>
      </c>
      <c r="C763" s="61">
        <f t="shared" si="45"/>
        <v>45266</v>
      </c>
      <c r="D763" s="62" t="str">
        <f ca="1" t="shared" si="43"/>
        <v>一年以上</v>
      </c>
      <c r="E763" s="313">
        <v>45266</v>
      </c>
      <c r="F763" s="59" t="s">
        <v>632</v>
      </c>
      <c r="G763" s="59" t="s">
        <v>450</v>
      </c>
      <c r="H763" s="63" t="s">
        <v>1759</v>
      </c>
      <c r="I763" s="63" t="s">
        <v>1759</v>
      </c>
      <c r="J763" s="314">
        <v>200</v>
      </c>
      <c r="K763" s="59" t="s">
        <v>28</v>
      </c>
      <c r="L763" s="59" t="s">
        <v>73</v>
      </c>
      <c r="M763" s="59" t="s">
        <v>515</v>
      </c>
      <c r="N763" s="315">
        <v>200</v>
      </c>
      <c r="O763" s="316">
        <f t="shared" si="44"/>
        <v>0</v>
      </c>
      <c r="P763" s="95">
        <v>45266</v>
      </c>
      <c r="Q763" s="61">
        <f t="shared" si="46"/>
        <v>45266</v>
      </c>
      <c r="R763" s="59" t="s">
        <v>951</v>
      </c>
      <c r="S763" s="59" t="s">
        <v>1760</v>
      </c>
      <c r="T763" s="59"/>
      <c r="U763" s="59"/>
      <c r="V763" s="59"/>
      <c r="W763" s="68"/>
      <c r="X763" s="68"/>
      <c r="Y763" s="68"/>
    </row>
    <row r="764" s="17" customFormat="1" hidden="1" customHeight="1" spans="1:25">
      <c r="A764" s="59">
        <v>761</v>
      </c>
      <c r="B764" s="60" t="s">
        <v>1766</v>
      </c>
      <c r="C764" s="61">
        <f t="shared" si="45"/>
        <v>45266</v>
      </c>
      <c r="D764" s="62" t="str">
        <f ca="1" t="shared" si="43"/>
        <v>一年以上</v>
      </c>
      <c r="E764" s="313">
        <v>45266</v>
      </c>
      <c r="F764" s="59" t="s">
        <v>632</v>
      </c>
      <c r="G764" s="59" t="s">
        <v>450</v>
      </c>
      <c r="H764" s="63" t="s">
        <v>1759</v>
      </c>
      <c r="I764" s="63" t="s">
        <v>1759</v>
      </c>
      <c r="J764" s="314">
        <v>200</v>
      </c>
      <c r="K764" s="59" t="s">
        <v>28</v>
      </c>
      <c r="L764" s="59" t="s">
        <v>73</v>
      </c>
      <c r="M764" s="59" t="s">
        <v>515</v>
      </c>
      <c r="N764" s="315">
        <v>200</v>
      </c>
      <c r="O764" s="316">
        <f t="shared" si="44"/>
        <v>0</v>
      </c>
      <c r="P764" s="95">
        <v>45266</v>
      </c>
      <c r="Q764" s="61">
        <f t="shared" si="46"/>
        <v>45266</v>
      </c>
      <c r="R764" s="59" t="s">
        <v>951</v>
      </c>
      <c r="S764" s="59" t="s">
        <v>1762</v>
      </c>
      <c r="T764" s="59"/>
      <c r="U764" s="59"/>
      <c r="V764" s="59"/>
      <c r="W764" s="68"/>
      <c r="X764" s="68"/>
      <c r="Y764" s="68"/>
    </row>
    <row r="765" s="17" customFormat="1" hidden="1" customHeight="1" spans="1:25">
      <c r="A765" s="59">
        <v>762</v>
      </c>
      <c r="B765" s="60" t="s">
        <v>1767</v>
      </c>
      <c r="C765" s="61">
        <f t="shared" si="45"/>
        <v>45266</v>
      </c>
      <c r="D765" s="62" t="str">
        <f ca="1" t="shared" si="43"/>
        <v>一年以上</v>
      </c>
      <c r="E765" s="313">
        <v>45266</v>
      </c>
      <c r="F765" s="59" t="s">
        <v>632</v>
      </c>
      <c r="G765" s="59" t="s">
        <v>450</v>
      </c>
      <c r="H765" s="63" t="s">
        <v>1759</v>
      </c>
      <c r="I765" s="63" t="s">
        <v>1759</v>
      </c>
      <c r="J765" s="314">
        <v>200</v>
      </c>
      <c r="K765" s="59" t="s">
        <v>28</v>
      </c>
      <c r="L765" s="59" t="s">
        <v>73</v>
      </c>
      <c r="M765" s="59" t="s">
        <v>515</v>
      </c>
      <c r="N765" s="315">
        <v>200</v>
      </c>
      <c r="O765" s="316">
        <f t="shared" si="44"/>
        <v>0</v>
      </c>
      <c r="P765" s="95">
        <v>45266</v>
      </c>
      <c r="Q765" s="61">
        <f t="shared" si="46"/>
        <v>45266</v>
      </c>
      <c r="R765" s="59" t="s">
        <v>951</v>
      </c>
      <c r="S765" s="59" t="s">
        <v>1764</v>
      </c>
      <c r="T765" s="59"/>
      <c r="U765" s="59"/>
      <c r="V765" s="59"/>
      <c r="W765" s="68"/>
      <c r="X765" s="68"/>
      <c r="Y765" s="68"/>
    </row>
    <row r="766" s="17" customFormat="1" hidden="1" customHeight="1" spans="1:25">
      <c r="A766" s="59">
        <v>763</v>
      </c>
      <c r="B766" s="60" t="s">
        <v>1768</v>
      </c>
      <c r="C766" s="61">
        <f t="shared" si="45"/>
        <v>45268</v>
      </c>
      <c r="D766" s="62" t="str">
        <f ca="1" t="shared" si="43"/>
        <v>一年以上</v>
      </c>
      <c r="E766" s="313">
        <v>45268</v>
      </c>
      <c r="F766" s="59" t="s">
        <v>130</v>
      </c>
      <c r="G766" s="59" t="s">
        <v>1596</v>
      </c>
      <c r="H766" s="63" t="s">
        <v>863</v>
      </c>
      <c r="I766" s="63" t="s">
        <v>863</v>
      </c>
      <c r="J766" s="314">
        <v>11500</v>
      </c>
      <c r="K766" s="59" t="s">
        <v>28</v>
      </c>
      <c r="L766" s="59" t="s">
        <v>73</v>
      </c>
      <c r="M766" s="59" t="s">
        <v>133</v>
      </c>
      <c r="N766" s="319">
        <v>11500</v>
      </c>
      <c r="O766" s="316">
        <f t="shared" si="44"/>
        <v>0</v>
      </c>
      <c r="P766" s="95">
        <v>46081</v>
      </c>
      <c r="Q766" s="61">
        <f t="shared" si="46"/>
        <v>46081</v>
      </c>
      <c r="R766" s="59"/>
      <c r="S766" s="59" t="s">
        <v>1769</v>
      </c>
      <c r="T766" s="59" t="s">
        <v>972</v>
      </c>
      <c r="U766" s="59" t="str">
        <f>VLOOKUP(T766,[1]区域划分!$A$1:$C$39,3,0)</f>
        <v>曾江利</v>
      </c>
      <c r="V766" s="59" t="s">
        <v>1770</v>
      </c>
      <c r="W766" s="68"/>
      <c r="X766" s="68"/>
      <c r="Y766" s="68"/>
    </row>
    <row r="767" s="17" customFormat="1" hidden="1" customHeight="1" spans="1:25">
      <c r="A767" s="59">
        <v>764</v>
      </c>
      <c r="B767" s="60" t="s">
        <v>1771</v>
      </c>
      <c r="C767" s="61">
        <f t="shared" si="45"/>
        <v>45272</v>
      </c>
      <c r="D767" s="62" t="str">
        <f ca="1" t="shared" si="43"/>
        <v>一年以上</v>
      </c>
      <c r="E767" s="313">
        <v>45272</v>
      </c>
      <c r="F767" s="59" t="s">
        <v>70</v>
      </c>
      <c r="G767" s="59" t="s">
        <v>1672</v>
      </c>
      <c r="H767" s="63" t="s">
        <v>863</v>
      </c>
      <c r="I767" s="63" t="s">
        <v>863</v>
      </c>
      <c r="J767" s="314">
        <v>12000</v>
      </c>
      <c r="K767" s="59" t="s">
        <v>28</v>
      </c>
      <c r="L767" s="59" t="s">
        <v>73</v>
      </c>
      <c r="M767" s="59" t="s">
        <v>65</v>
      </c>
      <c r="N767" s="315">
        <v>12000</v>
      </c>
      <c r="O767" s="316">
        <f t="shared" si="44"/>
        <v>0</v>
      </c>
      <c r="P767" s="95">
        <v>45831</v>
      </c>
      <c r="Q767" s="61">
        <f t="shared" si="46"/>
        <v>45831</v>
      </c>
      <c r="R767" s="59"/>
      <c r="S767" s="59" t="s">
        <v>1772</v>
      </c>
      <c r="T767" s="59" t="s">
        <v>972</v>
      </c>
      <c r="U767" s="59" t="str">
        <f>VLOOKUP(T767,[1]区域划分!$A$1:$C$39,3,0)</f>
        <v>曾江利</v>
      </c>
      <c r="V767" s="59" t="s">
        <v>1773</v>
      </c>
      <c r="W767" s="68"/>
      <c r="X767" s="68"/>
      <c r="Y767" s="68"/>
    </row>
    <row r="768" s="17" customFormat="1" hidden="1" customHeight="1" spans="1:25">
      <c r="A768" s="59">
        <v>765</v>
      </c>
      <c r="B768" s="60" t="s">
        <v>1774</v>
      </c>
      <c r="C768" s="61">
        <f t="shared" si="45"/>
        <v>45274</v>
      </c>
      <c r="D768" s="62" t="str">
        <f ca="1" t="shared" si="43"/>
        <v>一年以上</v>
      </c>
      <c r="E768" s="313">
        <v>45274</v>
      </c>
      <c r="F768" s="59" t="s">
        <v>70</v>
      </c>
      <c r="G768" s="59" t="s">
        <v>1672</v>
      </c>
      <c r="H768" s="63" t="s">
        <v>863</v>
      </c>
      <c r="I768" s="63" t="s">
        <v>863</v>
      </c>
      <c r="J768" s="314">
        <v>70000</v>
      </c>
      <c r="K768" s="59" t="s">
        <v>28</v>
      </c>
      <c r="L768" s="59" t="s">
        <v>73</v>
      </c>
      <c r="M768" s="59" t="s">
        <v>65</v>
      </c>
      <c r="N768" s="315">
        <v>70000</v>
      </c>
      <c r="O768" s="316">
        <f t="shared" si="44"/>
        <v>0</v>
      </c>
      <c r="P768" s="95">
        <v>45345</v>
      </c>
      <c r="Q768" s="61">
        <f t="shared" si="46"/>
        <v>45345</v>
      </c>
      <c r="R768" s="59"/>
      <c r="S768" s="59" t="s">
        <v>1646</v>
      </c>
      <c r="T768" s="59" t="s">
        <v>972</v>
      </c>
      <c r="U768" s="59" t="str">
        <f>VLOOKUP(T768,[1]区域划分!$A$1:$C$39,3,0)</f>
        <v>曾江利</v>
      </c>
      <c r="V768" s="59" t="s">
        <v>1773</v>
      </c>
      <c r="W768" s="68"/>
      <c r="X768" s="68"/>
      <c r="Y768" s="68"/>
    </row>
    <row r="769" s="17" customFormat="1" hidden="1" customHeight="1" spans="1:25">
      <c r="A769" s="59">
        <v>766</v>
      </c>
      <c r="B769" s="60" t="s">
        <v>1775</v>
      </c>
      <c r="C769" s="61">
        <f t="shared" si="45"/>
        <v>45274</v>
      </c>
      <c r="D769" s="62" t="str">
        <f ca="1" t="shared" si="43"/>
        <v>一年以上</v>
      </c>
      <c r="E769" s="313">
        <v>45274</v>
      </c>
      <c r="F769" s="59" t="s">
        <v>130</v>
      </c>
      <c r="G769" s="59" t="s">
        <v>1596</v>
      </c>
      <c r="H769" s="63" t="s">
        <v>1729</v>
      </c>
      <c r="I769" s="63" t="s">
        <v>1729</v>
      </c>
      <c r="J769" s="314">
        <v>17100</v>
      </c>
      <c r="K769" s="59" t="s">
        <v>28</v>
      </c>
      <c r="L769" s="59" t="s">
        <v>73</v>
      </c>
      <c r="M769" s="59" t="s">
        <v>133</v>
      </c>
      <c r="N769" s="315">
        <v>17100</v>
      </c>
      <c r="O769" s="316">
        <f t="shared" si="44"/>
        <v>0</v>
      </c>
      <c r="P769" s="95">
        <v>45832</v>
      </c>
      <c r="Q769" s="61">
        <f t="shared" si="46"/>
        <v>45832</v>
      </c>
      <c r="R769" s="59"/>
      <c r="S769" s="59" t="s">
        <v>1730</v>
      </c>
      <c r="T769" s="59"/>
      <c r="U769" s="59"/>
      <c r="V769" s="59"/>
      <c r="W769" s="68"/>
      <c r="X769" s="68"/>
      <c r="Y769" s="68"/>
    </row>
    <row r="770" s="17" customFormat="1" hidden="1" customHeight="1" spans="1:25">
      <c r="A770" s="59">
        <v>767</v>
      </c>
      <c r="B770" s="60" t="s">
        <v>1776</v>
      </c>
      <c r="C770" s="61">
        <f t="shared" si="45"/>
        <v>45282</v>
      </c>
      <c r="D770" s="62" t="str">
        <f ca="1" t="shared" si="43"/>
        <v>一年以上</v>
      </c>
      <c r="E770" s="313">
        <v>45282</v>
      </c>
      <c r="F770" s="59" t="s">
        <v>70</v>
      </c>
      <c r="G770" s="59" t="s">
        <v>1777</v>
      </c>
      <c r="H770" s="63" t="s">
        <v>663</v>
      </c>
      <c r="I770" s="63" t="str">
        <f t="shared" ref="I770:I801" si="47">H770</f>
        <v>新疆伊犁钢铁有限责任公司</v>
      </c>
      <c r="J770" s="314">
        <v>39390</v>
      </c>
      <c r="K770" s="59" t="s">
        <v>28</v>
      </c>
      <c r="L770" s="59" t="s">
        <v>73</v>
      </c>
      <c r="M770" s="59" t="s">
        <v>941</v>
      </c>
      <c r="N770" s="315">
        <v>39390</v>
      </c>
      <c r="O770" s="316">
        <f t="shared" si="44"/>
        <v>0</v>
      </c>
      <c r="P770" s="95">
        <v>45863</v>
      </c>
      <c r="Q770" s="61">
        <f t="shared" si="46"/>
        <v>45863</v>
      </c>
      <c r="R770" s="59"/>
      <c r="S770" s="59" t="s">
        <v>1778</v>
      </c>
      <c r="T770" s="59"/>
      <c r="U770" s="59"/>
      <c r="V770" s="59" t="s">
        <v>1722</v>
      </c>
      <c r="W770" s="68"/>
      <c r="X770" s="68"/>
      <c r="Y770" s="68"/>
    </row>
    <row r="771" s="17" customFormat="1" hidden="1" customHeight="1" spans="1:25">
      <c r="A771" s="59">
        <v>768</v>
      </c>
      <c r="B771" s="60" t="s">
        <v>1779</v>
      </c>
      <c r="C771" s="61">
        <f t="shared" si="45"/>
        <v>45282</v>
      </c>
      <c r="D771" s="62" t="str">
        <f ca="1" t="shared" si="43"/>
        <v>一年以上</v>
      </c>
      <c r="E771" s="313">
        <v>45282</v>
      </c>
      <c r="F771" s="59" t="s">
        <v>632</v>
      </c>
      <c r="G771" s="59" t="s">
        <v>993</v>
      </c>
      <c r="H771" s="63" t="s">
        <v>863</v>
      </c>
      <c r="I771" s="63" t="str">
        <f t="shared" si="47"/>
        <v>青海发投碱业有限公司</v>
      </c>
      <c r="J771" s="314">
        <v>10000</v>
      </c>
      <c r="K771" s="59" t="s">
        <v>1706</v>
      </c>
      <c r="L771" s="59" t="s">
        <v>73</v>
      </c>
      <c r="M771" s="59" t="s">
        <v>30</v>
      </c>
      <c r="N771" s="315">
        <v>10000</v>
      </c>
      <c r="O771" s="316">
        <f t="shared" si="44"/>
        <v>0</v>
      </c>
      <c r="P771" s="95">
        <v>45317</v>
      </c>
      <c r="Q771" s="61">
        <f t="shared" si="46"/>
        <v>45317</v>
      </c>
      <c r="R771" s="59"/>
      <c r="S771" s="59" t="s">
        <v>1780</v>
      </c>
      <c r="T771" s="59" t="s">
        <v>972</v>
      </c>
      <c r="U771" s="59" t="str">
        <f>VLOOKUP(T771,[1]区域划分!$A$1:$C$39,3,0)</f>
        <v>曾江利</v>
      </c>
      <c r="V771" s="59" t="s">
        <v>1781</v>
      </c>
      <c r="W771" s="68"/>
      <c r="X771" s="68"/>
      <c r="Y771" s="68"/>
    </row>
    <row r="772" s="17" customFormat="1" hidden="1" customHeight="1" spans="1:25">
      <c r="A772" s="59">
        <v>769</v>
      </c>
      <c r="B772" s="60" t="s">
        <v>1782</v>
      </c>
      <c r="C772" s="61">
        <f t="shared" si="45"/>
        <v>45282</v>
      </c>
      <c r="D772" s="62" t="str">
        <f ca="1" t="shared" si="43"/>
        <v>一年以上</v>
      </c>
      <c r="E772" s="313">
        <v>45282</v>
      </c>
      <c r="F772" s="59" t="s">
        <v>632</v>
      </c>
      <c r="G772" s="59" t="s">
        <v>993</v>
      </c>
      <c r="H772" s="63" t="s">
        <v>863</v>
      </c>
      <c r="I772" s="63" t="str">
        <f t="shared" si="47"/>
        <v>青海发投碱业有限公司</v>
      </c>
      <c r="J772" s="314">
        <v>10000</v>
      </c>
      <c r="K772" s="59" t="s">
        <v>28</v>
      </c>
      <c r="L772" s="59" t="s">
        <v>73</v>
      </c>
      <c r="M772" s="59" t="s">
        <v>30</v>
      </c>
      <c r="N772" s="315">
        <v>10000</v>
      </c>
      <c r="O772" s="316">
        <f t="shared" si="44"/>
        <v>0</v>
      </c>
      <c r="P772" s="95">
        <v>45317</v>
      </c>
      <c r="Q772" s="61">
        <f t="shared" si="46"/>
        <v>45317</v>
      </c>
      <c r="R772" s="59" t="s">
        <v>1783</v>
      </c>
      <c r="S772" s="59" t="s">
        <v>1784</v>
      </c>
      <c r="T772" s="59" t="s">
        <v>972</v>
      </c>
      <c r="U772" s="59" t="str">
        <f>VLOOKUP(T772,[1]区域划分!$A$1:$C$39,3,0)</f>
        <v>曾江利</v>
      </c>
      <c r="V772" s="59" t="s">
        <v>1781</v>
      </c>
      <c r="W772" s="68"/>
      <c r="X772" s="68"/>
      <c r="Y772" s="68"/>
    </row>
    <row r="773" s="17" customFormat="1" hidden="1" customHeight="1" spans="1:25">
      <c r="A773" s="59">
        <v>770</v>
      </c>
      <c r="B773" s="60" t="s">
        <v>1785</v>
      </c>
      <c r="C773" s="61">
        <f t="shared" si="45"/>
        <v>45282</v>
      </c>
      <c r="D773" s="62" t="str">
        <f ca="1" t="shared" si="43"/>
        <v>一年以上</v>
      </c>
      <c r="E773" s="313">
        <v>45282</v>
      </c>
      <c r="F773" s="59" t="s">
        <v>632</v>
      </c>
      <c r="G773" s="59" t="s">
        <v>993</v>
      </c>
      <c r="H773" s="63" t="s">
        <v>863</v>
      </c>
      <c r="I773" s="63" t="str">
        <f t="shared" si="47"/>
        <v>青海发投碱业有限公司</v>
      </c>
      <c r="J773" s="314">
        <v>10000</v>
      </c>
      <c r="K773" s="59" t="s">
        <v>28</v>
      </c>
      <c r="L773" s="59" t="s">
        <v>73</v>
      </c>
      <c r="M773" s="59" t="s">
        <v>30</v>
      </c>
      <c r="N773" s="315">
        <v>10000</v>
      </c>
      <c r="O773" s="316">
        <f t="shared" si="44"/>
        <v>0</v>
      </c>
      <c r="P773" s="95">
        <v>45317</v>
      </c>
      <c r="Q773" s="61">
        <f t="shared" si="46"/>
        <v>45317</v>
      </c>
      <c r="R773" s="59" t="s">
        <v>1783</v>
      </c>
      <c r="S773" s="59" t="s">
        <v>1786</v>
      </c>
      <c r="T773" s="59" t="s">
        <v>972</v>
      </c>
      <c r="U773" s="59" t="str">
        <f>VLOOKUP(T773,[1]区域划分!$A$1:$C$39,3,0)</f>
        <v>曾江利</v>
      </c>
      <c r="V773" s="59" t="s">
        <v>1781</v>
      </c>
      <c r="W773" s="68"/>
      <c r="X773" s="68"/>
      <c r="Y773" s="68"/>
    </row>
    <row r="774" s="17" customFormat="1" hidden="1" customHeight="1" spans="1:25">
      <c r="A774" s="59">
        <v>771</v>
      </c>
      <c r="B774" s="60" t="s">
        <v>1787</v>
      </c>
      <c r="C774" s="61">
        <f t="shared" si="45"/>
        <v>45282</v>
      </c>
      <c r="D774" s="62" t="str">
        <f ca="1" t="shared" si="43"/>
        <v>一年以上</v>
      </c>
      <c r="E774" s="313">
        <v>45282</v>
      </c>
      <c r="F774" s="59" t="s">
        <v>632</v>
      </c>
      <c r="G774" s="59" t="s">
        <v>993</v>
      </c>
      <c r="H774" s="63" t="s">
        <v>1734</v>
      </c>
      <c r="I774" s="63" t="str">
        <f t="shared" si="47"/>
        <v>徐州小俏网络科技服务有限公司</v>
      </c>
      <c r="J774" s="314">
        <v>1500</v>
      </c>
      <c r="K774" s="59" t="s">
        <v>28</v>
      </c>
      <c r="L774" s="59" t="s">
        <v>73</v>
      </c>
      <c r="M774" s="59" t="s">
        <v>968</v>
      </c>
      <c r="N774" s="315"/>
      <c r="O774" s="316">
        <f t="shared" si="44"/>
        <v>1500</v>
      </c>
      <c r="P774" s="95"/>
      <c r="Q774" s="61">
        <f t="shared" si="46"/>
        <v>0</v>
      </c>
      <c r="R774" s="59"/>
      <c r="S774" s="59"/>
      <c r="T774" s="59"/>
      <c r="U774" s="59"/>
      <c r="V774" s="59"/>
      <c r="W774" s="68"/>
      <c r="X774" s="68"/>
      <c r="Y774" s="68"/>
    </row>
    <row r="775" s="17" customFormat="1" hidden="1" customHeight="1" spans="1:25">
      <c r="A775" s="59">
        <v>772</v>
      </c>
      <c r="B775" s="60" t="s">
        <v>1788</v>
      </c>
      <c r="C775" s="61">
        <f t="shared" si="45"/>
        <v>45282</v>
      </c>
      <c r="D775" s="62" t="str">
        <f ca="1" t="shared" si="43"/>
        <v>一年以上</v>
      </c>
      <c r="E775" s="313">
        <v>45282</v>
      </c>
      <c r="F775" s="59" t="s">
        <v>632</v>
      </c>
      <c r="G775" s="59" t="s">
        <v>993</v>
      </c>
      <c r="H775" s="63" t="s">
        <v>863</v>
      </c>
      <c r="I775" s="63" t="str">
        <f t="shared" si="47"/>
        <v>青海发投碱业有限公司</v>
      </c>
      <c r="J775" s="314">
        <v>500</v>
      </c>
      <c r="K775" s="59" t="s">
        <v>28</v>
      </c>
      <c r="L775" s="59" t="s">
        <v>73</v>
      </c>
      <c r="M775" s="59" t="s">
        <v>515</v>
      </c>
      <c r="N775" s="315"/>
      <c r="O775" s="316">
        <f t="shared" si="44"/>
        <v>500</v>
      </c>
      <c r="P775" s="95"/>
      <c r="Q775" s="61">
        <f t="shared" si="46"/>
        <v>0</v>
      </c>
      <c r="R775" s="59"/>
      <c r="S775" s="59" t="s">
        <v>1789</v>
      </c>
      <c r="T775" s="59" t="s">
        <v>972</v>
      </c>
      <c r="U775" s="59" t="str">
        <f>VLOOKUP(T775,[1]区域划分!$A$1:$C$39,3,0)</f>
        <v>曾江利</v>
      </c>
      <c r="V775" s="59"/>
      <c r="W775" s="68"/>
      <c r="X775" s="68"/>
      <c r="Y775" s="68"/>
    </row>
    <row r="776" s="17" customFormat="1" hidden="1" customHeight="1" spans="1:25">
      <c r="A776" s="59">
        <v>773</v>
      </c>
      <c r="B776" s="60" t="s">
        <v>1790</v>
      </c>
      <c r="C776" s="61">
        <f t="shared" si="45"/>
        <v>45285</v>
      </c>
      <c r="D776" s="62" t="str">
        <f ca="1" t="shared" si="43"/>
        <v>一年以上</v>
      </c>
      <c r="E776" s="313">
        <v>45285</v>
      </c>
      <c r="F776" s="59" t="s">
        <v>632</v>
      </c>
      <c r="G776" s="59" t="s">
        <v>993</v>
      </c>
      <c r="H776" s="63" t="s">
        <v>863</v>
      </c>
      <c r="I776" s="63" t="str">
        <f t="shared" si="47"/>
        <v>青海发投碱业有限公司</v>
      </c>
      <c r="J776" s="314">
        <v>10000</v>
      </c>
      <c r="K776" s="59" t="s">
        <v>28</v>
      </c>
      <c r="L776" s="59" t="s">
        <v>73</v>
      </c>
      <c r="M776" s="59" t="s">
        <v>30</v>
      </c>
      <c r="N776" s="315">
        <v>10000</v>
      </c>
      <c r="O776" s="316">
        <f t="shared" si="44"/>
        <v>0</v>
      </c>
      <c r="P776" s="95">
        <v>45345</v>
      </c>
      <c r="Q776" s="61">
        <f t="shared" si="46"/>
        <v>45345</v>
      </c>
      <c r="R776" s="59"/>
      <c r="S776" s="59" t="s">
        <v>1791</v>
      </c>
      <c r="T776" s="59" t="s">
        <v>972</v>
      </c>
      <c r="U776" s="59" t="str">
        <f>VLOOKUP(T776,[1]区域划分!$A$1:$C$39,3,0)</f>
        <v>曾江利</v>
      </c>
      <c r="V776" s="59"/>
      <c r="W776" s="68"/>
      <c r="X776" s="68"/>
      <c r="Y776" s="68"/>
    </row>
    <row r="777" s="17" customFormat="1" hidden="1" customHeight="1" spans="1:25">
      <c r="A777" s="59">
        <v>774</v>
      </c>
      <c r="B777" s="60" t="s">
        <v>1792</v>
      </c>
      <c r="C777" s="61">
        <f t="shared" si="45"/>
        <v>45300</v>
      </c>
      <c r="D777" s="62" t="str">
        <f ca="1" t="shared" si="43"/>
        <v>一年以上</v>
      </c>
      <c r="E777" s="313">
        <v>45300</v>
      </c>
      <c r="F777" s="59" t="s">
        <v>632</v>
      </c>
      <c r="G777" s="59" t="s">
        <v>450</v>
      </c>
      <c r="H777" s="63" t="s">
        <v>863</v>
      </c>
      <c r="I777" s="63" t="str">
        <f t="shared" si="47"/>
        <v>青海发投碱业有限公司</v>
      </c>
      <c r="J777" s="314">
        <v>20000</v>
      </c>
      <c r="K777" s="59" t="s">
        <v>28</v>
      </c>
      <c r="L777" s="59" t="s">
        <v>73</v>
      </c>
      <c r="M777" s="59" t="s">
        <v>30</v>
      </c>
      <c r="N777" s="315">
        <v>20000</v>
      </c>
      <c r="O777" s="316">
        <f t="shared" si="44"/>
        <v>0</v>
      </c>
      <c r="P777" s="95">
        <v>45344</v>
      </c>
      <c r="Q777" s="61">
        <f t="shared" si="46"/>
        <v>45344</v>
      </c>
      <c r="R777" s="59"/>
      <c r="S777" s="59" t="s">
        <v>1793</v>
      </c>
      <c r="T777" s="59" t="s">
        <v>972</v>
      </c>
      <c r="U777" s="59" t="str">
        <f>VLOOKUP(T777,[1]区域划分!$A$1:$C$39,3,0)</f>
        <v>曾江利</v>
      </c>
      <c r="V777" s="59"/>
      <c r="W777" s="68"/>
      <c r="X777" s="68"/>
      <c r="Y777" s="68"/>
    </row>
    <row r="778" s="17" customFormat="1" hidden="1" customHeight="1" spans="1:25">
      <c r="A778" s="59">
        <v>775</v>
      </c>
      <c r="B778" s="60" t="s">
        <v>1794</v>
      </c>
      <c r="C778" s="61">
        <f t="shared" si="45"/>
        <v>45295</v>
      </c>
      <c r="D778" s="62" t="str">
        <f ca="1" t="shared" si="43"/>
        <v>一年以上</v>
      </c>
      <c r="E778" s="313">
        <v>45295</v>
      </c>
      <c r="F778" s="59" t="s">
        <v>130</v>
      </c>
      <c r="G778" s="59" t="s">
        <v>1596</v>
      </c>
      <c r="H778" s="63" t="s">
        <v>863</v>
      </c>
      <c r="I778" s="63" t="str">
        <f t="shared" si="47"/>
        <v>青海发投碱业有限公司</v>
      </c>
      <c r="J778" s="314">
        <v>27999</v>
      </c>
      <c r="K778" s="59" t="s">
        <v>28</v>
      </c>
      <c r="L778" s="59" t="s">
        <v>73</v>
      </c>
      <c r="M778" s="59" t="s">
        <v>133</v>
      </c>
      <c r="N778" s="315">
        <v>27999</v>
      </c>
      <c r="O778" s="316">
        <f t="shared" si="44"/>
        <v>0</v>
      </c>
      <c r="P778" s="95">
        <v>45832</v>
      </c>
      <c r="Q778" s="61">
        <f t="shared" si="46"/>
        <v>45832</v>
      </c>
      <c r="R778" s="59"/>
      <c r="S778" s="59" t="s">
        <v>1786</v>
      </c>
      <c r="T778" s="59" t="s">
        <v>972</v>
      </c>
      <c r="U778" s="59" t="str">
        <f>VLOOKUP(T778,[1]区域划分!$A$1:$C$39,3,0)</f>
        <v>曾江利</v>
      </c>
      <c r="V778" s="59"/>
      <c r="W778" s="68"/>
      <c r="X778" s="68"/>
      <c r="Y778" s="68"/>
    </row>
    <row r="779" s="17" customFormat="1" hidden="1" customHeight="1" spans="1:25">
      <c r="A779" s="59">
        <v>776</v>
      </c>
      <c r="B779" s="60" t="s">
        <v>1795</v>
      </c>
      <c r="C779" s="61">
        <f t="shared" si="45"/>
        <v>45296</v>
      </c>
      <c r="D779" s="62" t="str">
        <f ca="1" t="shared" si="43"/>
        <v>一年以上</v>
      </c>
      <c r="E779" s="313">
        <v>45296</v>
      </c>
      <c r="F779" s="59" t="s">
        <v>70</v>
      </c>
      <c r="G779" s="59" t="s">
        <v>1777</v>
      </c>
      <c r="H779" s="63" t="s">
        <v>863</v>
      </c>
      <c r="I779" s="63" t="str">
        <f t="shared" si="47"/>
        <v>青海发投碱业有限公司</v>
      </c>
      <c r="J779" s="314">
        <v>27999</v>
      </c>
      <c r="K779" s="59" t="s">
        <v>28</v>
      </c>
      <c r="L779" s="59" t="s">
        <v>73</v>
      </c>
      <c r="M779" s="59" t="s">
        <v>941</v>
      </c>
      <c r="N779" s="315">
        <v>27999</v>
      </c>
      <c r="O779" s="316">
        <f t="shared" si="44"/>
        <v>0</v>
      </c>
      <c r="P779" s="95">
        <v>45831</v>
      </c>
      <c r="Q779" s="61">
        <f t="shared" si="46"/>
        <v>45831</v>
      </c>
      <c r="R779" s="59"/>
      <c r="S779" s="59" t="s">
        <v>1786</v>
      </c>
      <c r="T779" s="59" t="s">
        <v>972</v>
      </c>
      <c r="U779" s="59" t="str">
        <f>VLOOKUP(T779,[1]区域划分!$A$1:$C$39,3,0)</f>
        <v>曾江利</v>
      </c>
      <c r="V779" s="59"/>
      <c r="W779" s="68"/>
      <c r="X779" s="68"/>
      <c r="Y779" s="68"/>
    </row>
    <row r="780" s="17" customFormat="1" hidden="1" customHeight="1" spans="1:25">
      <c r="A780" s="59">
        <v>777</v>
      </c>
      <c r="B780" s="60" t="s">
        <v>1796</v>
      </c>
      <c r="C780" s="61">
        <f t="shared" si="45"/>
        <v>45299</v>
      </c>
      <c r="D780" s="62" t="str">
        <f ca="1" t="shared" si="43"/>
        <v>一年以上</v>
      </c>
      <c r="E780" s="313">
        <v>45299</v>
      </c>
      <c r="F780" s="59" t="s">
        <v>70</v>
      </c>
      <c r="G780" s="59" t="s">
        <v>1777</v>
      </c>
      <c r="H780" s="63" t="s">
        <v>863</v>
      </c>
      <c r="I780" s="63" t="str">
        <f t="shared" si="47"/>
        <v>青海发投碱业有限公司</v>
      </c>
      <c r="J780" s="314">
        <v>28000</v>
      </c>
      <c r="K780" s="59" t="s">
        <v>28</v>
      </c>
      <c r="L780" s="59" t="s">
        <v>73</v>
      </c>
      <c r="M780" s="59" t="s">
        <v>65</v>
      </c>
      <c r="N780" s="315">
        <v>28000</v>
      </c>
      <c r="O780" s="316">
        <f t="shared" si="44"/>
        <v>0</v>
      </c>
      <c r="P780" s="95">
        <v>45530</v>
      </c>
      <c r="Q780" s="61">
        <f t="shared" si="46"/>
        <v>45530</v>
      </c>
      <c r="R780" s="59"/>
      <c r="S780" s="59" t="s">
        <v>1786</v>
      </c>
      <c r="T780" s="59" t="s">
        <v>972</v>
      </c>
      <c r="U780" s="59" t="str">
        <f>VLOOKUP(T780,[1]区域划分!$A$1:$C$39,3,0)</f>
        <v>曾江利</v>
      </c>
      <c r="V780" s="59"/>
      <c r="W780" s="68"/>
      <c r="X780" s="68"/>
      <c r="Y780" s="68"/>
    </row>
    <row r="781" s="17" customFormat="1" hidden="1" customHeight="1" spans="1:25">
      <c r="A781" s="59">
        <v>778</v>
      </c>
      <c r="B781" s="60" t="s">
        <v>1797</v>
      </c>
      <c r="C781" s="61"/>
      <c r="D781" s="62"/>
      <c r="E781" s="313"/>
      <c r="F781" s="59" t="s">
        <v>632</v>
      </c>
      <c r="G781" s="59" t="s">
        <v>450</v>
      </c>
      <c r="H781" s="63" t="s">
        <v>1169</v>
      </c>
      <c r="I781" s="63" t="str">
        <f t="shared" si="47"/>
        <v>东方希望重庆水泥有限公司</v>
      </c>
      <c r="J781" s="314">
        <f>10000-10000</f>
        <v>0</v>
      </c>
      <c r="K781" s="59" t="s">
        <v>28</v>
      </c>
      <c r="L781" s="59" t="s">
        <v>1798</v>
      </c>
      <c r="M781" s="59" t="s">
        <v>30</v>
      </c>
      <c r="N781" s="315"/>
      <c r="O781" s="316">
        <f t="shared" si="44"/>
        <v>0</v>
      </c>
      <c r="P781" s="95"/>
      <c r="Q781" s="61">
        <f t="shared" si="46"/>
        <v>0</v>
      </c>
      <c r="R781" s="59"/>
      <c r="S781" s="59" t="s">
        <v>1799</v>
      </c>
      <c r="T781" s="59"/>
      <c r="U781" s="59"/>
      <c r="V781" s="59"/>
      <c r="W781" s="68"/>
      <c r="X781" s="68"/>
      <c r="Y781" s="68"/>
    </row>
    <row r="782" s="17" customFormat="1" hidden="1" customHeight="1" spans="1:25">
      <c r="A782" s="59">
        <v>779</v>
      </c>
      <c r="B782" s="60" t="s">
        <v>1800</v>
      </c>
      <c r="C782" s="61">
        <f t="shared" ref="C782:C845" si="48">E782</f>
        <v>45302</v>
      </c>
      <c r="D782" s="62" t="str">
        <f ca="1" t="shared" ref="D782:D787" si="49">IF(TODAY()-E782&lt;60,"2个月内",IF(TODAY()-E782&lt;180,"3-6个月",IF(TODAY()-E782&lt;360,"6个月-1年","一年以上")))</f>
        <v>一年以上</v>
      </c>
      <c r="E782" s="313">
        <v>45302</v>
      </c>
      <c r="F782" s="59" t="s">
        <v>632</v>
      </c>
      <c r="G782" s="59" t="s">
        <v>450</v>
      </c>
      <c r="H782" s="63" t="s">
        <v>1801</v>
      </c>
      <c r="I782" s="63" t="str">
        <f t="shared" si="47"/>
        <v>日钢营口中板有限公司</v>
      </c>
      <c r="J782" s="314">
        <v>30000</v>
      </c>
      <c r="K782" s="59" t="s">
        <v>28</v>
      </c>
      <c r="L782" s="59" t="s">
        <v>73</v>
      </c>
      <c r="M782" s="59" t="s">
        <v>30</v>
      </c>
      <c r="N782" s="315">
        <v>30000</v>
      </c>
      <c r="O782" s="316">
        <f t="shared" si="44"/>
        <v>0</v>
      </c>
      <c r="P782" s="95">
        <v>45873</v>
      </c>
      <c r="Q782" s="61">
        <f t="shared" si="46"/>
        <v>45873</v>
      </c>
      <c r="R782" s="59" t="s">
        <v>1732</v>
      </c>
      <c r="S782" s="59" t="s">
        <v>1802</v>
      </c>
      <c r="T782" s="59"/>
      <c r="U782" s="59"/>
      <c r="V782" s="59"/>
      <c r="W782" s="68"/>
      <c r="X782" s="68"/>
      <c r="Y782" s="68"/>
    </row>
    <row r="783" s="17" customFormat="1" hidden="1" customHeight="1" spans="1:25">
      <c r="A783" s="59">
        <v>780</v>
      </c>
      <c r="B783" s="60" t="s">
        <v>1803</v>
      </c>
      <c r="C783" s="61">
        <f t="shared" si="48"/>
        <v>45300</v>
      </c>
      <c r="D783" s="62" t="str">
        <f ca="1" t="shared" si="49"/>
        <v>一年以上</v>
      </c>
      <c r="E783" s="313">
        <v>45300</v>
      </c>
      <c r="F783" s="59" t="s">
        <v>70</v>
      </c>
      <c r="G783" s="59" t="s">
        <v>1777</v>
      </c>
      <c r="H783" s="63" t="s">
        <v>863</v>
      </c>
      <c r="I783" s="63" t="str">
        <f t="shared" si="47"/>
        <v>青海发投碱业有限公司</v>
      </c>
      <c r="J783" s="314">
        <v>47850</v>
      </c>
      <c r="K783" s="59" t="s">
        <v>1706</v>
      </c>
      <c r="L783" s="59" t="s">
        <v>73</v>
      </c>
      <c r="M783" s="59" t="s">
        <v>941</v>
      </c>
      <c r="N783" s="315">
        <v>47850</v>
      </c>
      <c r="O783" s="316">
        <f t="shared" si="44"/>
        <v>0</v>
      </c>
      <c r="P783" s="95">
        <v>45345</v>
      </c>
      <c r="Q783" s="61">
        <f t="shared" si="46"/>
        <v>45345</v>
      </c>
      <c r="R783" s="59" t="s">
        <v>1804</v>
      </c>
      <c r="S783" s="59" t="s">
        <v>1805</v>
      </c>
      <c r="T783" s="59" t="s">
        <v>972</v>
      </c>
      <c r="U783" s="59" t="str">
        <f>VLOOKUP(T783,[1]区域划分!$A$1:$C$39,3,0)</f>
        <v>曾江利</v>
      </c>
      <c r="V783" s="59"/>
      <c r="W783" s="68"/>
      <c r="X783" s="68"/>
      <c r="Y783" s="68"/>
    </row>
    <row r="784" s="17" customFormat="1" hidden="1" customHeight="1" spans="1:25">
      <c r="A784" s="59">
        <v>781</v>
      </c>
      <c r="B784" s="60" t="s">
        <v>1806</v>
      </c>
      <c r="C784" s="61">
        <f t="shared" si="48"/>
        <v>45300</v>
      </c>
      <c r="D784" s="62" t="str">
        <f ca="1" t="shared" si="49"/>
        <v>一年以上</v>
      </c>
      <c r="E784" s="313">
        <v>45300</v>
      </c>
      <c r="F784" s="59" t="s">
        <v>130</v>
      </c>
      <c r="G784" s="59" t="s">
        <v>1596</v>
      </c>
      <c r="H784" s="63" t="s">
        <v>863</v>
      </c>
      <c r="I784" s="63" t="str">
        <f t="shared" si="47"/>
        <v>青海发投碱业有限公司</v>
      </c>
      <c r="J784" s="314">
        <v>47850</v>
      </c>
      <c r="K784" s="59" t="s">
        <v>1706</v>
      </c>
      <c r="L784" s="59" t="s">
        <v>73</v>
      </c>
      <c r="M784" s="59" t="s">
        <v>133</v>
      </c>
      <c r="N784" s="315">
        <v>47850</v>
      </c>
      <c r="O784" s="316">
        <f t="shared" si="44"/>
        <v>0</v>
      </c>
      <c r="P784" s="95">
        <v>45832</v>
      </c>
      <c r="Q784" s="61">
        <f t="shared" si="46"/>
        <v>45832</v>
      </c>
      <c r="R784" s="59"/>
      <c r="S784" s="59" t="s">
        <v>1805</v>
      </c>
      <c r="T784" s="59" t="s">
        <v>972</v>
      </c>
      <c r="U784" s="59" t="str">
        <f>VLOOKUP(T784,[1]区域划分!$A$1:$C$39,3,0)</f>
        <v>曾江利</v>
      </c>
      <c r="V784" s="59"/>
      <c r="W784" s="68"/>
      <c r="X784" s="68"/>
      <c r="Y784" s="68"/>
    </row>
    <row r="785" s="17" customFormat="1" hidden="1" customHeight="1" spans="1:25">
      <c r="A785" s="59">
        <v>782</v>
      </c>
      <c r="B785" s="60" t="s">
        <v>1807</v>
      </c>
      <c r="C785" s="61">
        <f t="shared" si="48"/>
        <v>45306</v>
      </c>
      <c r="D785" s="62" t="str">
        <f ca="1" t="shared" si="49"/>
        <v>一年以上</v>
      </c>
      <c r="E785" s="313">
        <v>45306</v>
      </c>
      <c r="F785" s="59" t="s">
        <v>632</v>
      </c>
      <c r="G785" s="59" t="s">
        <v>450</v>
      </c>
      <c r="H785" s="63" t="s">
        <v>1343</v>
      </c>
      <c r="I785" s="63" t="str">
        <f t="shared" si="47"/>
        <v>内蒙古冀东水泥有限责任公司</v>
      </c>
      <c r="J785" s="314">
        <v>20000</v>
      </c>
      <c r="K785" s="59" t="s">
        <v>356</v>
      </c>
      <c r="L785" s="59" t="s">
        <v>73</v>
      </c>
      <c r="M785" s="59" t="s">
        <v>30</v>
      </c>
      <c r="N785" s="315">
        <v>20000</v>
      </c>
      <c r="O785" s="316">
        <f t="shared" si="44"/>
        <v>0</v>
      </c>
      <c r="P785" s="95">
        <v>45316</v>
      </c>
      <c r="Q785" s="61">
        <f t="shared" si="46"/>
        <v>45316</v>
      </c>
      <c r="R785" s="59"/>
      <c r="S785" s="59" t="s">
        <v>1808</v>
      </c>
      <c r="T785" s="59"/>
      <c r="U785" s="59"/>
      <c r="V785" s="59"/>
      <c r="W785" s="68"/>
      <c r="X785" s="68"/>
      <c r="Y785" s="68"/>
    </row>
    <row r="786" s="17" customFormat="1" hidden="1" customHeight="1" spans="1:25">
      <c r="A786" s="59">
        <v>783</v>
      </c>
      <c r="B786" s="60" t="s">
        <v>1809</v>
      </c>
      <c r="C786" s="61">
        <f t="shared" si="48"/>
        <v>45306</v>
      </c>
      <c r="D786" s="62" t="str">
        <f ca="1" t="shared" si="49"/>
        <v>一年以上</v>
      </c>
      <c r="E786" s="313">
        <v>45306</v>
      </c>
      <c r="F786" s="59" t="s">
        <v>632</v>
      </c>
      <c r="G786" s="59" t="s">
        <v>450</v>
      </c>
      <c r="H786" s="63" t="s">
        <v>863</v>
      </c>
      <c r="I786" s="63" t="str">
        <f t="shared" si="47"/>
        <v>青海发投碱业有限公司</v>
      </c>
      <c r="J786" s="314">
        <v>10000</v>
      </c>
      <c r="K786" s="59" t="s">
        <v>28</v>
      </c>
      <c r="L786" s="59" t="s">
        <v>73</v>
      </c>
      <c r="M786" s="59" t="s">
        <v>30</v>
      </c>
      <c r="N786" s="315">
        <v>10000</v>
      </c>
      <c r="O786" s="316">
        <f t="shared" si="44"/>
        <v>0</v>
      </c>
      <c r="P786" s="95">
        <v>45377</v>
      </c>
      <c r="Q786" s="61">
        <f t="shared" si="46"/>
        <v>45377</v>
      </c>
      <c r="R786" s="59"/>
      <c r="S786" s="59" t="s">
        <v>1810</v>
      </c>
      <c r="T786" s="59" t="s">
        <v>972</v>
      </c>
      <c r="U786" s="59" t="s">
        <v>1465</v>
      </c>
      <c r="V786" s="59"/>
      <c r="W786" s="68"/>
      <c r="X786" s="68"/>
      <c r="Y786" s="68"/>
    </row>
    <row r="787" s="17" customFormat="1" hidden="1" customHeight="1" spans="1:25">
      <c r="A787" s="59">
        <v>784</v>
      </c>
      <c r="B787" s="60" t="s">
        <v>1811</v>
      </c>
      <c r="C787" s="61">
        <f t="shared" si="48"/>
        <v>45306</v>
      </c>
      <c r="D787" s="62" t="str">
        <f ca="1" t="shared" si="49"/>
        <v>一年以上</v>
      </c>
      <c r="E787" s="313">
        <v>45306</v>
      </c>
      <c r="F787" s="59" t="s">
        <v>130</v>
      </c>
      <c r="G787" s="59" t="s">
        <v>1596</v>
      </c>
      <c r="H787" s="63" t="s">
        <v>863</v>
      </c>
      <c r="I787" s="63" t="str">
        <f t="shared" si="47"/>
        <v>青海发投碱业有限公司</v>
      </c>
      <c r="J787" s="314">
        <v>3050</v>
      </c>
      <c r="K787" s="59" t="s">
        <v>28</v>
      </c>
      <c r="L787" s="59" t="s">
        <v>73</v>
      </c>
      <c r="M787" s="59" t="s">
        <v>133</v>
      </c>
      <c r="N787" s="315">
        <v>3050</v>
      </c>
      <c r="O787" s="316">
        <f t="shared" si="44"/>
        <v>0</v>
      </c>
      <c r="P787" s="95">
        <v>45623</v>
      </c>
      <c r="Q787" s="61">
        <f t="shared" si="46"/>
        <v>45623</v>
      </c>
      <c r="R787" s="59"/>
      <c r="S787" s="59" t="s">
        <v>1812</v>
      </c>
      <c r="T787" s="59" t="s">
        <v>972</v>
      </c>
      <c r="U787" s="59" t="s">
        <v>1465</v>
      </c>
      <c r="V787" s="59"/>
      <c r="W787" s="68"/>
      <c r="X787" s="68"/>
      <c r="Y787" s="68"/>
    </row>
    <row r="788" s="17" customFormat="1" hidden="1" customHeight="1" spans="1:25">
      <c r="A788" s="59">
        <v>785</v>
      </c>
      <c r="B788" s="60" t="s">
        <v>1813</v>
      </c>
      <c r="C788" s="61">
        <f t="shared" si="48"/>
        <v>0</v>
      </c>
      <c r="D788" s="62"/>
      <c r="E788" s="313"/>
      <c r="F788" s="59" t="s">
        <v>632</v>
      </c>
      <c r="G788" s="59" t="s">
        <v>450</v>
      </c>
      <c r="H788" s="63" t="s">
        <v>1814</v>
      </c>
      <c r="I788" s="63" t="str">
        <f t="shared" si="47"/>
        <v>新疆宜化化工有限公司</v>
      </c>
      <c r="J788" s="314"/>
      <c r="K788" s="59" t="s">
        <v>28</v>
      </c>
      <c r="L788" s="59" t="s">
        <v>1798</v>
      </c>
      <c r="M788" s="59" t="s">
        <v>30</v>
      </c>
      <c r="N788" s="315"/>
      <c r="O788" s="316">
        <f t="shared" si="44"/>
        <v>0</v>
      </c>
      <c r="P788" s="95"/>
      <c r="Q788" s="61">
        <f t="shared" si="46"/>
        <v>0</v>
      </c>
      <c r="R788" s="59"/>
      <c r="S788" s="59" t="s">
        <v>1815</v>
      </c>
      <c r="T788" s="59"/>
      <c r="U788" s="59"/>
      <c r="V788" s="59"/>
      <c r="W788" s="68"/>
      <c r="X788" s="68"/>
      <c r="Y788" s="68"/>
    </row>
    <row r="789" s="17" customFormat="1" hidden="1" customHeight="1" spans="1:25">
      <c r="A789" s="59">
        <v>786</v>
      </c>
      <c r="B789" s="60" t="s">
        <v>1816</v>
      </c>
      <c r="C789" s="61">
        <f t="shared" si="48"/>
        <v>45307</v>
      </c>
      <c r="D789" s="62" t="str">
        <f ca="1" t="shared" ref="D789:D852" si="50">IF(TODAY()-E789&lt;60,"2个月内",IF(TODAY()-E789&lt;180,"3-6个月",IF(TODAY()-E789&lt;360,"6个月-1年","一年以上")))</f>
        <v>一年以上</v>
      </c>
      <c r="E789" s="313">
        <v>45307</v>
      </c>
      <c r="F789" s="59" t="s">
        <v>70</v>
      </c>
      <c r="G789" s="59" t="s">
        <v>1817</v>
      </c>
      <c r="H789" s="63" t="s">
        <v>863</v>
      </c>
      <c r="I789" s="63" t="str">
        <f t="shared" si="47"/>
        <v>青海发投碱业有限公司</v>
      </c>
      <c r="J789" s="314">
        <v>3050</v>
      </c>
      <c r="K789" s="59" t="s">
        <v>28</v>
      </c>
      <c r="L789" s="59" t="s">
        <v>73</v>
      </c>
      <c r="M789" s="59" t="s">
        <v>65</v>
      </c>
      <c r="N789" s="315"/>
      <c r="O789" s="318">
        <f t="shared" si="44"/>
        <v>3050</v>
      </c>
      <c r="P789" s="95"/>
      <c r="Q789" s="61">
        <f t="shared" si="46"/>
        <v>0</v>
      </c>
      <c r="R789" s="59"/>
      <c r="S789" s="59" t="s">
        <v>1818</v>
      </c>
      <c r="T789" s="59" t="s">
        <v>972</v>
      </c>
      <c r="U789" s="59" t="s">
        <v>1465</v>
      </c>
      <c r="V789" s="59"/>
      <c r="W789" s="68"/>
      <c r="X789" s="68"/>
      <c r="Y789" s="68"/>
    </row>
    <row r="790" s="17" customFormat="1" hidden="1" customHeight="1" spans="1:25">
      <c r="A790" s="59">
        <v>787</v>
      </c>
      <c r="B790" s="60" t="s">
        <v>1819</v>
      </c>
      <c r="C790" s="61">
        <f t="shared" si="48"/>
        <v>45307</v>
      </c>
      <c r="D790" s="62" t="str">
        <f ca="1" t="shared" si="50"/>
        <v>一年以上</v>
      </c>
      <c r="E790" s="313">
        <v>45307</v>
      </c>
      <c r="F790" s="59" t="s">
        <v>70</v>
      </c>
      <c r="G790" s="59" t="s">
        <v>1817</v>
      </c>
      <c r="H790" s="63" t="s">
        <v>863</v>
      </c>
      <c r="I790" s="63" t="str">
        <f t="shared" si="47"/>
        <v>青海发投碱业有限公司</v>
      </c>
      <c r="J790" s="314">
        <v>3050</v>
      </c>
      <c r="K790" s="59" t="s">
        <v>28</v>
      </c>
      <c r="L790" s="59" t="s">
        <v>73</v>
      </c>
      <c r="M790" s="59" t="s">
        <v>941</v>
      </c>
      <c r="N790" s="315">
        <v>3050</v>
      </c>
      <c r="O790" s="316">
        <f t="shared" si="44"/>
        <v>0</v>
      </c>
      <c r="P790" s="95">
        <v>45649</v>
      </c>
      <c r="Q790" s="61">
        <f t="shared" si="46"/>
        <v>45649</v>
      </c>
      <c r="R790" s="59"/>
      <c r="S790" s="59" t="s">
        <v>1818</v>
      </c>
      <c r="T790" s="59" t="s">
        <v>972</v>
      </c>
      <c r="U790" s="59" t="s">
        <v>1465</v>
      </c>
      <c r="V790" s="59"/>
      <c r="W790" s="68"/>
      <c r="X790" s="68"/>
      <c r="Y790" s="68"/>
    </row>
    <row r="791" s="17" customFormat="1" hidden="1" customHeight="1" spans="1:25">
      <c r="A791" s="59">
        <v>788</v>
      </c>
      <c r="B791" s="60" t="s">
        <v>1820</v>
      </c>
      <c r="C791" s="61">
        <f t="shared" si="48"/>
        <v>45307</v>
      </c>
      <c r="D791" s="62" t="str">
        <f ca="1" t="shared" si="50"/>
        <v>一年以上</v>
      </c>
      <c r="E791" s="313">
        <v>45307</v>
      </c>
      <c r="F791" s="59" t="s">
        <v>70</v>
      </c>
      <c r="G791" s="59" t="s">
        <v>1817</v>
      </c>
      <c r="H791" s="63" t="s">
        <v>863</v>
      </c>
      <c r="I791" s="63" t="str">
        <f t="shared" si="47"/>
        <v>青海发投碱业有限公司</v>
      </c>
      <c r="J791" s="314">
        <v>89000</v>
      </c>
      <c r="K791" s="59" t="s">
        <v>28</v>
      </c>
      <c r="L791" s="59" t="s">
        <v>73</v>
      </c>
      <c r="M791" s="59" t="s">
        <v>65</v>
      </c>
      <c r="N791" s="315">
        <v>89000</v>
      </c>
      <c r="O791" s="316">
        <f t="shared" si="44"/>
        <v>0</v>
      </c>
      <c r="P791" s="95">
        <v>45831</v>
      </c>
      <c r="Q791" s="61">
        <f t="shared" si="46"/>
        <v>45831</v>
      </c>
      <c r="R791" s="59"/>
      <c r="S791" s="59" t="s">
        <v>1821</v>
      </c>
      <c r="T791" s="59" t="s">
        <v>972</v>
      </c>
      <c r="U791" s="59" t="s">
        <v>1465</v>
      </c>
      <c r="V791" s="59"/>
      <c r="W791" s="68"/>
      <c r="X791" s="68"/>
      <c r="Y791" s="68"/>
    </row>
    <row r="792" s="17" customFormat="1" hidden="1" customHeight="1" spans="1:25">
      <c r="A792" s="59">
        <v>789</v>
      </c>
      <c r="B792" s="60" t="s">
        <v>1822</v>
      </c>
      <c r="C792" s="61">
        <f t="shared" si="48"/>
        <v>45308</v>
      </c>
      <c r="D792" s="62" t="str">
        <f ca="1" t="shared" si="50"/>
        <v>一年以上</v>
      </c>
      <c r="E792" s="313">
        <v>45308</v>
      </c>
      <c r="F792" s="59" t="s">
        <v>130</v>
      </c>
      <c r="G792" s="59" t="s">
        <v>1596</v>
      </c>
      <c r="H792" s="63" t="s">
        <v>1801</v>
      </c>
      <c r="I792" s="63" t="str">
        <f t="shared" si="47"/>
        <v>日钢营口中板有限公司</v>
      </c>
      <c r="J792" s="314">
        <v>32000</v>
      </c>
      <c r="K792" s="59" t="s">
        <v>28</v>
      </c>
      <c r="L792" s="59" t="s">
        <v>73</v>
      </c>
      <c r="M792" s="59" t="s">
        <v>133</v>
      </c>
      <c r="N792" s="315">
        <v>32000</v>
      </c>
      <c r="O792" s="316">
        <f t="shared" si="44"/>
        <v>0</v>
      </c>
      <c r="P792" s="95">
        <v>45873</v>
      </c>
      <c r="Q792" s="61">
        <f t="shared" si="46"/>
        <v>45873</v>
      </c>
      <c r="R792" s="59"/>
      <c r="S792" s="59" t="s">
        <v>1802</v>
      </c>
      <c r="T792" s="59"/>
      <c r="U792" s="59"/>
      <c r="V792" s="59"/>
      <c r="W792" s="68"/>
      <c r="X792" s="68"/>
      <c r="Y792" s="68"/>
    </row>
    <row r="793" s="17" customFormat="1" hidden="1" customHeight="1" spans="1:25">
      <c r="A793" s="59">
        <v>790</v>
      </c>
      <c r="B793" s="60" t="s">
        <v>1823</v>
      </c>
      <c r="C793" s="61">
        <f t="shared" si="48"/>
        <v>45309</v>
      </c>
      <c r="D793" s="62" t="str">
        <f ca="1" t="shared" si="50"/>
        <v>一年以上</v>
      </c>
      <c r="E793" s="313">
        <v>45309</v>
      </c>
      <c r="F793" s="59" t="s">
        <v>130</v>
      </c>
      <c r="G793" s="59" t="s">
        <v>1596</v>
      </c>
      <c r="H793" s="63" t="s">
        <v>863</v>
      </c>
      <c r="I793" s="63" t="str">
        <f t="shared" si="47"/>
        <v>青海发投碱业有限公司</v>
      </c>
      <c r="J793" s="314">
        <v>4450</v>
      </c>
      <c r="K793" s="59" t="s">
        <v>28</v>
      </c>
      <c r="L793" s="59" t="s">
        <v>73</v>
      </c>
      <c r="M793" s="59" t="s">
        <v>133</v>
      </c>
      <c r="N793" s="315">
        <v>4450</v>
      </c>
      <c r="O793" s="316">
        <f t="shared" si="44"/>
        <v>0</v>
      </c>
      <c r="P793" s="95">
        <v>45525</v>
      </c>
      <c r="Q793" s="61">
        <f t="shared" si="46"/>
        <v>45525</v>
      </c>
      <c r="R793" s="59"/>
      <c r="S793" s="59" t="s">
        <v>1824</v>
      </c>
      <c r="T793" s="59" t="s">
        <v>972</v>
      </c>
      <c r="U793" s="59" t="s">
        <v>1465</v>
      </c>
      <c r="V793" s="59"/>
      <c r="W793" s="68"/>
      <c r="X793" s="68"/>
      <c r="Y793" s="68"/>
    </row>
    <row r="794" s="17" customFormat="1" hidden="1" customHeight="1" spans="1:25">
      <c r="A794" s="59">
        <v>791</v>
      </c>
      <c r="B794" s="60" t="s">
        <v>1825</v>
      </c>
      <c r="C794" s="61">
        <f t="shared" si="48"/>
        <v>45310</v>
      </c>
      <c r="D794" s="62" t="str">
        <f ca="1" t="shared" si="50"/>
        <v>一年以上</v>
      </c>
      <c r="E794" s="313">
        <v>45310</v>
      </c>
      <c r="F794" s="59" t="s">
        <v>632</v>
      </c>
      <c r="G794" s="59" t="s">
        <v>993</v>
      </c>
      <c r="H794" s="63" t="s">
        <v>863</v>
      </c>
      <c r="I794" s="63" t="str">
        <f t="shared" si="47"/>
        <v>青海发投碱业有限公司</v>
      </c>
      <c r="J794" s="314">
        <v>10000</v>
      </c>
      <c r="K794" s="59" t="s">
        <v>28</v>
      </c>
      <c r="L794" s="59" t="s">
        <v>73</v>
      </c>
      <c r="M794" s="59" t="s">
        <v>30</v>
      </c>
      <c r="N794" s="315">
        <v>10000</v>
      </c>
      <c r="O794" s="316">
        <f t="shared" si="44"/>
        <v>0</v>
      </c>
      <c r="P794" s="95">
        <v>45380</v>
      </c>
      <c r="Q794" s="61">
        <f t="shared" si="46"/>
        <v>45380</v>
      </c>
      <c r="R794" s="59"/>
      <c r="S794" s="59" t="s">
        <v>1826</v>
      </c>
      <c r="T794" s="59" t="s">
        <v>972</v>
      </c>
      <c r="U794" s="59" t="s">
        <v>1465</v>
      </c>
      <c r="V794" s="59"/>
      <c r="W794" s="68"/>
      <c r="X794" s="68"/>
      <c r="Y794" s="68"/>
    </row>
    <row r="795" s="17" customFormat="1" hidden="1" customHeight="1" spans="1:25">
      <c r="A795" s="59">
        <v>792</v>
      </c>
      <c r="B795" s="60" t="s">
        <v>1827</v>
      </c>
      <c r="C795" s="61">
        <f t="shared" si="48"/>
        <v>45314</v>
      </c>
      <c r="D795" s="62" t="str">
        <f ca="1" t="shared" si="50"/>
        <v>一年以上</v>
      </c>
      <c r="E795" s="313">
        <v>45314</v>
      </c>
      <c r="F795" s="59" t="s">
        <v>632</v>
      </c>
      <c r="G795" s="59" t="s">
        <v>450</v>
      </c>
      <c r="H795" s="63" t="s">
        <v>863</v>
      </c>
      <c r="I795" s="63" t="str">
        <f t="shared" si="47"/>
        <v>青海发投碱业有限公司</v>
      </c>
      <c r="J795" s="314">
        <v>30000</v>
      </c>
      <c r="K795" s="59" t="s">
        <v>1706</v>
      </c>
      <c r="L795" s="59" t="s">
        <v>73</v>
      </c>
      <c r="M795" s="59" t="s">
        <v>30</v>
      </c>
      <c r="N795" s="315">
        <v>30000</v>
      </c>
      <c r="O795" s="316">
        <f t="shared" ref="O795:O858" si="51">J795-N795</f>
        <v>0</v>
      </c>
      <c r="P795" s="95">
        <v>45365</v>
      </c>
      <c r="Q795" s="61">
        <f t="shared" si="46"/>
        <v>45365</v>
      </c>
      <c r="R795" s="59"/>
      <c r="S795" s="59"/>
      <c r="T795" s="59" t="s">
        <v>972</v>
      </c>
      <c r="U795" s="59" t="s">
        <v>1465</v>
      </c>
      <c r="V795" s="59"/>
      <c r="W795" s="68"/>
      <c r="X795" s="68"/>
      <c r="Y795" s="68"/>
    </row>
    <row r="796" s="17" customFormat="1" hidden="1" customHeight="1" spans="1:25">
      <c r="A796" s="59">
        <v>793</v>
      </c>
      <c r="B796" s="60" t="s">
        <v>1828</v>
      </c>
      <c r="C796" s="61">
        <f t="shared" si="48"/>
        <v>45320</v>
      </c>
      <c r="D796" s="62" t="str">
        <f ca="1" t="shared" si="50"/>
        <v>一年以上</v>
      </c>
      <c r="E796" s="313">
        <v>45320</v>
      </c>
      <c r="F796" s="59" t="s">
        <v>130</v>
      </c>
      <c r="G796" s="59" t="s">
        <v>1596</v>
      </c>
      <c r="H796" s="63" t="s">
        <v>863</v>
      </c>
      <c r="I796" s="63" t="str">
        <f t="shared" si="47"/>
        <v>青海发投碱业有限公司</v>
      </c>
      <c r="J796" s="314">
        <v>15975</v>
      </c>
      <c r="K796" s="59" t="s">
        <v>28</v>
      </c>
      <c r="L796" s="59" t="s">
        <v>73</v>
      </c>
      <c r="M796" s="59" t="s">
        <v>133</v>
      </c>
      <c r="N796" s="315">
        <v>15975</v>
      </c>
      <c r="O796" s="316">
        <f t="shared" si="51"/>
        <v>0</v>
      </c>
      <c r="P796" s="95">
        <v>45832</v>
      </c>
      <c r="Q796" s="61">
        <f t="shared" si="46"/>
        <v>45832</v>
      </c>
      <c r="R796" s="59"/>
      <c r="S796" s="59" t="s">
        <v>1829</v>
      </c>
      <c r="T796" s="59" t="s">
        <v>972</v>
      </c>
      <c r="U796" s="59" t="s">
        <v>1465</v>
      </c>
      <c r="V796" s="59"/>
      <c r="W796" s="68"/>
      <c r="X796" s="68"/>
      <c r="Y796" s="68"/>
    </row>
    <row r="797" s="17" customFormat="1" hidden="1" customHeight="1" spans="1:25">
      <c r="A797" s="59">
        <v>794</v>
      </c>
      <c r="B797" s="60" t="s">
        <v>1830</v>
      </c>
      <c r="C797" s="61">
        <f t="shared" si="48"/>
        <v>45321</v>
      </c>
      <c r="D797" s="62" t="str">
        <f ca="1" t="shared" si="50"/>
        <v>一年以上</v>
      </c>
      <c r="E797" s="313">
        <v>45321</v>
      </c>
      <c r="F797" s="59" t="s">
        <v>70</v>
      </c>
      <c r="G797" s="59" t="s">
        <v>1817</v>
      </c>
      <c r="H797" s="63" t="s">
        <v>863</v>
      </c>
      <c r="I797" s="63" t="str">
        <f t="shared" si="47"/>
        <v>青海发投碱业有限公司</v>
      </c>
      <c r="J797" s="314">
        <v>17000</v>
      </c>
      <c r="K797" s="59" t="s">
        <v>28</v>
      </c>
      <c r="L797" s="59" t="s">
        <v>73</v>
      </c>
      <c r="M797" s="59" t="s">
        <v>941</v>
      </c>
      <c r="N797" s="315">
        <v>17000</v>
      </c>
      <c r="O797" s="316">
        <f t="shared" si="51"/>
        <v>0</v>
      </c>
      <c r="P797" s="95">
        <v>45530</v>
      </c>
      <c r="Q797" s="61">
        <f t="shared" si="46"/>
        <v>45530</v>
      </c>
      <c r="R797" s="59"/>
      <c r="S797" s="59" t="s">
        <v>1831</v>
      </c>
      <c r="T797" s="59" t="s">
        <v>972</v>
      </c>
      <c r="U797" s="59" t="s">
        <v>1465</v>
      </c>
      <c r="V797" s="59"/>
      <c r="W797" s="68"/>
      <c r="X797" s="68"/>
      <c r="Y797" s="68"/>
    </row>
    <row r="798" s="17" customFormat="1" hidden="1" customHeight="1" spans="1:25">
      <c r="A798" s="59">
        <v>795</v>
      </c>
      <c r="B798" s="60" t="s">
        <v>1832</v>
      </c>
      <c r="C798" s="61">
        <f t="shared" si="48"/>
        <v>45320</v>
      </c>
      <c r="D798" s="62" t="str">
        <f ca="1" t="shared" si="50"/>
        <v>一年以上</v>
      </c>
      <c r="E798" s="313">
        <v>45320</v>
      </c>
      <c r="F798" s="59" t="s">
        <v>130</v>
      </c>
      <c r="G798" s="59" t="s">
        <v>1596</v>
      </c>
      <c r="H798" s="63" t="s">
        <v>863</v>
      </c>
      <c r="I798" s="63" t="str">
        <f t="shared" si="47"/>
        <v>青海发投碱业有限公司</v>
      </c>
      <c r="J798" s="314">
        <v>88500</v>
      </c>
      <c r="K798" s="59" t="s">
        <v>28</v>
      </c>
      <c r="L798" s="59" t="s">
        <v>73</v>
      </c>
      <c r="M798" s="59" t="s">
        <v>133</v>
      </c>
      <c r="N798" s="315">
        <v>88500</v>
      </c>
      <c r="O798" s="316">
        <f t="shared" si="51"/>
        <v>0</v>
      </c>
      <c r="P798" s="95">
        <v>45832</v>
      </c>
      <c r="Q798" s="61">
        <f t="shared" si="46"/>
        <v>45832</v>
      </c>
      <c r="R798" s="59"/>
      <c r="S798" s="59" t="s">
        <v>1833</v>
      </c>
      <c r="T798" s="59" t="s">
        <v>972</v>
      </c>
      <c r="U798" s="59" t="s">
        <v>1465</v>
      </c>
      <c r="V798" s="59"/>
      <c r="W798" s="68"/>
      <c r="X798" s="68"/>
      <c r="Y798" s="68"/>
    </row>
    <row r="799" s="17" customFormat="1" hidden="1" customHeight="1" spans="1:25">
      <c r="A799" s="59">
        <v>796</v>
      </c>
      <c r="B799" s="60" t="s">
        <v>1834</v>
      </c>
      <c r="C799" s="61">
        <f t="shared" si="48"/>
        <v>45320</v>
      </c>
      <c r="D799" s="62" t="str">
        <f ca="1" t="shared" si="50"/>
        <v>一年以上</v>
      </c>
      <c r="E799" s="313">
        <v>45320</v>
      </c>
      <c r="F799" s="59" t="s">
        <v>130</v>
      </c>
      <c r="G799" s="59" t="s">
        <v>1596</v>
      </c>
      <c r="H799" s="63" t="s">
        <v>863</v>
      </c>
      <c r="I799" s="63" t="str">
        <f t="shared" si="47"/>
        <v>青海发投碱业有限公司</v>
      </c>
      <c r="J799" s="314">
        <v>17000</v>
      </c>
      <c r="K799" s="59" t="s">
        <v>28</v>
      </c>
      <c r="L799" s="59" t="s">
        <v>73</v>
      </c>
      <c r="M799" s="59" t="s">
        <v>133</v>
      </c>
      <c r="N799" s="315">
        <v>17000</v>
      </c>
      <c r="O799" s="316">
        <f t="shared" si="51"/>
        <v>0</v>
      </c>
      <c r="P799" s="95">
        <v>45563</v>
      </c>
      <c r="Q799" s="61">
        <f t="shared" si="46"/>
        <v>45563</v>
      </c>
      <c r="R799" s="59"/>
      <c r="S799" s="59" t="s">
        <v>1831</v>
      </c>
      <c r="T799" s="59" t="s">
        <v>972</v>
      </c>
      <c r="U799" s="59" t="s">
        <v>1465</v>
      </c>
      <c r="V799" s="59"/>
      <c r="W799" s="68"/>
      <c r="X799" s="68"/>
      <c r="Y799" s="68"/>
    </row>
    <row r="800" s="17" customFormat="1" hidden="1" customHeight="1" spans="1:25">
      <c r="A800" s="59">
        <v>797</v>
      </c>
      <c r="B800" s="60" t="s">
        <v>1835</v>
      </c>
      <c r="C800" s="61">
        <f t="shared" si="48"/>
        <v>45321</v>
      </c>
      <c r="D800" s="62" t="str">
        <f ca="1" t="shared" si="50"/>
        <v>一年以上</v>
      </c>
      <c r="E800" s="313">
        <v>45321</v>
      </c>
      <c r="F800" s="59" t="s">
        <v>130</v>
      </c>
      <c r="G800" s="59" t="s">
        <v>1596</v>
      </c>
      <c r="H800" s="63" t="s">
        <v>863</v>
      </c>
      <c r="I800" s="63" t="str">
        <f t="shared" si="47"/>
        <v>青海发投碱业有限公司</v>
      </c>
      <c r="J800" s="314">
        <v>29000</v>
      </c>
      <c r="K800" s="59" t="s">
        <v>28</v>
      </c>
      <c r="L800" s="59" t="s">
        <v>73</v>
      </c>
      <c r="M800" s="59" t="s">
        <v>133</v>
      </c>
      <c r="N800" s="315">
        <v>29000</v>
      </c>
      <c r="O800" s="316">
        <f t="shared" si="51"/>
        <v>0</v>
      </c>
      <c r="P800" s="95">
        <v>45624</v>
      </c>
      <c r="Q800" s="61">
        <f t="shared" si="46"/>
        <v>45624</v>
      </c>
      <c r="R800" s="59"/>
      <c r="S800" s="59" t="s">
        <v>1836</v>
      </c>
      <c r="T800" s="59" t="s">
        <v>972</v>
      </c>
      <c r="U800" s="59" t="s">
        <v>1465</v>
      </c>
      <c r="V800" s="59"/>
      <c r="W800" s="68"/>
      <c r="X800" s="68"/>
      <c r="Y800" s="68"/>
    </row>
    <row r="801" s="17" customFormat="1" hidden="1" customHeight="1" spans="1:25">
      <c r="A801" s="59">
        <v>798</v>
      </c>
      <c r="B801" s="60" t="s">
        <v>1837</v>
      </c>
      <c r="C801" s="61">
        <f t="shared" si="48"/>
        <v>45321</v>
      </c>
      <c r="D801" s="62" t="str">
        <f ca="1" t="shared" si="50"/>
        <v>一年以上</v>
      </c>
      <c r="E801" s="313">
        <v>45321</v>
      </c>
      <c r="F801" s="59" t="s">
        <v>70</v>
      </c>
      <c r="G801" s="59" t="s">
        <v>1817</v>
      </c>
      <c r="H801" s="63" t="s">
        <v>863</v>
      </c>
      <c r="I801" s="63" t="str">
        <f t="shared" si="47"/>
        <v>青海发投碱业有限公司</v>
      </c>
      <c r="J801" s="314">
        <v>4450</v>
      </c>
      <c r="K801" s="59" t="s">
        <v>28</v>
      </c>
      <c r="L801" s="59" t="s">
        <v>73</v>
      </c>
      <c r="M801" s="59" t="s">
        <v>941</v>
      </c>
      <c r="N801" s="315">
        <v>4450</v>
      </c>
      <c r="O801" s="316">
        <f t="shared" si="51"/>
        <v>0</v>
      </c>
      <c r="P801" s="95">
        <v>45525</v>
      </c>
      <c r="Q801" s="61">
        <f t="shared" si="46"/>
        <v>45525</v>
      </c>
      <c r="R801" s="59"/>
      <c r="S801" s="59" t="s">
        <v>1838</v>
      </c>
      <c r="T801" s="59" t="s">
        <v>972</v>
      </c>
      <c r="U801" s="59" t="s">
        <v>1465</v>
      </c>
      <c r="V801" s="59"/>
      <c r="W801" s="68"/>
      <c r="X801" s="68"/>
      <c r="Y801" s="68"/>
    </row>
    <row r="802" s="17" customFormat="1" hidden="1" customHeight="1" spans="1:25">
      <c r="A802" s="59">
        <v>799</v>
      </c>
      <c r="B802" s="60" t="s">
        <v>1839</v>
      </c>
      <c r="C802" s="61">
        <f t="shared" si="48"/>
        <v>45299</v>
      </c>
      <c r="D802" s="62" t="str">
        <f ca="1" t="shared" si="50"/>
        <v>一年以上</v>
      </c>
      <c r="E802" s="313">
        <v>45299</v>
      </c>
      <c r="F802" s="59" t="s">
        <v>632</v>
      </c>
      <c r="G802" s="59" t="s">
        <v>450</v>
      </c>
      <c r="H802" s="63" t="s">
        <v>863</v>
      </c>
      <c r="I802" s="63" t="s">
        <v>863</v>
      </c>
      <c r="J802" s="314">
        <v>500</v>
      </c>
      <c r="K802" s="59" t="s">
        <v>28</v>
      </c>
      <c r="L802" s="59" t="s">
        <v>73</v>
      </c>
      <c r="M802" s="59" t="s">
        <v>515</v>
      </c>
      <c r="N802" s="315"/>
      <c r="O802" s="316">
        <f t="shared" si="51"/>
        <v>500</v>
      </c>
      <c r="P802" s="95"/>
      <c r="Q802" s="61">
        <f t="shared" si="46"/>
        <v>0</v>
      </c>
      <c r="R802" s="59"/>
      <c r="S802" s="59" t="s">
        <v>1810</v>
      </c>
      <c r="T802" s="59" t="s">
        <v>972</v>
      </c>
      <c r="U802" s="59" t="s">
        <v>1465</v>
      </c>
      <c r="V802" s="59"/>
      <c r="W802" s="68"/>
      <c r="X802" s="68"/>
      <c r="Y802" s="68"/>
    </row>
    <row r="803" s="17" customFormat="1" hidden="1" customHeight="1" spans="1:25">
      <c r="A803" s="59">
        <v>800</v>
      </c>
      <c r="B803" s="60" t="s">
        <v>1840</v>
      </c>
      <c r="C803" s="61">
        <f t="shared" si="48"/>
        <v>45309</v>
      </c>
      <c r="D803" s="62" t="str">
        <f ca="1" t="shared" si="50"/>
        <v>一年以上</v>
      </c>
      <c r="E803" s="313">
        <v>45309</v>
      </c>
      <c r="F803" s="59" t="s">
        <v>632</v>
      </c>
      <c r="G803" s="59" t="s">
        <v>450</v>
      </c>
      <c r="H803" s="63" t="s">
        <v>863</v>
      </c>
      <c r="I803" s="63" t="s">
        <v>863</v>
      </c>
      <c r="J803" s="314">
        <v>500</v>
      </c>
      <c r="K803" s="59" t="s">
        <v>28</v>
      </c>
      <c r="L803" s="59" t="s">
        <v>73</v>
      </c>
      <c r="M803" s="59" t="s">
        <v>515</v>
      </c>
      <c r="N803" s="315"/>
      <c r="O803" s="316">
        <f t="shared" si="51"/>
        <v>500</v>
      </c>
      <c r="P803" s="95"/>
      <c r="Q803" s="61">
        <f t="shared" si="46"/>
        <v>0</v>
      </c>
      <c r="R803" s="59"/>
      <c r="S803" s="59" t="s">
        <v>1826</v>
      </c>
      <c r="T803" s="59" t="s">
        <v>972</v>
      </c>
      <c r="U803" s="59" t="s">
        <v>1465</v>
      </c>
      <c r="V803" s="59"/>
      <c r="W803" s="68"/>
      <c r="X803" s="68"/>
      <c r="Y803" s="68"/>
    </row>
    <row r="804" s="17" customFormat="1" hidden="1" customHeight="1" spans="1:25">
      <c r="A804" s="59">
        <v>801</v>
      </c>
      <c r="B804" s="60" t="s">
        <v>1841</v>
      </c>
      <c r="C804" s="61">
        <f t="shared" si="48"/>
        <v>45313</v>
      </c>
      <c r="D804" s="62" t="str">
        <f ca="1" t="shared" si="50"/>
        <v>一年以上</v>
      </c>
      <c r="E804" s="313">
        <v>45313</v>
      </c>
      <c r="F804" s="59" t="s">
        <v>632</v>
      </c>
      <c r="G804" s="59" t="s">
        <v>450</v>
      </c>
      <c r="H804" s="63" t="s">
        <v>863</v>
      </c>
      <c r="I804" s="63" t="s">
        <v>863</v>
      </c>
      <c r="J804" s="314">
        <v>500</v>
      </c>
      <c r="K804" s="59" t="s">
        <v>28</v>
      </c>
      <c r="L804" s="59" t="s">
        <v>73</v>
      </c>
      <c r="M804" s="59" t="s">
        <v>515</v>
      </c>
      <c r="N804" s="315"/>
      <c r="O804" s="316">
        <f t="shared" si="51"/>
        <v>500</v>
      </c>
      <c r="P804" s="95"/>
      <c r="Q804" s="61">
        <f t="shared" si="46"/>
        <v>0</v>
      </c>
      <c r="R804" s="59"/>
      <c r="S804" s="59" t="s">
        <v>1842</v>
      </c>
      <c r="T804" s="59" t="s">
        <v>972</v>
      </c>
      <c r="U804" s="59" t="s">
        <v>1465</v>
      </c>
      <c r="V804" s="59"/>
      <c r="W804" s="68"/>
      <c r="X804" s="68"/>
      <c r="Y804" s="68"/>
    </row>
    <row r="805" s="17" customFormat="1" hidden="1" customHeight="1" spans="1:25">
      <c r="A805" s="59">
        <v>802</v>
      </c>
      <c r="B805" s="60" t="s">
        <v>1843</v>
      </c>
      <c r="C805" s="61">
        <f t="shared" si="48"/>
        <v>45322</v>
      </c>
      <c r="D805" s="62" t="str">
        <f ca="1" t="shared" si="50"/>
        <v>一年以上</v>
      </c>
      <c r="E805" s="313">
        <v>45322</v>
      </c>
      <c r="F805" s="59" t="s">
        <v>632</v>
      </c>
      <c r="G805" s="59" t="s">
        <v>450</v>
      </c>
      <c r="H805" s="63" t="s">
        <v>863</v>
      </c>
      <c r="I805" s="63" t="s">
        <v>863</v>
      </c>
      <c r="J805" s="314">
        <v>500</v>
      </c>
      <c r="K805" s="59" t="s">
        <v>28</v>
      </c>
      <c r="L805" s="59" t="s">
        <v>73</v>
      </c>
      <c r="M805" s="59" t="s">
        <v>515</v>
      </c>
      <c r="N805" s="315"/>
      <c r="O805" s="316">
        <f t="shared" si="51"/>
        <v>500</v>
      </c>
      <c r="P805" s="95"/>
      <c r="Q805" s="61">
        <f t="shared" si="46"/>
        <v>0</v>
      </c>
      <c r="R805" s="59"/>
      <c r="S805" s="59" t="s">
        <v>1844</v>
      </c>
      <c r="T805" s="59" t="s">
        <v>972</v>
      </c>
      <c r="U805" s="59" t="s">
        <v>1465</v>
      </c>
      <c r="V805" s="59"/>
      <c r="W805" s="68"/>
      <c r="X805" s="68"/>
      <c r="Y805" s="68"/>
    </row>
    <row r="806" s="17" customFormat="1" hidden="1" customHeight="1" spans="1:25">
      <c r="A806" s="59">
        <v>803</v>
      </c>
      <c r="B806" s="60" t="s">
        <v>1845</v>
      </c>
      <c r="C806" s="61">
        <f t="shared" si="48"/>
        <v>45327</v>
      </c>
      <c r="D806" s="62" t="str">
        <f ca="1" t="shared" si="50"/>
        <v>一年以上</v>
      </c>
      <c r="E806" s="313">
        <v>45327</v>
      </c>
      <c r="F806" s="59" t="s">
        <v>632</v>
      </c>
      <c r="G806" s="59" t="s">
        <v>450</v>
      </c>
      <c r="H806" s="63" t="s">
        <v>863</v>
      </c>
      <c r="I806" s="63" t="s">
        <v>863</v>
      </c>
      <c r="J806" s="314">
        <v>500</v>
      </c>
      <c r="K806" s="59" t="s">
        <v>28</v>
      </c>
      <c r="L806" s="59" t="s">
        <v>73</v>
      </c>
      <c r="M806" s="59" t="s">
        <v>515</v>
      </c>
      <c r="N806" s="315"/>
      <c r="O806" s="316">
        <f t="shared" si="51"/>
        <v>500</v>
      </c>
      <c r="P806" s="95"/>
      <c r="Q806" s="61">
        <f t="shared" si="46"/>
        <v>0</v>
      </c>
      <c r="R806" s="59"/>
      <c r="S806" s="59" t="s">
        <v>1844</v>
      </c>
      <c r="T806" s="59" t="s">
        <v>972</v>
      </c>
      <c r="U806" s="59" t="s">
        <v>1465</v>
      </c>
      <c r="V806" s="59"/>
      <c r="W806" s="68"/>
      <c r="X806" s="68"/>
      <c r="Y806" s="68"/>
    </row>
    <row r="807" s="17" customFormat="1" hidden="1" customHeight="1" spans="1:25">
      <c r="A807" s="59">
        <v>804</v>
      </c>
      <c r="B807" s="60" t="s">
        <v>1846</v>
      </c>
      <c r="C807" s="61">
        <f t="shared" si="48"/>
        <v>45340</v>
      </c>
      <c r="D807" s="62" t="str">
        <f ca="1" t="shared" si="50"/>
        <v>一年以上</v>
      </c>
      <c r="E807" s="313">
        <v>45340</v>
      </c>
      <c r="F807" s="59" t="s">
        <v>632</v>
      </c>
      <c r="G807" s="59" t="s">
        <v>450</v>
      </c>
      <c r="H807" s="63" t="s">
        <v>863</v>
      </c>
      <c r="I807" s="63" t="str">
        <f>H807</f>
        <v>青海发投碱业有限公司</v>
      </c>
      <c r="J807" s="314">
        <v>20000</v>
      </c>
      <c r="K807" s="59" t="s">
        <v>28</v>
      </c>
      <c r="L807" s="59" t="s">
        <v>73</v>
      </c>
      <c r="M807" s="59" t="s">
        <v>30</v>
      </c>
      <c r="N807" s="315">
        <v>20000</v>
      </c>
      <c r="O807" s="316">
        <f t="shared" si="51"/>
        <v>0</v>
      </c>
      <c r="P807" s="95">
        <v>45405</v>
      </c>
      <c r="Q807" s="61">
        <f t="shared" si="46"/>
        <v>45405</v>
      </c>
      <c r="R807" s="59"/>
      <c r="S807" s="59" t="s">
        <v>1844</v>
      </c>
      <c r="T807" s="59" t="s">
        <v>972</v>
      </c>
      <c r="U807" s="59" t="s">
        <v>1465</v>
      </c>
      <c r="V807" s="59"/>
      <c r="W807" s="68"/>
      <c r="X807" s="68"/>
      <c r="Y807" s="68"/>
    </row>
    <row r="808" s="17" customFormat="1" ht="31" hidden="1" customHeight="1" spans="1:25">
      <c r="A808" s="59">
        <v>805</v>
      </c>
      <c r="B808" s="60" t="s">
        <v>1847</v>
      </c>
      <c r="C808" s="61">
        <f t="shared" si="48"/>
        <v>45327</v>
      </c>
      <c r="D808" s="62" t="str">
        <f ca="1" t="shared" si="50"/>
        <v>一年以上</v>
      </c>
      <c r="E808" s="313">
        <v>45327</v>
      </c>
      <c r="F808" s="59" t="s">
        <v>632</v>
      </c>
      <c r="G808" s="59" t="s">
        <v>450</v>
      </c>
      <c r="H808" s="63" t="s">
        <v>863</v>
      </c>
      <c r="I808" s="63" t="s">
        <v>1848</v>
      </c>
      <c r="J808" s="314">
        <v>20000</v>
      </c>
      <c r="K808" s="59" t="s">
        <v>28</v>
      </c>
      <c r="L808" s="59" t="s">
        <v>73</v>
      </c>
      <c r="M808" s="59" t="s">
        <v>30</v>
      </c>
      <c r="N808" s="315">
        <v>20000</v>
      </c>
      <c r="O808" s="316">
        <f t="shared" si="51"/>
        <v>0</v>
      </c>
      <c r="P808" s="95">
        <v>45909</v>
      </c>
      <c r="Q808" s="61">
        <f t="shared" si="46"/>
        <v>45909</v>
      </c>
      <c r="R808" s="59" t="s">
        <v>1849</v>
      </c>
      <c r="S808" s="59" t="s">
        <v>1844</v>
      </c>
      <c r="T808" s="59" t="s">
        <v>972</v>
      </c>
      <c r="U808" s="59" t="s">
        <v>1465</v>
      </c>
      <c r="V808" s="59" t="s">
        <v>1850</v>
      </c>
      <c r="W808" s="68"/>
      <c r="X808" s="68"/>
      <c r="Y808" s="68"/>
    </row>
    <row r="809" s="17" customFormat="1" hidden="1" customHeight="1" spans="1:25">
      <c r="A809" s="59">
        <v>806</v>
      </c>
      <c r="B809" s="60" t="s">
        <v>1851</v>
      </c>
      <c r="C809" s="61">
        <f t="shared" si="48"/>
        <v>45340</v>
      </c>
      <c r="D809" s="62" t="str">
        <f ca="1" t="shared" si="50"/>
        <v>一年以上</v>
      </c>
      <c r="E809" s="313">
        <v>45340</v>
      </c>
      <c r="F809" s="59" t="s">
        <v>70</v>
      </c>
      <c r="G809" s="59" t="s">
        <v>1817</v>
      </c>
      <c r="H809" s="63" t="s">
        <v>1852</v>
      </c>
      <c r="I809" s="63" t="str">
        <f t="shared" ref="I809:I815" si="52">H809</f>
        <v>蕉岭县龙腾旋窑水泥有限公司</v>
      </c>
      <c r="J809" s="314">
        <v>1000</v>
      </c>
      <c r="K809" s="59" t="s">
        <v>28</v>
      </c>
      <c r="L809" s="59" t="s">
        <v>73</v>
      </c>
      <c r="M809" s="59" t="s">
        <v>65</v>
      </c>
      <c r="N809" s="315">
        <v>1000</v>
      </c>
      <c r="O809" s="316">
        <f t="shared" si="51"/>
        <v>0</v>
      </c>
      <c r="P809" s="95">
        <v>45343</v>
      </c>
      <c r="Q809" s="61">
        <f t="shared" si="46"/>
        <v>45343</v>
      </c>
      <c r="R809" s="59" t="s">
        <v>1853</v>
      </c>
      <c r="S809" s="59" t="s">
        <v>1854</v>
      </c>
      <c r="T809" s="59"/>
      <c r="U809" s="59"/>
      <c r="V809" s="59"/>
      <c r="W809" s="68"/>
      <c r="X809" s="68"/>
      <c r="Y809" s="68"/>
    </row>
    <row r="810" s="17" customFormat="1" hidden="1" customHeight="1" spans="1:25">
      <c r="A810" s="59">
        <v>807</v>
      </c>
      <c r="B810" s="60" t="s">
        <v>1855</v>
      </c>
      <c r="C810" s="61">
        <f t="shared" si="48"/>
        <v>45341</v>
      </c>
      <c r="D810" s="62" t="str">
        <f ca="1" t="shared" si="50"/>
        <v>一年以上</v>
      </c>
      <c r="E810" s="313">
        <v>45341</v>
      </c>
      <c r="F810" s="59" t="s">
        <v>70</v>
      </c>
      <c r="G810" s="59" t="s">
        <v>1817</v>
      </c>
      <c r="H810" s="63" t="s">
        <v>863</v>
      </c>
      <c r="I810" s="63" t="str">
        <f t="shared" si="52"/>
        <v>青海发投碱业有限公司</v>
      </c>
      <c r="J810" s="314">
        <v>13500</v>
      </c>
      <c r="K810" s="59" t="s">
        <v>28</v>
      </c>
      <c r="L810" s="59" t="s">
        <v>73</v>
      </c>
      <c r="M810" s="59" t="s">
        <v>941</v>
      </c>
      <c r="N810" s="315">
        <v>13500</v>
      </c>
      <c r="O810" s="316">
        <f t="shared" si="51"/>
        <v>0</v>
      </c>
      <c r="P810" s="95">
        <v>45530</v>
      </c>
      <c r="Q810" s="61">
        <f t="shared" si="46"/>
        <v>45530</v>
      </c>
      <c r="R810" s="59"/>
      <c r="S810" s="59" t="s">
        <v>1471</v>
      </c>
      <c r="T810" s="59" t="s">
        <v>972</v>
      </c>
      <c r="U810" s="59" t="s">
        <v>1465</v>
      </c>
      <c r="V810" s="59"/>
      <c r="W810" s="68"/>
      <c r="X810" s="68"/>
      <c r="Y810" s="68"/>
    </row>
    <row r="811" s="17" customFormat="1" hidden="1" customHeight="1" spans="1:25">
      <c r="A811" s="59">
        <v>808</v>
      </c>
      <c r="B811" s="60" t="s">
        <v>1856</v>
      </c>
      <c r="C811" s="61">
        <f t="shared" si="48"/>
        <v>45355</v>
      </c>
      <c r="D811" s="62" t="str">
        <f ca="1" t="shared" si="50"/>
        <v>一年以上</v>
      </c>
      <c r="E811" s="313">
        <v>45355</v>
      </c>
      <c r="F811" s="59" t="s">
        <v>70</v>
      </c>
      <c r="G811" s="59" t="s">
        <v>1817</v>
      </c>
      <c r="H811" s="63" t="s">
        <v>863</v>
      </c>
      <c r="I811" s="63" t="str">
        <f t="shared" si="52"/>
        <v>青海发投碱业有限公司</v>
      </c>
      <c r="J811" s="314">
        <v>8000</v>
      </c>
      <c r="K811" s="59" t="s">
        <v>28</v>
      </c>
      <c r="L811" s="59" t="s">
        <v>73</v>
      </c>
      <c r="M811" s="59" t="s">
        <v>941</v>
      </c>
      <c r="N811" s="315">
        <v>8000</v>
      </c>
      <c r="O811" s="316">
        <f t="shared" si="51"/>
        <v>0</v>
      </c>
      <c r="P811" s="95">
        <v>45525</v>
      </c>
      <c r="Q811" s="61">
        <f t="shared" si="46"/>
        <v>45525</v>
      </c>
      <c r="R811" s="59"/>
      <c r="S811" s="59" t="s">
        <v>1517</v>
      </c>
      <c r="T811" s="59" t="s">
        <v>972</v>
      </c>
      <c r="U811" s="59" t="s">
        <v>1465</v>
      </c>
      <c r="V811" s="59"/>
      <c r="W811" s="68"/>
      <c r="X811" s="68"/>
      <c r="Y811" s="68"/>
    </row>
    <row r="812" s="17" customFormat="1" hidden="1" customHeight="1" spans="1:25">
      <c r="A812" s="59">
        <v>809</v>
      </c>
      <c r="B812" s="60" t="s">
        <v>1857</v>
      </c>
      <c r="C812" s="61">
        <f t="shared" si="48"/>
        <v>45355</v>
      </c>
      <c r="D812" s="62" t="str">
        <f ca="1" t="shared" si="50"/>
        <v>一年以上</v>
      </c>
      <c r="E812" s="313">
        <v>45355</v>
      </c>
      <c r="F812" s="59" t="s">
        <v>70</v>
      </c>
      <c r="G812" s="59" t="s">
        <v>1817</v>
      </c>
      <c r="H812" s="63" t="s">
        <v>863</v>
      </c>
      <c r="I812" s="63" t="str">
        <f t="shared" si="52"/>
        <v>青海发投碱业有限公司</v>
      </c>
      <c r="J812" s="314">
        <v>9250</v>
      </c>
      <c r="K812" s="59" t="s">
        <v>28</v>
      </c>
      <c r="L812" s="59" t="s">
        <v>73</v>
      </c>
      <c r="M812" s="59" t="s">
        <v>941</v>
      </c>
      <c r="N812" s="315">
        <v>9250</v>
      </c>
      <c r="O812" s="316">
        <f t="shared" si="51"/>
        <v>0</v>
      </c>
      <c r="P812" s="95">
        <v>45525</v>
      </c>
      <c r="Q812" s="61">
        <f t="shared" si="46"/>
        <v>45525</v>
      </c>
      <c r="R812" s="59"/>
      <c r="S812" s="59" t="s">
        <v>1858</v>
      </c>
      <c r="T812" s="59" t="s">
        <v>972</v>
      </c>
      <c r="U812" s="59" t="s">
        <v>1465</v>
      </c>
      <c r="V812" s="59"/>
      <c r="W812" s="68"/>
      <c r="X812" s="68"/>
      <c r="Y812" s="68"/>
    </row>
    <row r="813" s="17" customFormat="1" hidden="1" customHeight="1" spans="1:25">
      <c r="A813" s="59">
        <v>810</v>
      </c>
      <c r="B813" s="60" t="s">
        <v>1859</v>
      </c>
      <c r="C813" s="61">
        <f t="shared" si="48"/>
        <v>45342</v>
      </c>
      <c r="D813" s="62" t="str">
        <f ca="1" t="shared" si="50"/>
        <v>一年以上</v>
      </c>
      <c r="E813" s="313">
        <v>45342</v>
      </c>
      <c r="F813" s="59" t="s">
        <v>130</v>
      </c>
      <c r="G813" s="59" t="s">
        <v>1596</v>
      </c>
      <c r="H813" s="63" t="s">
        <v>863</v>
      </c>
      <c r="I813" s="63" t="str">
        <f t="shared" si="52"/>
        <v>青海发投碱业有限公司</v>
      </c>
      <c r="J813" s="314">
        <v>13500</v>
      </c>
      <c r="K813" s="59" t="s">
        <v>28</v>
      </c>
      <c r="L813" s="59" t="s">
        <v>73</v>
      </c>
      <c r="M813" s="59" t="s">
        <v>133</v>
      </c>
      <c r="N813" s="315">
        <v>13500</v>
      </c>
      <c r="O813" s="316">
        <f t="shared" si="51"/>
        <v>0</v>
      </c>
      <c r="P813" s="95">
        <v>45563</v>
      </c>
      <c r="Q813" s="61">
        <f t="shared" si="46"/>
        <v>45563</v>
      </c>
      <c r="R813" s="59"/>
      <c r="S813" s="59" t="s">
        <v>1471</v>
      </c>
      <c r="T813" s="59" t="s">
        <v>972</v>
      </c>
      <c r="U813" s="59" t="s">
        <v>1465</v>
      </c>
      <c r="V813" s="59"/>
      <c r="W813" s="68"/>
      <c r="X813" s="68"/>
      <c r="Y813" s="68"/>
    </row>
    <row r="814" s="17" customFormat="1" hidden="1" customHeight="1" spans="1:25">
      <c r="A814" s="59">
        <v>811</v>
      </c>
      <c r="B814" s="60" t="s">
        <v>1860</v>
      </c>
      <c r="C814" s="61">
        <f t="shared" si="48"/>
        <v>45343</v>
      </c>
      <c r="D814" s="62" t="str">
        <f ca="1" t="shared" si="50"/>
        <v>一年以上</v>
      </c>
      <c r="E814" s="313">
        <v>45343</v>
      </c>
      <c r="F814" s="59" t="s">
        <v>70</v>
      </c>
      <c r="G814" s="59" t="s">
        <v>1817</v>
      </c>
      <c r="H814" s="63" t="s">
        <v>863</v>
      </c>
      <c r="I814" s="63" t="str">
        <f t="shared" si="52"/>
        <v>青海发投碱业有限公司</v>
      </c>
      <c r="J814" s="314">
        <v>20500</v>
      </c>
      <c r="K814" s="59" t="s">
        <v>28</v>
      </c>
      <c r="L814" s="59" t="s">
        <v>73</v>
      </c>
      <c r="M814" s="59" t="s">
        <v>941</v>
      </c>
      <c r="N814" s="315">
        <v>20500</v>
      </c>
      <c r="O814" s="316">
        <f t="shared" si="51"/>
        <v>0</v>
      </c>
      <c r="P814" s="95">
        <v>45530</v>
      </c>
      <c r="Q814" s="61">
        <f t="shared" si="46"/>
        <v>45530</v>
      </c>
      <c r="R814" s="59"/>
      <c r="S814" s="59" t="s">
        <v>1861</v>
      </c>
      <c r="T814" s="59" t="s">
        <v>972</v>
      </c>
      <c r="U814" s="59" t="s">
        <v>1465</v>
      </c>
      <c r="V814" s="59"/>
      <c r="W814" s="68"/>
      <c r="X814" s="68"/>
      <c r="Y814" s="68"/>
    </row>
    <row r="815" s="17" customFormat="1" hidden="1" customHeight="1" spans="1:25">
      <c r="A815" s="59">
        <v>812</v>
      </c>
      <c r="B815" s="60" t="s">
        <v>1862</v>
      </c>
      <c r="C815" s="61">
        <f t="shared" si="48"/>
        <v>45342</v>
      </c>
      <c r="D815" s="62" t="str">
        <f ca="1" t="shared" si="50"/>
        <v>一年以上</v>
      </c>
      <c r="E815" s="313">
        <v>45342</v>
      </c>
      <c r="F815" s="59" t="s">
        <v>130</v>
      </c>
      <c r="G815" s="59" t="s">
        <v>1596</v>
      </c>
      <c r="H815" s="63" t="s">
        <v>863</v>
      </c>
      <c r="I815" s="63" t="str">
        <f t="shared" si="52"/>
        <v>青海发投碱业有限公司</v>
      </c>
      <c r="J815" s="314">
        <v>20500</v>
      </c>
      <c r="K815" s="59" t="s">
        <v>28</v>
      </c>
      <c r="L815" s="59" t="s">
        <v>73</v>
      </c>
      <c r="M815" s="59" t="s">
        <v>133</v>
      </c>
      <c r="N815" s="315">
        <v>20500</v>
      </c>
      <c r="O815" s="316">
        <f t="shared" si="51"/>
        <v>0</v>
      </c>
      <c r="P815" s="95">
        <v>45530</v>
      </c>
      <c r="Q815" s="61">
        <f t="shared" si="46"/>
        <v>45530</v>
      </c>
      <c r="R815" s="59"/>
      <c r="S815" s="59" t="s">
        <v>1861</v>
      </c>
      <c r="T815" s="59" t="s">
        <v>972</v>
      </c>
      <c r="U815" s="59" t="s">
        <v>1465</v>
      </c>
      <c r="V815" s="59"/>
      <c r="W815" s="68"/>
      <c r="X815" s="68"/>
      <c r="Y815" s="68"/>
    </row>
    <row r="816" s="17" customFormat="1" hidden="1" customHeight="1" spans="1:25">
      <c r="A816" s="59">
        <v>813</v>
      </c>
      <c r="B816" s="60" t="s">
        <v>1863</v>
      </c>
      <c r="C816" s="61">
        <f t="shared" si="48"/>
        <v>45345</v>
      </c>
      <c r="D816" s="62" t="str">
        <f ca="1" t="shared" si="50"/>
        <v>一年以上</v>
      </c>
      <c r="E816" s="313">
        <v>45345</v>
      </c>
      <c r="F816" s="59" t="s">
        <v>70</v>
      </c>
      <c r="G816" s="59" t="s">
        <v>1817</v>
      </c>
      <c r="H816" s="63" t="s">
        <v>1864</v>
      </c>
      <c r="I816" s="63" t="s">
        <v>863</v>
      </c>
      <c r="J816" s="314">
        <v>88500</v>
      </c>
      <c r="K816" s="59" t="s">
        <v>28</v>
      </c>
      <c r="L816" s="59" t="s">
        <v>73</v>
      </c>
      <c r="M816" s="59" t="s">
        <v>941</v>
      </c>
      <c r="N816" s="315">
        <v>88500</v>
      </c>
      <c r="O816" s="316">
        <f t="shared" si="51"/>
        <v>0</v>
      </c>
      <c r="P816" s="95">
        <v>45345</v>
      </c>
      <c r="Q816" s="61">
        <f t="shared" si="46"/>
        <v>45345</v>
      </c>
      <c r="R816" s="59" t="s">
        <v>1865</v>
      </c>
      <c r="S816" s="59" t="s">
        <v>1833</v>
      </c>
      <c r="T816" s="59" t="s">
        <v>972</v>
      </c>
      <c r="U816" s="59" t="s">
        <v>1465</v>
      </c>
      <c r="V816" s="59"/>
      <c r="W816" s="68"/>
      <c r="X816" s="68"/>
      <c r="Y816" s="68"/>
    </row>
    <row r="817" s="17" customFormat="1" hidden="1" customHeight="1" spans="1:25">
      <c r="A817" s="59">
        <v>814</v>
      </c>
      <c r="B817" s="60" t="s">
        <v>1866</v>
      </c>
      <c r="C817" s="61">
        <f t="shared" si="48"/>
        <v>45345</v>
      </c>
      <c r="D817" s="62" t="str">
        <f ca="1" t="shared" si="50"/>
        <v>一年以上</v>
      </c>
      <c r="E817" s="313">
        <v>45345</v>
      </c>
      <c r="F817" s="59" t="s">
        <v>70</v>
      </c>
      <c r="G817" s="59" t="s">
        <v>1817</v>
      </c>
      <c r="H817" s="63" t="s">
        <v>663</v>
      </c>
      <c r="I817" s="63" t="str">
        <f t="shared" ref="I817:I831" si="53">H817</f>
        <v>新疆伊犁钢铁有限责任公司</v>
      </c>
      <c r="J817" s="314">
        <v>27200</v>
      </c>
      <c r="K817" s="59" t="s">
        <v>28</v>
      </c>
      <c r="L817" s="59" t="s">
        <v>73</v>
      </c>
      <c r="M817" s="59" t="s">
        <v>941</v>
      </c>
      <c r="N817" s="315"/>
      <c r="O817" s="316">
        <f t="shared" si="51"/>
        <v>27200</v>
      </c>
      <c r="P817" s="95"/>
      <c r="Q817" s="61">
        <f t="shared" si="46"/>
        <v>0</v>
      </c>
      <c r="R817" s="59"/>
      <c r="S817" s="59" t="s">
        <v>1867</v>
      </c>
      <c r="T817" s="59"/>
      <c r="U817" s="59"/>
      <c r="V817" s="59"/>
      <c r="W817" s="68"/>
      <c r="X817" s="68"/>
      <c r="Y817" s="68"/>
    </row>
    <row r="818" s="17" customFormat="1" hidden="1" customHeight="1" spans="1:25">
      <c r="A818" s="59">
        <v>815</v>
      </c>
      <c r="B818" s="60" t="s">
        <v>1868</v>
      </c>
      <c r="C818" s="61">
        <f t="shared" si="48"/>
        <v>45355</v>
      </c>
      <c r="D818" s="62" t="str">
        <f ca="1" t="shared" si="50"/>
        <v>一年以上</v>
      </c>
      <c r="E818" s="313">
        <v>45355</v>
      </c>
      <c r="F818" s="59" t="s">
        <v>632</v>
      </c>
      <c r="G818" s="59" t="s">
        <v>450</v>
      </c>
      <c r="H818" s="63" t="s">
        <v>1318</v>
      </c>
      <c r="I818" s="63" t="str">
        <f t="shared" si="53"/>
        <v>福建安砂建福水泥有限公司</v>
      </c>
      <c r="J818" s="314">
        <v>5000</v>
      </c>
      <c r="K818" s="59" t="s">
        <v>28</v>
      </c>
      <c r="L818" s="59" t="s">
        <v>73</v>
      </c>
      <c r="M818" s="59" t="s">
        <v>30</v>
      </c>
      <c r="N818" s="315">
        <v>5000</v>
      </c>
      <c r="O818" s="316">
        <f t="shared" si="51"/>
        <v>0</v>
      </c>
      <c r="P818" s="95">
        <v>45379</v>
      </c>
      <c r="Q818" s="61">
        <f t="shared" si="46"/>
        <v>45379</v>
      </c>
      <c r="R818" s="59"/>
      <c r="S818" s="59" t="s">
        <v>1869</v>
      </c>
      <c r="T818" s="59"/>
      <c r="U818" s="59"/>
      <c r="V818" s="59"/>
      <c r="W818" s="68"/>
      <c r="X818" s="68"/>
      <c r="Y818" s="68"/>
    </row>
    <row r="819" s="17" customFormat="1" hidden="1" customHeight="1" spans="1:25">
      <c r="A819" s="59">
        <v>816</v>
      </c>
      <c r="B819" s="60" t="s">
        <v>1870</v>
      </c>
      <c r="C819" s="61">
        <f t="shared" si="48"/>
        <v>45350</v>
      </c>
      <c r="D819" s="62" t="str">
        <f ca="1" t="shared" si="50"/>
        <v>一年以上</v>
      </c>
      <c r="E819" s="313">
        <v>45350</v>
      </c>
      <c r="F819" s="59" t="s">
        <v>130</v>
      </c>
      <c r="G819" s="59" t="s">
        <v>1596</v>
      </c>
      <c r="H819" s="63" t="s">
        <v>863</v>
      </c>
      <c r="I819" s="63" t="str">
        <f t="shared" si="53"/>
        <v>青海发投碱业有限公司</v>
      </c>
      <c r="J819" s="314">
        <v>9250</v>
      </c>
      <c r="K819" s="59" t="s">
        <v>28</v>
      </c>
      <c r="L819" s="59" t="s">
        <v>73</v>
      </c>
      <c r="M819" s="59" t="s">
        <v>133</v>
      </c>
      <c r="N819" s="315">
        <v>9250</v>
      </c>
      <c r="O819" s="316">
        <f t="shared" si="51"/>
        <v>0</v>
      </c>
      <c r="P819" s="95">
        <v>45525</v>
      </c>
      <c r="Q819" s="61">
        <f t="shared" si="46"/>
        <v>45525</v>
      </c>
      <c r="R819" s="59"/>
      <c r="S819" s="59" t="s">
        <v>1871</v>
      </c>
      <c r="T819" s="59" t="s">
        <v>972</v>
      </c>
      <c r="U819" s="59" t="s">
        <v>1465</v>
      </c>
      <c r="V819" s="59"/>
      <c r="W819" s="68"/>
      <c r="X819" s="68"/>
      <c r="Y819" s="68"/>
    </row>
    <row r="820" s="17" customFormat="1" hidden="1" customHeight="1" spans="1:25">
      <c r="A820" s="59">
        <v>817</v>
      </c>
      <c r="B820" s="60" t="s">
        <v>1872</v>
      </c>
      <c r="C820" s="61">
        <f t="shared" si="48"/>
        <v>45350</v>
      </c>
      <c r="D820" s="62" t="str">
        <f ca="1" t="shared" si="50"/>
        <v>一年以上</v>
      </c>
      <c r="E820" s="313">
        <v>45350</v>
      </c>
      <c r="F820" s="59" t="s">
        <v>130</v>
      </c>
      <c r="G820" s="59" t="s">
        <v>1596</v>
      </c>
      <c r="H820" s="63" t="s">
        <v>863</v>
      </c>
      <c r="I820" s="63" t="str">
        <f t="shared" si="53"/>
        <v>青海发投碱业有限公司</v>
      </c>
      <c r="J820" s="314">
        <v>8000</v>
      </c>
      <c r="K820" s="59" t="s">
        <v>28</v>
      </c>
      <c r="L820" s="59" t="s">
        <v>73</v>
      </c>
      <c r="M820" s="59" t="s">
        <v>133</v>
      </c>
      <c r="N820" s="315">
        <v>8000</v>
      </c>
      <c r="O820" s="316">
        <f t="shared" si="51"/>
        <v>0</v>
      </c>
      <c r="P820" s="95">
        <v>45525</v>
      </c>
      <c r="Q820" s="61">
        <f t="shared" ref="Q820:Q849" si="54">P820</f>
        <v>45525</v>
      </c>
      <c r="R820" s="59"/>
      <c r="S820" s="59" t="s">
        <v>1873</v>
      </c>
      <c r="T820" s="59" t="s">
        <v>972</v>
      </c>
      <c r="U820" s="59" t="s">
        <v>1465</v>
      </c>
      <c r="V820" s="59"/>
      <c r="W820" s="68"/>
      <c r="X820" s="68"/>
      <c r="Y820" s="68"/>
    </row>
    <row r="821" s="17" customFormat="1" hidden="1" customHeight="1" spans="1:25">
      <c r="A821" s="59">
        <v>818</v>
      </c>
      <c r="B821" s="60" t="s">
        <v>1874</v>
      </c>
      <c r="C821" s="61">
        <f t="shared" si="48"/>
        <v>45351</v>
      </c>
      <c r="D821" s="62" t="str">
        <f ca="1" t="shared" si="50"/>
        <v>一年以上</v>
      </c>
      <c r="E821" s="313">
        <v>45351</v>
      </c>
      <c r="F821" s="59" t="s">
        <v>1875</v>
      </c>
      <c r="G821" s="59" t="s">
        <v>1876</v>
      </c>
      <c r="H821" s="63" t="s">
        <v>863</v>
      </c>
      <c r="I821" s="63" t="str">
        <f t="shared" si="53"/>
        <v>青海发投碱业有限公司</v>
      </c>
      <c r="J821" s="314">
        <v>17000</v>
      </c>
      <c r="K821" s="59" t="s">
        <v>28</v>
      </c>
      <c r="L821" s="59" t="s">
        <v>73</v>
      </c>
      <c r="M821" s="59" t="s">
        <v>65</v>
      </c>
      <c r="N821" s="315">
        <v>17000</v>
      </c>
      <c r="O821" s="316">
        <f t="shared" si="51"/>
        <v>0</v>
      </c>
      <c r="P821" s="95">
        <v>45530</v>
      </c>
      <c r="Q821" s="61">
        <f t="shared" si="54"/>
        <v>45530</v>
      </c>
      <c r="R821" s="59"/>
      <c r="S821" s="59" t="s">
        <v>1831</v>
      </c>
      <c r="T821" s="59" t="s">
        <v>972</v>
      </c>
      <c r="U821" s="59" t="s">
        <v>1465</v>
      </c>
      <c r="V821" s="59"/>
      <c r="W821" s="68"/>
      <c r="X821" s="68"/>
      <c r="Y821" s="68"/>
    </row>
    <row r="822" s="17" customFormat="1" hidden="1" customHeight="1" spans="1:25">
      <c r="A822" s="59">
        <v>819</v>
      </c>
      <c r="B822" s="60" t="s">
        <v>1877</v>
      </c>
      <c r="C822" s="61">
        <f t="shared" si="48"/>
        <v>45351</v>
      </c>
      <c r="D822" s="62" t="str">
        <f ca="1" t="shared" si="50"/>
        <v>一年以上</v>
      </c>
      <c r="E822" s="313">
        <v>45351</v>
      </c>
      <c r="F822" s="59" t="s">
        <v>1875</v>
      </c>
      <c r="G822" s="59" t="s">
        <v>1876</v>
      </c>
      <c r="H822" s="63" t="s">
        <v>863</v>
      </c>
      <c r="I822" s="63" t="str">
        <f t="shared" si="53"/>
        <v>青海发投碱业有限公司</v>
      </c>
      <c r="J822" s="314">
        <v>29000</v>
      </c>
      <c r="K822" s="59" t="s">
        <v>28</v>
      </c>
      <c r="L822" s="59" t="s">
        <v>73</v>
      </c>
      <c r="M822" s="59" t="s">
        <v>65</v>
      </c>
      <c r="N822" s="315">
        <v>29000</v>
      </c>
      <c r="O822" s="316">
        <f t="shared" si="51"/>
        <v>0</v>
      </c>
      <c r="P822" s="95">
        <v>45831</v>
      </c>
      <c r="Q822" s="61">
        <f t="shared" si="54"/>
        <v>45831</v>
      </c>
      <c r="R822" s="59"/>
      <c r="S822" s="59" t="s">
        <v>1836</v>
      </c>
      <c r="T822" s="59" t="s">
        <v>972</v>
      </c>
      <c r="U822" s="59" t="s">
        <v>1465</v>
      </c>
      <c r="V822" s="59"/>
      <c r="W822" s="68"/>
      <c r="X822" s="68"/>
      <c r="Y822" s="68"/>
    </row>
    <row r="823" s="17" customFormat="1" hidden="1" customHeight="1" spans="1:25">
      <c r="A823" s="59">
        <v>820</v>
      </c>
      <c r="B823" s="60" t="s">
        <v>1878</v>
      </c>
      <c r="C823" s="61">
        <f t="shared" si="48"/>
        <v>45355</v>
      </c>
      <c r="D823" s="62" t="str">
        <f ca="1" t="shared" si="50"/>
        <v>一年以上</v>
      </c>
      <c r="E823" s="313">
        <v>45355</v>
      </c>
      <c r="F823" s="59" t="s">
        <v>1875</v>
      </c>
      <c r="G823" s="59" t="s">
        <v>1876</v>
      </c>
      <c r="H823" s="63" t="s">
        <v>222</v>
      </c>
      <c r="I823" s="63" t="str">
        <f t="shared" si="53"/>
        <v>天瑞新登郑州水泥有限公司</v>
      </c>
      <c r="J823" s="314">
        <v>2000</v>
      </c>
      <c r="K823" s="59" t="s">
        <v>28</v>
      </c>
      <c r="L823" s="59" t="s">
        <v>57</v>
      </c>
      <c r="M823" s="59" t="s">
        <v>65</v>
      </c>
      <c r="N823" s="315">
        <v>2000</v>
      </c>
      <c r="O823" s="316">
        <f t="shared" si="51"/>
        <v>0</v>
      </c>
      <c r="P823" s="95">
        <v>45395</v>
      </c>
      <c r="Q823" s="61">
        <f t="shared" si="54"/>
        <v>45395</v>
      </c>
      <c r="R823" s="59" t="s">
        <v>1853</v>
      </c>
      <c r="S823" s="59" t="s">
        <v>1879</v>
      </c>
      <c r="T823" s="59"/>
      <c r="U823" s="59"/>
      <c r="V823" s="59"/>
      <c r="W823" s="68"/>
      <c r="X823" s="68"/>
      <c r="Y823" s="68"/>
    </row>
    <row r="824" s="17" customFormat="1" hidden="1" customHeight="1" spans="1:25">
      <c r="A824" s="59">
        <v>821</v>
      </c>
      <c r="B824" s="60" t="s">
        <v>1880</v>
      </c>
      <c r="C824" s="61">
        <f t="shared" si="48"/>
        <v>45356</v>
      </c>
      <c r="D824" s="62" t="str">
        <f ca="1" t="shared" si="50"/>
        <v>一年以上</v>
      </c>
      <c r="E824" s="313">
        <v>45356</v>
      </c>
      <c r="F824" s="59" t="s">
        <v>1875</v>
      </c>
      <c r="G824" s="59" t="s">
        <v>1876</v>
      </c>
      <c r="H824" s="63" t="s">
        <v>138</v>
      </c>
      <c r="I824" s="63" t="str">
        <f t="shared" si="53"/>
        <v>云南昆钢嘉华水泥建材有限公司</v>
      </c>
      <c r="J824" s="314">
        <v>3500</v>
      </c>
      <c r="K824" s="59" t="s">
        <v>28</v>
      </c>
      <c r="L824" s="59" t="s">
        <v>73</v>
      </c>
      <c r="M824" s="59" t="s">
        <v>65</v>
      </c>
      <c r="N824" s="315">
        <v>3500</v>
      </c>
      <c r="O824" s="316">
        <f t="shared" si="51"/>
        <v>0</v>
      </c>
      <c r="P824" s="95">
        <v>45401</v>
      </c>
      <c r="Q824" s="61">
        <f t="shared" si="54"/>
        <v>45401</v>
      </c>
      <c r="R824" s="59"/>
      <c r="S824" s="59" t="s">
        <v>1881</v>
      </c>
      <c r="T824" s="59"/>
      <c r="U824" s="59"/>
      <c r="V824" s="59"/>
      <c r="W824" s="68"/>
      <c r="X824" s="68"/>
      <c r="Y824" s="68"/>
    </row>
    <row r="825" s="17" customFormat="1" hidden="1" customHeight="1" spans="1:25">
      <c r="A825" s="59">
        <v>822</v>
      </c>
      <c r="B825" s="60" t="s">
        <v>1882</v>
      </c>
      <c r="C825" s="61">
        <f t="shared" si="48"/>
        <v>45358</v>
      </c>
      <c r="D825" s="62" t="str">
        <f ca="1" t="shared" si="50"/>
        <v>一年以上</v>
      </c>
      <c r="E825" s="313">
        <v>45358</v>
      </c>
      <c r="F825" s="59" t="s">
        <v>130</v>
      </c>
      <c r="G825" s="59" t="s">
        <v>1596</v>
      </c>
      <c r="H825" s="63" t="s">
        <v>863</v>
      </c>
      <c r="I825" s="63" t="str">
        <f t="shared" si="53"/>
        <v>青海发投碱业有限公司</v>
      </c>
      <c r="J825" s="314">
        <v>13000</v>
      </c>
      <c r="K825" s="59" t="s">
        <v>28</v>
      </c>
      <c r="L825" s="59" t="s">
        <v>73</v>
      </c>
      <c r="M825" s="59" t="s">
        <v>133</v>
      </c>
      <c r="N825" s="315">
        <v>13000</v>
      </c>
      <c r="O825" s="316">
        <f t="shared" si="51"/>
        <v>0</v>
      </c>
      <c r="P825" s="95">
        <v>45563</v>
      </c>
      <c r="Q825" s="61">
        <f t="shared" si="54"/>
        <v>45563</v>
      </c>
      <c r="R825" s="59"/>
      <c r="S825" s="59" t="s">
        <v>1883</v>
      </c>
      <c r="T825" s="59" t="s">
        <v>972</v>
      </c>
      <c r="U825" s="59" t="s">
        <v>1465</v>
      </c>
      <c r="V825" s="59"/>
      <c r="W825" s="68"/>
      <c r="X825" s="68"/>
      <c r="Y825" s="68"/>
    </row>
    <row r="826" s="17" customFormat="1" hidden="1" customHeight="1" spans="1:25">
      <c r="A826" s="59">
        <v>823</v>
      </c>
      <c r="B826" s="60" t="s">
        <v>1884</v>
      </c>
      <c r="C826" s="61">
        <f t="shared" si="48"/>
        <v>45362</v>
      </c>
      <c r="D826" s="62" t="str">
        <f ca="1" t="shared" si="50"/>
        <v>一年以上</v>
      </c>
      <c r="E826" s="313">
        <v>45362</v>
      </c>
      <c r="F826" s="59" t="s">
        <v>632</v>
      </c>
      <c r="G826" s="59" t="s">
        <v>450</v>
      </c>
      <c r="H826" s="63" t="s">
        <v>1885</v>
      </c>
      <c r="I826" s="63" t="str">
        <f t="shared" si="53"/>
        <v>冀东水泥重庆江津有限责任公司</v>
      </c>
      <c r="J826" s="314">
        <v>5000</v>
      </c>
      <c r="K826" s="59" t="s">
        <v>356</v>
      </c>
      <c r="L826" s="59" t="s">
        <v>73</v>
      </c>
      <c r="M826" s="59" t="s">
        <v>30</v>
      </c>
      <c r="N826" s="315">
        <v>5000</v>
      </c>
      <c r="O826" s="316">
        <f t="shared" si="51"/>
        <v>0</v>
      </c>
      <c r="P826" s="95">
        <v>45379</v>
      </c>
      <c r="Q826" s="61">
        <f t="shared" si="54"/>
        <v>45379</v>
      </c>
      <c r="R826" s="59"/>
      <c r="S826" s="59" t="s">
        <v>1886</v>
      </c>
      <c r="T826" s="59"/>
      <c r="U826" s="59"/>
      <c r="V826" s="59"/>
      <c r="W826" s="68"/>
      <c r="X826" s="68"/>
      <c r="Y826" s="68"/>
    </row>
    <row r="827" s="17" customFormat="1" hidden="1" customHeight="1" spans="1:25">
      <c r="A827" s="59">
        <v>824</v>
      </c>
      <c r="B827" s="60" t="s">
        <v>1887</v>
      </c>
      <c r="C827" s="61">
        <f t="shared" si="48"/>
        <v>45366</v>
      </c>
      <c r="D827" s="62" t="str">
        <f ca="1" t="shared" si="50"/>
        <v>一年以上</v>
      </c>
      <c r="E827" s="313">
        <v>45366</v>
      </c>
      <c r="F827" s="59" t="s">
        <v>632</v>
      </c>
      <c r="G827" s="59" t="s">
        <v>450</v>
      </c>
      <c r="H827" s="63" t="s">
        <v>1888</v>
      </c>
      <c r="I827" s="63" t="str">
        <f t="shared" si="53"/>
        <v>中盐青海昆仑碱业有限公司</v>
      </c>
      <c r="J827" s="314">
        <v>40000</v>
      </c>
      <c r="K827" s="59" t="s">
        <v>28</v>
      </c>
      <c r="L827" s="59" t="s">
        <v>73</v>
      </c>
      <c r="M827" s="59" t="s">
        <v>30</v>
      </c>
      <c r="N827" s="315">
        <v>40000</v>
      </c>
      <c r="O827" s="316">
        <f t="shared" si="51"/>
        <v>0</v>
      </c>
      <c r="P827" s="95">
        <v>45435</v>
      </c>
      <c r="Q827" s="61">
        <f t="shared" si="54"/>
        <v>45435</v>
      </c>
      <c r="R827" s="59"/>
      <c r="S827" s="59" t="s">
        <v>1889</v>
      </c>
      <c r="T827" s="59"/>
      <c r="U827" s="59"/>
      <c r="V827" s="59"/>
      <c r="W827" s="68"/>
      <c r="X827" s="68"/>
      <c r="Y827" s="68"/>
    </row>
    <row r="828" s="17" customFormat="1" hidden="1" customHeight="1" spans="1:25">
      <c r="A828" s="59">
        <v>825</v>
      </c>
      <c r="B828" s="60" t="s">
        <v>1890</v>
      </c>
      <c r="C828" s="61">
        <f t="shared" si="48"/>
        <v>45359</v>
      </c>
      <c r="D828" s="62" t="str">
        <f ca="1" t="shared" si="50"/>
        <v>一年以上</v>
      </c>
      <c r="E828" s="313">
        <v>45359</v>
      </c>
      <c r="F828" s="59" t="s">
        <v>1875</v>
      </c>
      <c r="G828" s="59" t="s">
        <v>1876</v>
      </c>
      <c r="H828" s="63" t="s">
        <v>863</v>
      </c>
      <c r="I828" s="63" t="str">
        <f t="shared" si="53"/>
        <v>青海发投碱业有限公司</v>
      </c>
      <c r="J828" s="314">
        <v>13000</v>
      </c>
      <c r="K828" s="59" t="s">
        <v>28</v>
      </c>
      <c r="L828" s="59" t="s">
        <v>73</v>
      </c>
      <c r="M828" s="59" t="s">
        <v>65</v>
      </c>
      <c r="N828" s="315"/>
      <c r="O828" s="318">
        <f t="shared" si="51"/>
        <v>13000</v>
      </c>
      <c r="P828" s="95"/>
      <c r="Q828" s="61">
        <f t="shared" si="54"/>
        <v>0</v>
      </c>
      <c r="R828" s="59"/>
      <c r="S828" s="59" t="s">
        <v>1883</v>
      </c>
      <c r="T828" s="59" t="s">
        <v>972</v>
      </c>
      <c r="U828" s="59" t="s">
        <v>1465</v>
      </c>
      <c r="V828" s="59"/>
      <c r="W828" s="68"/>
      <c r="X828" s="68"/>
      <c r="Y828" s="68"/>
    </row>
    <row r="829" s="17" customFormat="1" hidden="1" customHeight="1" spans="1:25">
      <c r="A829" s="59">
        <v>826</v>
      </c>
      <c r="B829" s="60" t="s">
        <v>1891</v>
      </c>
      <c r="C829" s="61">
        <f t="shared" si="48"/>
        <v>45359</v>
      </c>
      <c r="D829" s="62" t="str">
        <f ca="1" t="shared" si="50"/>
        <v>一年以上</v>
      </c>
      <c r="E829" s="313">
        <v>45359</v>
      </c>
      <c r="F829" s="59" t="s">
        <v>1875</v>
      </c>
      <c r="G829" s="59" t="s">
        <v>1876</v>
      </c>
      <c r="H829" s="63" t="s">
        <v>863</v>
      </c>
      <c r="I829" s="63" t="str">
        <f t="shared" si="53"/>
        <v>青海发投碱业有限公司</v>
      </c>
      <c r="J829" s="314">
        <v>13000</v>
      </c>
      <c r="K829" s="59" t="s">
        <v>28</v>
      </c>
      <c r="L829" s="59" t="s">
        <v>73</v>
      </c>
      <c r="M829" s="59" t="s">
        <v>941</v>
      </c>
      <c r="N829" s="315"/>
      <c r="O829" s="318">
        <f t="shared" si="51"/>
        <v>13000</v>
      </c>
      <c r="P829" s="95"/>
      <c r="Q829" s="61">
        <f t="shared" si="54"/>
        <v>0</v>
      </c>
      <c r="R829" s="59"/>
      <c r="S829" s="59" t="s">
        <v>1883</v>
      </c>
      <c r="T829" s="59" t="s">
        <v>972</v>
      </c>
      <c r="U829" s="59" t="s">
        <v>1465</v>
      </c>
      <c r="V829" s="59"/>
      <c r="W829" s="68"/>
      <c r="X829" s="68"/>
      <c r="Y829" s="68"/>
    </row>
    <row r="830" s="17" customFormat="1" hidden="1" customHeight="1" spans="1:25">
      <c r="A830" s="59">
        <v>827</v>
      </c>
      <c r="B830" s="60" t="s">
        <v>1892</v>
      </c>
      <c r="C830" s="61">
        <f t="shared" si="48"/>
        <v>45371</v>
      </c>
      <c r="D830" s="62" t="str">
        <f ca="1" t="shared" si="50"/>
        <v>一年以上</v>
      </c>
      <c r="E830" s="313">
        <v>45371</v>
      </c>
      <c r="F830" s="59" t="s">
        <v>632</v>
      </c>
      <c r="G830" s="59" t="s">
        <v>450</v>
      </c>
      <c r="H830" s="63" t="s">
        <v>863</v>
      </c>
      <c r="I830" s="63" t="str">
        <f t="shared" si="53"/>
        <v>青海发投碱业有限公司</v>
      </c>
      <c r="J830" s="314">
        <v>50000</v>
      </c>
      <c r="K830" s="59" t="s">
        <v>28</v>
      </c>
      <c r="L830" s="59" t="s">
        <v>73</v>
      </c>
      <c r="M830" s="59" t="s">
        <v>30</v>
      </c>
      <c r="N830" s="315">
        <v>50000</v>
      </c>
      <c r="O830" s="316">
        <f t="shared" si="51"/>
        <v>0</v>
      </c>
      <c r="P830" s="95">
        <v>45443</v>
      </c>
      <c r="Q830" s="61">
        <f t="shared" si="54"/>
        <v>45443</v>
      </c>
      <c r="R830" s="59"/>
      <c r="S830" s="59" t="s">
        <v>1893</v>
      </c>
      <c r="T830" s="59" t="s">
        <v>972</v>
      </c>
      <c r="U830" s="59" t="s">
        <v>1465</v>
      </c>
      <c r="V830" s="59"/>
      <c r="W830" s="68"/>
      <c r="X830" s="68"/>
      <c r="Y830" s="68"/>
    </row>
    <row r="831" s="17" customFormat="1" hidden="1" customHeight="1" spans="1:25">
      <c r="A831" s="59">
        <v>828</v>
      </c>
      <c r="B831" s="60" t="s">
        <v>1894</v>
      </c>
      <c r="C831" s="61">
        <f t="shared" si="48"/>
        <v>45365</v>
      </c>
      <c r="D831" s="62" t="str">
        <f ca="1" t="shared" si="50"/>
        <v>一年以上</v>
      </c>
      <c r="E831" s="313">
        <v>45365</v>
      </c>
      <c r="F831" s="59" t="s">
        <v>130</v>
      </c>
      <c r="G831" s="59" t="s">
        <v>1596</v>
      </c>
      <c r="H831" s="63" t="s">
        <v>863</v>
      </c>
      <c r="I831" s="63" t="str">
        <f t="shared" si="53"/>
        <v>青海发投碱业有限公司</v>
      </c>
      <c r="J831" s="314">
        <v>65500</v>
      </c>
      <c r="K831" s="59" t="s">
        <v>28</v>
      </c>
      <c r="L831" s="59" t="s">
        <v>73</v>
      </c>
      <c r="M831" s="59" t="s">
        <v>133</v>
      </c>
      <c r="N831" s="315">
        <v>65500</v>
      </c>
      <c r="O831" s="316">
        <f t="shared" si="51"/>
        <v>0</v>
      </c>
      <c r="P831" s="95">
        <v>45832</v>
      </c>
      <c r="Q831" s="61">
        <f t="shared" si="54"/>
        <v>45832</v>
      </c>
      <c r="R831" s="59"/>
      <c r="S831" s="59" t="s">
        <v>1844</v>
      </c>
      <c r="T831" s="59" t="s">
        <v>972</v>
      </c>
      <c r="U831" s="59" t="s">
        <v>1465</v>
      </c>
      <c r="V831" s="59"/>
      <c r="W831" s="68"/>
      <c r="X831" s="68"/>
      <c r="Y831" s="68"/>
    </row>
    <row r="832" s="17" customFormat="1" hidden="1" customHeight="1" spans="1:25">
      <c r="A832" s="59">
        <v>829</v>
      </c>
      <c r="B832" s="60" t="s">
        <v>1895</v>
      </c>
      <c r="C832" s="61">
        <f t="shared" si="48"/>
        <v>45366</v>
      </c>
      <c r="D832" s="62" t="str">
        <f ca="1" t="shared" si="50"/>
        <v>一年以上</v>
      </c>
      <c r="E832" s="313">
        <v>45366</v>
      </c>
      <c r="F832" s="59" t="s">
        <v>1875</v>
      </c>
      <c r="G832" s="59" t="s">
        <v>1896</v>
      </c>
      <c r="H832" s="63" t="s">
        <v>1864</v>
      </c>
      <c r="I832" s="63" t="s">
        <v>863</v>
      </c>
      <c r="J832" s="314">
        <v>65500</v>
      </c>
      <c r="K832" s="59" t="s">
        <v>28</v>
      </c>
      <c r="L832" s="59" t="s">
        <v>73</v>
      </c>
      <c r="M832" s="59" t="s">
        <v>941</v>
      </c>
      <c r="N832" s="315">
        <v>65500</v>
      </c>
      <c r="O832" s="316">
        <f t="shared" si="51"/>
        <v>0</v>
      </c>
      <c r="P832" s="95">
        <v>45366</v>
      </c>
      <c r="Q832" s="61">
        <f t="shared" si="54"/>
        <v>45366</v>
      </c>
      <c r="R832" s="59" t="s">
        <v>1897</v>
      </c>
      <c r="S832" s="59" t="s">
        <v>1844</v>
      </c>
      <c r="T832" s="59" t="s">
        <v>972</v>
      </c>
      <c r="U832" s="59" t="s">
        <v>1465</v>
      </c>
      <c r="V832" s="59"/>
      <c r="W832" s="68"/>
      <c r="X832" s="68"/>
      <c r="Y832" s="68"/>
    </row>
    <row r="833" s="17" customFormat="1" hidden="1" customHeight="1" spans="1:25">
      <c r="A833" s="59">
        <v>830</v>
      </c>
      <c r="B833" s="60" t="s">
        <v>1898</v>
      </c>
      <c r="C833" s="61">
        <f t="shared" si="48"/>
        <v>45369</v>
      </c>
      <c r="D833" s="62" t="str">
        <f ca="1" t="shared" si="50"/>
        <v>一年以上</v>
      </c>
      <c r="E833" s="313">
        <v>45369</v>
      </c>
      <c r="F833" s="59" t="s">
        <v>1875</v>
      </c>
      <c r="G833" s="59" t="s">
        <v>1876</v>
      </c>
      <c r="H833" s="63" t="s">
        <v>863</v>
      </c>
      <c r="I833" s="63" t="str">
        <f t="shared" ref="I833:I862" si="55">H833</f>
        <v>青海发投碱业有限公司</v>
      </c>
      <c r="J833" s="314">
        <v>66000</v>
      </c>
      <c r="K833" s="59" t="s">
        <v>28</v>
      </c>
      <c r="L833" s="59" t="s">
        <v>73</v>
      </c>
      <c r="M833" s="59" t="s">
        <v>65</v>
      </c>
      <c r="N833" s="315">
        <v>66000</v>
      </c>
      <c r="O833" s="316">
        <f t="shared" si="51"/>
        <v>0</v>
      </c>
      <c r="P833" s="95">
        <v>45831</v>
      </c>
      <c r="Q833" s="61">
        <f t="shared" si="54"/>
        <v>45831</v>
      </c>
      <c r="R833" s="59"/>
      <c r="S833" s="59"/>
      <c r="T833" s="59" t="s">
        <v>972</v>
      </c>
      <c r="U833" s="59" t="s">
        <v>1465</v>
      </c>
      <c r="V833" s="59"/>
      <c r="W833" s="68"/>
      <c r="X833" s="68"/>
      <c r="Y833" s="68"/>
    </row>
    <row r="834" s="17" customFormat="1" hidden="1" customHeight="1" spans="1:25">
      <c r="A834" s="59">
        <v>831</v>
      </c>
      <c r="B834" s="60" t="s">
        <v>1899</v>
      </c>
      <c r="C834" s="61">
        <f t="shared" si="48"/>
        <v>45373</v>
      </c>
      <c r="D834" s="62" t="str">
        <f ca="1" t="shared" si="50"/>
        <v>一年以上</v>
      </c>
      <c r="E834" s="313">
        <v>45373</v>
      </c>
      <c r="F834" s="59" t="s">
        <v>632</v>
      </c>
      <c r="G834" s="59" t="s">
        <v>450</v>
      </c>
      <c r="H834" s="63" t="s">
        <v>1900</v>
      </c>
      <c r="I834" s="63" t="str">
        <f t="shared" si="55"/>
        <v>中盐吉兰泰氯碱化工有限公司</v>
      </c>
      <c r="J834" s="314">
        <v>5000</v>
      </c>
      <c r="K834" s="59" t="s">
        <v>28</v>
      </c>
      <c r="L834" s="59" t="s">
        <v>73</v>
      </c>
      <c r="M834" s="59" t="s">
        <v>30</v>
      </c>
      <c r="N834" s="315">
        <v>5000</v>
      </c>
      <c r="O834" s="316">
        <f t="shared" si="51"/>
        <v>0</v>
      </c>
      <c r="P834" s="95">
        <v>45398</v>
      </c>
      <c r="Q834" s="61">
        <f t="shared" si="54"/>
        <v>45398</v>
      </c>
      <c r="R834" s="59"/>
      <c r="S834" s="59" t="s">
        <v>1901</v>
      </c>
      <c r="T834" s="59" t="s">
        <v>388</v>
      </c>
      <c r="U834" s="59" t="s">
        <v>1902</v>
      </c>
      <c r="V834" s="59"/>
      <c r="W834" s="68"/>
      <c r="X834" s="68"/>
      <c r="Y834" s="68"/>
    </row>
    <row r="835" s="17" customFormat="1" hidden="1" customHeight="1" spans="1:25">
      <c r="A835" s="59">
        <v>832</v>
      </c>
      <c r="B835" s="60" t="s">
        <v>1898</v>
      </c>
      <c r="C835" s="61">
        <f t="shared" si="48"/>
        <v>45356</v>
      </c>
      <c r="D835" s="62" t="str">
        <f ca="1" t="shared" si="50"/>
        <v>一年以上</v>
      </c>
      <c r="E835" s="313">
        <v>45356</v>
      </c>
      <c r="F835" s="59"/>
      <c r="G835" s="59"/>
      <c r="H835" s="63" t="s">
        <v>1903</v>
      </c>
      <c r="I835" s="63" t="str">
        <f t="shared" si="55"/>
        <v>湖北岚丹建设工程有限公司用于青海发投碱业有限公司</v>
      </c>
      <c r="J835" s="314">
        <v>47850</v>
      </c>
      <c r="K835" s="59" t="s">
        <v>1706</v>
      </c>
      <c r="L835" s="59" t="s">
        <v>73</v>
      </c>
      <c r="M835" s="59" t="s">
        <v>941</v>
      </c>
      <c r="N835" s="315">
        <v>47850</v>
      </c>
      <c r="O835" s="316">
        <f t="shared" si="51"/>
        <v>0</v>
      </c>
      <c r="P835" s="95">
        <v>45356</v>
      </c>
      <c r="Q835" s="61">
        <f t="shared" si="54"/>
        <v>45356</v>
      </c>
      <c r="R835" s="59" t="s">
        <v>1904</v>
      </c>
      <c r="S835" s="59" t="s">
        <v>1805</v>
      </c>
      <c r="T835" s="59" t="s">
        <v>972</v>
      </c>
      <c r="U835" s="59" t="s">
        <v>1465</v>
      </c>
      <c r="V835" s="59"/>
      <c r="W835" s="68"/>
      <c r="X835" s="68"/>
      <c r="Y835" s="68"/>
    </row>
    <row r="836" s="17" customFormat="1" hidden="1" customHeight="1" spans="1:25">
      <c r="A836" s="59">
        <v>832</v>
      </c>
      <c r="B836" s="60" t="s">
        <v>1905</v>
      </c>
      <c r="C836" s="61">
        <f t="shared" si="48"/>
        <v>45378</v>
      </c>
      <c r="D836" s="62" t="str">
        <f ca="1" t="shared" si="50"/>
        <v>一年以上</v>
      </c>
      <c r="E836" s="313">
        <v>45378</v>
      </c>
      <c r="F836" s="59" t="s">
        <v>1875</v>
      </c>
      <c r="G836" s="59" t="s">
        <v>1876</v>
      </c>
      <c r="H836" s="63" t="s">
        <v>863</v>
      </c>
      <c r="I836" s="63" t="str">
        <f t="shared" si="55"/>
        <v>青海发投碱业有限公司</v>
      </c>
      <c r="J836" s="314">
        <v>48000</v>
      </c>
      <c r="K836" s="59" t="s">
        <v>1706</v>
      </c>
      <c r="L836" s="59" t="s">
        <v>73</v>
      </c>
      <c r="M836" s="59" t="s">
        <v>65</v>
      </c>
      <c r="N836" s="315">
        <v>48000</v>
      </c>
      <c r="O836" s="316">
        <f t="shared" si="51"/>
        <v>0</v>
      </c>
      <c r="P836" s="95">
        <v>45831</v>
      </c>
      <c r="Q836" s="61">
        <f t="shared" si="54"/>
        <v>45831</v>
      </c>
      <c r="R836" s="59"/>
      <c r="S836" s="59" t="s">
        <v>1805</v>
      </c>
      <c r="T836" s="59" t="s">
        <v>972</v>
      </c>
      <c r="U836" s="59" t="s">
        <v>1465</v>
      </c>
      <c r="V836" s="59"/>
      <c r="W836" s="68"/>
      <c r="X836" s="68"/>
      <c r="Y836" s="68"/>
    </row>
    <row r="837" s="17" customFormat="1" hidden="1" customHeight="1" spans="1:25">
      <c r="A837" s="59">
        <v>834</v>
      </c>
      <c r="B837" s="60" t="s">
        <v>1906</v>
      </c>
      <c r="C837" s="61">
        <f t="shared" si="48"/>
        <v>45380</v>
      </c>
      <c r="D837" s="62" t="str">
        <f ca="1" t="shared" si="50"/>
        <v>一年以上</v>
      </c>
      <c r="E837" s="313">
        <v>45380</v>
      </c>
      <c r="F837" s="59" t="s">
        <v>632</v>
      </c>
      <c r="G837" s="59" t="s">
        <v>450</v>
      </c>
      <c r="H837" s="63" t="s">
        <v>912</v>
      </c>
      <c r="I837" s="63" t="str">
        <f t="shared" si="55"/>
        <v>新疆米东天山水泥有限责任公司</v>
      </c>
      <c r="J837" s="314">
        <v>2000</v>
      </c>
      <c r="K837" s="59" t="s">
        <v>28</v>
      </c>
      <c r="L837" s="59" t="s">
        <v>73</v>
      </c>
      <c r="M837" s="59" t="s">
        <v>30</v>
      </c>
      <c r="N837" s="315">
        <v>2000</v>
      </c>
      <c r="O837" s="316">
        <f t="shared" si="51"/>
        <v>0</v>
      </c>
      <c r="P837" s="95">
        <v>45388</v>
      </c>
      <c r="Q837" s="61">
        <f t="shared" si="54"/>
        <v>45388</v>
      </c>
      <c r="R837" s="59"/>
      <c r="S837" s="59" t="s">
        <v>1907</v>
      </c>
      <c r="T837" s="59"/>
      <c r="U837" s="59"/>
      <c r="V837" s="59"/>
      <c r="W837" s="68"/>
      <c r="X837" s="68"/>
      <c r="Y837" s="68"/>
    </row>
    <row r="838" s="17" customFormat="1" hidden="1" customHeight="1" spans="1:25">
      <c r="A838" s="59">
        <v>835</v>
      </c>
      <c r="B838" s="60" t="s">
        <v>1908</v>
      </c>
      <c r="C838" s="61">
        <f t="shared" si="48"/>
        <v>45357</v>
      </c>
      <c r="D838" s="62" t="str">
        <f ca="1" t="shared" si="50"/>
        <v>一年以上</v>
      </c>
      <c r="E838" s="313">
        <v>45357</v>
      </c>
      <c r="F838" s="59" t="s">
        <v>632</v>
      </c>
      <c r="G838" s="59" t="s">
        <v>450</v>
      </c>
      <c r="H838" s="63" t="s">
        <v>1413</v>
      </c>
      <c r="I838" s="63" t="str">
        <f t="shared" si="55"/>
        <v>中机国际招标有限公司（青海发投碱业有限公司）</v>
      </c>
      <c r="J838" s="314">
        <v>500</v>
      </c>
      <c r="K838" s="59" t="s">
        <v>28</v>
      </c>
      <c r="L838" s="59" t="s">
        <v>73</v>
      </c>
      <c r="M838" s="59" t="s">
        <v>515</v>
      </c>
      <c r="N838" s="315"/>
      <c r="O838" s="316">
        <f t="shared" si="51"/>
        <v>500</v>
      </c>
      <c r="P838" s="95"/>
      <c r="Q838" s="61">
        <f t="shared" si="54"/>
        <v>0</v>
      </c>
      <c r="R838" s="59"/>
      <c r="S838" s="59" t="s">
        <v>1893</v>
      </c>
      <c r="T838" s="59" t="s">
        <v>972</v>
      </c>
      <c r="U838" s="59" t="s">
        <v>1465</v>
      </c>
      <c r="V838" s="59"/>
      <c r="W838" s="68"/>
      <c r="X838" s="68"/>
      <c r="Y838" s="68"/>
    </row>
    <row r="839" s="17" customFormat="1" hidden="1" customHeight="1" spans="1:25">
      <c r="A839" s="59">
        <v>836</v>
      </c>
      <c r="B839" s="60" t="s">
        <v>1909</v>
      </c>
      <c r="C839" s="61">
        <f t="shared" si="48"/>
        <v>45357</v>
      </c>
      <c r="D839" s="62" t="str">
        <f ca="1" t="shared" si="50"/>
        <v>一年以上</v>
      </c>
      <c r="E839" s="313">
        <v>45357</v>
      </c>
      <c r="F839" s="59" t="s">
        <v>632</v>
      </c>
      <c r="G839" s="59" t="s">
        <v>450</v>
      </c>
      <c r="H839" s="63" t="s">
        <v>1888</v>
      </c>
      <c r="I839" s="63" t="str">
        <f t="shared" si="55"/>
        <v>中盐青海昆仑碱业有限公司</v>
      </c>
      <c r="J839" s="314">
        <v>500</v>
      </c>
      <c r="K839" s="59" t="s">
        <v>28</v>
      </c>
      <c r="L839" s="59" t="s">
        <v>73</v>
      </c>
      <c r="M839" s="59" t="s">
        <v>515</v>
      </c>
      <c r="N839" s="315"/>
      <c r="O839" s="316">
        <f t="shared" si="51"/>
        <v>500</v>
      </c>
      <c r="P839" s="95"/>
      <c r="Q839" s="61">
        <f t="shared" si="54"/>
        <v>0</v>
      </c>
      <c r="R839" s="59"/>
      <c r="S839" s="59" t="s">
        <v>1889</v>
      </c>
      <c r="T839" s="59" t="s">
        <v>972</v>
      </c>
      <c r="U839" s="59" t="s">
        <v>1465</v>
      </c>
      <c r="V839" s="59"/>
      <c r="W839" s="68"/>
      <c r="X839" s="68"/>
      <c r="Y839" s="68"/>
    </row>
    <row r="840" s="17" customFormat="1" hidden="1" customHeight="1" spans="1:25">
      <c r="A840" s="59">
        <v>837</v>
      </c>
      <c r="B840" s="60" t="s">
        <v>1910</v>
      </c>
      <c r="C840" s="61">
        <f t="shared" si="48"/>
        <v>45370</v>
      </c>
      <c r="D840" s="62" t="str">
        <f ca="1" t="shared" si="50"/>
        <v>一年以上</v>
      </c>
      <c r="E840" s="313">
        <v>45370</v>
      </c>
      <c r="F840" s="59" t="s">
        <v>632</v>
      </c>
      <c r="G840" s="59" t="s">
        <v>450</v>
      </c>
      <c r="H840" s="63" t="s">
        <v>1900</v>
      </c>
      <c r="I840" s="63" t="str">
        <f t="shared" si="55"/>
        <v>中盐吉兰泰氯碱化工有限公司</v>
      </c>
      <c r="J840" s="314">
        <v>500</v>
      </c>
      <c r="K840" s="59" t="s">
        <v>28</v>
      </c>
      <c r="L840" s="59" t="s">
        <v>73</v>
      </c>
      <c r="M840" s="59" t="s">
        <v>515</v>
      </c>
      <c r="N840" s="315"/>
      <c r="O840" s="316">
        <f t="shared" si="51"/>
        <v>500</v>
      </c>
      <c r="P840" s="95"/>
      <c r="Q840" s="61">
        <f t="shared" si="54"/>
        <v>0</v>
      </c>
      <c r="R840" s="59"/>
      <c r="S840" s="59" t="s">
        <v>1901</v>
      </c>
      <c r="T840" s="59" t="s">
        <v>388</v>
      </c>
      <c r="U840" s="59" t="s">
        <v>1902</v>
      </c>
      <c r="V840" s="59"/>
      <c r="W840" s="68"/>
      <c r="X840" s="68"/>
      <c r="Y840" s="68"/>
    </row>
    <row r="841" s="17" customFormat="1" hidden="1" customHeight="1" spans="1:25">
      <c r="A841" s="59">
        <v>838</v>
      </c>
      <c r="B841" s="60" t="s">
        <v>1911</v>
      </c>
      <c r="C841" s="61">
        <f t="shared" si="48"/>
        <v>45377</v>
      </c>
      <c r="D841" s="62" t="str">
        <f ca="1" t="shared" si="50"/>
        <v>一年以上</v>
      </c>
      <c r="E841" s="313">
        <v>45377</v>
      </c>
      <c r="F841" s="59" t="s">
        <v>632</v>
      </c>
      <c r="G841" s="59" t="s">
        <v>450</v>
      </c>
      <c r="H841" s="63" t="s">
        <v>912</v>
      </c>
      <c r="I841" s="63" t="str">
        <f t="shared" si="55"/>
        <v>新疆米东天山水泥有限责任公司</v>
      </c>
      <c r="J841" s="314">
        <v>200</v>
      </c>
      <c r="K841" s="59" t="s">
        <v>28</v>
      </c>
      <c r="L841" s="59" t="s">
        <v>73</v>
      </c>
      <c r="M841" s="59" t="s">
        <v>515</v>
      </c>
      <c r="N841" s="315"/>
      <c r="O841" s="316">
        <f t="shared" si="51"/>
        <v>200</v>
      </c>
      <c r="P841" s="95"/>
      <c r="Q841" s="61">
        <f t="shared" si="54"/>
        <v>0</v>
      </c>
      <c r="R841" s="59"/>
      <c r="S841" s="59" t="s">
        <v>1907</v>
      </c>
      <c r="T841" s="59" t="s">
        <v>581</v>
      </c>
      <c r="U841" s="59" t="s">
        <v>239</v>
      </c>
      <c r="V841" s="59"/>
      <c r="W841" s="68"/>
      <c r="X841" s="68"/>
      <c r="Y841" s="68"/>
    </row>
    <row r="842" s="17" customFormat="1" hidden="1" customHeight="1" spans="1:25">
      <c r="A842" s="59">
        <v>839</v>
      </c>
      <c r="B842" s="60" t="s">
        <v>1912</v>
      </c>
      <c r="C842" s="61">
        <f t="shared" si="48"/>
        <v>45389</v>
      </c>
      <c r="D842" s="62" t="str">
        <f ca="1" t="shared" si="50"/>
        <v>一年以上</v>
      </c>
      <c r="E842" s="313">
        <v>45389</v>
      </c>
      <c r="F842" s="59" t="s">
        <v>632</v>
      </c>
      <c r="G842" s="59" t="s">
        <v>450</v>
      </c>
      <c r="H842" s="63" t="s">
        <v>851</v>
      </c>
      <c r="I842" s="63" t="str">
        <f t="shared" si="55"/>
        <v>日照钢铁有限公司</v>
      </c>
      <c r="J842" s="314">
        <v>10000</v>
      </c>
      <c r="K842" s="59" t="s">
        <v>28</v>
      </c>
      <c r="L842" s="59" t="s">
        <v>57</v>
      </c>
      <c r="M842" s="59" t="s">
        <v>30</v>
      </c>
      <c r="N842" s="315">
        <v>10000</v>
      </c>
      <c r="O842" s="316">
        <f t="shared" si="51"/>
        <v>0</v>
      </c>
      <c r="P842" s="95">
        <v>45392</v>
      </c>
      <c r="Q842" s="61">
        <f t="shared" si="54"/>
        <v>45392</v>
      </c>
      <c r="R842" s="59"/>
      <c r="S842" s="59" t="s">
        <v>1913</v>
      </c>
      <c r="T842" s="59"/>
      <c r="U842" s="59"/>
      <c r="V842" s="59"/>
      <c r="W842" s="68"/>
      <c r="X842" s="68"/>
      <c r="Y842" s="68"/>
    </row>
    <row r="843" s="17" customFormat="1" hidden="1" customHeight="1" spans="1:25">
      <c r="A843" s="59">
        <v>840</v>
      </c>
      <c r="B843" s="60" t="s">
        <v>1914</v>
      </c>
      <c r="C843" s="61">
        <f t="shared" si="48"/>
        <v>45390</v>
      </c>
      <c r="D843" s="62" t="str">
        <f ca="1" t="shared" si="50"/>
        <v>一年以上</v>
      </c>
      <c r="E843" s="313">
        <v>45390</v>
      </c>
      <c r="F843" s="59" t="s">
        <v>632</v>
      </c>
      <c r="G843" s="59" t="s">
        <v>450</v>
      </c>
      <c r="H843" s="63" t="s">
        <v>1413</v>
      </c>
      <c r="I843" s="63" t="str">
        <f t="shared" si="55"/>
        <v>中机国际招标有限公司（青海发投碱业有限公司）</v>
      </c>
      <c r="J843" s="314">
        <v>500</v>
      </c>
      <c r="K843" s="59" t="s">
        <v>1706</v>
      </c>
      <c r="L843" s="59" t="s">
        <v>73</v>
      </c>
      <c r="M843" s="59" t="s">
        <v>515</v>
      </c>
      <c r="N843" s="315"/>
      <c r="O843" s="316">
        <f t="shared" si="51"/>
        <v>500</v>
      </c>
      <c r="P843" s="95"/>
      <c r="Q843" s="61">
        <f t="shared" si="54"/>
        <v>0</v>
      </c>
      <c r="R843" s="59"/>
      <c r="S843" s="59" t="s">
        <v>1915</v>
      </c>
      <c r="T843" s="59" t="s">
        <v>972</v>
      </c>
      <c r="U843" s="59" t="s">
        <v>1465</v>
      </c>
      <c r="V843" s="59"/>
      <c r="W843" s="68"/>
      <c r="X843" s="68"/>
      <c r="Y843" s="68"/>
    </row>
    <row r="844" s="17" customFormat="1" hidden="1" customHeight="1" spans="1:25">
      <c r="A844" s="59">
        <v>841</v>
      </c>
      <c r="B844" s="60" t="s">
        <v>1916</v>
      </c>
      <c r="C844" s="61">
        <f t="shared" si="48"/>
        <v>45391</v>
      </c>
      <c r="D844" s="62" t="str">
        <f ca="1" t="shared" si="50"/>
        <v>一年以上</v>
      </c>
      <c r="E844" s="313">
        <v>45391</v>
      </c>
      <c r="F844" s="59" t="s">
        <v>1875</v>
      </c>
      <c r="G844" s="59" t="s">
        <v>1876</v>
      </c>
      <c r="H844" s="63" t="s">
        <v>863</v>
      </c>
      <c r="I844" s="63" t="str">
        <f t="shared" si="55"/>
        <v>青海发投碱业有限公司</v>
      </c>
      <c r="J844" s="314">
        <v>2600</v>
      </c>
      <c r="K844" s="59" t="s">
        <v>28</v>
      </c>
      <c r="L844" s="59" t="s">
        <v>73</v>
      </c>
      <c r="M844" s="59" t="s">
        <v>941</v>
      </c>
      <c r="N844" s="315">
        <v>2600</v>
      </c>
      <c r="O844" s="316">
        <f t="shared" si="51"/>
        <v>0</v>
      </c>
      <c r="P844" s="95">
        <v>45525</v>
      </c>
      <c r="Q844" s="61">
        <f t="shared" si="54"/>
        <v>45525</v>
      </c>
      <c r="R844" s="59"/>
      <c r="S844" s="59" t="s">
        <v>1917</v>
      </c>
      <c r="T844" s="59" t="s">
        <v>972</v>
      </c>
      <c r="U844" s="59" t="s">
        <v>1465</v>
      </c>
      <c r="V844" s="59"/>
      <c r="W844" s="68"/>
      <c r="X844" s="68"/>
      <c r="Y844" s="68"/>
    </row>
    <row r="845" s="17" customFormat="1" hidden="1" customHeight="1" spans="1:25">
      <c r="A845" s="59">
        <v>842</v>
      </c>
      <c r="B845" s="60" t="s">
        <v>1918</v>
      </c>
      <c r="C845" s="61">
        <f t="shared" si="48"/>
        <v>45391</v>
      </c>
      <c r="D845" s="62" t="str">
        <f ca="1" t="shared" si="50"/>
        <v>一年以上</v>
      </c>
      <c r="E845" s="313">
        <v>45391</v>
      </c>
      <c r="F845" s="59" t="s">
        <v>1875</v>
      </c>
      <c r="G845" s="59" t="s">
        <v>1876</v>
      </c>
      <c r="H845" s="63" t="s">
        <v>863</v>
      </c>
      <c r="I845" s="63" t="str">
        <f t="shared" si="55"/>
        <v>青海发投碱业有限公司</v>
      </c>
      <c r="J845" s="314">
        <v>3000</v>
      </c>
      <c r="K845" s="59" t="s">
        <v>28</v>
      </c>
      <c r="L845" s="59" t="s">
        <v>73</v>
      </c>
      <c r="M845" s="59" t="s">
        <v>65</v>
      </c>
      <c r="N845" s="315">
        <v>3000</v>
      </c>
      <c r="O845" s="316">
        <f t="shared" si="51"/>
        <v>0</v>
      </c>
      <c r="P845" s="95">
        <v>45563</v>
      </c>
      <c r="Q845" s="61">
        <f t="shared" si="54"/>
        <v>45563</v>
      </c>
      <c r="R845" s="59"/>
      <c r="S845" s="59" t="s">
        <v>1917</v>
      </c>
      <c r="T845" s="59" t="s">
        <v>972</v>
      </c>
      <c r="U845" s="59" t="s">
        <v>1465</v>
      </c>
      <c r="V845" s="59"/>
      <c r="W845" s="68"/>
      <c r="X845" s="68"/>
      <c r="Y845" s="68"/>
    </row>
    <row r="846" s="17" customFormat="1" hidden="1" customHeight="1" spans="1:25">
      <c r="A846" s="59">
        <v>843</v>
      </c>
      <c r="B846" s="60" t="s">
        <v>1919</v>
      </c>
      <c r="C846" s="61">
        <f t="shared" ref="C846:C909" si="56">E846</f>
        <v>45392</v>
      </c>
      <c r="D846" s="62" t="str">
        <f ca="1" t="shared" si="50"/>
        <v>一年以上</v>
      </c>
      <c r="E846" s="313">
        <v>45392</v>
      </c>
      <c r="F846" s="59" t="s">
        <v>130</v>
      </c>
      <c r="G846" s="59" t="s">
        <v>1920</v>
      </c>
      <c r="H846" s="63" t="s">
        <v>863</v>
      </c>
      <c r="I846" s="63" t="str">
        <f t="shared" si="55"/>
        <v>青海发投碱业有限公司</v>
      </c>
      <c r="J846" s="314">
        <v>2600</v>
      </c>
      <c r="K846" s="59" t="s">
        <v>28</v>
      </c>
      <c r="L846" s="59" t="s">
        <v>73</v>
      </c>
      <c r="M846" s="59" t="s">
        <v>133</v>
      </c>
      <c r="N846" s="315">
        <v>2600</v>
      </c>
      <c r="O846" s="316">
        <f t="shared" si="51"/>
        <v>0</v>
      </c>
      <c r="P846" s="95">
        <v>45525</v>
      </c>
      <c r="Q846" s="61">
        <f t="shared" si="54"/>
        <v>45525</v>
      </c>
      <c r="R846" s="59"/>
      <c r="S846" s="59" t="s">
        <v>1921</v>
      </c>
      <c r="T846" s="59" t="s">
        <v>972</v>
      </c>
      <c r="U846" s="59" t="s">
        <v>1465</v>
      </c>
      <c r="V846" s="59"/>
      <c r="W846" s="68"/>
      <c r="X846" s="68"/>
      <c r="Y846" s="68"/>
    </row>
    <row r="847" s="17" customFormat="1" hidden="1" customHeight="1" spans="1:25">
      <c r="A847" s="59">
        <v>844</v>
      </c>
      <c r="B847" s="60" t="s">
        <v>1922</v>
      </c>
      <c r="C847" s="61">
        <f t="shared" si="56"/>
        <v>45392</v>
      </c>
      <c r="D847" s="62" t="str">
        <f ca="1" t="shared" si="50"/>
        <v>一年以上</v>
      </c>
      <c r="E847" s="313">
        <v>45392</v>
      </c>
      <c r="F847" s="59" t="s">
        <v>1875</v>
      </c>
      <c r="G847" s="59" t="s">
        <v>1876</v>
      </c>
      <c r="H847" s="63" t="s">
        <v>863</v>
      </c>
      <c r="I847" s="63" t="str">
        <f t="shared" si="55"/>
        <v>青海发投碱业有限公司</v>
      </c>
      <c r="J847" s="314">
        <v>21000</v>
      </c>
      <c r="K847" s="59" t="s">
        <v>28</v>
      </c>
      <c r="L847" s="59" t="s">
        <v>73</v>
      </c>
      <c r="M847" s="59" t="s">
        <v>65</v>
      </c>
      <c r="N847" s="315">
        <v>21000</v>
      </c>
      <c r="O847" s="316">
        <f t="shared" si="51"/>
        <v>0</v>
      </c>
      <c r="P847" s="95">
        <v>45831</v>
      </c>
      <c r="Q847" s="61">
        <f t="shared" si="54"/>
        <v>45831</v>
      </c>
      <c r="R847" s="59"/>
      <c r="S847" s="59" t="s">
        <v>1923</v>
      </c>
      <c r="T847" s="59" t="s">
        <v>972</v>
      </c>
      <c r="U847" s="59" t="s">
        <v>1465</v>
      </c>
      <c r="V847" s="59"/>
      <c r="W847" s="68"/>
      <c r="X847" s="68"/>
      <c r="Y847" s="68"/>
    </row>
    <row r="848" s="17" customFormat="1" hidden="1" customHeight="1" spans="1:25">
      <c r="A848" s="59">
        <v>845</v>
      </c>
      <c r="B848" s="60" t="s">
        <v>1924</v>
      </c>
      <c r="C848" s="61">
        <f t="shared" si="56"/>
        <v>45393</v>
      </c>
      <c r="D848" s="62" t="str">
        <f ca="1" t="shared" si="50"/>
        <v>一年以上</v>
      </c>
      <c r="E848" s="313">
        <v>45393</v>
      </c>
      <c r="F848" s="59" t="s">
        <v>1875</v>
      </c>
      <c r="G848" s="59" t="s">
        <v>1876</v>
      </c>
      <c r="H848" s="63" t="s">
        <v>863</v>
      </c>
      <c r="I848" s="63" t="str">
        <f t="shared" si="55"/>
        <v>青海发投碱业有限公司</v>
      </c>
      <c r="J848" s="314">
        <v>180044</v>
      </c>
      <c r="K848" s="59" t="s">
        <v>28</v>
      </c>
      <c r="L848" s="59" t="s">
        <v>73</v>
      </c>
      <c r="M848" s="59" t="s">
        <v>941</v>
      </c>
      <c r="N848" s="315">
        <v>180044</v>
      </c>
      <c r="O848" s="316">
        <f t="shared" si="51"/>
        <v>0</v>
      </c>
      <c r="P848" s="95">
        <v>45393</v>
      </c>
      <c r="Q848" s="61">
        <f t="shared" si="54"/>
        <v>45393</v>
      </c>
      <c r="R848" s="59" t="s">
        <v>1925</v>
      </c>
      <c r="S848" s="59" t="s">
        <v>1620</v>
      </c>
      <c r="T848" s="59" t="s">
        <v>972</v>
      </c>
      <c r="U848" s="59" t="s">
        <v>1465</v>
      </c>
      <c r="V848" s="59"/>
      <c r="W848" s="68"/>
      <c r="X848" s="68"/>
      <c r="Y848" s="68"/>
    </row>
    <row r="849" s="17" customFormat="1" hidden="1" customHeight="1" spans="1:25">
      <c r="A849" s="59">
        <v>846</v>
      </c>
      <c r="B849" s="60" t="s">
        <v>1926</v>
      </c>
      <c r="C849" s="61">
        <f t="shared" si="56"/>
        <v>45394</v>
      </c>
      <c r="D849" s="62" t="str">
        <f ca="1" t="shared" si="50"/>
        <v>一年以上</v>
      </c>
      <c r="E849" s="313">
        <v>45394</v>
      </c>
      <c r="F849" s="59" t="s">
        <v>130</v>
      </c>
      <c r="G849" s="59" t="s">
        <v>1920</v>
      </c>
      <c r="H849" s="63" t="s">
        <v>863</v>
      </c>
      <c r="I849" s="63" t="str">
        <f t="shared" si="55"/>
        <v>青海发投碱业有限公司</v>
      </c>
      <c r="J849" s="314">
        <v>180000</v>
      </c>
      <c r="K849" s="59" t="s">
        <v>28</v>
      </c>
      <c r="L849" s="59" t="s">
        <v>73</v>
      </c>
      <c r="M849" s="59" t="s">
        <v>133</v>
      </c>
      <c r="N849" s="315">
        <v>180000</v>
      </c>
      <c r="O849" s="316">
        <f t="shared" si="51"/>
        <v>0</v>
      </c>
      <c r="P849" s="95">
        <v>45650</v>
      </c>
      <c r="Q849" s="61">
        <f t="shared" si="54"/>
        <v>45650</v>
      </c>
      <c r="R849" s="59"/>
      <c r="S849" s="59" t="s">
        <v>1893</v>
      </c>
      <c r="T849" s="59" t="s">
        <v>972</v>
      </c>
      <c r="U849" s="59" t="s">
        <v>1465</v>
      </c>
      <c r="V849" s="59"/>
      <c r="W849" s="68"/>
      <c r="X849" s="68"/>
      <c r="Y849" s="68"/>
    </row>
    <row r="850" s="17" customFormat="1" hidden="1" customHeight="1" spans="1:25">
      <c r="A850" s="59">
        <v>847</v>
      </c>
      <c r="B850" s="169" t="s">
        <v>1927</v>
      </c>
      <c r="C850" s="61">
        <f t="shared" si="56"/>
        <v>45394</v>
      </c>
      <c r="D850" s="62" t="str">
        <f ca="1" t="shared" si="50"/>
        <v>一年以上</v>
      </c>
      <c r="E850" s="313">
        <v>45394</v>
      </c>
      <c r="F850" s="59" t="s">
        <v>70</v>
      </c>
      <c r="G850" s="59" t="s">
        <v>1088</v>
      </c>
      <c r="H850" s="63" t="s">
        <v>797</v>
      </c>
      <c r="I850" s="63" t="str">
        <f t="shared" si="55"/>
        <v>山东泰山钢铁集团有限公司</v>
      </c>
      <c r="J850" s="314">
        <v>10000</v>
      </c>
      <c r="K850" s="59" t="s">
        <v>28</v>
      </c>
      <c r="L850" s="59" t="s">
        <v>73</v>
      </c>
      <c r="M850" s="59" t="s">
        <v>65</v>
      </c>
      <c r="N850" s="315"/>
      <c r="O850" s="316">
        <f t="shared" si="51"/>
        <v>10000</v>
      </c>
      <c r="P850" s="95"/>
      <c r="Q850" s="61"/>
      <c r="R850" s="59"/>
      <c r="S850" s="59" t="s">
        <v>1928</v>
      </c>
      <c r="T850" s="59" t="s">
        <v>86</v>
      </c>
      <c r="U850" s="59" t="s">
        <v>1902</v>
      </c>
      <c r="V850" s="59"/>
      <c r="W850" s="68"/>
      <c r="X850" s="68"/>
      <c r="Y850" s="68"/>
    </row>
    <row r="851" s="17" customFormat="1" hidden="1" customHeight="1" spans="1:25">
      <c r="A851" s="59">
        <v>848</v>
      </c>
      <c r="B851" s="169" t="s">
        <v>1898</v>
      </c>
      <c r="C851" s="61">
        <f t="shared" si="56"/>
        <v>45395</v>
      </c>
      <c r="D851" s="62" t="str">
        <f ca="1" t="shared" si="50"/>
        <v>一年以上</v>
      </c>
      <c r="E851" s="313">
        <v>45395</v>
      </c>
      <c r="F851" s="59" t="s">
        <v>1929</v>
      </c>
      <c r="G851" s="59" t="s">
        <v>450</v>
      </c>
      <c r="H851" s="63" t="s">
        <v>797</v>
      </c>
      <c r="I851" s="63" t="str">
        <f t="shared" si="55"/>
        <v>山东泰山钢铁集团有限公司</v>
      </c>
      <c r="J851" s="314">
        <v>5000</v>
      </c>
      <c r="K851" s="59" t="s">
        <v>28</v>
      </c>
      <c r="L851" s="59" t="s">
        <v>73</v>
      </c>
      <c r="M851" s="59" t="s">
        <v>65</v>
      </c>
      <c r="N851" s="315">
        <v>5000</v>
      </c>
      <c r="O851" s="316">
        <f t="shared" si="51"/>
        <v>0</v>
      </c>
      <c r="P851" s="95">
        <v>46029</v>
      </c>
      <c r="Q851" s="61">
        <f>P851</f>
        <v>46029</v>
      </c>
      <c r="R851" s="59"/>
      <c r="S851" s="59"/>
      <c r="T851" s="59"/>
      <c r="U851" s="59"/>
      <c r="V851" s="59"/>
      <c r="W851" s="68"/>
      <c r="X851" s="68"/>
      <c r="Y851" s="68"/>
    </row>
    <row r="852" s="17" customFormat="1" hidden="1" customHeight="1" spans="1:25">
      <c r="A852" s="59">
        <v>849</v>
      </c>
      <c r="B852" s="60" t="s">
        <v>1930</v>
      </c>
      <c r="C852" s="61">
        <f t="shared" si="56"/>
        <v>45400</v>
      </c>
      <c r="D852" s="62" t="str">
        <f ca="1" t="shared" si="50"/>
        <v>一年以上</v>
      </c>
      <c r="E852" s="313">
        <v>45400</v>
      </c>
      <c r="F852" s="59" t="s">
        <v>1875</v>
      </c>
      <c r="G852" s="59" t="s">
        <v>1876</v>
      </c>
      <c r="H852" s="63" t="s">
        <v>863</v>
      </c>
      <c r="I852" s="63" t="str">
        <f t="shared" si="55"/>
        <v>青海发投碱业有限公司</v>
      </c>
      <c r="J852" s="314">
        <v>180000</v>
      </c>
      <c r="K852" s="59" t="s">
        <v>28</v>
      </c>
      <c r="L852" s="59" t="s">
        <v>73</v>
      </c>
      <c r="M852" s="59" t="s">
        <v>65</v>
      </c>
      <c r="N852" s="315">
        <v>180000</v>
      </c>
      <c r="O852" s="316">
        <f t="shared" si="51"/>
        <v>0</v>
      </c>
      <c r="P852" s="95">
        <v>45831</v>
      </c>
      <c r="Q852" s="61">
        <f>P852</f>
        <v>45831</v>
      </c>
      <c r="R852" s="59"/>
      <c r="S852" s="59" t="s">
        <v>1931</v>
      </c>
      <c r="T852" s="59" t="s">
        <v>972</v>
      </c>
      <c r="U852" s="59" t="s">
        <v>1465</v>
      </c>
      <c r="V852" s="59"/>
      <c r="W852" s="68"/>
      <c r="X852" s="68"/>
      <c r="Y852" s="68"/>
    </row>
    <row r="853" s="17" customFormat="1" hidden="1" customHeight="1" spans="1:25">
      <c r="A853" s="59">
        <v>850</v>
      </c>
      <c r="B853" s="60" t="s">
        <v>1932</v>
      </c>
      <c r="C853" s="61">
        <f t="shared" si="56"/>
        <v>45398</v>
      </c>
      <c r="D853" s="62" t="str">
        <f ca="1" t="shared" ref="D853:D916" si="57">IF(TODAY()-E853&lt;60,"2个月内",IF(TODAY()-E853&lt;180,"3-6个月",IF(TODAY()-E853&lt;360,"6个月-1年","一年以上")))</f>
        <v>一年以上</v>
      </c>
      <c r="E853" s="313">
        <v>45398</v>
      </c>
      <c r="F853" s="59" t="s">
        <v>70</v>
      </c>
      <c r="G853" s="59" t="s">
        <v>1933</v>
      </c>
      <c r="H853" s="63" t="s">
        <v>222</v>
      </c>
      <c r="I853" s="63" t="str">
        <f t="shared" si="55"/>
        <v>天瑞新登郑州水泥有限公司</v>
      </c>
      <c r="J853" s="314">
        <v>2000</v>
      </c>
      <c r="K853" s="59" t="s">
        <v>28</v>
      </c>
      <c r="L853" s="59" t="s">
        <v>73</v>
      </c>
      <c r="M853" s="59" t="s">
        <v>65</v>
      </c>
      <c r="N853" s="315">
        <v>2000</v>
      </c>
      <c r="O853" s="316">
        <f t="shared" si="51"/>
        <v>0</v>
      </c>
      <c r="P853" s="95">
        <v>45475</v>
      </c>
      <c r="Q853" s="61">
        <f>P853</f>
        <v>45475</v>
      </c>
      <c r="R853" s="59" t="s">
        <v>1934</v>
      </c>
      <c r="S853" s="59" t="s">
        <v>1935</v>
      </c>
      <c r="T853" s="59" t="s">
        <v>32</v>
      </c>
      <c r="U853" s="59" t="s">
        <v>294</v>
      </c>
      <c r="V853" s="59"/>
      <c r="W853" s="68"/>
      <c r="X853" s="68"/>
      <c r="Y853" s="68"/>
    </row>
    <row r="854" s="17" customFormat="1" hidden="1" customHeight="1" spans="1:25">
      <c r="A854" s="59">
        <v>851</v>
      </c>
      <c r="B854" s="60" t="s">
        <v>1936</v>
      </c>
      <c r="C854" s="61">
        <f t="shared" si="56"/>
        <v>45398</v>
      </c>
      <c r="D854" s="62" t="str">
        <f ca="1" t="shared" si="57"/>
        <v>一年以上</v>
      </c>
      <c r="E854" s="313">
        <v>45398</v>
      </c>
      <c r="F854" s="59" t="s">
        <v>632</v>
      </c>
      <c r="G854" s="59" t="s">
        <v>450</v>
      </c>
      <c r="H854" s="63" t="s">
        <v>1413</v>
      </c>
      <c r="I854" s="63" t="str">
        <f t="shared" si="55"/>
        <v>中机国际招标有限公司（青海发投碱业有限公司）</v>
      </c>
      <c r="J854" s="314">
        <v>500</v>
      </c>
      <c r="K854" s="59" t="s">
        <v>28</v>
      </c>
      <c r="L854" s="59" t="s">
        <v>73</v>
      </c>
      <c r="M854" s="59" t="s">
        <v>515</v>
      </c>
      <c r="N854" s="315"/>
      <c r="O854" s="316">
        <f t="shared" si="51"/>
        <v>500</v>
      </c>
      <c r="P854" s="95"/>
      <c r="Q854" s="61">
        <f>P854</f>
        <v>0</v>
      </c>
      <c r="R854" s="59"/>
      <c r="S854" s="59" t="s">
        <v>1937</v>
      </c>
      <c r="T854" s="59" t="s">
        <v>972</v>
      </c>
      <c r="U854" s="59" t="s">
        <v>1465</v>
      </c>
      <c r="V854" s="59"/>
      <c r="W854" s="68"/>
      <c r="X854" s="68"/>
      <c r="Y854" s="68"/>
    </row>
    <row r="855" s="17" customFormat="1" hidden="1" customHeight="1" spans="1:25">
      <c r="A855" s="59">
        <v>852</v>
      </c>
      <c r="B855" s="60" t="s">
        <v>1938</v>
      </c>
      <c r="C855" s="61">
        <f t="shared" si="56"/>
        <v>45399</v>
      </c>
      <c r="D855" s="62" t="str">
        <f ca="1" t="shared" si="57"/>
        <v>一年以上</v>
      </c>
      <c r="E855" s="313">
        <v>45399</v>
      </c>
      <c r="F855" s="59" t="s">
        <v>632</v>
      </c>
      <c r="G855" s="59" t="s">
        <v>450</v>
      </c>
      <c r="H855" s="63" t="s">
        <v>1939</v>
      </c>
      <c r="I855" s="63" t="str">
        <f t="shared" si="55"/>
        <v>青海盐湖镁业有限公司</v>
      </c>
      <c r="J855" s="314">
        <v>1200</v>
      </c>
      <c r="K855" s="59" t="s">
        <v>28</v>
      </c>
      <c r="L855" s="59" t="s">
        <v>73</v>
      </c>
      <c r="M855" s="59" t="s">
        <v>515</v>
      </c>
      <c r="N855" s="315"/>
      <c r="O855" s="316">
        <f t="shared" si="51"/>
        <v>1200</v>
      </c>
      <c r="P855" s="95"/>
      <c r="Q855" s="61"/>
      <c r="R855" s="59"/>
      <c r="S855" s="59" t="s">
        <v>1940</v>
      </c>
      <c r="T855" s="59" t="s">
        <v>972</v>
      </c>
      <c r="U855" s="59" t="s">
        <v>537</v>
      </c>
      <c r="V855" s="59"/>
      <c r="W855" s="68"/>
      <c r="X855" s="68"/>
      <c r="Y855" s="68"/>
    </row>
    <row r="856" s="17" customFormat="1" hidden="1" customHeight="1" spans="1:25">
      <c r="A856" s="59">
        <v>853</v>
      </c>
      <c r="B856" s="60" t="s">
        <v>1941</v>
      </c>
      <c r="C856" s="61">
        <f t="shared" si="56"/>
        <v>45400</v>
      </c>
      <c r="D856" s="62" t="str">
        <f ca="1" t="shared" si="57"/>
        <v>一年以上</v>
      </c>
      <c r="E856" s="313">
        <v>45400</v>
      </c>
      <c r="F856" s="59" t="s">
        <v>632</v>
      </c>
      <c r="G856" s="59" t="s">
        <v>450</v>
      </c>
      <c r="H856" s="63" t="s">
        <v>1665</v>
      </c>
      <c r="I856" s="63" t="str">
        <f t="shared" si="55"/>
        <v>北方水泥有限公司（总部）</v>
      </c>
      <c r="J856" s="314">
        <v>200</v>
      </c>
      <c r="K856" s="59" t="s">
        <v>28</v>
      </c>
      <c r="L856" s="59" t="s">
        <v>73</v>
      </c>
      <c r="M856" s="59" t="s">
        <v>515</v>
      </c>
      <c r="N856" s="315"/>
      <c r="O856" s="316">
        <f t="shared" si="51"/>
        <v>200</v>
      </c>
      <c r="P856" s="95"/>
      <c r="Q856" s="61"/>
      <c r="R856" s="59"/>
      <c r="S856" s="59" t="s">
        <v>1942</v>
      </c>
      <c r="T856" s="59" t="s">
        <v>1943</v>
      </c>
      <c r="U856" s="59" t="s">
        <v>294</v>
      </c>
      <c r="V856" s="59"/>
      <c r="W856" s="68"/>
      <c r="X856" s="68"/>
      <c r="Y856" s="68"/>
    </row>
    <row r="857" s="17" customFormat="1" hidden="1" customHeight="1" spans="1:25">
      <c r="A857" s="59">
        <v>854</v>
      </c>
      <c r="B857" s="60" t="s">
        <v>1944</v>
      </c>
      <c r="C857" s="61">
        <f t="shared" si="56"/>
        <v>45400</v>
      </c>
      <c r="D857" s="62" t="str">
        <f ca="1" t="shared" si="57"/>
        <v>一年以上</v>
      </c>
      <c r="E857" s="313">
        <v>45400</v>
      </c>
      <c r="F857" s="59" t="s">
        <v>632</v>
      </c>
      <c r="G857" s="59" t="s">
        <v>450</v>
      </c>
      <c r="H857" s="63" t="s">
        <v>1665</v>
      </c>
      <c r="I857" s="63" t="str">
        <f t="shared" si="55"/>
        <v>北方水泥有限公司（总部）</v>
      </c>
      <c r="J857" s="314">
        <v>4000</v>
      </c>
      <c r="K857" s="59" t="s">
        <v>28</v>
      </c>
      <c r="L857" s="59" t="s">
        <v>73</v>
      </c>
      <c r="M857" s="59" t="s">
        <v>30</v>
      </c>
      <c r="N857" s="315">
        <v>4000</v>
      </c>
      <c r="O857" s="316">
        <f t="shared" si="51"/>
        <v>0</v>
      </c>
      <c r="P857" s="95">
        <v>45404</v>
      </c>
      <c r="Q857" s="61">
        <f t="shared" ref="Q857:Q871" si="58">P857</f>
        <v>45404</v>
      </c>
      <c r="R857" s="59"/>
      <c r="S857" s="59" t="s">
        <v>1942</v>
      </c>
      <c r="T857" s="59" t="s">
        <v>1943</v>
      </c>
      <c r="U857" s="59" t="s">
        <v>294</v>
      </c>
      <c r="V857" s="59"/>
      <c r="W857" s="68"/>
      <c r="X857" s="68"/>
      <c r="Y857" s="68"/>
    </row>
    <row r="858" s="17" customFormat="1" hidden="1" customHeight="1" spans="1:25">
      <c r="A858" s="59">
        <v>855</v>
      </c>
      <c r="B858" s="60" t="s">
        <v>1945</v>
      </c>
      <c r="C858" s="61">
        <f t="shared" si="56"/>
        <v>45412</v>
      </c>
      <c r="D858" s="62" t="str">
        <f ca="1" t="shared" si="57"/>
        <v>一年以上</v>
      </c>
      <c r="E858" s="313">
        <v>45412</v>
      </c>
      <c r="F858" s="59" t="s">
        <v>632</v>
      </c>
      <c r="G858" s="59" t="s">
        <v>450</v>
      </c>
      <c r="H858" s="63" t="s">
        <v>1939</v>
      </c>
      <c r="I858" s="63" t="str">
        <f t="shared" si="55"/>
        <v>青海盐湖镁业有限公司</v>
      </c>
      <c r="J858" s="314">
        <v>20000</v>
      </c>
      <c r="K858" s="59" t="s">
        <v>28</v>
      </c>
      <c r="L858" s="59" t="s">
        <v>73</v>
      </c>
      <c r="M858" s="59" t="s">
        <v>30</v>
      </c>
      <c r="N858" s="315">
        <v>20000</v>
      </c>
      <c r="O858" s="316">
        <f t="shared" si="51"/>
        <v>0</v>
      </c>
      <c r="P858" s="95">
        <v>45484</v>
      </c>
      <c r="Q858" s="61">
        <f t="shared" si="58"/>
        <v>45484</v>
      </c>
      <c r="R858" s="59"/>
      <c r="S858" s="59" t="s">
        <v>1940</v>
      </c>
      <c r="T858" s="59" t="s">
        <v>972</v>
      </c>
      <c r="U858" s="59" t="s">
        <v>537</v>
      </c>
      <c r="V858" s="59"/>
      <c r="W858" s="68"/>
      <c r="X858" s="68"/>
      <c r="Y858" s="68"/>
    </row>
    <row r="859" s="17" customFormat="1" hidden="1" customHeight="1" spans="1:25">
      <c r="A859" s="59">
        <v>856</v>
      </c>
      <c r="B859" s="60" t="s">
        <v>1946</v>
      </c>
      <c r="C859" s="61">
        <f t="shared" si="56"/>
        <v>45409</v>
      </c>
      <c r="D859" s="62" t="str">
        <f ca="1" t="shared" si="57"/>
        <v>一年以上</v>
      </c>
      <c r="E859" s="313">
        <v>45409</v>
      </c>
      <c r="F859" s="59" t="s">
        <v>1875</v>
      </c>
      <c r="G859" s="59" t="s">
        <v>1876</v>
      </c>
      <c r="H859" s="63" t="s">
        <v>863</v>
      </c>
      <c r="I859" s="63" t="str">
        <f t="shared" si="55"/>
        <v>青海发投碱业有限公司</v>
      </c>
      <c r="J859" s="314">
        <v>3000</v>
      </c>
      <c r="K859" s="59" t="s">
        <v>28</v>
      </c>
      <c r="L859" s="59" t="s">
        <v>73</v>
      </c>
      <c r="M859" s="59" t="s">
        <v>65</v>
      </c>
      <c r="N859" s="315">
        <v>3000</v>
      </c>
      <c r="O859" s="316">
        <f t="shared" ref="O859:O881" si="59">J859-N859</f>
        <v>0</v>
      </c>
      <c r="P859" s="95">
        <v>45530</v>
      </c>
      <c r="Q859" s="61">
        <f t="shared" si="58"/>
        <v>45530</v>
      </c>
      <c r="R859" s="59"/>
      <c r="S859" s="59" t="s">
        <v>1947</v>
      </c>
      <c r="T859" s="59" t="s">
        <v>972</v>
      </c>
      <c r="U859" s="59" t="s">
        <v>1465</v>
      </c>
      <c r="V859" s="59"/>
      <c r="W859" s="68"/>
      <c r="X859" s="68"/>
      <c r="Y859" s="68"/>
    </row>
    <row r="860" s="17" customFormat="1" hidden="1" customHeight="1" spans="1:25">
      <c r="A860" s="59">
        <v>857</v>
      </c>
      <c r="B860" s="60" t="s">
        <v>1948</v>
      </c>
      <c r="C860" s="61">
        <f t="shared" si="56"/>
        <v>45407</v>
      </c>
      <c r="D860" s="62" t="str">
        <f ca="1" t="shared" si="57"/>
        <v>一年以上</v>
      </c>
      <c r="E860" s="313">
        <v>45407</v>
      </c>
      <c r="F860" s="59" t="s">
        <v>1875</v>
      </c>
      <c r="G860" s="59" t="s">
        <v>1876</v>
      </c>
      <c r="H860" s="63" t="s">
        <v>863</v>
      </c>
      <c r="I860" s="63" t="str">
        <f t="shared" si="55"/>
        <v>青海发投碱业有限公司</v>
      </c>
      <c r="J860" s="314">
        <v>10000</v>
      </c>
      <c r="K860" s="59" t="s">
        <v>28</v>
      </c>
      <c r="L860" s="59" t="s">
        <v>73</v>
      </c>
      <c r="M860" s="59" t="s">
        <v>65</v>
      </c>
      <c r="N860" s="315">
        <v>10000</v>
      </c>
      <c r="O860" s="316">
        <f t="shared" si="59"/>
        <v>0</v>
      </c>
      <c r="P860" s="95">
        <v>45563</v>
      </c>
      <c r="Q860" s="61">
        <f t="shared" si="58"/>
        <v>45563</v>
      </c>
      <c r="R860" s="59"/>
      <c r="S860" s="80" t="s">
        <v>1949</v>
      </c>
      <c r="T860" s="59" t="s">
        <v>972</v>
      </c>
      <c r="U860" s="59" t="s">
        <v>1465</v>
      </c>
      <c r="V860" s="59"/>
      <c r="W860" s="68"/>
      <c r="X860" s="68"/>
      <c r="Y860" s="68"/>
    </row>
    <row r="861" s="17" customFormat="1" hidden="1" customHeight="1" spans="1:25">
      <c r="A861" s="59">
        <v>858</v>
      </c>
      <c r="B861" s="60" t="s">
        <v>1950</v>
      </c>
      <c r="C861" s="61">
        <f t="shared" si="56"/>
        <v>45407</v>
      </c>
      <c r="D861" s="62" t="str">
        <f ca="1" t="shared" si="57"/>
        <v>一年以上</v>
      </c>
      <c r="E861" s="313">
        <v>45407</v>
      </c>
      <c r="F861" s="59" t="s">
        <v>1875</v>
      </c>
      <c r="G861" s="59" t="s">
        <v>1876</v>
      </c>
      <c r="H861" s="63" t="s">
        <v>863</v>
      </c>
      <c r="I861" s="63" t="str">
        <f t="shared" si="55"/>
        <v>青海发投碱业有限公司</v>
      </c>
      <c r="J861" s="314">
        <v>8000</v>
      </c>
      <c r="K861" s="59" t="s">
        <v>28</v>
      </c>
      <c r="L861" s="59" t="s">
        <v>73</v>
      </c>
      <c r="M861" s="59" t="s">
        <v>65</v>
      </c>
      <c r="N861" s="315">
        <v>8000</v>
      </c>
      <c r="O861" s="316">
        <f t="shared" si="59"/>
        <v>0</v>
      </c>
      <c r="P861" s="95">
        <v>45563</v>
      </c>
      <c r="Q861" s="61">
        <f t="shared" si="58"/>
        <v>45563</v>
      </c>
      <c r="R861" s="59"/>
      <c r="S861" s="59" t="s">
        <v>1951</v>
      </c>
      <c r="T861" s="59" t="s">
        <v>972</v>
      </c>
      <c r="U861" s="59" t="s">
        <v>1465</v>
      </c>
      <c r="V861" s="59"/>
      <c r="W861" s="68"/>
      <c r="X861" s="68"/>
      <c r="Y861" s="68"/>
    </row>
    <row r="862" s="17" customFormat="1" hidden="1" customHeight="1" spans="1:25">
      <c r="A862" s="59">
        <v>859</v>
      </c>
      <c r="B862" s="60" t="s">
        <v>1952</v>
      </c>
      <c r="C862" s="61">
        <f t="shared" si="56"/>
        <v>45407</v>
      </c>
      <c r="D862" s="62" t="str">
        <f ca="1" t="shared" si="57"/>
        <v>一年以上</v>
      </c>
      <c r="E862" s="313">
        <v>45407</v>
      </c>
      <c r="F862" s="59" t="s">
        <v>1875</v>
      </c>
      <c r="G862" s="59" t="s">
        <v>1876</v>
      </c>
      <c r="H862" s="63" t="s">
        <v>863</v>
      </c>
      <c r="I862" s="63" t="str">
        <f t="shared" si="55"/>
        <v>青海发投碱业有限公司</v>
      </c>
      <c r="J862" s="314">
        <v>5000</v>
      </c>
      <c r="K862" s="59" t="s">
        <v>28</v>
      </c>
      <c r="L862" s="59" t="s">
        <v>73</v>
      </c>
      <c r="M862" s="59" t="s">
        <v>65</v>
      </c>
      <c r="N862" s="315">
        <v>5000</v>
      </c>
      <c r="O862" s="316">
        <f t="shared" si="59"/>
        <v>0</v>
      </c>
      <c r="P862" s="95">
        <v>45563</v>
      </c>
      <c r="Q862" s="61">
        <f t="shared" si="58"/>
        <v>45563</v>
      </c>
      <c r="R862" s="59"/>
      <c r="S862" s="59" t="s">
        <v>1953</v>
      </c>
      <c r="T862" s="59" t="s">
        <v>972</v>
      </c>
      <c r="U862" s="59" t="s">
        <v>1465</v>
      </c>
      <c r="V862" s="59"/>
      <c r="W862" s="68"/>
      <c r="X862" s="68"/>
      <c r="Y862" s="68"/>
    </row>
    <row r="863" s="17" customFormat="1" hidden="1" customHeight="1" spans="1:25">
      <c r="A863" s="59">
        <v>860</v>
      </c>
      <c r="B863" s="60" t="s">
        <v>1954</v>
      </c>
      <c r="C863" s="61">
        <f t="shared" si="56"/>
        <v>45411</v>
      </c>
      <c r="D863" s="62" t="str">
        <f ca="1" t="shared" si="57"/>
        <v>一年以上</v>
      </c>
      <c r="E863" s="313">
        <v>45411</v>
      </c>
      <c r="F863" s="59" t="s">
        <v>1875</v>
      </c>
      <c r="G863" s="59" t="s">
        <v>1876</v>
      </c>
      <c r="H863" s="63" t="s">
        <v>863</v>
      </c>
      <c r="I863" s="63" t="s">
        <v>863</v>
      </c>
      <c r="J863" s="314">
        <v>14000</v>
      </c>
      <c r="K863" s="59" t="s">
        <v>28</v>
      </c>
      <c r="L863" s="59" t="s">
        <v>73</v>
      </c>
      <c r="M863" s="59" t="s">
        <v>65</v>
      </c>
      <c r="N863" s="315">
        <v>14000</v>
      </c>
      <c r="O863" s="316">
        <f t="shared" si="59"/>
        <v>0</v>
      </c>
      <c r="P863" s="95">
        <v>45530</v>
      </c>
      <c r="Q863" s="61">
        <f t="shared" si="58"/>
        <v>45530</v>
      </c>
      <c r="R863" s="59">
        <v>0</v>
      </c>
      <c r="S863" s="59" t="s">
        <v>1955</v>
      </c>
      <c r="T863" s="59" t="s">
        <v>1956</v>
      </c>
      <c r="U863" s="59" t="s">
        <v>1957</v>
      </c>
      <c r="V863" s="59" t="s">
        <v>653</v>
      </c>
      <c r="W863" s="68"/>
      <c r="X863" s="68"/>
      <c r="Y863" s="68"/>
    </row>
    <row r="864" s="17" customFormat="1" hidden="1" customHeight="1" spans="1:25">
      <c r="A864" s="59">
        <v>861</v>
      </c>
      <c r="B864" s="60" t="s">
        <v>1958</v>
      </c>
      <c r="C864" s="61">
        <f t="shared" si="56"/>
        <v>45417</v>
      </c>
      <c r="D864" s="62" t="str">
        <f ca="1" t="shared" si="57"/>
        <v>一年以上</v>
      </c>
      <c r="E864" s="313">
        <v>45417</v>
      </c>
      <c r="F864" s="59" t="s">
        <v>632</v>
      </c>
      <c r="G864" s="59" t="s">
        <v>450</v>
      </c>
      <c r="H864" s="63" t="s">
        <v>851</v>
      </c>
      <c r="I864" s="63" t="s">
        <v>851</v>
      </c>
      <c r="J864" s="314">
        <v>10000</v>
      </c>
      <c r="K864" s="59" t="s">
        <v>28</v>
      </c>
      <c r="L864" s="59" t="s">
        <v>73</v>
      </c>
      <c r="M864" s="59" t="s">
        <v>30</v>
      </c>
      <c r="N864" s="315">
        <v>10000</v>
      </c>
      <c r="O864" s="316">
        <f t="shared" si="59"/>
        <v>0</v>
      </c>
      <c r="P864" s="95">
        <v>45441</v>
      </c>
      <c r="Q864" s="61">
        <f t="shared" si="58"/>
        <v>45441</v>
      </c>
      <c r="R864" s="59">
        <v>0</v>
      </c>
      <c r="S864" s="59" t="s">
        <v>1959</v>
      </c>
      <c r="T864" s="59" t="s">
        <v>1956</v>
      </c>
      <c r="U864" s="59"/>
      <c r="V864" s="59" t="s">
        <v>653</v>
      </c>
      <c r="W864" s="68"/>
      <c r="X864" s="68"/>
      <c r="Y864" s="68"/>
    </row>
    <row r="865" s="17" customFormat="1" hidden="1" customHeight="1" spans="1:25">
      <c r="A865" s="59">
        <v>862</v>
      </c>
      <c r="B865" s="60" t="s">
        <v>1960</v>
      </c>
      <c r="C865" s="61">
        <f t="shared" si="56"/>
        <v>45418</v>
      </c>
      <c r="D865" s="62" t="str">
        <f ca="1" t="shared" si="57"/>
        <v>一年以上</v>
      </c>
      <c r="E865" s="313">
        <v>45418</v>
      </c>
      <c r="F865" s="59" t="s">
        <v>632</v>
      </c>
      <c r="G865" s="59" t="s">
        <v>450</v>
      </c>
      <c r="H865" s="63" t="s">
        <v>1900</v>
      </c>
      <c r="I865" s="63" t="s">
        <v>1900</v>
      </c>
      <c r="J865" s="314">
        <v>8000</v>
      </c>
      <c r="K865" s="59" t="s">
        <v>28</v>
      </c>
      <c r="L865" s="59" t="s">
        <v>73</v>
      </c>
      <c r="M865" s="59" t="s">
        <v>30</v>
      </c>
      <c r="N865" s="315">
        <v>8000</v>
      </c>
      <c r="O865" s="316">
        <f t="shared" si="59"/>
        <v>0</v>
      </c>
      <c r="P865" s="95">
        <v>45468</v>
      </c>
      <c r="Q865" s="61">
        <f t="shared" si="58"/>
        <v>45468</v>
      </c>
      <c r="R865" s="59">
        <v>0</v>
      </c>
      <c r="S865" s="59" t="s">
        <v>1961</v>
      </c>
      <c r="T865" s="59" t="s">
        <v>1956</v>
      </c>
      <c r="U865" s="59" t="s">
        <v>1957</v>
      </c>
      <c r="V865" s="59" t="s">
        <v>653</v>
      </c>
      <c r="W865" s="68"/>
      <c r="X865" s="68"/>
      <c r="Y865" s="68"/>
    </row>
    <row r="866" s="17" customFormat="1" hidden="1" customHeight="1" spans="1:25">
      <c r="A866" s="59">
        <v>863</v>
      </c>
      <c r="B866" s="60" t="s">
        <v>1962</v>
      </c>
      <c r="C866" s="61">
        <f t="shared" si="56"/>
        <v>45420</v>
      </c>
      <c r="D866" s="62" t="str">
        <f ca="1" t="shared" si="57"/>
        <v>一年以上</v>
      </c>
      <c r="E866" s="313">
        <v>45420</v>
      </c>
      <c r="F866" s="59" t="s">
        <v>130</v>
      </c>
      <c r="G866" s="59" t="s">
        <v>1963</v>
      </c>
      <c r="H866" s="63" t="s">
        <v>863</v>
      </c>
      <c r="I866" s="63" t="s">
        <v>863</v>
      </c>
      <c r="J866" s="314">
        <v>14300</v>
      </c>
      <c r="K866" s="59" t="s">
        <v>28</v>
      </c>
      <c r="L866" s="59" t="s">
        <v>73</v>
      </c>
      <c r="M866" s="59" t="s">
        <v>133</v>
      </c>
      <c r="N866" s="320">
        <v>14300</v>
      </c>
      <c r="O866" s="316">
        <f t="shared" si="59"/>
        <v>0</v>
      </c>
      <c r="P866" s="95">
        <v>46081</v>
      </c>
      <c r="Q866" s="61">
        <f t="shared" si="58"/>
        <v>46081</v>
      </c>
      <c r="R866" s="59">
        <v>0</v>
      </c>
      <c r="S866" s="59" t="s">
        <v>1964</v>
      </c>
      <c r="T866" s="59" t="s">
        <v>1956</v>
      </c>
      <c r="U866" s="59" t="s">
        <v>1957</v>
      </c>
      <c r="V866" s="59" t="s">
        <v>653</v>
      </c>
      <c r="W866" s="68"/>
      <c r="X866" s="68"/>
      <c r="Y866" s="68"/>
    </row>
    <row r="867" s="17" customFormat="1" hidden="1" customHeight="1" spans="1:25">
      <c r="A867" s="59">
        <v>864</v>
      </c>
      <c r="B867" s="60" t="s">
        <v>1965</v>
      </c>
      <c r="C867" s="61">
        <f t="shared" si="56"/>
        <v>45423</v>
      </c>
      <c r="D867" s="62" t="str">
        <f ca="1" t="shared" si="57"/>
        <v>一年以上</v>
      </c>
      <c r="E867" s="313">
        <v>45423</v>
      </c>
      <c r="F867" s="59" t="s">
        <v>1875</v>
      </c>
      <c r="G867" s="59" t="s">
        <v>1876</v>
      </c>
      <c r="H867" s="63" t="s">
        <v>863</v>
      </c>
      <c r="I867" s="63" t="s">
        <v>863</v>
      </c>
      <c r="J867" s="314">
        <v>14300</v>
      </c>
      <c r="K867" s="59" t="s">
        <v>28</v>
      </c>
      <c r="L867" s="59" t="s">
        <v>73</v>
      </c>
      <c r="M867" s="59" t="s">
        <v>941</v>
      </c>
      <c r="N867" s="320">
        <v>14300</v>
      </c>
      <c r="O867" s="316">
        <f t="shared" si="59"/>
        <v>0</v>
      </c>
      <c r="P867" s="95">
        <v>46081</v>
      </c>
      <c r="Q867" s="61">
        <f t="shared" si="58"/>
        <v>46081</v>
      </c>
      <c r="R867" s="59">
        <v>0</v>
      </c>
      <c r="S867" s="59" t="s">
        <v>1964</v>
      </c>
      <c r="T867" s="59" t="s">
        <v>1798</v>
      </c>
      <c r="U867" s="59" t="s">
        <v>1957</v>
      </c>
      <c r="V867" s="59" t="s">
        <v>653</v>
      </c>
      <c r="W867" s="68"/>
      <c r="X867" s="68"/>
      <c r="Y867" s="68"/>
    </row>
    <row r="868" s="17" customFormat="1" hidden="1" customHeight="1" spans="1:25">
      <c r="A868" s="59">
        <v>865</v>
      </c>
      <c r="B868" s="60" t="s">
        <v>1966</v>
      </c>
      <c r="C868" s="61">
        <f t="shared" si="56"/>
        <v>45423</v>
      </c>
      <c r="D868" s="62" t="str">
        <f ca="1" t="shared" si="57"/>
        <v>一年以上</v>
      </c>
      <c r="E868" s="313">
        <v>45423</v>
      </c>
      <c r="F868" s="59" t="s">
        <v>1875</v>
      </c>
      <c r="G868" s="59" t="s">
        <v>1876</v>
      </c>
      <c r="H868" s="63" t="s">
        <v>863</v>
      </c>
      <c r="I868" s="63" t="s">
        <v>863</v>
      </c>
      <c r="J868" s="314">
        <v>15000</v>
      </c>
      <c r="K868" s="59" t="s">
        <v>28</v>
      </c>
      <c r="L868" s="59" t="s">
        <v>73</v>
      </c>
      <c r="M868" s="59" t="s">
        <v>65</v>
      </c>
      <c r="N868" s="315">
        <v>15000</v>
      </c>
      <c r="O868" s="316">
        <f t="shared" si="59"/>
        <v>0</v>
      </c>
      <c r="P868" s="95">
        <v>45831</v>
      </c>
      <c r="Q868" s="61">
        <f t="shared" si="58"/>
        <v>45831</v>
      </c>
      <c r="R868" s="59">
        <v>0</v>
      </c>
      <c r="S868" s="59" t="s">
        <v>1964</v>
      </c>
      <c r="T868" s="59" t="s">
        <v>1798</v>
      </c>
      <c r="U868" s="59" t="s">
        <v>1957</v>
      </c>
      <c r="V868" s="59" t="s">
        <v>653</v>
      </c>
      <c r="W868" s="68"/>
      <c r="X868" s="68"/>
      <c r="Y868" s="68"/>
    </row>
    <row r="869" s="17" customFormat="1" hidden="1" customHeight="1" spans="1:25">
      <c r="A869" s="59">
        <v>866</v>
      </c>
      <c r="B869" s="60" t="s">
        <v>1967</v>
      </c>
      <c r="C869" s="61">
        <f t="shared" si="56"/>
        <v>45432</v>
      </c>
      <c r="D869" s="62" t="str">
        <f ca="1" t="shared" si="57"/>
        <v>一年以上</v>
      </c>
      <c r="E869" s="313">
        <v>45432</v>
      </c>
      <c r="F869" s="59" t="s">
        <v>632</v>
      </c>
      <c r="G869" s="59" t="s">
        <v>450</v>
      </c>
      <c r="H869" s="63" t="s">
        <v>851</v>
      </c>
      <c r="I869" s="63" t="s">
        <v>851</v>
      </c>
      <c r="J869" s="314">
        <v>10000</v>
      </c>
      <c r="K869" s="59" t="s">
        <v>28</v>
      </c>
      <c r="L869" s="59" t="s">
        <v>73</v>
      </c>
      <c r="M869" s="59" t="s">
        <v>30</v>
      </c>
      <c r="N869" s="315">
        <v>10000</v>
      </c>
      <c r="O869" s="316">
        <f t="shared" si="59"/>
        <v>0</v>
      </c>
      <c r="P869" s="95">
        <v>45482</v>
      </c>
      <c r="Q869" s="61">
        <f t="shared" si="58"/>
        <v>45482</v>
      </c>
      <c r="R869" s="59">
        <v>0</v>
      </c>
      <c r="S869" s="59" t="s">
        <v>1968</v>
      </c>
      <c r="T869" s="59" t="s">
        <v>1798</v>
      </c>
      <c r="U869" s="59"/>
      <c r="V869" s="59" t="s">
        <v>653</v>
      </c>
      <c r="W869" s="68"/>
      <c r="X869" s="68"/>
      <c r="Y869" s="68"/>
    </row>
    <row r="870" s="17" customFormat="1" hidden="1" customHeight="1" spans="1:25">
      <c r="A870" s="59">
        <v>867</v>
      </c>
      <c r="B870" s="60" t="s">
        <v>1969</v>
      </c>
      <c r="C870" s="61">
        <f t="shared" si="56"/>
        <v>45429</v>
      </c>
      <c r="D870" s="62" t="str">
        <f ca="1" t="shared" si="57"/>
        <v>一年以上</v>
      </c>
      <c r="E870" s="313">
        <v>45429</v>
      </c>
      <c r="F870" s="59" t="s">
        <v>632</v>
      </c>
      <c r="G870" s="59" t="s">
        <v>450</v>
      </c>
      <c r="H870" s="63" t="s">
        <v>1418</v>
      </c>
      <c r="I870" s="63" t="s">
        <v>1970</v>
      </c>
      <c r="J870" s="314">
        <v>8000</v>
      </c>
      <c r="K870" s="59" t="s">
        <v>28</v>
      </c>
      <c r="L870" s="59" t="s">
        <v>73</v>
      </c>
      <c r="M870" s="59" t="s">
        <v>30</v>
      </c>
      <c r="N870" s="315">
        <v>8000</v>
      </c>
      <c r="O870" s="316">
        <f t="shared" si="59"/>
        <v>0</v>
      </c>
      <c r="P870" s="95">
        <v>45548</v>
      </c>
      <c r="Q870" s="61">
        <f t="shared" si="58"/>
        <v>45548</v>
      </c>
      <c r="R870" s="59"/>
      <c r="S870" s="59" t="s">
        <v>1971</v>
      </c>
      <c r="T870" s="59" t="s">
        <v>1798</v>
      </c>
      <c r="U870" s="59" t="s">
        <v>1957</v>
      </c>
      <c r="V870" s="59" t="s">
        <v>653</v>
      </c>
      <c r="W870" s="68"/>
      <c r="X870" s="68"/>
      <c r="Y870" s="68"/>
    </row>
    <row r="871" s="17" customFormat="1" hidden="1" customHeight="1" spans="1:25">
      <c r="A871" s="59">
        <v>868</v>
      </c>
      <c r="B871" s="60" t="s">
        <v>1972</v>
      </c>
      <c r="C871" s="61">
        <f t="shared" si="56"/>
        <v>45427</v>
      </c>
      <c r="D871" s="62" t="str">
        <f ca="1" t="shared" si="57"/>
        <v>一年以上</v>
      </c>
      <c r="E871" s="313">
        <v>45427</v>
      </c>
      <c r="F871" s="59" t="s">
        <v>632</v>
      </c>
      <c r="G871" s="59" t="s">
        <v>450</v>
      </c>
      <c r="H871" s="63" t="s">
        <v>1900</v>
      </c>
      <c r="I871" s="63" t="s">
        <v>1900</v>
      </c>
      <c r="J871" s="314">
        <v>20000</v>
      </c>
      <c r="K871" s="59" t="s">
        <v>28</v>
      </c>
      <c r="L871" s="59" t="s">
        <v>73</v>
      </c>
      <c r="M871" s="59" t="s">
        <v>30</v>
      </c>
      <c r="N871" s="315">
        <v>20000</v>
      </c>
      <c r="O871" s="316">
        <f t="shared" si="59"/>
        <v>0</v>
      </c>
      <c r="P871" s="95">
        <v>45460</v>
      </c>
      <c r="Q871" s="61">
        <f t="shared" si="58"/>
        <v>45460</v>
      </c>
      <c r="R871" s="59">
        <v>0</v>
      </c>
      <c r="S871" s="59" t="s">
        <v>1973</v>
      </c>
      <c r="T871" s="59" t="s">
        <v>1798</v>
      </c>
      <c r="U871" s="59" t="s">
        <v>1957</v>
      </c>
      <c r="V871" s="59" t="s">
        <v>653</v>
      </c>
      <c r="W871" s="68"/>
      <c r="X871" s="68"/>
      <c r="Y871" s="68"/>
    </row>
    <row r="872" s="17" customFormat="1" hidden="1" customHeight="1" spans="1:25">
      <c r="A872" s="59">
        <v>869</v>
      </c>
      <c r="B872" s="60" t="s">
        <v>1974</v>
      </c>
      <c r="C872" s="61">
        <f t="shared" si="56"/>
        <v>0</v>
      </c>
      <c r="D872" s="62" t="str">
        <f ca="1" t="shared" si="57"/>
        <v>一年以上</v>
      </c>
      <c r="E872" s="313"/>
      <c r="F872" s="59" t="s">
        <v>632</v>
      </c>
      <c r="G872" s="59" t="s">
        <v>450</v>
      </c>
      <c r="H872" s="63" t="s">
        <v>1487</v>
      </c>
      <c r="I872" s="63" t="s">
        <v>1487</v>
      </c>
      <c r="J872" s="314">
        <v>0</v>
      </c>
      <c r="K872" s="59" t="s">
        <v>28</v>
      </c>
      <c r="L872" s="59" t="s">
        <v>73</v>
      </c>
      <c r="M872" s="59" t="s">
        <v>30</v>
      </c>
      <c r="N872" s="315"/>
      <c r="O872" s="316">
        <f t="shared" si="59"/>
        <v>0</v>
      </c>
      <c r="P872" s="95"/>
      <c r="Q872" s="61"/>
      <c r="R872" s="59">
        <v>0</v>
      </c>
      <c r="S872" s="59" t="s">
        <v>1975</v>
      </c>
      <c r="T872" s="59" t="s">
        <v>1798</v>
      </c>
      <c r="U872" s="59" t="s">
        <v>1957</v>
      </c>
      <c r="V872" s="59" t="s">
        <v>653</v>
      </c>
      <c r="W872" s="68"/>
      <c r="X872" s="68"/>
      <c r="Y872" s="68"/>
    </row>
    <row r="873" s="17" customFormat="1" hidden="1" customHeight="1" spans="1:25">
      <c r="A873" s="59">
        <v>870</v>
      </c>
      <c r="B873" s="60" t="s">
        <v>1976</v>
      </c>
      <c r="C873" s="61">
        <f t="shared" si="56"/>
        <v>45433</v>
      </c>
      <c r="D873" s="62" t="str">
        <f ca="1" t="shared" si="57"/>
        <v>一年以上</v>
      </c>
      <c r="E873" s="313">
        <v>45433</v>
      </c>
      <c r="F873" s="59" t="s">
        <v>70</v>
      </c>
      <c r="G873" s="59" t="s">
        <v>1977</v>
      </c>
      <c r="H873" s="63" t="s">
        <v>1610</v>
      </c>
      <c r="I873" s="63" t="s">
        <v>1610</v>
      </c>
      <c r="J873" s="314">
        <v>5000</v>
      </c>
      <c r="K873" s="59" t="s">
        <v>28</v>
      </c>
      <c r="L873" s="59" t="s">
        <v>73</v>
      </c>
      <c r="M873" s="59" t="s">
        <v>65</v>
      </c>
      <c r="N873" s="315">
        <v>5000</v>
      </c>
      <c r="O873" s="316">
        <f t="shared" si="59"/>
        <v>0</v>
      </c>
      <c r="P873" s="95">
        <v>45492</v>
      </c>
      <c r="Q873" s="61">
        <f>P873</f>
        <v>45492</v>
      </c>
      <c r="R873" s="59">
        <v>0</v>
      </c>
      <c r="S873" s="59" t="s">
        <v>653</v>
      </c>
      <c r="T873" s="59" t="s">
        <v>1956</v>
      </c>
      <c r="U873" s="59" t="s">
        <v>1957</v>
      </c>
      <c r="V873" s="59" t="s">
        <v>653</v>
      </c>
      <c r="W873" s="68"/>
      <c r="X873" s="68"/>
      <c r="Y873" s="68"/>
    </row>
    <row r="874" s="17" customFormat="1" hidden="1" customHeight="1" spans="1:25">
      <c r="A874" s="59">
        <v>871</v>
      </c>
      <c r="B874" s="60" t="s">
        <v>1978</v>
      </c>
      <c r="C874" s="61">
        <f t="shared" si="56"/>
        <v>45443</v>
      </c>
      <c r="D874" s="62" t="str">
        <f ca="1" t="shared" si="57"/>
        <v>一年以上</v>
      </c>
      <c r="E874" s="313">
        <v>45443</v>
      </c>
      <c r="F874" s="59" t="s">
        <v>632</v>
      </c>
      <c r="G874" s="59" t="s">
        <v>450</v>
      </c>
      <c r="H874" s="63" t="s">
        <v>90</v>
      </c>
      <c r="I874" s="63" t="s">
        <v>90</v>
      </c>
      <c r="J874" s="314">
        <v>20000</v>
      </c>
      <c r="K874" s="59" t="s">
        <v>28</v>
      </c>
      <c r="L874" s="59" t="s">
        <v>1798</v>
      </c>
      <c r="M874" s="59" t="s">
        <v>30</v>
      </c>
      <c r="N874" s="315">
        <v>20000</v>
      </c>
      <c r="O874" s="316">
        <f t="shared" si="59"/>
        <v>0</v>
      </c>
      <c r="P874" s="95">
        <v>45554</v>
      </c>
      <c r="Q874" s="61">
        <f>P874</f>
        <v>45554</v>
      </c>
      <c r="R874" s="59"/>
      <c r="S874" s="59" t="s">
        <v>1979</v>
      </c>
      <c r="T874" s="59"/>
      <c r="U874" s="59" t="s">
        <v>1957</v>
      </c>
      <c r="V874" s="59" t="s">
        <v>653</v>
      </c>
      <c r="W874" s="68"/>
      <c r="X874" s="68"/>
      <c r="Y874" s="68"/>
    </row>
    <row r="875" s="17" customFormat="1" hidden="1" customHeight="1" spans="1:25">
      <c r="A875" s="59">
        <v>872</v>
      </c>
      <c r="B875" s="60" t="s">
        <v>1980</v>
      </c>
      <c r="C875" s="61">
        <f t="shared" si="56"/>
        <v>45443</v>
      </c>
      <c r="D875" s="62" t="str">
        <f ca="1" t="shared" si="57"/>
        <v>一年以上</v>
      </c>
      <c r="E875" s="313">
        <v>45443</v>
      </c>
      <c r="F875" s="59" t="s">
        <v>632</v>
      </c>
      <c r="G875" s="59" t="s">
        <v>450</v>
      </c>
      <c r="H875" s="63" t="s">
        <v>90</v>
      </c>
      <c r="I875" s="63" t="s">
        <v>90</v>
      </c>
      <c r="J875" s="314">
        <v>50000</v>
      </c>
      <c r="K875" s="59" t="s">
        <v>28</v>
      </c>
      <c r="L875" s="59" t="s">
        <v>73</v>
      </c>
      <c r="M875" s="59" t="s">
        <v>30</v>
      </c>
      <c r="N875" s="315"/>
      <c r="O875" s="316">
        <f t="shared" si="59"/>
        <v>50000</v>
      </c>
      <c r="P875" s="95"/>
      <c r="Q875" s="61"/>
      <c r="R875" s="59" t="s">
        <v>1981</v>
      </c>
      <c r="S875" s="80" t="s">
        <v>1982</v>
      </c>
      <c r="T875" s="59"/>
      <c r="U875" s="59" t="s">
        <v>1957</v>
      </c>
      <c r="V875" s="59" t="s">
        <v>653</v>
      </c>
      <c r="W875" s="68" t="s">
        <v>1983</v>
      </c>
      <c r="X875" s="68"/>
      <c r="Y875" s="68"/>
    </row>
    <row r="876" s="17" customFormat="1" hidden="1" customHeight="1" spans="1:25">
      <c r="A876" s="59">
        <v>873</v>
      </c>
      <c r="B876" s="60" t="s">
        <v>1984</v>
      </c>
      <c r="C876" s="61">
        <f t="shared" si="56"/>
        <v>0</v>
      </c>
      <c r="D876" s="62" t="str">
        <f ca="1" t="shared" si="57"/>
        <v>一年以上</v>
      </c>
      <c r="E876" s="313"/>
      <c r="F876" s="59" t="s">
        <v>70</v>
      </c>
      <c r="G876" s="59" t="s">
        <v>1977</v>
      </c>
      <c r="H876" s="63" t="s">
        <v>797</v>
      </c>
      <c r="I876" s="63" t="s">
        <v>797</v>
      </c>
      <c r="J876" s="314">
        <v>0</v>
      </c>
      <c r="K876" s="59" t="s">
        <v>28</v>
      </c>
      <c r="L876" s="59" t="s">
        <v>1798</v>
      </c>
      <c r="M876" s="59" t="s">
        <v>65</v>
      </c>
      <c r="N876" s="315"/>
      <c r="O876" s="316">
        <f t="shared" si="59"/>
        <v>0</v>
      </c>
      <c r="P876" s="95"/>
      <c r="Q876" s="61"/>
      <c r="R876" s="59">
        <v>0</v>
      </c>
      <c r="S876" s="59" t="s">
        <v>653</v>
      </c>
      <c r="T876" s="59"/>
      <c r="U876" s="59" t="s">
        <v>1957</v>
      </c>
      <c r="V876" s="59" t="s">
        <v>653</v>
      </c>
      <c r="W876" s="68"/>
      <c r="X876" s="68"/>
      <c r="Y876" s="68"/>
    </row>
    <row r="877" s="17" customFormat="1" hidden="1" customHeight="1" spans="1:25">
      <c r="A877" s="59">
        <v>874</v>
      </c>
      <c r="B877" s="60" t="s">
        <v>1985</v>
      </c>
      <c r="C877" s="61">
        <f t="shared" si="56"/>
        <v>45468</v>
      </c>
      <c r="D877" s="62" t="str">
        <f ca="1" t="shared" si="57"/>
        <v>一年以上</v>
      </c>
      <c r="E877" s="313">
        <v>45468</v>
      </c>
      <c r="F877" s="59" t="s">
        <v>130</v>
      </c>
      <c r="G877" s="59" t="s">
        <v>1963</v>
      </c>
      <c r="H877" s="63" t="s">
        <v>863</v>
      </c>
      <c r="I877" s="63" t="s">
        <v>863</v>
      </c>
      <c r="J877" s="314">
        <v>6950</v>
      </c>
      <c r="K877" s="59" t="s">
        <v>28</v>
      </c>
      <c r="L877" s="59" t="s">
        <v>73</v>
      </c>
      <c r="M877" s="59" t="s">
        <v>133</v>
      </c>
      <c r="N877" s="315">
        <v>6950</v>
      </c>
      <c r="O877" s="316">
        <f t="shared" si="59"/>
        <v>0</v>
      </c>
      <c r="P877" s="95">
        <v>45831</v>
      </c>
      <c r="Q877" s="61">
        <f t="shared" ref="Q877:Q883" si="60">P877</f>
        <v>45831</v>
      </c>
      <c r="R877" s="59"/>
      <c r="S877" s="59" t="s">
        <v>1986</v>
      </c>
      <c r="T877" s="59" t="s">
        <v>1956</v>
      </c>
      <c r="U877" s="59" t="s">
        <v>1957</v>
      </c>
      <c r="V877" s="59"/>
      <c r="W877" s="68"/>
      <c r="X877" s="68"/>
      <c r="Y877" s="68"/>
    </row>
    <row r="878" s="17" customFormat="1" hidden="1" customHeight="1" spans="1:25">
      <c r="A878" s="59">
        <v>875</v>
      </c>
      <c r="B878" s="60" t="s">
        <v>1987</v>
      </c>
      <c r="C878" s="61">
        <f t="shared" si="56"/>
        <v>45469</v>
      </c>
      <c r="D878" s="62" t="str">
        <f ca="1" t="shared" si="57"/>
        <v>一年以上</v>
      </c>
      <c r="E878" s="313">
        <v>45469</v>
      </c>
      <c r="F878" s="59" t="s">
        <v>632</v>
      </c>
      <c r="G878" s="59" t="s">
        <v>450</v>
      </c>
      <c r="H878" s="63" t="s">
        <v>1988</v>
      </c>
      <c r="I878" s="63" t="s">
        <v>1123</v>
      </c>
      <c r="J878" s="314">
        <v>2000</v>
      </c>
      <c r="K878" s="59" t="s">
        <v>28</v>
      </c>
      <c r="L878" s="59" t="s">
        <v>73</v>
      </c>
      <c r="M878" s="59" t="s">
        <v>30</v>
      </c>
      <c r="N878" s="315">
        <v>2000</v>
      </c>
      <c r="O878" s="316">
        <f t="shared" si="59"/>
        <v>0</v>
      </c>
      <c r="P878" s="95">
        <v>45517</v>
      </c>
      <c r="Q878" s="61">
        <f t="shared" si="60"/>
        <v>45517</v>
      </c>
      <c r="R878" s="59" t="s">
        <v>1989</v>
      </c>
      <c r="S878" s="59" t="s">
        <v>1990</v>
      </c>
      <c r="T878" s="59" t="s">
        <v>1956</v>
      </c>
      <c r="U878" s="59" t="s">
        <v>1957</v>
      </c>
      <c r="V878" s="59"/>
      <c r="W878" s="68"/>
      <c r="X878" s="68"/>
      <c r="Y878" s="68"/>
    </row>
    <row r="879" s="17" customFormat="1" hidden="1" customHeight="1" spans="1:25">
      <c r="A879" s="59">
        <v>876</v>
      </c>
      <c r="B879" s="60" t="s">
        <v>1991</v>
      </c>
      <c r="C879" s="61">
        <f t="shared" si="56"/>
        <v>45470</v>
      </c>
      <c r="D879" s="62" t="str">
        <f ca="1" t="shared" si="57"/>
        <v>一年以上</v>
      </c>
      <c r="E879" s="313">
        <v>45470</v>
      </c>
      <c r="F879" s="59" t="s">
        <v>1992</v>
      </c>
      <c r="G879" s="59" t="s">
        <v>1977</v>
      </c>
      <c r="H879" s="63" t="s">
        <v>863</v>
      </c>
      <c r="I879" s="63" t="s">
        <v>863</v>
      </c>
      <c r="J879" s="314">
        <v>7000</v>
      </c>
      <c r="K879" s="59" t="s">
        <v>28</v>
      </c>
      <c r="L879" s="59" t="s">
        <v>73</v>
      </c>
      <c r="M879" s="59" t="s">
        <v>65</v>
      </c>
      <c r="N879" s="315">
        <v>7000</v>
      </c>
      <c r="O879" s="316">
        <f t="shared" si="59"/>
        <v>0</v>
      </c>
      <c r="P879" s="95">
        <v>45831</v>
      </c>
      <c r="Q879" s="61">
        <f t="shared" si="60"/>
        <v>45831</v>
      </c>
      <c r="R879" s="59"/>
      <c r="S879" s="59" t="s">
        <v>1986</v>
      </c>
      <c r="T879" s="59" t="s">
        <v>1956</v>
      </c>
      <c r="U879" s="59" t="s">
        <v>1957</v>
      </c>
      <c r="V879" s="59"/>
      <c r="W879" s="68"/>
      <c r="X879" s="68"/>
      <c r="Y879" s="68"/>
    </row>
    <row r="880" s="17" customFormat="1" hidden="1" customHeight="1" spans="1:25">
      <c r="A880" s="59">
        <v>877</v>
      </c>
      <c r="B880" s="60" t="s">
        <v>1993</v>
      </c>
      <c r="C880" s="61">
        <f t="shared" si="56"/>
        <v>45470</v>
      </c>
      <c r="D880" s="62" t="str">
        <f ca="1" t="shared" si="57"/>
        <v>一年以上</v>
      </c>
      <c r="E880" s="313">
        <v>45470</v>
      </c>
      <c r="F880" s="59" t="s">
        <v>1992</v>
      </c>
      <c r="G880" s="59" t="s">
        <v>1977</v>
      </c>
      <c r="H880" s="63" t="s">
        <v>863</v>
      </c>
      <c r="I880" s="63" t="s">
        <v>863</v>
      </c>
      <c r="J880" s="314">
        <v>6950</v>
      </c>
      <c r="K880" s="59" t="s">
        <v>28</v>
      </c>
      <c r="L880" s="59" t="s">
        <v>73</v>
      </c>
      <c r="M880" s="59" t="s">
        <v>941</v>
      </c>
      <c r="N880" s="315">
        <v>6950</v>
      </c>
      <c r="O880" s="316">
        <f t="shared" si="59"/>
        <v>0</v>
      </c>
      <c r="P880" s="95">
        <v>45831</v>
      </c>
      <c r="Q880" s="61">
        <f t="shared" si="60"/>
        <v>45831</v>
      </c>
      <c r="R880" s="59"/>
      <c r="S880" s="59" t="s">
        <v>1986</v>
      </c>
      <c r="T880" s="59" t="s">
        <v>1956</v>
      </c>
      <c r="U880" s="59" t="s">
        <v>1957</v>
      </c>
      <c r="V880" s="59"/>
      <c r="W880" s="68"/>
      <c r="X880" s="68"/>
      <c r="Y880" s="68"/>
    </row>
    <row r="881" s="17" customFormat="1" hidden="1" customHeight="1" spans="1:25">
      <c r="A881" s="59">
        <v>878</v>
      </c>
      <c r="B881" s="60" t="s">
        <v>1994</v>
      </c>
      <c r="C881" s="61">
        <f t="shared" si="56"/>
        <v>45474</v>
      </c>
      <c r="D881" s="62" t="str">
        <f ca="1" t="shared" si="57"/>
        <v>一年以上</v>
      </c>
      <c r="E881" s="313">
        <v>45474</v>
      </c>
      <c r="F881" s="59" t="s">
        <v>632</v>
      </c>
      <c r="G881" s="59" t="s">
        <v>450</v>
      </c>
      <c r="H881" s="63"/>
      <c r="I881" s="63" t="s">
        <v>1814</v>
      </c>
      <c r="J881" s="314">
        <v>6000</v>
      </c>
      <c r="K881" s="59" t="s">
        <v>28</v>
      </c>
      <c r="L881" s="59" t="s">
        <v>73</v>
      </c>
      <c r="M881" s="59" t="s">
        <v>30</v>
      </c>
      <c r="N881" s="315">
        <v>6000</v>
      </c>
      <c r="O881" s="316">
        <f t="shared" si="59"/>
        <v>0</v>
      </c>
      <c r="P881" s="95">
        <v>45523</v>
      </c>
      <c r="Q881" s="61">
        <f t="shared" si="60"/>
        <v>45523</v>
      </c>
      <c r="R881" s="59"/>
      <c r="S881" s="59" t="s">
        <v>1995</v>
      </c>
      <c r="T881" s="59" t="s">
        <v>1956</v>
      </c>
      <c r="U881" s="59" t="s">
        <v>1957</v>
      </c>
      <c r="V881" s="59"/>
      <c r="W881" s="68"/>
      <c r="X881" s="68"/>
      <c r="Y881" s="68"/>
    </row>
    <row r="882" s="17" customFormat="1" hidden="1" customHeight="1" spans="1:25">
      <c r="A882" s="59">
        <v>879</v>
      </c>
      <c r="B882" s="60" t="s">
        <v>1996</v>
      </c>
      <c r="C882" s="61">
        <f t="shared" si="56"/>
        <v>45492</v>
      </c>
      <c r="D882" s="62" t="str">
        <f ca="1" t="shared" si="57"/>
        <v>一年以上</v>
      </c>
      <c r="E882" s="313">
        <v>45492</v>
      </c>
      <c r="F882" s="59" t="s">
        <v>632</v>
      </c>
      <c r="G882" s="59" t="s">
        <v>450</v>
      </c>
      <c r="H882" s="63"/>
      <c r="I882" s="63" t="s">
        <v>1569</v>
      </c>
      <c r="J882" s="314">
        <v>28875</v>
      </c>
      <c r="K882" s="59" t="s">
        <v>28</v>
      </c>
      <c r="L882" s="59" t="s">
        <v>73</v>
      </c>
      <c r="M882" s="59" t="s">
        <v>30</v>
      </c>
      <c r="N882" s="315">
        <v>13175</v>
      </c>
      <c r="O882" s="316">
        <v>0</v>
      </c>
      <c r="P882" s="95">
        <v>45549</v>
      </c>
      <c r="Q882" s="61">
        <f t="shared" si="60"/>
        <v>45549</v>
      </c>
      <c r="R882" s="59" t="s">
        <v>1997</v>
      </c>
      <c r="S882" s="59" t="s">
        <v>1998</v>
      </c>
      <c r="T882" s="59" t="s">
        <v>1956</v>
      </c>
      <c r="U882" s="59" t="s">
        <v>1957</v>
      </c>
      <c r="V882" s="59"/>
      <c r="W882" s="68" t="s">
        <v>1983</v>
      </c>
      <c r="X882" s="68" t="s">
        <v>1902</v>
      </c>
      <c r="Y882" s="68"/>
    </row>
    <row r="883" s="17" customFormat="1" hidden="1" customHeight="1" spans="1:25">
      <c r="A883" s="59">
        <v>880</v>
      </c>
      <c r="B883" s="60" t="s">
        <v>1999</v>
      </c>
      <c r="C883" s="61">
        <f t="shared" si="56"/>
        <v>45497</v>
      </c>
      <c r="D883" s="62" t="str">
        <f ca="1" t="shared" si="57"/>
        <v>一年以上</v>
      </c>
      <c r="E883" s="313">
        <v>45497</v>
      </c>
      <c r="F883" s="59" t="s">
        <v>632</v>
      </c>
      <c r="G883" s="59" t="s">
        <v>450</v>
      </c>
      <c r="H883" s="63"/>
      <c r="I883" s="63" t="s">
        <v>863</v>
      </c>
      <c r="J883" s="314">
        <v>4000</v>
      </c>
      <c r="K883" s="59" t="s">
        <v>28</v>
      </c>
      <c r="L883" s="59" t="s">
        <v>1798</v>
      </c>
      <c r="M883" s="59" t="s">
        <v>30</v>
      </c>
      <c r="N883" s="315">
        <v>4000</v>
      </c>
      <c r="O883" s="316">
        <f t="shared" ref="O883:O946" si="61">J883-N883</f>
        <v>0</v>
      </c>
      <c r="P883" s="95">
        <v>45546</v>
      </c>
      <c r="Q883" s="61">
        <f t="shared" si="60"/>
        <v>45546</v>
      </c>
      <c r="R883" s="59" t="s">
        <v>2000</v>
      </c>
      <c r="S883" s="59" t="s">
        <v>2001</v>
      </c>
      <c r="T883" s="59"/>
      <c r="U883" s="59" t="s">
        <v>1957</v>
      </c>
      <c r="V883" s="59"/>
      <c r="W883" s="68"/>
      <c r="X883" s="68"/>
      <c r="Y883" s="68"/>
    </row>
    <row r="884" s="17" customFormat="1" hidden="1" customHeight="1" spans="1:25">
      <c r="A884" s="59">
        <v>881</v>
      </c>
      <c r="B884" s="60" t="s">
        <v>2002</v>
      </c>
      <c r="C884" s="61">
        <f t="shared" si="56"/>
        <v>45499</v>
      </c>
      <c r="D884" s="62" t="str">
        <f ca="1" t="shared" si="57"/>
        <v>一年以上</v>
      </c>
      <c r="E884" s="313">
        <v>45499</v>
      </c>
      <c r="F884" s="59" t="s">
        <v>632</v>
      </c>
      <c r="G884" s="59" t="s">
        <v>450</v>
      </c>
      <c r="H884" s="63"/>
      <c r="I884" s="63" t="s">
        <v>325</v>
      </c>
      <c r="J884" s="314">
        <v>0</v>
      </c>
      <c r="K884" s="59" t="s">
        <v>356</v>
      </c>
      <c r="L884" s="59" t="s">
        <v>2003</v>
      </c>
      <c r="M884" s="59" t="s">
        <v>30</v>
      </c>
      <c r="N884" s="315"/>
      <c r="O884" s="316">
        <f t="shared" si="61"/>
        <v>0</v>
      </c>
      <c r="P884" s="95"/>
      <c r="Q884" s="61"/>
      <c r="R884" s="59"/>
      <c r="S884" s="59" t="s">
        <v>2004</v>
      </c>
      <c r="T884" s="59"/>
      <c r="U884" s="59" t="s">
        <v>1957</v>
      </c>
      <c r="V884" s="59"/>
      <c r="W884" s="68"/>
      <c r="X884" s="68"/>
      <c r="Y884" s="68"/>
    </row>
    <row r="885" s="17" customFormat="1" hidden="1" customHeight="1" spans="1:25">
      <c r="A885" s="59">
        <v>882</v>
      </c>
      <c r="B885" s="60" t="s">
        <v>2005</v>
      </c>
      <c r="C885" s="61">
        <f t="shared" si="56"/>
        <v>45516</v>
      </c>
      <c r="D885" s="62" t="str">
        <f ca="1" t="shared" si="57"/>
        <v>一年以上</v>
      </c>
      <c r="E885" s="313">
        <v>45516</v>
      </c>
      <c r="F885" s="59" t="s">
        <v>632</v>
      </c>
      <c r="G885" s="59" t="s">
        <v>450</v>
      </c>
      <c r="H885" s="63"/>
      <c r="I885" s="63" t="s">
        <v>863</v>
      </c>
      <c r="J885" s="314">
        <v>30000</v>
      </c>
      <c r="K885" s="59" t="s">
        <v>1706</v>
      </c>
      <c r="L885" s="59" t="s">
        <v>73</v>
      </c>
      <c r="M885" s="59" t="s">
        <v>30</v>
      </c>
      <c r="N885" s="315">
        <v>30000</v>
      </c>
      <c r="O885" s="316">
        <f t="shared" si="61"/>
        <v>0</v>
      </c>
      <c r="P885" s="95">
        <v>45562</v>
      </c>
      <c r="Q885" s="61">
        <f t="shared" ref="Q885:Q948" si="62">P885</f>
        <v>45562</v>
      </c>
      <c r="R885" s="59"/>
      <c r="S885" s="59" t="s">
        <v>2006</v>
      </c>
      <c r="T885" s="59" t="s">
        <v>1956</v>
      </c>
      <c r="U885" s="59" t="s">
        <v>1957</v>
      </c>
      <c r="V885" s="59"/>
      <c r="W885" s="68"/>
      <c r="X885" s="68"/>
      <c r="Y885" s="68"/>
    </row>
    <row r="886" s="17" customFormat="1" hidden="1" customHeight="1" spans="1:25">
      <c r="A886" s="59">
        <v>883</v>
      </c>
      <c r="B886" s="60" t="s">
        <v>2007</v>
      </c>
      <c r="C886" s="61">
        <f t="shared" si="56"/>
        <v>45520</v>
      </c>
      <c r="D886" s="62" t="str">
        <f ca="1" t="shared" si="57"/>
        <v>一年以上</v>
      </c>
      <c r="E886" s="313">
        <v>45520</v>
      </c>
      <c r="F886" s="59" t="s">
        <v>632</v>
      </c>
      <c r="G886" s="59" t="s">
        <v>2008</v>
      </c>
      <c r="H886" s="63"/>
      <c r="I886" s="63" t="s">
        <v>2009</v>
      </c>
      <c r="J886" s="314">
        <v>74200</v>
      </c>
      <c r="K886" s="59" t="s">
        <v>28</v>
      </c>
      <c r="L886" s="59" t="s">
        <v>73</v>
      </c>
      <c r="M886" s="59" t="s">
        <v>30</v>
      </c>
      <c r="N886" s="315">
        <v>74200</v>
      </c>
      <c r="O886" s="316">
        <f t="shared" si="61"/>
        <v>0</v>
      </c>
      <c r="P886" s="95">
        <v>45539</v>
      </c>
      <c r="Q886" s="61">
        <f t="shared" si="62"/>
        <v>45539</v>
      </c>
      <c r="R886" s="59"/>
      <c r="S886" s="59"/>
      <c r="T886" s="59"/>
      <c r="U886" s="59"/>
      <c r="V886" s="59"/>
      <c r="W886" s="68"/>
      <c r="X886" s="68"/>
      <c r="Y886" s="68"/>
    </row>
    <row r="887" s="17" customFormat="1" hidden="1" customHeight="1" spans="1:25">
      <c r="A887" s="59">
        <v>884</v>
      </c>
      <c r="B887" s="60" t="s">
        <v>2010</v>
      </c>
      <c r="C887" s="61">
        <f t="shared" si="56"/>
        <v>45540</v>
      </c>
      <c r="D887" s="62" t="str">
        <f ca="1" t="shared" si="57"/>
        <v>一年以上</v>
      </c>
      <c r="E887" s="313">
        <v>45540</v>
      </c>
      <c r="F887" s="59" t="s">
        <v>632</v>
      </c>
      <c r="G887" s="59" t="s">
        <v>450</v>
      </c>
      <c r="H887" s="63"/>
      <c r="I887" s="63" t="s">
        <v>863</v>
      </c>
      <c r="J887" s="314">
        <v>10000</v>
      </c>
      <c r="K887" s="59" t="s">
        <v>1706</v>
      </c>
      <c r="L887" s="59" t="s">
        <v>73</v>
      </c>
      <c r="M887" s="59" t="s">
        <v>30</v>
      </c>
      <c r="N887" s="315">
        <v>10000</v>
      </c>
      <c r="O887" s="316">
        <f t="shared" si="61"/>
        <v>0</v>
      </c>
      <c r="P887" s="95">
        <v>45590</v>
      </c>
      <c r="Q887" s="61">
        <f t="shared" si="62"/>
        <v>45590</v>
      </c>
      <c r="R887" s="59"/>
      <c r="S887" s="59" t="s">
        <v>2011</v>
      </c>
      <c r="T887" s="59"/>
      <c r="U887" s="59"/>
      <c r="V887" s="59"/>
      <c r="W887" s="68"/>
      <c r="X887" s="68"/>
      <c r="Y887" s="68"/>
    </row>
    <row r="888" s="17" customFormat="1" hidden="1" customHeight="1" spans="1:25">
      <c r="A888" s="59">
        <v>885</v>
      </c>
      <c r="B888" s="60" t="s">
        <v>2012</v>
      </c>
      <c r="C888" s="61">
        <f t="shared" si="56"/>
        <v>45545</v>
      </c>
      <c r="D888" s="62" t="str">
        <f ca="1" t="shared" si="57"/>
        <v>一年以上</v>
      </c>
      <c r="E888" s="313">
        <v>45545</v>
      </c>
      <c r="F888" s="59" t="s">
        <v>632</v>
      </c>
      <c r="G888" s="59" t="s">
        <v>450</v>
      </c>
      <c r="H888" s="63"/>
      <c r="I888" s="63" t="s">
        <v>1939</v>
      </c>
      <c r="J888" s="314">
        <v>20000</v>
      </c>
      <c r="K888" s="59" t="s">
        <v>28</v>
      </c>
      <c r="L888" s="59" t="s">
        <v>73</v>
      </c>
      <c r="M888" s="59" t="s">
        <v>30</v>
      </c>
      <c r="N888" s="315">
        <v>20000</v>
      </c>
      <c r="O888" s="316">
        <f t="shared" si="61"/>
        <v>0</v>
      </c>
      <c r="P888" s="95">
        <v>45681</v>
      </c>
      <c r="Q888" s="61">
        <f t="shared" si="62"/>
        <v>45681</v>
      </c>
      <c r="R888" s="59"/>
      <c r="S888" s="59" t="s">
        <v>2013</v>
      </c>
      <c r="T888" s="59"/>
      <c r="U888" s="59"/>
      <c r="V888" s="59"/>
      <c r="W888" s="68"/>
      <c r="X888" s="68"/>
      <c r="Y888" s="68"/>
    </row>
    <row r="889" s="17" customFormat="1" hidden="1" customHeight="1" spans="1:25">
      <c r="A889" s="59">
        <v>886</v>
      </c>
      <c r="B889" s="60" t="s">
        <v>2014</v>
      </c>
      <c r="C889" s="61">
        <f t="shared" si="56"/>
        <v>45545</v>
      </c>
      <c r="D889" s="62" t="str">
        <f ca="1" t="shared" si="57"/>
        <v>一年以上</v>
      </c>
      <c r="E889" s="313">
        <v>45545</v>
      </c>
      <c r="F889" s="59" t="s">
        <v>632</v>
      </c>
      <c r="G889" s="59" t="s">
        <v>450</v>
      </c>
      <c r="H889" s="63"/>
      <c r="I889" s="63" t="s">
        <v>1939</v>
      </c>
      <c r="J889" s="314">
        <v>20000</v>
      </c>
      <c r="K889" s="59" t="s">
        <v>338</v>
      </c>
      <c r="L889" s="59" t="s">
        <v>73</v>
      </c>
      <c r="M889" s="59" t="s">
        <v>30</v>
      </c>
      <c r="N889" s="315">
        <v>20000</v>
      </c>
      <c r="O889" s="316">
        <f t="shared" si="61"/>
        <v>0</v>
      </c>
      <c r="P889" s="95">
        <v>45681</v>
      </c>
      <c r="Q889" s="61">
        <f t="shared" si="62"/>
        <v>45681</v>
      </c>
      <c r="R889" s="59"/>
      <c r="S889" s="59" t="s">
        <v>2015</v>
      </c>
      <c r="T889" s="59"/>
      <c r="U889" s="59"/>
      <c r="V889" s="59"/>
      <c r="W889" s="68"/>
      <c r="X889" s="68"/>
      <c r="Y889" s="68"/>
    </row>
    <row r="890" s="17" customFormat="1" hidden="1" customHeight="1" spans="1:25">
      <c r="A890" s="59">
        <v>887</v>
      </c>
      <c r="B890" s="60" t="s">
        <v>2016</v>
      </c>
      <c r="C890" s="61">
        <f t="shared" si="56"/>
        <v>45545</v>
      </c>
      <c r="D890" s="62" t="str">
        <f ca="1" t="shared" si="57"/>
        <v>一年以上</v>
      </c>
      <c r="E890" s="313">
        <v>45545</v>
      </c>
      <c r="F890" s="59" t="s">
        <v>632</v>
      </c>
      <c r="G890" s="59" t="s">
        <v>450</v>
      </c>
      <c r="H890" s="63"/>
      <c r="I890" s="63" t="s">
        <v>215</v>
      </c>
      <c r="J890" s="314">
        <v>10000</v>
      </c>
      <c r="K890" s="59" t="s">
        <v>28</v>
      </c>
      <c r="L890" s="59" t="s">
        <v>73</v>
      </c>
      <c r="M890" s="59" t="s">
        <v>30</v>
      </c>
      <c r="N890" s="315">
        <v>10000</v>
      </c>
      <c r="O890" s="316">
        <f t="shared" si="61"/>
        <v>0</v>
      </c>
      <c r="P890" s="95">
        <v>45621</v>
      </c>
      <c r="Q890" s="61">
        <f t="shared" si="62"/>
        <v>45621</v>
      </c>
      <c r="R890" s="59"/>
      <c r="S890" s="59" t="s">
        <v>2017</v>
      </c>
      <c r="T890" s="59"/>
      <c r="U890" s="59"/>
      <c r="V890" s="59"/>
      <c r="W890" s="68"/>
      <c r="X890" s="68"/>
      <c r="Y890" s="68"/>
    </row>
    <row r="891" s="17" customFormat="1" hidden="1" customHeight="1" spans="1:25">
      <c r="A891" s="59">
        <v>888</v>
      </c>
      <c r="B891" s="60" t="s">
        <v>2018</v>
      </c>
      <c r="C891" s="61">
        <f t="shared" si="56"/>
        <v>45547</v>
      </c>
      <c r="D891" s="62" t="str">
        <f ca="1" t="shared" si="57"/>
        <v>一年以上</v>
      </c>
      <c r="E891" s="313">
        <v>45547</v>
      </c>
      <c r="F891" s="59" t="s">
        <v>632</v>
      </c>
      <c r="G891" s="59" t="s">
        <v>450</v>
      </c>
      <c r="H891" s="63"/>
      <c r="I891" s="63" t="s">
        <v>2019</v>
      </c>
      <c r="J891" s="314">
        <v>20000</v>
      </c>
      <c r="K891" s="59" t="s">
        <v>28</v>
      </c>
      <c r="L891" s="59" t="s">
        <v>73</v>
      </c>
      <c r="M891" s="59" t="s">
        <v>30</v>
      </c>
      <c r="N891" s="315">
        <v>20000</v>
      </c>
      <c r="O891" s="316">
        <f t="shared" si="61"/>
        <v>0</v>
      </c>
      <c r="P891" s="95">
        <v>45561</v>
      </c>
      <c r="Q891" s="61">
        <f t="shared" si="62"/>
        <v>45561</v>
      </c>
      <c r="R891" s="59"/>
      <c r="S891" s="59" t="s">
        <v>2020</v>
      </c>
      <c r="T891" s="59"/>
      <c r="U891" s="59"/>
      <c r="V891" s="59"/>
      <c r="W891" s="68"/>
      <c r="X891" s="68"/>
      <c r="Y891" s="68"/>
    </row>
    <row r="892" s="17" customFormat="1" hidden="1" customHeight="1" spans="1:25">
      <c r="A892" s="59">
        <v>889</v>
      </c>
      <c r="B892" s="60" t="s">
        <v>2021</v>
      </c>
      <c r="C892" s="61">
        <f t="shared" si="56"/>
        <v>45549</v>
      </c>
      <c r="D892" s="62" t="str">
        <f ca="1" t="shared" si="57"/>
        <v>一年以上</v>
      </c>
      <c r="E892" s="313">
        <v>45549</v>
      </c>
      <c r="F892" s="59" t="s">
        <v>632</v>
      </c>
      <c r="G892" s="59" t="s">
        <v>450</v>
      </c>
      <c r="H892" s="63"/>
      <c r="I892" s="63" t="s">
        <v>1679</v>
      </c>
      <c r="J892" s="314">
        <v>40000</v>
      </c>
      <c r="K892" s="59" t="s">
        <v>28</v>
      </c>
      <c r="L892" s="59" t="s">
        <v>73</v>
      </c>
      <c r="M892" s="59" t="s">
        <v>133</v>
      </c>
      <c r="N892" s="315">
        <v>26838.31</v>
      </c>
      <c r="O892" s="316">
        <f t="shared" si="61"/>
        <v>13161.69</v>
      </c>
      <c r="P892" s="95">
        <v>45617</v>
      </c>
      <c r="Q892" s="61">
        <f t="shared" si="62"/>
        <v>45617</v>
      </c>
      <c r="R892" s="59" t="s">
        <v>2022</v>
      </c>
      <c r="S892" s="59" t="s">
        <v>2023</v>
      </c>
      <c r="T892" s="59"/>
      <c r="U892" s="59"/>
      <c r="V892" s="59"/>
      <c r="W892" s="68"/>
      <c r="X892" s="68"/>
      <c r="Y892" s="68"/>
    </row>
    <row r="893" s="17" customFormat="1" hidden="1" customHeight="1" spans="1:25">
      <c r="A893" s="59">
        <v>890</v>
      </c>
      <c r="B893" s="60" t="s">
        <v>2024</v>
      </c>
      <c r="C893" s="61">
        <f t="shared" si="56"/>
        <v>45555</v>
      </c>
      <c r="D893" s="62" t="str">
        <f ca="1" t="shared" si="57"/>
        <v>一年以上</v>
      </c>
      <c r="E893" s="313">
        <v>45555</v>
      </c>
      <c r="F893" s="59" t="s">
        <v>70</v>
      </c>
      <c r="G893" s="59" t="s">
        <v>993</v>
      </c>
      <c r="H893" s="63"/>
      <c r="I893" s="63" t="s">
        <v>1679</v>
      </c>
      <c r="J893" s="314">
        <v>24000</v>
      </c>
      <c r="K893" s="59" t="s">
        <v>28</v>
      </c>
      <c r="L893" s="59" t="s">
        <v>73</v>
      </c>
      <c r="M893" s="59" t="s">
        <v>30</v>
      </c>
      <c r="N893" s="315">
        <v>24000</v>
      </c>
      <c r="O893" s="316">
        <f t="shared" si="61"/>
        <v>0</v>
      </c>
      <c r="P893" s="95">
        <v>45592</v>
      </c>
      <c r="Q893" s="61">
        <f t="shared" si="62"/>
        <v>45592</v>
      </c>
      <c r="R893" s="59"/>
      <c r="S893" s="59" t="s">
        <v>2025</v>
      </c>
      <c r="T893" s="59"/>
      <c r="U893" s="59"/>
      <c r="V893" s="59"/>
      <c r="W893" s="68"/>
      <c r="X893" s="68"/>
      <c r="Y893" s="68"/>
    </row>
    <row r="894" s="17" customFormat="1" hidden="1" customHeight="1" spans="1:25">
      <c r="A894" s="59">
        <v>891</v>
      </c>
      <c r="B894" s="60" t="s">
        <v>2026</v>
      </c>
      <c r="C894" s="61">
        <f t="shared" si="56"/>
        <v>45556</v>
      </c>
      <c r="D894" s="62" t="str">
        <f ca="1" t="shared" si="57"/>
        <v>一年以上</v>
      </c>
      <c r="E894" s="313">
        <v>45556</v>
      </c>
      <c r="F894" s="59" t="s">
        <v>70</v>
      </c>
      <c r="G894" s="59" t="s">
        <v>993</v>
      </c>
      <c r="H894" s="63"/>
      <c r="I894" s="63" t="s">
        <v>851</v>
      </c>
      <c r="J894" s="314">
        <v>10000</v>
      </c>
      <c r="K894" s="59" t="s">
        <v>28</v>
      </c>
      <c r="L894" s="59" t="s">
        <v>73</v>
      </c>
      <c r="M894" s="59" t="s">
        <v>30</v>
      </c>
      <c r="N894" s="315">
        <v>10000</v>
      </c>
      <c r="O894" s="316">
        <f t="shared" si="61"/>
        <v>0</v>
      </c>
      <c r="P894" s="95">
        <v>45574</v>
      </c>
      <c r="Q894" s="61">
        <f t="shared" si="62"/>
        <v>45574</v>
      </c>
      <c r="R894" s="59"/>
      <c r="S894" s="59" t="s">
        <v>2027</v>
      </c>
      <c r="T894" s="59"/>
      <c r="U894" s="59"/>
      <c r="V894" s="59"/>
      <c r="W894" s="68"/>
      <c r="X894" s="68"/>
      <c r="Y894" s="68"/>
    </row>
    <row r="895" s="17" customFormat="1" hidden="1" customHeight="1" spans="1:25">
      <c r="A895" s="59">
        <v>892</v>
      </c>
      <c r="B895" s="60" t="s">
        <v>2028</v>
      </c>
      <c r="C895" s="61">
        <f t="shared" si="56"/>
        <v>45562</v>
      </c>
      <c r="D895" s="62" t="str">
        <f ca="1" t="shared" si="57"/>
        <v>一年以上</v>
      </c>
      <c r="E895" s="313">
        <v>45562</v>
      </c>
      <c r="F895" s="59" t="s">
        <v>130</v>
      </c>
      <c r="G895" s="59" t="s">
        <v>2029</v>
      </c>
      <c r="H895" s="63"/>
      <c r="I895" s="63" t="s">
        <v>863</v>
      </c>
      <c r="J895" s="314">
        <v>35000</v>
      </c>
      <c r="K895" s="59" t="s">
        <v>1706</v>
      </c>
      <c r="L895" s="59" t="s">
        <v>73</v>
      </c>
      <c r="M895" s="59" t="s">
        <v>133</v>
      </c>
      <c r="N895" s="315">
        <v>35000</v>
      </c>
      <c r="O895" s="316">
        <f t="shared" si="61"/>
        <v>0</v>
      </c>
      <c r="P895" s="95">
        <v>45832</v>
      </c>
      <c r="Q895" s="61">
        <f t="shared" si="62"/>
        <v>45832</v>
      </c>
      <c r="R895" s="59"/>
      <c r="S895" s="59" t="s">
        <v>2030</v>
      </c>
      <c r="T895" s="59"/>
      <c r="U895" s="59"/>
      <c r="V895" s="59"/>
      <c r="W895" s="68"/>
      <c r="X895" s="68"/>
      <c r="Y895" s="68"/>
    </row>
    <row r="896" s="17" customFormat="1" hidden="1" customHeight="1" spans="1:25">
      <c r="A896" s="59">
        <v>893</v>
      </c>
      <c r="B896" s="60" t="s">
        <v>2031</v>
      </c>
      <c r="C896" s="61">
        <f t="shared" si="56"/>
        <v>45562</v>
      </c>
      <c r="D896" s="62" t="str">
        <f ca="1" t="shared" si="57"/>
        <v>一年以上</v>
      </c>
      <c r="E896" s="313">
        <v>45562</v>
      </c>
      <c r="F896" s="59" t="s">
        <v>70</v>
      </c>
      <c r="G896" s="59" t="s">
        <v>434</v>
      </c>
      <c r="H896" s="63"/>
      <c r="I896" s="63" t="s">
        <v>863</v>
      </c>
      <c r="J896" s="314">
        <v>35000</v>
      </c>
      <c r="K896" s="59" t="s">
        <v>1706</v>
      </c>
      <c r="L896" s="59" t="s">
        <v>73</v>
      </c>
      <c r="M896" s="59" t="s">
        <v>65</v>
      </c>
      <c r="N896" s="315">
        <v>35000</v>
      </c>
      <c r="O896" s="316">
        <f t="shared" si="61"/>
        <v>0</v>
      </c>
      <c r="P896" s="95">
        <v>45831</v>
      </c>
      <c r="Q896" s="61">
        <f t="shared" si="62"/>
        <v>45831</v>
      </c>
      <c r="R896" s="59"/>
      <c r="S896" s="59" t="s">
        <v>2030</v>
      </c>
      <c r="T896" s="59"/>
      <c r="U896" s="59"/>
      <c r="V896" s="59"/>
      <c r="W896" s="68"/>
      <c r="X896" s="68"/>
      <c r="Y896" s="68"/>
    </row>
    <row r="897" s="17" customFormat="1" hidden="1" customHeight="1" spans="1:25">
      <c r="A897" s="59">
        <v>894</v>
      </c>
      <c r="B897" s="60" t="s">
        <v>2032</v>
      </c>
      <c r="C897" s="61">
        <f t="shared" si="56"/>
        <v>45562</v>
      </c>
      <c r="D897" s="62" t="str">
        <f ca="1" t="shared" si="57"/>
        <v>一年以上</v>
      </c>
      <c r="E897" s="313">
        <v>45562</v>
      </c>
      <c r="F897" s="59" t="s">
        <v>70</v>
      </c>
      <c r="G897" s="59" t="s">
        <v>434</v>
      </c>
      <c r="H897" s="63"/>
      <c r="I897" s="63" t="s">
        <v>863</v>
      </c>
      <c r="J897" s="314">
        <v>35000</v>
      </c>
      <c r="K897" s="59" t="s">
        <v>1706</v>
      </c>
      <c r="L897" s="59" t="s">
        <v>73</v>
      </c>
      <c r="M897" s="59" t="s">
        <v>941</v>
      </c>
      <c r="N897" s="315">
        <v>35000</v>
      </c>
      <c r="O897" s="316">
        <f t="shared" si="61"/>
        <v>0</v>
      </c>
      <c r="P897" s="95">
        <v>45562</v>
      </c>
      <c r="Q897" s="61">
        <f t="shared" si="62"/>
        <v>45562</v>
      </c>
      <c r="R897" s="59" t="s">
        <v>1904</v>
      </c>
      <c r="S897" s="59" t="s">
        <v>2030</v>
      </c>
      <c r="T897" s="59"/>
      <c r="U897" s="59"/>
      <c r="V897" s="59"/>
      <c r="W897" s="68"/>
      <c r="X897" s="68"/>
      <c r="Y897" s="68"/>
    </row>
    <row r="898" s="17" customFormat="1" hidden="1" customHeight="1" spans="1:25">
      <c r="A898" s="59">
        <v>895</v>
      </c>
      <c r="B898" s="60" t="s">
        <v>2033</v>
      </c>
      <c r="C898" s="61">
        <f t="shared" si="56"/>
        <v>45564</v>
      </c>
      <c r="D898" s="62" t="str">
        <f ca="1" t="shared" si="57"/>
        <v>一年以上</v>
      </c>
      <c r="E898" s="313">
        <v>45564</v>
      </c>
      <c r="F898" s="59" t="s">
        <v>70</v>
      </c>
      <c r="G898" s="59" t="s">
        <v>993</v>
      </c>
      <c r="H898" s="63"/>
      <c r="I898" s="63" t="s">
        <v>1315</v>
      </c>
      <c r="J898" s="314">
        <v>2000</v>
      </c>
      <c r="K898" s="59" t="s">
        <v>28</v>
      </c>
      <c r="L898" s="59" t="s">
        <v>73</v>
      </c>
      <c r="M898" s="59" t="s">
        <v>30</v>
      </c>
      <c r="N898" s="315">
        <v>2000</v>
      </c>
      <c r="O898" s="316">
        <f t="shared" si="61"/>
        <v>0</v>
      </c>
      <c r="P898" s="95">
        <v>45579</v>
      </c>
      <c r="Q898" s="61">
        <f t="shared" si="62"/>
        <v>45579</v>
      </c>
      <c r="R898" s="59"/>
      <c r="S898" s="59" t="s">
        <v>2034</v>
      </c>
      <c r="T898" s="59"/>
      <c r="U898" s="59"/>
      <c r="V898" s="59"/>
      <c r="W898" s="68"/>
      <c r="X898" s="68"/>
      <c r="Y898" s="68"/>
    </row>
    <row r="899" s="17" customFormat="1" hidden="1" customHeight="1" spans="1:25">
      <c r="A899" s="59">
        <v>896</v>
      </c>
      <c r="B899" s="60" t="s">
        <v>2035</v>
      </c>
      <c r="C899" s="61">
        <f t="shared" si="56"/>
        <v>45565</v>
      </c>
      <c r="D899" s="62" t="str">
        <f ca="1" t="shared" si="57"/>
        <v>一年以上</v>
      </c>
      <c r="E899" s="313">
        <v>45565</v>
      </c>
      <c r="F899" s="59" t="s">
        <v>632</v>
      </c>
      <c r="G899" s="59" t="s">
        <v>450</v>
      </c>
      <c r="H899" s="63"/>
      <c r="I899" s="63" t="s">
        <v>2036</v>
      </c>
      <c r="J899" s="314">
        <v>120875</v>
      </c>
      <c r="K899" s="59" t="s">
        <v>28</v>
      </c>
      <c r="L899" s="59" t="s">
        <v>73</v>
      </c>
      <c r="M899" s="59" t="s">
        <v>30</v>
      </c>
      <c r="N899" s="315">
        <v>120875</v>
      </c>
      <c r="O899" s="316">
        <f t="shared" si="61"/>
        <v>0</v>
      </c>
      <c r="P899" s="95">
        <v>45610</v>
      </c>
      <c r="Q899" s="61">
        <f t="shared" si="62"/>
        <v>45610</v>
      </c>
      <c r="R899" s="59"/>
      <c r="S899" s="59" t="s">
        <v>2037</v>
      </c>
      <c r="T899" s="59"/>
      <c r="U899" s="59"/>
      <c r="V899" s="59"/>
      <c r="W899" s="68"/>
      <c r="X899" s="68"/>
      <c r="Y899" s="68"/>
    </row>
    <row r="900" s="17" customFormat="1" hidden="1" customHeight="1" spans="1:25">
      <c r="A900" s="59">
        <v>897</v>
      </c>
      <c r="B900" s="60" t="s">
        <v>2038</v>
      </c>
      <c r="C900" s="61">
        <f t="shared" si="56"/>
        <v>45588</v>
      </c>
      <c r="D900" s="62" t="str">
        <f ca="1" t="shared" si="57"/>
        <v>一年以上</v>
      </c>
      <c r="E900" s="313">
        <v>45588</v>
      </c>
      <c r="F900" s="59" t="s">
        <v>70</v>
      </c>
      <c r="G900" s="59" t="s">
        <v>993</v>
      </c>
      <c r="H900" s="63"/>
      <c r="I900" s="63" t="s">
        <v>863</v>
      </c>
      <c r="J900" s="314">
        <v>10000</v>
      </c>
      <c r="K900" s="59" t="s">
        <v>1706</v>
      </c>
      <c r="L900" s="59" t="s">
        <v>73</v>
      </c>
      <c r="M900" s="59" t="s">
        <v>30</v>
      </c>
      <c r="N900" s="315">
        <v>10000</v>
      </c>
      <c r="O900" s="316">
        <f t="shared" si="61"/>
        <v>0</v>
      </c>
      <c r="P900" s="95">
        <v>45615</v>
      </c>
      <c r="Q900" s="61">
        <f t="shared" si="62"/>
        <v>45615</v>
      </c>
      <c r="R900" s="59"/>
      <c r="S900" s="59" t="s">
        <v>2039</v>
      </c>
      <c r="T900" s="59"/>
      <c r="U900" s="59"/>
      <c r="V900" s="59"/>
      <c r="W900" s="68"/>
      <c r="X900" s="68"/>
      <c r="Y900" s="68"/>
    </row>
    <row r="901" s="17" customFormat="1" hidden="1" customHeight="1" spans="1:25">
      <c r="A901" s="59">
        <v>898</v>
      </c>
      <c r="B901" s="169" t="s">
        <v>2040</v>
      </c>
      <c r="C901" s="61">
        <f t="shared" si="56"/>
        <v>45590</v>
      </c>
      <c r="D901" s="62" t="str">
        <f ca="1" t="shared" si="57"/>
        <v>一年以上</v>
      </c>
      <c r="E901" s="313">
        <v>45590</v>
      </c>
      <c r="F901" s="59" t="s">
        <v>70</v>
      </c>
      <c r="G901" s="59" t="s">
        <v>434</v>
      </c>
      <c r="H901" s="63"/>
      <c r="I901" s="63" t="s">
        <v>2041</v>
      </c>
      <c r="J901" s="314">
        <v>5000</v>
      </c>
      <c r="K901" s="59" t="s">
        <v>28</v>
      </c>
      <c r="L901" s="59" t="s">
        <v>73</v>
      </c>
      <c r="M901" s="59" t="s">
        <v>65</v>
      </c>
      <c r="N901" s="315"/>
      <c r="O901" s="316">
        <f t="shared" si="61"/>
        <v>5000</v>
      </c>
      <c r="P901" s="95"/>
      <c r="Q901" s="61">
        <f t="shared" si="62"/>
        <v>0</v>
      </c>
      <c r="R901" s="59"/>
      <c r="S901" s="59" t="s">
        <v>2042</v>
      </c>
      <c r="T901" s="59"/>
      <c r="U901" s="59"/>
      <c r="V901" s="59"/>
      <c r="W901" s="68"/>
      <c r="X901" s="68"/>
      <c r="Y901" s="68"/>
    </row>
    <row r="902" s="17" customFormat="1" hidden="1" customHeight="1" spans="1:25">
      <c r="A902" s="59">
        <v>899</v>
      </c>
      <c r="B902" s="60" t="s">
        <v>2043</v>
      </c>
      <c r="C902" s="61">
        <f t="shared" si="56"/>
        <v>45591</v>
      </c>
      <c r="D902" s="62" t="str">
        <f ca="1" t="shared" si="57"/>
        <v>一年以上</v>
      </c>
      <c r="E902" s="313">
        <v>45591</v>
      </c>
      <c r="F902" s="59" t="s">
        <v>130</v>
      </c>
      <c r="G902" s="59" t="s">
        <v>2029</v>
      </c>
      <c r="H902" s="63"/>
      <c r="I902" s="63" t="s">
        <v>663</v>
      </c>
      <c r="J902" s="314">
        <v>25536.9</v>
      </c>
      <c r="K902" s="59" t="s">
        <v>28</v>
      </c>
      <c r="L902" s="59" t="s">
        <v>73</v>
      </c>
      <c r="M902" s="59" t="s">
        <v>941</v>
      </c>
      <c r="N902" s="65">
        <v>25536.9</v>
      </c>
      <c r="O902" s="316">
        <f t="shared" si="61"/>
        <v>0</v>
      </c>
      <c r="P902" s="95">
        <v>46062</v>
      </c>
      <c r="Q902" s="61">
        <f t="shared" si="62"/>
        <v>46062</v>
      </c>
      <c r="R902" s="59"/>
      <c r="S902" s="59" t="s">
        <v>2044</v>
      </c>
      <c r="T902" s="59"/>
      <c r="U902" s="59"/>
      <c r="V902" s="59"/>
      <c r="W902" s="68"/>
      <c r="X902" s="68"/>
      <c r="Y902" s="68"/>
    </row>
    <row r="903" s="17" customFormat="1" hidden="1" customHeight="1" spans="1:25">
      <c r="A903" s="59">
        <v>900</v>
      </c>
      <c r="B903" s="60" t="s">
        <v>2045</v>
      </c>
      <c r="C903" s="61">
        <f t="shared" si="56"/>
        <v>45591</v>
      </c>
      <c r="D903" s="62" t="str">
        <f ca="1" t="shared" si="57"/>
        <v>一年以上</v>
      </c>
      <c r="E903" s="313">
        <v>45591</v>
      </c>
      <c r="F903" s="59" t="s">
        <v>130</v>
      </c>
      <c r="G903" s="59" t="s">
        <v>2029</v>
      </c>
      <c r="H903" s="63"/>
      <c r="I903" s="63" t="s">
        <v>663</v>
      </c>
      <c r="J903" s="314">
        <v>4644.08</v>
      </c>
      <c r="K903" s="59" t="s">
        <v>28</v>
      </c>
      <c r="L903" s="59" t="s">
        <v>73</v>
      </c>
      <c r="M903" s="59" t="s">
        <v>941</v>
      </c>
      <c r="N903" s="65">
        <v>4644.08</v>
      </c>
      <c r="O903" s="316">
        <f t="shared" si="61"/>
        <v>0</v>
      </c>
      <c r="P903" s="95">
        <v>46062</v>
      </c>
      <c r="Q903" s="61">
        <f t="shared" si="62"/>
        <v>46062</v>
      </c>
      <c r="R903" s="59"/>
      <c r="S903" s="59" t="s">
        <v>2046</v>
      </c>
      <c r="T903" s="59"/>
      <c r="U903" s="59"/>
      <c r="V903" s="59"/>
      <c r="W903" s="68"/>
      <c r="X903" s="68"/>
      <c r="Y903" s="68"/>
    </row>
    <row r="904" s="17" customFormat="1" hidden="1" customHeight="1" spans="1:25">
      <c r="A904" s="59">
        <v>901</v>
      </c>
      <c r="B904" s="60" t="s">
        <v>2047</v>
      </c>
      <c r="C904" s="61">
        <f t="shared" si="56"/>
        <v>45591</v>
      </c>
      <c r="D904" s="62" t="str">
        <f ca="1" t="shared" si="57"/>
        <v>一年以上</v>
      </c>
      <c r="E904" s="313">
        <v>45591</v>
      </c>
      <c r="F904" s="59" t="s">
        <v>130</v>
      </c>
      <c r="G904" s="59" t="s">
        <v>2029</v>
      </c>
      <c r="H904" s="63"/>
      <c r="I904" s="63" t="s">
        <v>663</v>
      </c>
      <c r="J904" s="314">
        <v>20838.39</v>
      </c>
      <c r="K904" s="59" t="s">
        <v>28</v>
      </c>
      <c r="L904" s="59" t="s">
        <v>73</v>
      </c>
      <c r="M904" s="59" t="s">
        <v>941</v>
      </c>
      <c r="N904" s="65">
        <v>20838.39</v>
      </c>
      <c r="O904" s="316">
        <f t="shared" si="61"/>
        <v>0</v>
      </c>
      <c r="P904" s="95">
        <v>46062</v>
      </c>
      <c r="Q904" s="61">
        <f t="shared" si="62"/>
        <v>46062</v>
      </c>
      <c r="R904" s="59"/>
      <c r="S904" s="59" t="s">
        <v>2048</v>
      </c>
      <c r="T904" s="59"/>
      <c r="U904" s="59"/>
      <c r="V904" s="59"/>
      <c r="W904" s="68"/>
      <c r="X904" s="68"/>
      <c r="Y904" s="68"/>
    </row>
    <row r="905" s="17" customFormat="1" hidden="1" customHeight="1" spans="1:25">
      <c r="A905" s="59">
        <v>902</v>
      </c>
      <c r="B905" s="169" t="s">
        <v>2049</v>
      </c>
      <c r="C905" s="61">
        <f t="shared" si="56"/>
        <v>45593</v>
      </c>
      <c r="D905" s="62" t="str">
        <f ca="1" t="shared" si="57"/>
        <v>一年以上</v>
      </c>
      <c r="E905" s="313">
        <v>45593</v>
      </c>
      <c r="F905" s="59" t="s">
        <v>70</v>
      </c>
      <c r="G905" s="59" t="s">
        <v>434</v>
      </c>
      <c r="H905" s="63"/>
      <c r="I905" s="63" t="s">
        <v>2041</v>
      </c>
      <c r="J905" s="314">
        <v>5200</v>
      </c>
      <c r="K905" s="59" t="s">
        <v>28</v>
      </c>
      <c r="L905" s="59" t="s">
        <v>73</v>
      </c>
      <c r="M905" s="59" t="s">
        <v>65</v>
      </c>
      <c r="N905" s="315"/>
      <c r="O905" s="316">
        <f t="shared" si="61"/>
        <v>5200</v>
      </c>
      <c r="P905" s="95"/>
      <c r="Q905" s="61">
        <f t="shared" si="62"/>
        <v>0</v>
      </c>
      <c r="R905" s="59"/>
      <c r="S905" s="59" t="s">
        <v>2050</v>
      </c>
      <c r="T905" s="59"/>
      <c r="U905" s="59"/>
      <c r="V905" s="59"/>
      <c r="W905" s="68"/>
      <c r="X905" s="68"/>
      <c r="Y905" s="68"/>
    </row>
    <row r="906" s="17" customFormat="1" hidden="1" customHeight="1" spans="1:25">
      <c r="A906" s="59">
        <v>903</v>
      </c>
      <c r="B906" s="60" t="s">
        <v>2051</v>
      </c>
      <c r="C906" s="61">
        <f t="shared" si="56"/>
        <v>45595</v>
      </c>
      <c r="D906" s="62" t="str">
        <f ca="1" t="shared" si="57"/>
        <v>一年以上</v>
      </c>
      <c r="E906" s="313">
        <v>45595</v>
      </c>
      <c r="F906" s="59" t="s">
        <v>130</v>
      </c>
      <c r="G906" s="59" t="s">
        <v>2029</v>
      </c>
      <c r="H906" s="63"/>
      <c r="I906" s="63" t="s">
        <v>663</v>
      </c>
      <c r="J906" s="314">
        <v>15500</v>
      </c>
      <c r="K906" s="59" t="s">
        <v>28</v>
      </c>
      <c r="L906" s="59" t="s">
        <v>73</v>
      </c>
      <c r="M906" s="59" t="s">
        <v>133</v>
      </c>
      <c r="N906" s="65">
        <v>15500</v>
      </c>
      <c r="O906" s="316">
        <f t="shared" si="61"/>
        <v>0</v>
      </c>
      <c r="P906" s="95">
        <v>46062</v>
      </c>
      <c r="Q906" s="61">
        <f t="shared" si="62"/>
        <v>46062</v>
      </c>
      <c r="R906" s="59"/>
      <c r="S906" s="59" t="s">
        <v>2052</v>
      </c>
      <c r="T906" s="59"/>
      <c r="U906" s="59"/>
      <c r="V906" s="59"/>
      <c r="W906" s="68"/>
      <c r="X906" s="68"/>
      <c r="Y906" s="68"/>
    </row>
    <row r="907" s="17" customFormat="1" hidden="1" customHeight="1" spans="1:25">
      <c r="A907" s="59">
        <v>904</v>
      </c>
      <c r="B907" s="60" t="s">
        <v>2053</v>
      </c>
      <c r="C907" s="61">
        <f t="shared" si="56"/>
        <v>45595</v>
      </c>
      <c r="D907" s="62" t="str">
        <f ca="1" t="shared" si="57"/>
        <v>一年以上</v>
      </c>
      <c r="E907" s="313">
        <v>45595</v>
      </c>
      <c r="F907" s="59" t="s">
        <v>130</v>
      </c>
      <c r="G907" s="59" t="s">
        <v>2029</v>
      </c>
      <c r="H907" s="63"/>
      <c r="I907" s="63" t="s">
        <v>663</v>
      </c>
      <c r="J907" s="314">
        <v>69500</v>
      </c>
      <c r="K907" s="59" t="s">
        <v>28</v>
      </c>
      <c r="L907" s="59" t="s">
        <v>73</v>
      </c>
      <c r="M907" s="59" t="s">
        <v>133</v>
      </c>
      <c r="N907" s="65">
        <v>69500</v>
      </c>
      <c r="O907" s="316">
        <f t="shared" si="61"/>
        <v>0</v>
      </c>
      <c r="P907" s="95">
        <v>46062</v>
      </c>
      <c r="Q907" s="61">
        <f t="shared" si="62"/>
        <v>46062</v>
      </c>
      <c r="R907" s="59"/>
      <c r="S907" s="59" t="s">
        <v>2054</v>
      </c>
      <c r="T907" s="59"/>
      <c r="U907" s="59"/>
      <c r="V907" s="59"/>
      <c r="W907" s="68"/>
      <c r="X907" s="68"/>
      <c r="Y907" s="68"/>
    </row>
    <row r="908" s="17" customFormat="1" hidden="1" customHeight="1" spans="1:25">
      <c r="A908" s="59">
        <v>905</v>
      </c>
      <c r="B908" s="60" t="s">
        <v>2055</v>
      </c>
      <c r="C908" s="61">
        <f t="shared" si="56"/>
        <v>45595</v>
      </c>
      <c r="D908" s="62" t="str">
        <f ca="1" t="shared" si="57"/>
        <v>一年以上</v>
      </c>
      <c r="E908" s="313">
        <v>45595</v>
      </c>
      <c r="F908" s="59" t="s">
        <v>130</v>
      </c>
      <c r="G908" s="59" t="s">
        <v>2029</v>
      </c>
      <c r="H908" s="63"/>
      <c r="I908" s="63" t="s">
        <v>663</v>
      </c>
      <c r="J908" s="314">
        <v>85100</v>
      </c>
      <c r="K908" s="59" t="s">
        <v>28</v>
      </c>
      <c r="L908" s="59" t="s">
        <v>73</v>
      </c>
      <c r="M908" s="59" t="s">
        <v>133</v>
      </c>
      <c r="N908" s="65">
        <v>85100</v>
      </c>
      <c r="O908" s="316">
        <f t="shared" si="61"/>
        <v>0</v>
      </c>
      <c r="P908" s="95">
        <v>46062</v>
      </c>
      <c r="Q908" s="61">
        <f t="shared" si="62"/>
        <v>46062</v>
      </c>
      <c r="R908" s="59"/>
      <c r="S908" s="59" t="s">
        <v>2056</v>
      </c>
      <c r="T908" s="59"/>
      <c r="U908" s="59"/>
      <c r="V908" s="59"/>
      <c r="W908" s="68"/>
      <c r="X908" s="68"/>
      <c r="Y908" s="68"/>
    </row>
    <row r="909" s="17" customFormat="1" hidden="1" customHeight="1" spans="1:25">
      <c r="A909" s="59">
        <v>906</v>
      </c>
      <c r="B909" s="60" t="s">
        <v>2057</v>
      </c>
      <c r="C909" s="61">
        <f t="shared" si="56"/>
        <v>45598</v>
      </c>
      <c r="D909" s="62" t="str">
        <f ca="1" t="shared" si="57"/>
        <v>一年以上</v>
      </c>
      <c r="E909" s="313">
        <v>45598</v>
      </c>
      <c r="F909" s="59" t="s">
        <v>70</v>
      </c>
      <c r="G909" s="59" t="s">
        <v>434</v>
      </c>
      <c r="H909" s="63"/>
      <c r="I909" s="63" t="s">
        <v>203</v>
      </c>
      <c r="J909" s="314">
        <v>20000</v>
      </c>
      <c r="K909" s="59" t="s">
        <v>28</v>
      </c>
      <c r="L909" s="59" t="s">
        <v>73</v>
      </c>
      <c r="M909" s="59" t="s">
        <v>65</v>
      </c>
      <c r="N909" s="315">
        <v>20000</v>
      </c>
      <c r="O909" s="316">
        <f t="shared" si="61"/>
        <v>0</v>
      </c>
      <c r="P909" s="95">
        <v>45945</v>
      </c>
      <c r="Q909" s="61">
        <f t="shared" si="62"/>
        <v>45945</v>
      </c>
      <c r="R909" s="59"/>
      <c r="S909" s="59" t="s">
        <v>2058</v>
      </c>
      <c r="T909" s="59"/>
      <c r="U909" s="59"/>
      <c r="V909" s="59"/>
      <c r="W909" s="68"/>
      <c r="X909" s="68"/>
      <c r="Y909" s="68"/>
    </row>
    <row r="910" s="17" customFormat="1" hidden="1" customHeight="1" spans="1:25">
      <c r="A910" s="59">
        <v>907</v>
      </c>
      <c r="B910" s="60" t="s">
        <v>2059</v>
      </c>
      <c r="C910" s="61">
        <f t="shared" ref="C910:C973" si="63">E910</f>
        <v>45600</v>
      </c>
      <c r="D910" s="62" t="str">
        <f ca="1" t="shared" si="57"/>
        <v>一年以上</v>
      </c>
      <c r="E910" s="313">
        <v>45600</v>
      </c>
      <c r="F910" s="59" t="s">
        <v>70</v>
      </c>
      <c r="G910" s="59" t="s">
        <v>2060</v>
      </c>
      <c r="H910" s="63"/>
      <c r="I910" s="63" t="s">
        <v>1569</v>
      </c>
      <c r="J910" s="314">
        <v>47100</v>
      </c>
      <c r="K910" s="59" t="s">
        <v>28</v>
      </c>
      <c r="L910" s="59" t="s">
        <v>73</v>
      </c>
      <c r="M910" s="59" t="s">
        <v>65</v>
      </c>
      <c r="N910" s="315">
        <f>41100</f>
        <v>41100</v>
      </c>
      <c r="O910" s="316">
        <f t="shared" si="61"/>
        <v>6000</v>
      </c>
      <c r="P910" s="95">
        <v>45952</v>
      </c>
      <c r="Q910" s="61">
        <f t="shared" si="62"/>
        <v>45952</v>
      </c>
      <c r="R910" s="59" t="s">
        <v>2061</v>
      </c>
      <c r="S910" s="59" t="s">
        <v>2062</v>
      </c>
      <c r="T910" s="59"/>
      <c r="U910" s="59"/>
      <c r="V910" s="59"/>
      <c r="W910" s="68"/>
      <c r="X910" s="68"/>
      <c r="Y910" s="68"/>
    </row>
    <row r="911" s="17" customFormat="1" hidden="1" customHeight="1" spans="1:25">
      <c r="A911" s="59">
        <v>908</v>
      </c>
      <c r="B911" s="60" t="s">
        <v>2063</v>
      </c>
      <c r="C911" s="61">
        <f t="shared" si="63"/>
        <v>45602</v>
      </c>
      <c r="D911" s="62" t="str">
        <f ca="1" t="shared" si="57"/>
        <v>一年以上</v>
      </c>
      <c r="E911" s="313">
        <v>45602</v>
      </c>
      <c r="F911" s="59" t="s">
        <v>70</v>
      </c>
      <c r="G911" s="59" t="s">
        <v>993</v>
      </c>
      <c r="H911" s="63"/>
      <c r="I911" s="63" t="s">
        <v>863</v>
      </c>
      <c r="J911" s="314">
        <v>10000</v>
      </c>
      <c r="K911" s="59" t="s">
        <v>28</v>
      </c>
      <c r="L911" s="59" t="s">
        <v>73</v>
      </c>
      <c r="M911" s="59" t="s">
        <v>30</v>
      </c>
      <c r="N911" s="315">
        <v>10000</v>
      </c>
      <c r="O911" s="316">
        <f t="shared" si="61"/>
        <v>0</v>
      </c>
      <c r="P911" s="95">
        <v>45644</v>
      </c>
      <c r="Q911" s="61">
        <f t="shared" si="62"/>
        <v>45644</v>
      </c>
      <c r="R911" s="59"/>
      <c r="S911" s="59" t="s">
        <v>2064</v>
      </c>
      <c r="T911" s="59"/>
      <c r="U911" s="59"/>
      <c r="V911" s="59"/>
      <c r="W911" s="68"/>
      <c r="X911" s="68"/>
      <c r="Y911" s="68"/>
    </row>
    <row r="912" s="17" customFormat="1" hidden="1" customHeight="1" spans="1:25">
      <c r="A912" s="59">
        <v>909</v>
      </c>
      <c r="B912" s="60" t="s">
        <v>2065</v>
      </c>
      <c r="C912" s="61">
        <f t="shared" si="63"/>
        <v>45608</v>
      </c>
      <c r="D912" s="62" t="str">
        <f ca="1" t="shared" si="57"/>
        <v>一年以上</v>
      </c>
      <c r="E912" s="313">
        <v>45608</v>
      </c>
      <c r="F912" s="59" t="s">
        <v>70</v>
      </c>
      <c r="G912" s="59" t="s">
        <v>993</v>
      </c>
      <c r="H912" s="63"/>
      <c r="I912" s="63" t="s">
        <v>1569</v>
      </c>
      <c r="J912" s="314">
        <v>94500</v>
      </c>
      <c r="K912" s="59" t="s">
        <v>28</v>
      </c>
      <c r="L912" s="59" t="s">
        <v>73</v>
      </c>
      <c r="M912" s="59" t="s">
        <v>30</v>
      </c>
      <c r="N912" s="315">
        <v>94500</v>
      </c>
      <c r="O912" s="316">
        <f t="shared" si="61"/>
        <v>0</v>
      </c>
      <c r="P912" s="95">
        <v>45638</v>
      </c>
      <c r="Q912" s="61">
        <f t="shared" si="62"/>
        <v>45638</v>
      </c>
      <c r="R912" s="59"/>
      <c r="S912" s="59" t="s">
        <v>2066</v>
      </c>
      <c r="T912" s="59"/>
      <c r="U912" s="59"/>
      <c r="V912" s="59"/>
      <c r="W912" s="68"/>
      <c r="X912" s="68"/>
      <c r="Y912" s="68"/>
    </row>
    <row r="913" s="17" customFormat="1" hidden="1" customHeight="1" spans="1:25">
      <c r="A913" s="59">
        <v>910</v>
      </c>
      <c r="B913" s="60" t="s">
        <v>2067</v>
      </c>
      <c r="C913" s="61">
        <f t="shared" si="63"/>
        <v>45611</v>
      </c>
      <c r="D913" s="62" t="str">
        <f ca="1" t="shared" si="57"/>
        <v>一年以上</v>
      </c>
      <c r="E913" s="313">
        <v>45611</v>
      </c>
      <c r="F913" s="59" t="s">
        <v>70</v>
      </c>
      <c r="G913" s="59" t="s">
        <v>993</v>
      </c>
      <c r="H913" s="63"/>
      <c r="I913" s="63" t="s">
        <v>1368</v>
      </c>
      <c r="J913" s="314">
        <v>20000</v>
      </c>
      <c r="K913" s="59" t="s">
        <v>28</v>
      </c>
      <c r="L913" s="59" t="s">
        <v>73</v>
      </c>
      <c r="M913" s="59" t="s">
        <v>30</v>
      </c>
      <c r="N913" s="315">
        <v>20000</v>
      </c>
      <c r="O913" s="316">
        <f t="shared" si="61"/>
        <v>0</v>
      </c>
      <c r="P913" s="95">
        <v>45629</v>
      </c>
      <c r="Q913" s="61">
        <f t="shared" si="62"/>
        <v>45629</v>
      </c>
      <c r="R913" s="59"/>
      <c r="S913" s="59" t="s">
        <v>2068</v>
      </c>
      <c r="T913" s="59"/>
      <c r="U913" s="59"/>
      <c r="V913" s="59"/>
      <c r="W913" s="68"/>
      <c r="X913" s="68"/>
      <c r="Y913" s="68"/>
    </row>
    <row r="914" s="17" customFormat="1" hidden="1" customHeight="1" spans="1:25">
      <c r="A914" s="59">
        <v>911</v>
      </c>
      <c r="B914" s="60" t="s">
        <v>2069</v>
      </c>
      <c r="C914" s="61">
        <f t="shared" si="63"/>
        <v>45611</v>
      </c>
      <c r="D914" s="62" t="str">
        <f ca="1" t="shared" si="57"/>
        <v>一年以上</v>
      </c>
      <c r="E914" s="313">
        <v>45611</v>
      </c>
      <c r="F914" s="59" t="s">
        <v>70</v>
      </c>
      <c r="G914" s="59" t="s">
        <v>993</v>
      </c>
      <c r="H914" s="63"/>
      <c r="I914" s="63" t="s">
        <v>1368</v>
      </c>
      <c r="J914" s="314">
        <v>5000</v>
      </c>
      <c r="K914" s="59" t="s">
        <v>28</v>
      </c>
      <c r="L914" s="59" t="s">
        <v>73</v>
      </c>
      <c r="M914" s="59" t="s">
        <v>30</v>
      </c>
      <c r="N914" s="315">
        <v>5000</v>
      </c>
      <c r="O914" s="316">
        <f t="shared" si="61"/>
        <v>0</v>
      </c>
      <c r="P914" s="95">
        <v>45629</v>
      </c>
      <c r="Q914" s="61">
        <f t="shared" si="62"/>
        <v>45629</v>
      </c>
      <c r="R914" s="59"/>
      <c r="S914" s="59" t="s">
        <v>2070</v>
      </c>
      <c r="T914" s="59"/>
      <c r="U914" s="59"/>
      <c r="V914" s="59"/>
      <c r="W914" s="68"/>
      <c r="X914" s="68"/>
      <c r="Y914" s="68"/>
    </row>
    <row r="915" s="17" customFormat="1" hidden="1" customHeight="1" spans="1:25">
      <c r="A915" s="59">
        <v>912</v>
      </c>
      <c r="B915" s="60" t="s">
        <v>2071</v>
      </c>
      <c r="C915" s="61">
        <f t="shared" si="63"/>
        <v>45622</v>
      </c>
      <c r="D915" s="62" t="str">
        <f ca="1" t="shared" si="57"/>
        <v>一年以上</v>
      </c>
      <c r="E915" s="313">
        <v>45622</v>
      </c>
      <c r="F915" s="59" t="s">
        <v>70</v>
      </c>
      <c r="G915" s="59" t="s">
        <v>993</v>
      </c>
      <c r="H915" s="63"/>
      <c r="I915" s="63" t="s">
        <v>2072</v>
      </c>
      <c r="J915" s="314">
        <v>8000</v>
      </c>
      <c r="K915" s="59" t="s">
        <v>28</v>
      </c>
      <c r="L915" s="59" t="s">
        <v>73</v>
      </c>
      <c r="M915" s="59" t="s">
        <v>30</v>
      </c>
      <c r="N915" s="315">
        <v>8000</v>
      </c>
      <c r="O915" s="316">
        <f t="shared" si="61"/>
        <v>0</v>
      </c>
      <c r="P915" s="95">
        <v>45645</v>
      </c>
      <c r="Q915" s="61">
        <f t="shared" si="62"/>
        <v>45645</v>
      </c>
      <c r="R915" s="59"/>
      <c r="S915" s="59" t="s">
        <v>2073</v>
      </c>
      <c r="T915" s="59"/>
      <c r="U915" s="59"/>
      <c r="V915" s="59"/>
      <c r="W915" s="68"/>
      <c r="X915" s="68"/>
      <c r="Y915" s="68"/>
    </row>
    <row r="916" s="17" customFormat="1" hidden="1" customHeight="1" spans="1:25">
      <c r="A916" s="59">
        <v>913</v>
      </c>
      <c r="B916" s="60" t="s">
        <v>2074</v>
      </c>
      <c r="C916" s="61">
        <f t="shared" si="63"/>
        <v>45624</v>
      </c>
      <c r="D916" s="62" t="str">
        <f ca="1" t="shared" si="57"/>
        <v>一年以上</v>
      </c>
      <c r="E916" s="313">
        <v>45624</v>
      </c>
      <c r="F916" s="59" t="s">
        <v>70</v>
      </c>
      <c r="G916" s="59" t="s">
        <v>993</v>
      </c>
      <c r="H916" s="63"/>
      <c r="I916" s="63" t="s">
        <v>2075</v>
      </c>
      <c r="J916" s="314">
        <v>8500</v>
      </c>
      <c r="K916" s="59" t="s">
        <v>28</v>
      </c>
      <c r="L916" s="59" t="s">
        <v>73</v>
      </c>
      <c r="M916" s="59" t="s">
        <v>30</v>
      </c>
      <c r="N916" s="315">
        <f>8000+500</f>
        <v>8500</v>
      </c>
      <c r="O916" s="316">
        <f t="shared" si="61"/>
        <v>0</v>
      </c>
      <c r="P916" s="95">
        <v>45294</v>
      </c>
      <c r="Q916" s="61">
        <f t="shared" si="62"/>
        <v>45294</v>
      </c>
      <c r="R916" s="59" t="s">
        <v>2076</v>
      </c>
      <c r="S916" s="59" t="s">
        <v>2073</v>
      </c>
      <c r="T916" s="59"/>
      <c r="U916" s="59"/>
      <c r="V916" s="59"/>
      <c r="W916" s="68"/>
      <c r="X916" s="68"/>
      <c r="Y916" s="68"/>
    </row>
    <row r="917" s="17" customFormat="1" hidden="1" customHeight="1" spans="1:25">
      <c r="A917" s="59">
        <v>914</v>
      </c>
      <c r="B917" s="60" t="s">
        <v>2077</v>
      </c>
      <c r="C917" s="61">
        <f t="shared" si="63"/>
        <v>45626</v>
      </c>
      <c r="D917" s="62" t="str">
        <f ca="1" t="shared" ref="D917:D980" si="64">IF(TODAY()-E917&lt;60,"2个月内",IF(TODAY()-E917&lt;180,"3-6个月",IF(TODAY()-E917&lt;360,"6个月-1年","一年以上")))</f>
        <v>一年以上</v>
      </c>
      <c r="E917" s="313">
        <v>45626</v>
      </c>
      <c r="F917" s="59" t="s">
        <v>130</v>
      </c>
      <c r="G917" s="59" t="s">
        <v>2029</v>
      </c>
      <c r="H917" s="63"/>
      <c r="I917" s="63" t="s">
        <v>215</v>
      </c>
      <c r="J917" s="314">
        <v>10000</v>
      </c>
      <c r="K917" s="59" t="s">
        <v>28</v>
      </c>
      <c r="L917" s="59" t="s">
        <v>73</v>
      </c>
      <c r="M917" s="59" t="s">
        <v>30</v>
      </c>
      <c r="N917" s="315">
        <v>10000</v>
      </c>
      <c r="O917" s="316">
        <f t="shared" si="61"/>
        <v>0</v>
      </c>
      <c r="P917" s="95">
        <v>45713</v>
      </c>
      <c r="Q917" s="61">
        <f t="shared" si="62"/>
        <v>45713</v>
      </c>
      <c r="R917" s="59"/>
      <c r="S917" s="59" t="s">
        <v>2078</v>
      </c>
      <c r="T917" s="59"/>
      <c r="U917" s="59"/>
      <c r="V917" s="59"/>
      <c r="W917" s="68"/>
      <c r="X917" s="68"/>
      <c r="Y917" s="68"/>
    </row>
    <row r="918" s="17" customFormat="1" hidden="1" customHeight="1" spans="1:25">
      <c r="A918" s="59">
        <v>915</v>
      </c>
      <c r="B918" s="60" t="s">
        <v>2079</v>
      </c>
      <c r="C918" s="61">
        <f t="shared" si="63"/>
        <v>45636</v>
      </c>
      <c r="D918" s="62" t="str">
        <f ca="1" t="shared" si="64"/>
        <v>一年以上</v>
      </c>
      <c r="E918" s="313">
        <v>45636</v>
      </c>
      <c r="F918" s="59" t="s">
        <v>130</v>
      </c>
      <c r="G918" s="59" t="s">
        <v>2029</v>
      </c>
      <c r="H918" s="63"/>
      <c r="I918" s="63" t="s">
        <v>2080</v>
      </c>
      <c r="J918" s="314">
        <v>15000</v>
      </c>
      <c r="K918" s="59" t="s">
        <v>28</v>
      </c>
      <c r="L918" s="59" t="s">
        <v>73</v>
      </c>
      <c r="M918" s="59" t="s">
        <v>30</v>
      </c>
      <c r="N918" s="315">
        <v>15000</v>
      </c>
      <c r="O918" s="316">
        <f t="shared" si="61"/>
        <v>0</v>
      </c>
      <c r="P918" s="95">
        <v>45653</v>
      </c>
      <c r="Q918" s="61">
        <f t="shared" si="62"/>
        <v>45653</v>
      </c>
      <c r="R918" s="59"/>
      <c r="S918" s="59" t="s">
        <v>2081</v>
      </c>
      <c r="T918" s="59"/>
      <c r="U918" s="59"/>
      <c r="V918" s="59"/>
      <c r="W918" s="68"/>
      <c r="X918" s="68"/>
      <c r="Y918" s="68"/>
    </row>
    <row r="919" s="17" customFormat="1" hidden="1" customHeight="1" spans="1:25">
      <c r="A919" s="59">
        <v>916</v>
      </c>
      <c r="B919" s="60" t="s">
        <v>2082</v>
      </c>
      <c r="C919" s="61">
        <f t="shared" si="63"/>
        <v>45637</v>
      </c>
      <c r="D919" s="62" t="str">
        <f ca="1" t="shared" si="64"/>
        <v>一年以上</v>
      </c>
      <c r="E919" s="313">
        <v>45637</v>
      </c>
      <c r="F919" s="59" t="s">
        <v>130</v>
      </c>
      <c r="G919" s="59" t="s">
        <v>2029</v>
      </c>
      <c r="H919" s="63"/>
      <c r="I919" s="63" t="s">
        <v>2083</v>
      </c>
      <c r="J919" s="314"/>
      <c r="K919" s="59" t="s">
        <v>28</v>
      </c>
      <c r="L919" s="59" t="s">
        <v>73</v>
      </c>
      <c r="M919" s="59" t="s">
        <v>65</v>
      </c>
      <c r="N919" s="315"/>
      <c r="O919" s="316">
        <f t="shared" si="61"/>
        <v>0</v>
      </c>
      <c r="P919" s="95"/>
      <c r="Q919" s="61">
        <f t="shared" si="62"/>
        <v>0</v>
      </c>
      <c r="R919" s="59"/>
      <c r="S919" s="59" t="s">
        <v>2084</v>
      </c>
      <c r="T919" s="59"/>
      <c r="U919" s="59"/>
      <c r="V919" s="59"/>
      <c r="W919" s="68"/>
      <c r="X919" s="68"/>
      <c r="Y919" s="68"/>
    </row>
    <row r="920" s="17" customFormat="1" hidden="1" customHeight="1" spans="1:25">
      <c r="A920" s="59">
        <v>917</v>
      </c>
      <c r="B920" s="60" t="s">
        <v>2085</v>
      </c>
      <c r="C920" s="61">
        <f t="shared" si="63"/>
        <v>45637</v>
      </c>
      <c r="D920" s="62" t="str">
        <f ca="1" t="shared" si="64"/>
        <v>一年以上</v>
      </c>
      <c r="E920" s="313">
        <v>45637</v>
      </c>
      <c r="F920" s="59" t="s">
        <v>130</v>
      </c>
      <c r="G920" s="59" t="s">
        <v>2029</v>
      </c>
      <c r="H920" s="63"/>
      <c r="I920" s="63" t="s">
        <v>2083</v>
      </c>
      <c r="J920" s="314">
        <v>57000</v>
      </c>
      <c r="K920" s="59" t="s">
        <v>28</v>
      </c>
      <c r="L920" s="59" t="s">
        <v>73</v>
      </c>
      <c r="M920" s="59" t="s">
        <v>65</v>
      </c>
      <c r="N920" s="315">
        <v>57000</v>
      </c>
      <c r="O920" s="316">
        <f t="shared" si="61"/>
        <v>0</v>
      </c>
      <c r="P920" s="95">
        <v>45832</v>
      </c>
      <c r="Q920" s="61">
        <f t="shared" si="62"/>
        <v>45832</v>
      </c>
      <c r="R920" s="59"/>
      <c r="S920" s="59" t="s">
        <v>2084</v>
      </c>
      <c r="T920" s="59"/>
      <c r="U920" s="59"/>
      <c r="V920" s="59"/>
      <c r="W920" s="68"/>
      <c r="X920" s="68"/>
      <c r="Y920" s="68"/>
    </row>
    <row r="921" s="17" customFormat="1" hidden="1" customHeight="1" spans="1:25">
      <c r="A921" s="59">
        <v>918</v>
      </c>
      <c r="B921" s="60" t="s">
        <v>2086</v>
      </c>
      <c r="C921" s="61">
        <f t="shared" si="63"/>
        <v>45638</v>
      </c>
      <c r="D921" s="62" t="str">
        <f ca="1" t="shared" si="64"/>
        <v>一年以上</v>
      </c>
      <c r="E921" s="313">
        <v>45638</v>
      </c>
      <c r="F921" s="59" t="s">
        <v>130</v>
      </c>
      <c r="G921" s="59" t="s">
        <v>2029</v>
      </c>
      <c r="H921" s="63"/>
      <c r="I921" s="63" t="s">
        <v>2087</v>
      </c>
      <c r="J921" s="314">
        <v>5000</v>
      </c>
      <c r="K921" s="59" t="s">
        <v>28</v>
      </c>
      <c r="L921" s="59" t="s">
        <v>73</v>
      </c>
      <c r="M921" s="59" t="s">
        <v>65</v>
      </c>
      <c r="N921" s="315">
        <v>5000</v>
      </c>
      <c r="O921" s="316">
        <f t="shared" si="61"/>
        <v>0</v>
      </c>
      <c r="P921" s="95">
        <v>45772</v>
      </c>
      <c r="Q921" s="61">
        <f t="shared" si="62"/>
        <v>45772</v>
      </c>
      <c r="R921" s="59"/>
      <c r="S921" s="59" t="s">
        <v>2088</v>
      </c>
      <c r="T921" s="59"/>
      <c r="U921" s="59"/>
      <c r="V921" s="59"/>
      <c r="W921" s="68"/>
      <c r="X921" s="68"/>
      <c r="Y921" s="68"/>
    </row>
    <row r="922" s="17" customFormat="1" hidden="1" customHeight="1" spans="1:25">
      <c r="A922" s="59">
        <v>919</v>
      </c>
      <c r="B922" s="60" t="s">
        <v>2089</v>
      </c>
      <c r="C922" s="61">
        <f t="shared" si="63"/>
        <v>45640</v>
      </c>
      <c r="D922" s="62" t="str">
        <f ca="1" t="shared" si="64"/>
        <v>一年以上</v>
      </c>
      <c r="E922" s="313">
        <v>45640</v>
      </c>
      <c r="F922" s="59" t="s">
        <v>130</v>
      </c>
      <c r="G922" s="59" t="s">
        <v>2029</v>
      </c>
      <c r="H922" s="63"/>
      <c r="I922" s="63" t="s">
        <v>366</v>
      </c>
      <c r="J922" s="314">
        <v>5000</v>
      </c>
      <c r="K922" s="59" t="s">
        <v>28</v>
      </c>
      <c r="L922" s="59" t="s">
        <v>73</v>
      </c>
      <c r="M922" s="59" t="s">
        <v>30</v>
      </c>
      <c r="N922" s="315">
        <v>5000</v>
      </c>
      <c r="O922" s="316">
        <f t="shared" si="61"/>
        <v>0</v>
      </c>
      <c r="P922" s="95">
        <v>45652</v>
      </c>
      <c r="Q922" s="61">
        <f t="shared" si="62"/>
        <v>45652</v>
      </c>
      <c r="R922" s="59"/>
      <c r="S922" s="59" t="s">
        <v>2090</v>
      </c>
      <c r="T922" s="59"/>
      <c r="U922" s="59"/>
      <c r="V922" s="59"/>
      <c r="W922" s="68"/>
      <c r="X922" s="68"/>
      <c r="Y922" s="68"/>
    </row>
    <row r="923" s="17" customFormat="1" hidden="1" customHeight="1" spans="1:25">
      <c r="A923" s="59">
        <v>920</v>
      </c>
      <c r="B923" s="60" t="s">
        <v>2091</v>
      </c>
      <c r="C923" s="61">
        <f t="shared" si="63"/>
        <v>45642</v>
      </c>
      <c r="D923" s="62" t="str">
        <f ca="1" t="shared" si="64"/>
        <v>一年以上</v>
      </c>
      <c r="E923" s="313">
        <v>45642</v>
      </c>
      <c r="F923" s="59" t="s">
        <v>70</v>
      </c>
      <c r="G923" s="59" t="s">
        <v>2060</v>
      </c>
      <c r="H923" s="63"/>
      <c r="I923" s="63" t="s">
        <v>2092</v>
      </c>
      <c r="J923" s="314">
        <v>1000</v>
      </c>
      <c r="K923" s="59" t="s">
        <v>28</v>
      </c>
      <c r="L923" s="59" t="s">
        <v>73</v>
      </c>
      <c r="M923" s="59" t="s">
        <v>65</v>
      </c>
      <c r="N923" s="315">
        <v>1000</v>
      </c>
      <c r="O923" s="316">
        <f t="shared" si="61"/>
        <v>0</v>
      </c>
      <c r="P923" s="95">
        <v>45716</v>
      </c>
      <c r="Q923" s="61">
        <f t="shared" si="62"/>
        <v>45716</v>
      </c>
      <c r="R923" s="59"/>
      <c r="S923" s="59" t="s">
        <v>2093</v>
      </c>
      <c r="T923" s="59"/>
      <c r="U923" s="59"/>
      <c r="V923" s="59"/>
      <c r="W923" s="68"/>
      <c r="X923" s="68"/>
      <c r="Y923" s="68"/>
    </row>
    <row r="924" s="17" customFormat="1" hidden="1" customHeight="1" spans="1:25">
      <c r="A924" s="59">
        <v>921</v>
      </c>
      <c r="B924" s="60" t="s">
        <v>2094</v>
      </c>
      <c r="C924" s="61">
        <f t="shared" si="63"/>
        <v>45656</v>
      </c>
      <c r="D924" s="62" t="str">
        <f ca="1" t="shared" si="64"/>
        <v>一年以上</v>
      </c>
      <c r="E924" s="313">
        <v>45656</v>
      </c>
      <c r="F924" s="59" t="s">
        <v>130</v>
      </c>
      <c r="G924" s="59" t="s">
        <v>2029</v>
      </c>
      <c r="H924" s="63"/>
      <c r="I924" s="63" t="s">
        <v>215</v>
      </c>
      <c r="J924" s="314">
        <v>10000</v>
      </c>
      <c r="K924" s="59" t="s">
        <v>28</v>
      </c>
      <c r="L924" s="59" t="s">
        <v>73</v>
      </c>
      <c r="M924" s="59" t="s">
        <v>30</v>
      </c>
      <c r="N924" s="315">
        <v>10000</v>
      </c>
      <c r="O924" s="316">
        <f t="shared" si="61"/>
        <v>0</v>
      </c>
      <c r="P924" s="95">
        <v>45714</v>
      </c>
      <c r="Q924" s="61">
        <f t="shared" si="62"/>
        <v>45714</v>
      </c>
      <c r="R924" s="59"/>
      <c r="S924" s="59" t="s">
        <v>2095</v>
      </c>
      <c r="T924" s="59"/>
      <c r="U924" s="59"/>
      <c r="V924" s="59"/>
      <c r="W924" s="68"/>
      <c r="X924" s="68"/>
      <c r="Y924" s="68"/>
    </row>
    <row r="925" s="17" customFormat="1" hidden="1" customHeight="1" spans="1:25">
      <c r="A925" s="59">
        <v>922</v>
      </c>
      <c r="B925" s="60" t="s">
        <v>2096</v>
      </c>
      <c r="C925" s="61">
        <f t="shared" si="63"/>
        <v>45656</v>
      </c>
      <c r="D925" s="62" t="str">
        <f ca="1" t="shared" si="64"/>
        <v>一年以上</v>
      </c>
      <c r="E925" s="313">
        <v>45656</v>
      </c>
      <c r="F925" s="59" t="s">
        <v>130</v>
      </c>
      <c r="G925" s="59" t="s">
        <v>2029</v>
      </c>
      <c r="H925" s="63"/>
      <c r="I925" s="63" t="s">
        <v>863</v>
      </c>
      <c r="J925" s="314">
        <v>6500</v>
      </c>
      <c r="K925" s="59" t="s">
        <v>1706</v>
      </c>
      <c r="L925" s="59" t="s">
        <v>73</v>
      </c>
      <c r="M925" s="59" t="s">
        <v>65</v>
      </c>
      <c r="N925" s="315">
        <v>6500</v>
      </c>
      <c r="O925" s="316">
        <f t="shared" si="61"/>
        <v>0</v>
      </c>
      <c r="P925" s="95">
        <v>46080</v>
      </c>
      <c r="Q925" s="61">
        <f t="shared" si="62"/>
        <v>46080</v>
      </c>
      <c r="R925" s="59"/>
      <c r="S925" s="59" t="s">
        <v>2097</v>
      </c>
      <c r="T925" s="59"/>
      <c r="U925" s="59"/>
      <c r="V925" s="59"/>
      <c r="W925" s="68"/>
      <c r="X925" s="68"/>
      <c r="Y925" s="68"/>
    </row>
    <row r="926" s="17" customFormat="1" hidden="1" customHeight="1" spans="1:25">
      <c r="A926" s="59">
        <v>923</v>
      </c>
      <c r="B926" s="60" t="s">
        <v>2098</v>
      </c>
      <c r="C926" s="61">
        <f t="shared" si="63"/>
        <v>45656</v>
      </c>
      <c r="D926" s="62" t="str">
        <f ca="1" t="shared" si="64"/>
        <v>一年以上</v>
      </c>
      <c r="E926" s="313">
        <v>45656</v>
      </c>
      <c r="F926" s="59" t="s">
        <v>130</v>
      </c>
      <c r="G926" s="59" t="s">
        <v>2029</v>
      </c>
      <c r="H926" s="63"/>
      <c r="I926" s="63" t="s">
        <v>863</v>
      </c>
      <c r="J926" s="314">
        <v>6500</v>
      </c>
      <c r="K926" s="59" t="s">
        <v>1706</v>
      </c>
      <c r="L926" s="59" t="s">
        <v>73</v>
      </c>
      <c r="M926" s="59" t="s">
        <v>133</v>
      </c>
      <c r="N926" s="315"/>
      <c r="O926" s="316">
        <f t="shared" si="61"/>
        <v>6500</v>
      </c>
      <c r="P926" s="95"/>
      <c r="Q926" s="61">
        <f t="shared" si="62"/>
        <v>0</v>
      </c>
      <c r="R926" s="59"/>
      <c r="S926" s="59" t="s">
        <v>2099</v>
      </c>
      <c r="T926" s="59"/>
      <c r="U926" s="59"/>
      <c r="V926" s="59"/>
      <c r="W926" s="68"/>
      <c r="X926" s="68"/>
      <c r="Y926" s="68"/>
    </row>
    <row r="927" s="17" customFormat="1" hidden="1" customHeight="1" spans="1:25">
      <c r="A927" s="59">
        <v>924</v>
      </c>
      <c r="B927" s="60" t="s">
        <v>2100</v>
      </c>
      <c r="C927" s="61">
        <f t="shared" si="63"/>
        <v>45656</v>
      </c>
      <c r="D927" s="62" t="str">
        <f ca="1" t="shared" si="64"/>
        <v>一年以上</v>
      </c>
      <c r="E927" s="313">
        <v>45656</v>
      </c>
      <c r="F927" s="59" t="s">
        <v>130</v>
      </c>
      <c r="G927" s="59" t="s">
        <v>2029</v>
      </c>
      <c r="H927" s="63"/>
      <c r="I927" s="63" t="s">
        <v>2101</v>
      </c>
      <c r="J927" s="314">
        <v>6500</v>
      </c>
      <c r="K927" s="59" t="s">
        <v>1706</v>
      </c>
      <c r="L927" s="59" t="s">
        <v>73</v>
      </c>
      <c r="M927" s="59" t="s">
        <v>941</v>
      </c>
      <c r="N927" s="315">
        <v>6500</v>
      </c>
      <c r="O927" s="316">
        <f t="shared" si="61"/>
        <v>0</v>
      </c>
      <c r="P927" s="95">
        <v>45656</v>
      </c>
      <c r="Q927" s="61">
        <f t="shared" si="62"/>
        <v>45656</v>
      </c>
      <c r="R927" s="59" t="s">
        <v>1904</v>
      </c>
      <c r="S927" s="59" t="s">
        <v>2099</v>
      </c>
      <c r="T927" s="59"/>
      <c r="U927" s="59"/>
      <c r="V927" s="59"/>
      <c r="W927" s="68"/>
      <c r="X927" s="68"/>
      <c r="Y927" s="68"/>
    </row>
    <row r="928" s="17" customFormat="1" hidden="1" customHeight="1" spans="1:25">
      <c r="A928" s="59">
        <v>925</v>
      </c>
      <c r="B928" s="60" t="s">
        <v>2102</v>
      </c>
      <c r="C928" s="61">
        <f t="shared" si="63"/>
        <v>45660</v>
      </c>
      <c r="D928" s="62" t="str">
        <f ca="1" t="shared" si="64"/>
        <v>一年以上</v>
      </c>
      <c r="E928" s="313">
        <v>45660</v>
      </c>
      <c r="F928" s="59" t="s">
        <v>130</v>
      </c>
      <c r="G928" s="59" t="s">
        <v>2029</v>
      </c>
      <c r="H928" s="63"/>
      <c r="I928" s="63" t="s">
        <v>1318</v>
      </c>
      <c r="J928" s="314">
        <v>5000</v>
      </c>
      <c r="K928" s="59" t="s">
        <v>28</v>
      </c>
      <c r="L928" s="59" t="s">
        <v>73</v>
      </c>
      <c r="M928" s="59" t="s">
        <v>30</v>
      </c>
      <c r="N928" s="315">
        <v>5000</v>
      </c>
      <c r="O928" s="316">
        <f t="shared" si="61"/>
        <v>0</v>
      </c>
      <c r="P928" s="95">
        <v>45930</v>
      </c>
      <c r="Q928" s="61">
        <f t="shared" si="62"/>
        <v>45930</v>
      </c>
      <c r="R928" s="59"/>
      <c r="S928" s="59" t="s">
        <v>2103</v>
      </c>
      <c r="T928" s="59"/>
      <c r="U928" s="59"/>
      <c r="V928" s="59"/>
      <c r="W928" s="68"/>
      <c r="X928" s="68"/>
      <c r="Y928" s="68"/>
    </row>
    <row r="929" s="17" customFormat="1" hidden="1" customHeight="1" spans="1:25">
      <c r="A929" s="59">
        <v>926</v>
      </c>
      <c r="B929" s="60" t="s">
        <v>2104</v>
      </c>
      <c r="C929" s="61">
        <f t="shared" si="63"/>
        <v>45663</v>
      </c>
      <c r="D929" s="62" t="str">
        <f ca="1" t="shared" si="64"/>
        <v>一年以上</v>
      </c>
      <c r="E929" s="313">
        <v>45663</v>
      </c>
      <c r="F929" s="59" t="s">
        <v>130</v>
      </c>
      <c r="G929" s="59" t="s">
        <v>2029</v>
      </c>
      <c r="H929" s="63"/>
      <c r="I929" s="63" t="s">
        <v>2087</v>
      </c>
      <c r="J929" s="314">
        <v>5000</v>
      </c>
      <c r="K929" s="59" t="s">
        <v>28</v>
      </c>
      <c r="L929" s="59" t="s">
        <v>73</v>
      </c>
      <c r="M929" s="59" t="s">
        <v>65</v>
      </c>
      <c r="N929" s="315">
        <v>5000</v>
      </c>
      <c r="O929" s="316">
        <f t="shared" si="61"/>
        <v>0</v>
      </c>
      <c r="P929" s="95">
        <v>45772</v>
      </c>
      <c r="Q929" s="61">
        <f t="shared" si="62"/>
        <v>45772</v>
      </c>
      <c r="R929" s="59" t="s">
        <v>2105</v>
      </c>
      <c r="S929" s="59" t="s">
        <v>2106</v>
      </c>
      <c r="T929" s="59"/>
      <c r="U929" s="59"/>
      <c r="V929" s="59"/>
      <c r="W929" s="68"/>
      <c r="X929" s="68"/>
      <c r="Y929" s="68"/>
    </row>
    <row r="930" s="17" customFormat="1" hidden="1" customHeight="1" spans="1:25">
      <c r="A930" s="59">
        <v>927</v>
      </c>
      <c r="B930" s="60" t="s">
        <v>2107</v>
      </c>
      <c r="C930" s="61">
        <f t="shared" si="63"/>
        <v>45670</v>
      </c>
      <c r="D930" s="62" t="str">
        <f ca="1" t="shared" si="64"/>
        <v>一年以上</v>
      </c>
      <c r="E930" s="313">
        <v>45670</v>
      </c>
      <c r="F930" s="59" t="s">
        <v>70</v>
      </c>
      <c r="G930" s="59" t="s">
        <v>2060</v>
      </c>
      <c r="H930" s="63"/>
      <c r="I930" s="63" t="s">
        <v>829</v>
      </c>
      <c r="J930" s="314">
        <v>3000</v>
      </c>
      <c r="K930" s="59" t="s">
        <v>28</v>
      </c>
      <c r="L930" s="59" t="s">
        <v>73</v>
      </c>
      <c r="M930" s="59" t="s">
        <v>65</v>
      </c>
      <c r="N930" s="315">
        <v>3000</v>
      </c>
      <c r="O930" s="316">
        <f t="shared" si="61"/>
        <v>0</v>
      </c>
      <c r="P930" s="95">
        <v>45740</v>
      </c>
      <c r="Q930" s="61">
        <f t="shared" si="62"/>
        <v>45740</v>
      </c>
      <c r="R930" s="59"/>
      <c r="S930" s="59" t="s">
        <v>2108</v>
      </c>
      <c r="T930" s="59"/>
      <c r="U930" s="59"/>
      <c r="V930" s="59"/>
      <c r="W930" s="68"/>
      <c r="X930" s="68"/>
      <c r="Y930" s="68"/>
    </row>
    <row r="931" s="17" customFormat="1" hidden="1" customHeight="1" spans="1:25">
      <c r="A931" s="59">
        <v>928</v>
      </c>
      <c r="B931" s="60" t="s">
        <v>2109</v>
      </c>
      <c r="C931" s="61">
        <f t="shared" si="63"/>
        <v>45671</v>
      </c>
      <c r="D931" s="62" t="str">
        <f ca="1" t="shared" si="64"/>
        <v>一年以上</v>
      </c>
      <c r="E931" s="313">
        <v>45671</v>
      </c>
      <c r="F931" s="59" t="s">
        <v>130</v>
      </c>
      <c r="G931" s="59" t="s">
        <v>2029</v>
      </c>
      <c r="H931" s="63"/>
      <c r="I931" s="63" t="s">
        <v>863</v>
      </c>
      <c r="J931" s="314">
        <v>50000</v>
      </c>
      <c r="K931" s="59" t="s">
        <v>28</v>
      </c>
      <c r="L931" s="59" t="s">
        <v>73</v>
      </c>
      <c r="M931" s="59" t="s">
        <v>133</v>
      </c>
      <c r="N931" s="319">
        <v>50000</v>
      </c>
      <c r="O931" s="316">
        <f t="shared" si="61"/>
        <v>0</v>
      </c>
      <c r="P931" s="95">
        <v>46081</v>
      </c>
      <c r="Q931" s="61">
        <f t="shared" si="62"/>
        <v>46081</v>
      </c>
      <c r="R931" s="59"/>
      <c r="S931" s="59" t="s">
        <v>2110</v>
      </c>
      <c r="T931" s="59"/>
      <c r="U931" s="59"/>
      <c r="V931" s="59"/>
      <c r="W931" s="68"/>
      <c r="X931" s="68"/>
      <c r="Y931" s="68"/>
    </row>
    <row r="932" s="17" customFormat="1" hidden="1" customHeight="1" spans="1:25">
      <c r="A932" s="59">
        <v>929</v>
      </c>
      <c r="B932" s="60" t="s">
        <v>2111</v>
      </c>
      <c r="C932" s="61">
        <f t="shared" si="63"/>
        <v>45671</v>
      </c>
      <c r="D932" s="62" t="str">
        <f ca="1" t="shared" si="64"/>
        <v>一年以上</v>
      </c>
      <c r="E932" s="313">
        <v>45671</v>
      </c>
      <c r="F932" s="59" t="s">
        <v>130</v>
      </c>
      <c r="G932" s="59" t="s">
        <v>2029</v>
      </c>
      <c r="H932" s="63"/>
      <c r="I932" s="63" t="s">
        <v>863</v>
      </c>
      <c r="J932" s="314">
        <v>50000</v>
      </c>
      <c r="K932" s="59" t="s">
        <v>28</v>
      </c>
      <c r="L932" s="59" t="s">
        <v>73</v>
      </c>
      <c r="M932" s="59" t="s">
        <v>65</v>
      </c>
      <c r="N932" s="315">
        <v>50000</v>
      </c>
      <c r="O932" s="316">
        <f t="shared" si="61"/>
        <v>0</v>
      </c>
      <c r="P932" s="95">
        <v>46080</v>
      </c>
      <c r="Q932" s="61">
        <f t="shared" si="62"/>
        <v>46080</v>
      </c>
      <c r="R932" s="59"/>
      <c r="S932" s="59" t="s">
        <v>2110</v>
      </c>
      <c r="T932" s="59"/>
      <c r="U932" s="59"/>
      <c r="V932" s="59"/>
      <c r="W932" s="68"/>
      <c r="X932" s="68"/>
      <c r="Y932" s="68"/>
    </row>
    <row r="933" s="17" customFormat="1" hidden="1" customHeight="1" spans="1:25">
      <c r="A933" s="59">
        <v>930</v>
      </c>
      <c r="B933" s="60" t="s">
        <v>2112</v>
      </c>
      <c r="C933" s="61">
        <f t="shared" si="63"/>
        <v>45671</v>
      </c>
      <c r="D933" s="62" t="str">
        <f ca="1" t="shared" si="64"/>
        <v>一年以上</v>
      </c>
      <c r="E933" s="313">
        <v>45671</v>
      </c>
      <c r="F933" s="59" t="s">
        <v>130</v>
      </c>
      <c r="G933" s="59" t="s">
        <v>2029</v>
      </c>
      <c r="H933" s="63"/>
      <c r="I933" s="63" t="s">
        <v>863</v>
      </c>
      <c r="J933" s="314">
        <v>50000</v>
      </c>
      <c r="K933" s="59" t="s">
        <v>28</v>
      </c>
      <c r="L933" s="59" t="s">
        <v>73</v>
      </c>
      <c r="M933" s="59" t="s">
        <v>941</v>
      </c>
      <c r="N933" s="315">
        <v>50000</v>
      </c>
      <c r="O933" s="316">
        <f t="shared" si="61"/>
        <v>0</v>
      </c>
      <c r="P933" s="95">
        <v>45671</v>
      </c>
      <c r="Q933" s="61">
        <f t="shared" si="62"/>
        <v>45671</v>
      </c>
      <c r="R933" s="59" t="s">
        <v>1865</v>
      </c>
      <c r="S933" s="59" t="s">
        <v>2110</v>
      </c>
      <c r="T933" s="59"/>
      <c r="U933" s="59"/>
      <c r="V933" s="59"/>
      <c r="W933" s="68"/>
      <c r="X933" s="68"/>
      <c r="Y933" s="68"/>
    </row>
    <row r="934" s="17" customFormat="1" hidden="1" customHeight="1" spans="1:25">
      <c r="A934" s="59">
        <v>931</v>
      </c>
      <c r="B934" s="60" t="s">
        <v>2113</v>
      </c>
      <c r="C934" s="61">
        <f t="shared" si="63"/>
        <v>45679</v>
      </c>
      <c r="D934" s="62" t="str">
        <f ca="1" t="shared" si="64"/>
        <v>一年以上</v>
      </c>
      <c r="E934" s="313">
        <v>45679</v>
      </c>
      <c r="F934" s="59" t="s">
        <v>130</v>
      </c>
      <c r="G934" s="59" t="s">
        <v>2029</v>
      </c>
      <c r="H934" s="63"/>
      <c r="I934" s="63" t="s">
        <v>2114</v>
      </c>
      <c r="J934" s="314">
        <v>10000</v>
      </c>
      <c r="K934" s="59" t="s">
        <v>28</v>
      </c>
      <c r="L934" s="59" t="s">
        <v>73</v>
      </c>
      <c r="M934" s="59" t="s">
        <v>30</v>
      </c>
      <c r="N934" s="315">
        <v>10000</v>
      </c>
      <c r="O934" s="316">
        <f t="shared" si="61"/>
        <v>0</v>
      </c>
      <c r="P934" s="95">
        <v>45729</v>
      </c>
      <c r="Q934" s="61">
        <f t="shared" si="62"/>
        <v>45729</v>
      </c>
      <c r="R934" s="59"/>
      <c r="S934" s="59" t="s">
        <v>2115</v>
      </c>
      <c r="T934" s="59"/>
      <c r="U934" s="59"/>
      <c r="V934" s="59"/>
      <c r="W934" s="68"/>
      <c r="X934" s="68"/>
      <c r="Y934" s="68"/>
    </row>
    <row r="935" s="17" customFormat="1" hidden="1" customHeight="1" spans="1:25">
      <c r="A935" s="59">
        <v>932</v>
      </c>
      <c r="B935" s="60" t="s">
        <v>2116</v>
      </c>
      <c r="C935" s="61">
        <f t="shared" si="63"/>
        <v>45680</v>
      </c>
      <c r="D935" s="62" t="str">
        <f ca="1" t="shared" si="64"/>
        <v>一年以上</v>
      </c>
      <c r="E935" s="313">
        <v>45680</v>
      </c>
      <c r="F935" s="59" t="s">
        <v>130</v>
      </c>
      <c r="G935" s="59" t="s">
        <v>2029</v>
      </c>
      <c r="H935" s="63"/>
      <c r="I935" s="63" t="s">
        <v>1754</v>
      </c>
      <c r="J935" s="314">
        <v>15000</v>
      </c>
      <c r="K935" s="59" t="s">
        <v>28</v>
      </c>
      <c r="L935" s="59" t="s">
        <v>73</v>
      </c>
      <c r="M935" s="59" t="s">
        <v>30</v>
      </c>
      <c r="N935" s="315">
        <v>6400</v>
      </c>
      <c r="O935" s="316">
        <f t="shared" si="61"/>
        <v>8600</v>
      </c>
      <c r="P935" s="95">
        <v>45721</v>
      </c>
      <c r="Q935" s="61">
        <f t="shared" si="62"/>
        <v>45721</v>
      </c>
      <c r="R935" s="59" t="s">
        <v>2117</v>
      </c>
      <c r="S935" s="59" t="s">
        <v>2118</v>
      </c>
      <c r="T935" s="59"/>
      <c r="U935" s="59"/>
      <c r="V935" s="59"/>
      <c r="W935" s="68"/>
      <c r="X935" s="68"/>
      <c r="Y935" s="68"/>
    </row>
    <row r="936" s="17" customFormat="1" hidden="1" customHeight="1" spans="1:25">
      <c r="A936" s="59">
        <v>933</v>
      </c>
      <c r="B936" s="60" t="s">
        <v>2119</v>
      </c>
      <c r="C936" s="61">
        <f t="shared" si="63"/>
        <v>45681</v>
      </c>
      <c r="D936" s="62" t="str">
        <f ca="1" t="shared" si="64"/>
        <v>一年以上</v>
      </c>
      <c r="E936" s="313">
        <v>45681</v>
      </c>
      <c r="F936" s="59" t="s">
        <v>130</v>
      </c>
      <c r="G936" s="59" t="s">
        <v>993</v>
      </c>
      <c r="H936" s="63"/>
      <c r="I936" s="63" t="s">
        <v>2120</v>
      </c>
      <c r="J936" s="314">
        <v>10000</v>
      </c>
      <c r="K936" s="59" t="s">
        <v>28</v>
      </c>
      <c r="L936" s="59" t="s">
        <v>73</v>
      </c>
      <c r="M936" s="59" t="s">
        <v>30</v>
      </c>
      <c r="N936" s="315">
        <v>10000</v>
      </c>
      <c r="O936" s="316">
        <f t="shared" si="61"/>
        <v>0</v>
      </c>
      <c r="P936" s="95">
        <v>45720</v>
      </c>
      <c r="Q936" s="61">
        <f t="shared" si="62"/>
        <v>45720</v>
      </c>
      <c r="R936" s="59"/>
      <c r="S936" s="59" t="s">
        <v>2121</v>
      </c>
      <c r="T936" s="59"/>
      <c r="U936" s="59"/>
      <c r="V936" s="59"/>
      <c r="W936" s="68"/>
      <c r="X936" s="68"/>
      <c r="Y936" s="68"/>
    </row>
    <row r="937" s="17" customFormat="1" hidden="1" customHeight="1" spans="1:25">
      <c r="A937" s="59">
        <v>934</v>
      </c>
      <c r="B937" s="60" t="s">
        <v>2122</v>
      </c>
      <c r="C937" s="61">
        <f t="shared" si="63"/>
        <v>45693</v>
      </c>
      <c r="D937" s="62" t="str">
        <f ca="1" t="shared" si="64"/>
        <v>一年以上</v>
      </c>
      <c r="E937" s="313">
        <v>45693</v>
      </c>
      <c r="F937" s="59" t="s">
        <v>130</v>
      </c>
      <c r="G937" s="59" t="s">
        <v>2029</v>
      </c>
      <c r="H937" s="63"/>
      <c r="I937" s="63" t="s">
        <v>863</v>
      </c>
      <c r="J937" s="314">
        <v>3675</v>
      </c>
      <c r="K937" s="59" t="s">
        <v>28</v>
      </c>
      <c r="L937" s="59" t="s">
        <v>73</v>
      </c>
      <c r="M937" s="59" t="s">
        <v>133</v>
      </c>
      <c r="N937" s="315">
        <v>3675</v>
      </c>
      <c r="O937" s="316">
        <f t="shared" si="61"/>
        <v>0</v>
      </c>
      <c r="P937" s="95">
        <v>45831</v>
      </c>
      <c r="Q937" s="61">
        <f t="shared" si="62"/>
        <v>45831</v>
      </c>
      <c r="R937" s="59"/>
      <c r="S937" s="59" t="s">
        <v>2123</v>
      </c>
      <c r="T937" s="59"/>
      <c r="U937" s="59"/>
      <c r="V937" s="59"/>
      <c r="W937" s="68"/>
      <c r="X937" s="68"/>
      <c r="Y937" s="68"/>
    </row>
    <row r="938" s="17" customFormat="1" hidden="1" customHeight="1" spans="1:25">
      <c r="A938" s="59">
        <v>935</v>
      </c>
      <c r="B938" s="60" t="s">
        <v>2124</v>
      </c>
      <c r="C938" s="61">
        <f t="shared" si="63"/>
        <v>45693</v>
      </c>
      <c r="D938" s="62" t="str">
        <f ca="1" t="shared" si="64"/>
        <v>一年以上</v>
      </c>
      <c r="E938" s="313">
        <v>45693</v>
      </c>
      <c r="F938" s="59" t="s">
        <v>130</v>
      </c>
      <c r="G938" s="59" t="s">
        <v>2029</v>
      </c>
      <c r="H938" s="63"/>
      <c r="I938" s="63" t="s">
        <v>863</v>
      </c>
      <c r="J938" s="314">
        <v>3675</v>
      </c>
      <c r="K938" s="59" t="s">
        <v>28</v>
      </c>
      <c r="L938" s="59" t="s">
        <v>73</v>
      </c>
      <c r="M938" s="59" t="s">
        <v>65</v>
      </c>
      <c r="N938" s="315">
        <v>3675</v>
      </c>
      <c r="O938" s="316">
        <f t="shared" si="61"/>
        <v>0</v>
      </c>
      <c r="P938" s="95">
        <v>45863</v>
      </c>
      <c r="Q938" s="61">
        <f t="shared" si="62"/>
        <v>45863</v>
      </c>
      <c r="R938" s="59"/>
      <c r="S938" s="59" t="s">
        <v>2123</v>
      </c>
      <c r="T938" s="59"/>
      <c r="U938" s="59"/>
      <c r="V938" s="59"/>
      <c r="W938" s="68"/>
      <c r="X938" s="68"/>
      <c r="Y938" s="68"/>
    </row>
    <row r="939" s="17" customFormat="1" hidden="1" customHeight="1" spans="1:25">
      <c r="A939" s="59">
        <v>936</v>
      </c>
      <c r="B939" s="60" t="s">
        <v>2125</v>
      </c>
      <c r="C939" s="61">
        <f t="shared" si="63"/>
        <v>45693</v>
      </c>
      <c r="D939" s="62" t="str">
        <f ca="1" t="shared" si="64"/>
        <v>一年以上</v>
      </c>
      <c r="E939" s="313">
        <v>45693</v>
      </c>
      <c r="F939" s="59" t="s">
        <v>130</v>
      </c>
      <c r="G939" s="59" t="s">
        <v>2029</v>
      </c>
      <c r="H939" s="63"/>
      <c r="I939" s="63" t="s">
        <v>863</v>
      </c>
      <c r="J939" s="314">
        <v>3675</v>
      </c>
      <c r="K939" s="59" t="s">
        <v>28</v>
      </c>
      <c r="L939" s="59" t="s">
        <v>73</v>
      </c>
      <c r="M939" s="59" t="s">
        <v>941</v>
      </c>
      <c r="N939" s="315">
        <v>3675</v>
      </c>
      <c r="O939" s="316">
        <f t="shared" si="61"/>
        <v>0</v>
      </c>
      <c r="P939" s="95">
        <v>45693</v>
      </c>
      <c r="Q939" s="61">
        <f t="shared" si="62"/>
        <v>45693</v>
      </c>
      <c r="R939" s="59" t="s">
        <v>1865</v>
      </c>
      <c r="S939" s="59" t="s">
        <v>2123</v>
      </c>
      <c r="T939" s="59"/>
      <c r="U939" s="59"/>
      <c r="V939" s="59"/>
      <c r="W939" s="68"/>
      <c r="X939" s="68"/>
      <c r="Y939" s="68"/>
    </row>
    <row r="940" s="17" customFormat="1" hidden="1" customHeight="1" spans="1:25">
      <c r="A940" s="59">
        <v>939</v>
      </c>
      <c r="B940" s="60" t="s">
        <v>2126</v>
      </c>
      <c r="C940" s="61">
        <f t="shared" si="63"/>
        <v>45705</v>
      </c>
      <c r="D940" s="62" t="str">
        <f ca="1" t="shared" si="64"/>
        <v>一年以上</v>
      </c>
      <c r="E940" s="313">
        <v>45705</v>
      </c>
      <c r="F940" s="59" t="s">
        <v>632</v>
      </c>
      <c r="G940" s="59" t="s">
        <v>450</v>
      </c>
      <c r="H940" s="63"/>
      <c r="I940" s="63" t="s">
        <v>2127</v>
      </c>
      <c r="J940" s="314">
        <v>10000</v>
      </c>
      <c r="K940" s="59" t="s">
        <v>28</v>
      </c>
      <c r="L940" s="59" t="s">
        <v>73</v>
      </c>
      <c r="M940" s="59" t="s">
        <v>30</v>
      </c>
      <c r="N940" s="315">
        <v>10000</v>
      </c>
      <c r="O940" s="316">
        <f t="shared" si="61"/>
        <v>0</v>
      </c>
      <c r="P940" s="95">
        <v>45720</v>
      </c>
      <c r="Q940" s="61">
        <f t="shared" si="62"/>
        <v>45720</v>
      </c>
      <c r="R940" s="59"/>
      <c r="S940" s="59" t="s">
        <v>2128</v>
      </c>
      <c r="T940" s="59"/>
      <c r="U940" s="59"/>
      <c r="V940" s="59"/>
      <c r="W940" s="68"/>
      <c r="X940" s="68"/>
      <c r="Y940" s="68"/>
    </row>
    <row r="941" s="17" customFormat="1" hidden="1" customHeight="1" spans="1:25">
      <c r="A941" s="59">
        <v>940</v>
      </c>
      <c r="B941" s="60" t="s">
        <v>2129</v>
      </c>
      <c r="C941" s="61">
        <f t="shared" si="63"/>
        <v>45706</v>
      </c>
      <c r="D941" s="62" t="str">
        <f ca="1" t="shared" si="64"/>
        <v>一年以上</v>
      </c>
      <c r="E941" s="313">
        <v>45706</v>
      </c>
      <c r="F941" s="59" t="s">
        <v>632</v>
      </c>
      <c r="G941" s="59" t="s">
        <v>450</v>
      </c>
      <c r="H941" s="63"/>
      <c r="I941" s="63" t="s">
        <v>2130</v>
      </c>
      <c r="J941" s="314">
        <v>50000</v>
      </c>
      <c r="K941" s="59" t="s">
        <v>28</v>
      </c>
      <c r="L941" s="59" t="s">
        <v>73</v>
      </c>
      <c r="M941" s="59" t="s">
        <v>30</v>
      </c>
      <c r="N941" s="315">
        <v>50000</v>
      </c>
      <c r="O941" s="316">
        <f t="shared" si="61"/>
        <v>0</v>
      </c>
      <c r="P941" s="95">
        <v>45770</v>
      </c>
      <c r="Q941" s="61">
        <f t="shared" si="62"/>
        <v>45770</v>
      </c>
      <c r="R941" s="59" t="s">
        <v>2131</v>
      </c>
      <c r="S941" s="59" t="s">
        <v>2132</v>
      </c>
      <c r="T941" s="59"/>
      <c r="U941" s="59"/>
      <c r="V941" s="59"/>
      <c r="W941" s="68"/>
      <c r="X941" s="68"/>
      <c r="Y941" s="68"/>
    </row>
    <row r="942" s="17" customFormat="1" hidden="1" customHeight="1" spans="1:25">
      <c r="A942" s="59">
        <v>941</v>
      </c>
      <c r="B942" s="60" t="s">
        <v>2133</v>
      </c>
      <c r="C942" s="61">
        <f t="shared" si="63"/>
        <v>45708</v>
      </c>
      <c r="D942" s="62" t="str">
        <f ca="1" t="shared" si="64"/>
        <v>一年以上</v>
      </c>
      <c r="E942" s="313">
        <v>45708</v>
      </c>
      <c r="F942" s="59" t="s">
        <v>632</v>
      </c>
      <c r="G942" s="59" t="s">
        <v>450</v>
      </c>
      <c r="H942" s="63"/>
      <c r="I942" s="63" t="s">
        <v>863</v>
      </c>
      <c r="J942" s="314">
        <v>12000</v>
      </c>
      <c r="K942" s="59" t="s">
        <v>28</v>
      </c>
      <c r="L942" s="59" t="s">
        <v>73</v>
      </c>
      <c r="M942" s="59" t="s">
        <v>30</v>
      </c>
      <c r="N942" s="315">
        <v>12000</v>
      </c>
      <c r="O942" s="316">
        <f t="shared" si="61"/>
        <v>0</v>
      </c>
      <c r="P942" s="95">
        <v>45742</v>
      </c>
      <c r="Q942" s="61">
        <f t="shared" si="62"/>
        <v>45742</v>
      </c>
      <c r="R942" s="59" t="s">
        <v>2131</v>
      </c>
      <c r="S942" s="59" t="s">
        <v>2134</v>
      </c>
      <c r="T942" s="59"/>
      <c r="U942" s="59"/>
      <c r="V942" s="59"/>
      <c r="W942" s="68"/>
      <c r="X942" s="68"/>
      <c r="Y942" s="68"/>
    </row>
    <row r="943" s="17" customFormat="1" hidden="1" customHeight="1" spans="1:25">
      <c r="A943" s="59">
        <v>942</v>
      </c>
      <c r="B943" s="60" t="s">
        <v>2135</v>
      </c>
      <c r="C943" s="61">
        <f t="shared" si="63"/>
        <v>45711</v>
      </c>
      <c r="D943" s="62" t="str">
        <f ca="1" t="shared" si="64"/>
        <v>一年以上</v>
      </c>
      <c r="E943" s="313">
        <v>45711</v>
      </c>
      <c r="F943" s="59" t="s">
        <v>632</v>
      </c>
      <c r="G943" s="59" t="s">
        <v>450</v>
      </c>
      <c r="H943" s="63"/>
      <c r="I943" s="63" t="s">
        <v>215</v>
      </c>
      <c r="J943" s="314">
        <v>10000</v>
      </c>
      <c r="K943" s="59" t="s">
        <v>28</v>
      </c>
      <c r="L943" s="59" t="s">
        <v>73</v>
      </c>
      <c r="M943" s="59" t="s">
        <v>30</v>
      </c>
      <c r="N943" s="315">
        <v>10000</v>
      </c>
      <c r="O943" s="316">
        <f t="shared" si="61"/>
        <v>0</v>
      </c>
      <c r="P943" s="95">
        <v>45721</v>
      </c>
      <c r="Q943" s="61">
        <f t="shared" si="62"/>
        <v>45721</v>
      </c>
      <c r="R943" s="59"/>
      <c r="S943" s="59" t="s">
        <v>2136</v>
      </c>
      <c r="T943" s="59"/>
      <c r="U943" s="59"/>
      <c r="V943" s="59"/>
      <c r="W943" s="68"/>
      <c r="X943" s="68"/>
      <c r="Y943" s="68"/>
    </row>
    <row r="944" s="17" customFormat="1" hidden="1" customHeight="1" spans="1:25">
      <c r="A944" s="59">
        <v>943</v>
      </c>
      <c r="B944" s="60" t="s">
        <v>2137</v>
      </c>
      <c r="C944" s="61">
        <f t="shared" si="63"/>
        <v>45712</v>
      </c>
      <c r="D944" s="62" t="str">
        <f ca="1" t="shared" si="64"/>
        <v>一年以上</v>
      </c>
      <c r="E944" s="313">
        <v>45712</v>
      </c>
      <c r="F944" s="59" t="s">
        <v>632</v>
      </c>
      <c r="G944" s="59" t="s">
        <v>450</v>
      </c>
      <c r="H944" s="63"/>
      <c r="I944" s="63" t="s">
        <v>2138</v>
      </c>
      <c r="J944" s="314">
        <v>20000</v>
      </c>
      <c r="K944" s="59" t="s">
        <v>28</v>
      </c>
      <c r="L944" s="59" t="s">
        <v>73</v>
      </c>
      <c r="M944" s="59" t="s">
        <v>30</v>
      </c>
      <c r="N944" s="315">
        <v>20000</v>
      </c>
      <c r="O944" s="316">
        <f t="shared" si="61"/>
        <v>0</v>
      </c>
      <c r="P944" s="95">
        <v>45792</v>
      </c>
      <c r="Q944" s="61">
        <f t="shared" si="62"/>
        <v>45792</v>
      </c>
      <c r="R944" s="59" t="s">
        <v>2131</v>
      </c>
      <c r="S944" s="59" t="s">
        <v>2139</v>
      </c>
      <c r="T944" s="59"/>
      <c r="U944" s="59"/>
      <c r="V944" s="59"/>
      <c r="W944" s="68"/>
      <c r="X944" s="68"/>
      <c r="Y944" s="68"/>
    </row>
    <row r="945" s="17" customFormat="1" hidden="1" customHeight="1" spans="1:25">
      <c r="A945" s="59">
        <v>944</v>
      </c>
      <c r="B945" s="60" t="s">
        <v>2140</v>
      </c>
      <c r="C945" s="61">
        <f t="shared" si="63"/>
        <v>45712</v>
      </c>
      <c r="D945" s="62" t="str">
        <f ca="1" t="shared" si="64"/>
        <v>一年以上</v>
      </c>
      <c r="E945" s="313">
        <v>45712</v>
      </c>
      <c r="F945" s="59" t="s">
        <v>632</v>
      </c>
      <c r="G945" s="59" t="s">
        <v>450</v>
      </c>
      <c r="H945" s="63"/>
      <c r="I945" s="63" t="s">
        <v>863</v>
      </c>
      <c r="J945" s="314">
        <v>10000</v>
      </c>
      <c r="K945" s="59" t="s">
        <v>28</v>
      </c>
      <c r="L945" s="59" t="s">
        <v>73</v>
      </c>
      <c r="M945" s="59" t="s">
        <v>30</v>
      </c>
      <c r="N945" s="315">
        <v>10000</v>
      </c>
      <c r="O945" s="316">
        <f t="shared" si="61"/>
        <v>0</v>
      </c>
      <c r="P945" s="95">
        <v>45744</v>
      </c>
      <c r="Q945" s="61">
        <f t="shared" si="62"/>
        <v>45744</v>
      </c>
      <c r="R945" s="59" t="s">
        <v>2131</v>
      </c>
      <c r="S945" s="59" t="s">
        <v>2141</v>
      </c>
      <c r="T945" s="59"/>
      <c r="U945" s="59"/>
      <c r="V945" s="59"/>
      <c r="W945" s="68"/>
      <c r="X945" s="68"/>
      <c r="Y945" s="68"/>
    </row>
    <row r="946" s="17" customFormat="1" hidden="1" customHeight="1" spans="1:25">
      <c r="A946" s="59">
        <v>945</v>
      </c>
      <c r="B946" s="60" t="s">
        <v>2142</v>
      </c>
      <c r="C946" s="61">
        <f t="shared" si="63"/>
        <v>45715</v>
      </c>
      <c r="D946" s="62" t="str">
        <f ca="1" t="shared" si="64"/>
        <v>一年以上</v>
      </c>
      <c r="E946" s="313">
        <v>45715</v>
      </c>
      <c r="F946" s="59" t="s">
        <v>632</v>
      </c>
      <c r="G946" s="59" t="s">
        <v>450</v>
      </c>
      <c r="H946" s="63"/>
      <c r="I946" s="63" t="s">
        <v>1888</v>
      </c>
      <c r="J946" s="314"/>
      <c r="K946" s="59" t="s">
        <v>28</v>
      </c>
      <c r="L946" s="59" t="s">
        <v>73</v>
      </c>
      <c r="M946" s="59" t="s">
        <v>30</v>
      </c>
      <c r="N946" s="315"/>
      <c r="O946" s="316">
        <f t="shared" si="61"/>
        <v>0</v>
      </c>
      <c r="P946" s="95"/>
      <c r="Q946" s="61">
        <f t="shared" si="62"/>
        <v>0</v>
      </c>
      <c r="R946" s="59"/>
      <c r="S946" s="59" t="s">
        <v>2143</v>
      </c>
      <c r="T946" s="59"/>
      <c r="U946" s="59"/>
      <c r="V946" s="59"/>
      <c r="W946" s="68"/>
      <c r="X946" s="68"/>
      <c r="Y946" s="68"/>
    </row>
    <row r="947" s="17" customFormat="1" hidden="1" customHeight="1" spans="1:25">
      <c r="A947" s="59">
        <v>946</v>
      </c>
      <c r="B947" s="60" t="s">
        <v>2144</v>
      </c>
      <c r="C947" s="61">
        <f t="shared" si="63"/>
        <v>45716</v>
      </c>
      <c r="D947" s="62" t="str">
        <f ca="1" t="shared" si="64"/>
        <v>一年以上</v>
      </c>
      <c r="E947" s="313">
        <v>45716</v>
      </c>
      <c r="F947" s="59" t="s">
        <v>632</v>
      </c>
      <c r="G947" s="59" t="s">
        <v>450</v>
      </c>
      <c r="H947" s="63"/>
      <c r="I947" s="63" t="s">
        <v>2145</v>
      </c>
      <c r="J947" s="314">
        <v>3000</v>
      </c>
      <c r="K947" s="59" t="s">
        <v>28</v>
      </c>
      <c r="L947" s="59" t="s">
        <v>73</v>
      </c>
      <c r="M947" s="59" t="s">
        <v>30</v>
      </c>
      <c r="N947" s="315">
        <v>3000</v>
      </c>
      <c r="O947" s="316">
        <f t="shared" ref="O947:O1010" si="65">J947-N947</f>
        <v>0</v>
      </c>
      <c r="P947" s="95">
        <v>45748</v>
      </c>
      <c r="Q947" s="61">
        <f t="shared" si="62"/>
        <v>45748</v>
      </c>
      <c r="R947" s="59" t="s">
        <v>2131</v>
      </c>
      <c r="S947" s="59" t="s">
        <v>2146</v>
      </c>
      <c r="T947" s="59"/>
      <c r="U947" s="59"/>
      <c r="V947" s="59"/>
      <c r="W947" s="68"/>
      <c r="X947" s="68"/>
      <c r="Y947" s="59" t="s">
        <v>1956</v>
      </c>
    </row>
    <row r="948" s="17" customFormat="1" hidden="1" customHeight="1" spans="1:25">
      <c r="A948" s="59">
        <v>947</v>
      </c>
      <c r="B948" s="60" t="s">
        <v>2147</v>
      </c>
      <c r="C948" s="61">
        <f t="shared" si="63"/>
        <v>45716</v>
      </c>
      <c r="D948" s="62" t="str">
        <f ca="1" t="shared" si="64"/>
        <v>一年以上</v>
      </c>
      <c r="E948" s="313">
        <v>45716</v>
      </c>
      <c r="F948" s="59" t="s">
        <v>632</v>
      </c>
      <c r="G948" s="59" t="s">
        <v>450</v>
      </c>
      <c r="H948" s="63"/>
      <c r="I948" s="63" t="s">
        <v>863</v>
      </c>
      <c r="J948" s="314"/>
      <c r="K948" s="59" t="s">
        <v>1706</v>
      </c>
      <c r="L948" s="59" t="s">
        <v>73</v>
      </c>
      <c r="M948" s="59" t="s">
        <v>30</v>
      </c>
      <c r="N948" s="315"/>
      <c r="O948" s="316">
        <f t="shared" si="65"/>
        <v>0</v>
      </c>
      <c r="P948" s="95"/>
      <c r="Q948" s="61">
        <f t="shared" si="62"/>
        <v>0</v>
      </c>
      <c r="R948" s="59"/>
      <c r="S948" s="80" t="s">
        <v>2148</v>
      </c>
      <c r="T948" s="59"/>
      <c r="U948" s="59"/>
      <c r="V948" s="59"/>
      <c r="W948" s="68"/>
      <c r="X948" s="68"/>
      <c r="Y948" s="59" t="s">
        <v>1798</v>
      </c>
    </row>
    <row r="949" s="17" customFormat="1" hidden="1" customHeight="1" spans="1:25">
      <c r="A949" s="59">
        <v>948</v>
      </c>
      <c r="B949" s="60" t="s">
        <v>2149</v>
      </c>
      <c r="C949" s="61">
        <f t="shared" si="63"/>
        <v>45723</v>
      </c>
      <c r="D949" s="62" t="str">
        <f ca="1" t="shared" si="64"/>
        <v>一年以上</v>
      </c>
      <c r="E949" s="313">
        <v>45723</v>
      </c>
      <c r="F949" s="59" t="s">
        <v>632</v>
      </c>
      <c r="G949" s="59" t="s">
        <v>2150</v>
      </c>
      <c r="H949" s="63"/>
      <c r="I949" s="63" t="s">
        <v>863</v>
      </c>
      <c r="J949" s="314">
        <v>10000</v>
      </c>
      <c r="K949" s="59" t="s">
        <v>1706</v>
      </c>
      <c r="L949" s="59" t="s">
        <v>73</v>
      </c>
      <c r="M949" s="59" t="s">
        <v>30</v>
      </c>
      <c r="N949" s="315">
        <v>10000</v>
      </c>
      <c r="O949" s="316">
        <f t="shared" si="65"/>
        <v>0</v>
      </c>
      <c r="P949" s="95">
        <v>45744</v>
      </c>
      <c r="Q949" s="61">
        <f>P949</f>
        <v>45744</v>
      </c>
      <c r="R949" s="59"/>
      <c r="S949" s="59" t="s">
        <v>2151</v>
      </c>
      <c r="T949" s="59"/>
      <c r="U949" s="59"/>
      <c r="V949" s="59"/>
      <c r="W949" s="68"/>
      <c r="X949" s="68"/>
      <c r="Y949" s="59" t="s">
        <v>1956</v>
      </c>
    </row>
    <row r="950" s="17" customFormat="1" hidden="1" customHeight="1" spans="1:25">
      <c r="A950" s="59">
        <v>949</v>
      </c>
      <c r="B950" s="60" t="s">
        <v>2152</v>
      </c>
      <c r="C950" s="61">
        <f t="shared" si="63"/>
        <v>45723</v>
      </c>
      <c r="D950" s="62" t="str">
        <f ca="1" t="shared" si="64"/>
        <v>一年以上</v>
      </c>
      <c r="E950" s="313">
        <v>45723</v>
      </c>
      <c r="F950" s="59" t="s">
        <v>130</v>
      </c>
      <c r="G950" s="59" t="s">
        <v>2029</v>
      </c>
      <c r="H950" s="63"/>
      <c r="I950" s="63" t="s">
        <v>863</v>
      </c>
      <c r="J950" s="314">
        <v>325</v>
      </c>
      <c r="K950" s="59" t="s">
        <v>28</v>
      </c>
      <c r="L950" s="59" t="s">
        <v>73</v>
      </c>
      <c r="M950" s="59" t="s">
        <v>65</v>
      </c>
      <c r="N950" s="315">
        <v>325</v>
      </c>
      <c r="O950" s="316">
        <f t="shared" si="65"/>
        <v>0</v>
      </c>
      <c r="P950" s="95">
        <v>45863</v>
      </c>
      <c r="Q950" s="61">
        <f>P950</f>
        <v>45863</v>
      </c>
      <c r="R950" s="59"/>
      <c r="S950" s="59" t="s">
        <v>2123</v>
      </c>
      <c r="T950" s="59"/>
      <c r="U950" s="59"/>
      <c r="V950" s="59"/>
      <c r="W950" s="68"/>
      <c r="X950" s="68"/>
      <c r="Y950" s="59" t="s">
        <v>1956</v>
      </c>
    </row>
    <row r="951" s="17" customFormat="1" hidden="1" customHeight="1" spans="1:25">
      <c r="A951" s="59">
        <v>950</v>
      </c>
      <c r="B951" s="60" t="s">
        <v>2153</v>
      </c>
      <c r="C951" s="61">
        <f t="shared" si="63"/>
        <v>45723</v>
      </c>
      <c r="D951" s="62" t="str">
        <f ca="1" t="shared" si="64"/>
        <v>一年以上</v>
      </c>
      <c r="E951" s="313">
        <v>45723</v>
      </c>
      <c r="F951" s="59" t="s">
        <v>632</v>
      </c>
      <c r="G951" s="59" t="s">
        <v>2150</v>
      </c>
      <c r="H951" s="63"/>
      <c r="I951" s="63" t="s">
        <v>2154</v>
      </c>
      <c r="J951" s="314">
        <v>20000</v>
      </c>
      <c r="K951" s="59" t="s">
        <v>28</v>
      </c>
      <c r="L951" s="59" t="s">
        <v>73</v>
      </c>
      <c r="M951" s="59" t="s">
        <v>30</v>
      </c>
      <c r="N951" s="315">
        <v>20000</v>
      </c>
      <c r="O951" s="316">
        <f t="shared" si="65"/>
        <v>0</v>
      </c>
      <c r="P951" s="95">
        <v>45909</v>
      </c>
      <c r="Q951" s="61">
        <f>P951</f>
        <v>45909</v>
      </c>
      <c r="R951" s="59" t="s">
        <v>2155</v>
      </c>
      <c r="S951" s="59" t="s">
        <v>2156</v>
      </c>
      <c r="T951" s="59"/>
      <c r="U951" s="59"/>
      <c r="V951" s="59"/>
      <c r="W951" s="68"/>
      <c r="X951" s="68"/>
      <c r="Y951" s="59" t="s">
        <v>1956</v>
      </c>
    </row>
    <row r="952" s="17" customFormat="1" hidden="1" customHeight="1" spans="1:25">
      <c r="A952" s="59">
        <v>951</v>
      </c>
      <c r="B952" s="60" t="s">
        <v>2157</v>
      </c>
      <c r="C952" s="61">
        <f t="shared" si="63"/>
        <v>45727</v>
      </c>
      <c r="D952" s="62" t="str">
        <f ca="1" t="shared" si="64"/>
        <v>一年以上</v>
      </c>
      <c r="E952" s="313">
        <v>45727</v>
      </c>
      <c r="F952" s="59" t="s">
        <v>130</v>
      </c>
      <c r="G952" s="59" t="s">
        <v>2029</v>
      </c>
      <c r="H952" s="63"/>
      <c r="I952" s="63" t="s">
        <v>863</v>
      </c>
      <c r="J952" s="314">
        <v>28000</v>
      </c>
      <c r="K952" s="59" t="s">
        <v>28</v>
      </c>
      <c r="L952" s="59" t="s">
        <v>73</v>
      </c>
      <c r="M952" s="59" t="s">
        <v>133</v>
      </c>
      <c r="N952" s="65">
        <v>28000</v>
      </c>
      <c r="O952" s="316">
        <f t="shared" si="65"/>
        <v>0</v>
      </c>
      <c r="P952" s="95">
        <v>46049</v>
      </c>
      <c r="Q952" s="61">
        <f>P952</f>
        <v>46049</v>
      </c>
      <c r="R952" s="59"/>
      <c r="S952" s="59" t="s">
        <v>2158</v>
      </c>
      <c r="T952" s="59"/>
      <c r="U952" s="59"/>
      <c r="V952" s="59"/>
      <c r="W952" s="68"/>
      <c r="X952" s="68"/>
      <c r="Y952" s="59" t="s">
        <v>1956</v>
      </c>
    </row>
    <row r="953" s="17" customFormat="1" hidden="1" customHeight="1" spans="1:25">
      <c r="A953" s="59">
        <v>952</v>
      </c>
      <c r="B953" s="60" t="s">
        <v>2159</v>
      </c>
      <c r="C953" s="61">
        <f t="shared" si="63"/>
        <v>45727</v>
      </c>
      <c r="D953" s="62" t="str">
        <f ca="1" t="shared" si="64"/>
        <v>一年以上</v>
      </c>
      <c r="E953" s="313">
        <v>45727</v>
      </c>
      <c r="F953" s="59" t="s">
        <v>130</v>
      </c>
      <c r="G953" s="59" t="s">
        <v>2029</v>
      </c>
      <c r="H953" s="63"/>
      <c r="I953" s="63" t="s">
        <v>863</v>
      </c>
      <c r="J953" s="314">
        <v>28000</v>
      </c>
      <c r="K953" s="59" t="s">
        <v>28</v>
      </c>
      <c r="L953" s="59" t="s">
        <v>73</v>
      </c>
      <c r="M953" s="59" t="s">
        <v>65</v>
      </c>
      <c r="N953" s="315">
        <v>28000</v>
      </c>
      <c r="O953" s="316">
        <f t="shared" si="65"/>
        <v>0</v>
      </c>
      <c r="P953" s="95">
        <v>46080</v>
      </c>
      <c r="Q953" s="61"/>
      <c r="R953" s="59"/>
      <c r="S953" s="59" t="s">
        <v>2134</v>
      </c>
      <c r="T953" s="59"/>
      <c r="U953" s="59"/>
      <c r="V953" s="59"/>
      <c r="W953" s="68"/>
      <c r="X953" s="68"/>
      <c r="Y953" s="59" t="s">
        <v>1956</v>
      </c>
    </row>
    <row r="954" s="17" customFormat="1" hidden="1" customHeight="1" spans="1:25">
      <c r="A954" s="59">
        <v>953</v>
      </c>
      <c r="B954" s="60" t="s">
        <v>2160</v>
      </c>
      <c r="C954" s="61">
        <f t="shared" si="63"/>
        <v>45727</v>
      </c>
      <c r="D954" s="62" t="str">
        <f ca="1" t="shared" si="64"/>
        <v>一年以上</v>
      </c>
      <c r="E954" s="313">
        <v>45727</v>
      </c>
      <c r="F954" s="59" t="s">
        <v>130</v>
      </c>
      <c r="G954" s="59" t="s">
        <v>2029</v>
      </c>
      <c r="H954" s="63"/>
      <c r="I954" s="63" t="s">
        <v>863</v>
      </c>
      <c r="J954" s="314">
        <v>28000</v>
      </c>
      <c r="K954" s="59" t="s">
        <v>28</v>
      </c>
      <c r="L954" s="59" t="s">
        <v>73</v>
      </c>
      <c r="M954" s="59" t="s">
        <v>941</v>
      </c>
      <c r="N954" s="315">
        <v>28000</v>
      </c>
      <c r="O954" s="316">
        <f t="shared" si="65"/>
        <v>0</v>
      </c>
      <c r="P954" s="95">
        <v>45727</v>
      </c>
      <c r="Q954" s="61">
        <f>P954</f>
        <v>45727</v>
      </c>
      <c r="R954" s="59" t="s">
        <v>1865</v>
      </c>
      <c r="S954" s="59" t="s">
        <v>2161</v>
      </c>
      <c r="T954" s="59"/>
      <c r="U954" s="59"/>
      <c r="V954" s="59"/>
      <c r="W954" s="68"/>
      <c r="X954" s="68"/>
      <c r="Y954" s="59" t="s">
        <v>1956</v>
      </c>
    </row>
    <row r="955" s="17" customFormat="1" hidden="1" customHeight="1" spans="1:25">
      <c r="A955" s="59">
        <v>954</v>
      </c>
      <c r="B955" s="60" t="s">
        <v>2162</v>
      </c>
      <c r="C955" s="61">
        <f t="shared" si="63"/>
        <v>45730</v>
      </c>
      <c r="D955" s="62" t="str">
        <f ca="1" t="shared" si="64"/>
        <v>一年以上</v>
      </c>
      <c r="E955" s="313">
        <v>45730</v>
      </c>
      <c r="F955" s="59" t="s">
        <v>632</v>
      </c>
      <c r="G955" s="59" t="s">
        <v>2150</v>
      </c>
      <c r="H955" s="63"/>
      <c r="I955" s="63" t="s">
        <v>2163</v>
      </c>
      <c r="J955" s="314">
        <v>3000</v>
      </c>
      <c r="K955" s="59" t="s">
        <v>28</v>
      </c>
      <c r="L955" s="59" t="s">
        <v>73</v>
      </c>
      <c r="M955" s="59" t="s">
        <v>30</v>
      </c>
      <c r="N955" s="315">
        <v>3000</v>
      </c>
      <c r="O955" s="316">
        <f t="shared" si="65"/>
        <v>0</v>
      </c>
      <c r="P955" s="95">
        <v>45774</v>
      </c>
      <c r="Q955" s="61">
        <v>45774</v>
      </c>
      <c r="R955" s="59"/>
      <c r="S955" s="59" t="s">
        <v>2164</v>
      </c>
      <c r="T955" s="59"/>
      <c r="U955" s="59"/>
      <c r="V955" s="59"/>
      <c r="W955" s="68"/>
      <c r="X955" s="68"/>
      <c r="Y955" s="59" t="s">
        <v>1956</v>
      </c>
    </row>
    <row r="956" s="17" customFormat="1" hidden="1" customHeight="1" spans="1:25">
      <c r="A956" s="59">
        <v>955</v>
      </c>
      <c r="B956" s="60" t="s">
        <v>2165</v>
      </c>
      <c r="C956" s="61">
        <f t="shared" si="63"/>
        <v>45731</v>
      </c>
      <c r="D956" s="62" t="str">
        <f ca="1" t="shared" si="64"/>
        <v>一年以上</v>
      </c>
      <c r="E956" s="313">
        <v>45731</v>
      </c>
      <c r="F956" s="59" t="s">
        <v>632</v>
      </c>
      <c r="G956" s="59" t="s">
        <v>2166</v>
      </c>
      <c r="H956" s="63"/>
      <c r="I956" s="63" t="s">
        <v>2167</v>
      </c>
      <c r="J956" s="314">
        <v>10000</v>
      </c>
      <c r="K956" s="59" t="s">
        <v>28</v>
      </c>
      <c r="L956" s="59" t="s">
        <v>73</v>
      </c>
      <c r="M956" s="59" t="s">
        <v>30</v>
      </c>
      <c r="N956" s="315">
        <v>10000</v>
      </c>
      <c r="O956" s="316">
        <f t="shared" si="65"/>
        <v>0</v>
      </c>
      <c r="P956" s="95">
        <v>45785</v>
      </c>
      <c r="Q956" s="61">
        <f>P956</f>
        <v>45785</v>
      </c>
      <c r="R956" s="59"/>
      <c r="S956" s="59" t="s">
        <v>2168</v>
      </c>
      <c r="T956" s="59"/>
      <c r="U956" s="59"/>
      <c r="V956" s="59"/>
      <c r="W956" s="68"/>
      <c r="X956" s="68"/>
      <c r="Y956" s="59" t="s">
        <v>1956</v>
      </c>
    </row>
    <row r="957" s="17" customFormat="1" hidden="1" customHeight="1" spans="1:25">
      <c r="A957" s="59">
        <v>956</v>
      </c>
      <c r="B957" s="60" t="s">
        <v>2169</v>
      </c>
      <c r="C957" s="61">
        <f t="shared" si="63"/>
        <v>45734</v>
      </c>
      <c r="D957" s="62" t="str">
        <f ca="1" t="shared" si="64"/>
        <v>一年以上</v>
      </c>
      <c r="E957" s="313">
        <v>45734</v>
      </c>
      <c r="F957" s="59" t="s">
        <v>632</v>
      </c>
      <c r="G957" s="59" t="s">
        <v>2150</v>
      </c>
      <c r="H957" s="63"/>
      <c r="I957" s="63" t="s">
        <v>2163</v>
      </c>
      <c r="J957" s="314">
        <v>3000</v>
      </c>
      <c r="K957" s="59" t="s">
        <v>356</v>
      </c>
      <c r="L957" s="59" t="s">
        <v>73</v>
      </c>
      <c r="M957" s="59" t="s">
        <v>30</v>
      </c>
      <c r="N957" s="315">
        <v>3000</v>
      </c>
      <c r="O957" s="316">
        <f t="shared" si="65"/>
        <v>0</v>
      </c>
      <c r="P957" s="95">
        <v>45774</v>
      </c>
      <c r="Q957" s="61">
        <v>45774</v>
      </c>
      <c r="R957" s="59"/>
      <c r="S957" s="59" t="s">
        <v>2164</v>
      </c>
      <c r="T957" s="59"/>
      <c r="U957" s="59"/>
      <c r="V957" s="59"/>
      <c r="W957" s="68"/>
      <c r="X957" s="68"/>
      <c r="Y957" s="59" t="s">
        <v>1956</v>
      </c>
    </row>
    <row r="958" s="17" customFormat="1" hidden="1" customHeight="1" spans="1:25">
      <c r="A958" s="59">
        <v>957</v>
      </c>
      <c r="B958" s="60" t="s">
        <v>2170</v>
      </c>
      <c r="C958" s="61">
        <f t="shared" si="63"/>
        <v>45734</v>
      </c>
      <c r="D958" s="62" t="str">
        <f ca="1" t="shared" si="64"/>
        <v>一年以上</v>
      </c>
      <c r="E958" s="313">
        <v>45734</v>
      </c>
      <c r="F958" s="59" t="s">
        <v>632</v>
      </c>
      <c r="G958" s="59" t="s">
        <v>2171</v>
      </c>
      <c r="H958" s="63"/>
      <c r="I958" s="63" t="s">
        <v>863</v>
      </c>
      <c r="J958" s="314">
        <v>37000</v>
      </c>
      <c r="K958" s="59" t="s">
        <v>28</v>
      </c>
      <c r="L958" s="59" t="s">
        <v>73</v>
      </c>
      <c r="M958" s="59" t="s">
        <v>65</v>
      </c>
      <c r="N958" s="315">
        <v>37000</v>
      </c>
      <c r="O958" s="316">
        <f t="shared" si="65"/>
        <v>0</v>
      </c>
      <c r="P958" s="95">
        <v>46049</v>
      </c>
      <c r="Q958" s="61">
        <f t="shared" ref="Q958:Q972" si="66">P958</f>
        <v>46049</v>
      </c>
      <c r="R958" s="59"/>
      <c r="S958" s="59" t="s">
        <v>2151</v>
      </c>
      <c r="T958" s="59"/>
      <c r="U958" s="59"/>
      <c r="V958" s="59"/>
      <c r="W958" s="68"/>
      <c r="X958" s="68"/>
      <c r="Y958" s="59" t="s">
        <v>1798</v>
      </c>
    </row>
    <row r="959" s="17" customFormat="1" hidden="1" customHeight="1" spans="1:25">
      <c r="A959" s="59">
        <v>958</v>
      </c>
      <c r="B959" s="60" t="s">
        <v>2172</v>
      </c>
      <c r="C959" s="61">
        <f t="shared" si="63"/>
        <v>45734</v>
      </c>
      <c r="D959" s="62" t="str">
        <f ca="1" t="shared" si="64"/>
        <v>一年以上</v>
      </c>
      <c r="E959" s="313">
        <v>45734</v>
      </c>
      <c r="F959" s="59" t="s">
        <v>632</v>
      </c>
      <c r="G959" s="59" t="s">
        <v>2171</v>
      </c>
      <c r="H959" s="63"/>
      <c r="I959" s="63" t="s">
        <v>863</v>
      </c>
      <c r="J959" s="314">
        <v>37000</v>
      </c>
      <c r="K959" s="59" t="s">
        <v>28</v>
      </c>
      <c r="L959" s="59" t="s">
        <v>73</v>
      </c>
      <c r="M959" s="59" t="s">
        <v>941</v>
      </c>
      <c r="N959" s="315">
        <v>37000</v>
      </c>
      <c r="O959" s="316">
        <f t="shared" si="65"/>
        <v>0</v>
      </c>
      <c r="P959" s="95">
        <v>45734</v>
      </c>
      <c r="Q959" s="61">
        <f t="shared" si="66"/>
        <v>45734</v>
      </c>
      <c r="R959" s="59" t="s">
        <v>1865</v>
      </c>
      <c r="S959" s="59" t="s">
        <v>2151</v>
      </c>
      <c r="T959" s="59"/>
      <c r="U959" s="59"/>
      <c r="V959" s="59"/>
      <c r="W959" s="68"/>
      <c r="X959" s="68"/>
      <c r="Y959" s="59" t="s">
        <v>1798</v>
      </c>
    </row>
    <row r="960" s="17" customFormat="1" hidden="1" customHeight="1" spans="1:25">
      <c r="A960" s="59">
        <v>959</v>
      </c>
      <c r="B960" s="60" t="s">
        <v>2173</v>
      </c>
      <c r="C960" s="61">
        <f t="shared" si="63"/>
        <v>45734</v>
      </c>
      <c r="D960" s="62" t="str">
        <f ca="1" t="shared" si="64"/>
        <v>一年以上</v>
      </c>
      <c r="E960" s="313">
        <v>45734</v>
      </c>
      <c r="F960" s="59" t="s">
        <v>632</v>
      </c>
      <c r="G960" s="59" t="s">
        <v>2171</v>
      </c>
      <c r="H960" s="63"/>
      <c r="I960" s="63" t="s">
        <v>863</v>
      </c>
      <c r="J960" s="314">
        <v>18000</v>
      </c>
      <c r="K960" s="59" t="s">
        <v>28</v>
      </c>
      <c r="L960" s="59" t="s">
        <v>73</v>
      </c>
      <c r="M960" s="59" t="s">
        <v>65</v>
      </c>
      <c r="N960" s="65">
        <v>18000</v>
      </c>
      <c r="O960" s="316">
        <f t="shared" si="65"/>
        <v>0</v>
      </c>
      <c r="P960" s="95">
        <v>46049</v>
      </c>
      <c r="Q960" s="61">
        <f t="shared" si="66"/>
        <v>46049</v>
      </c>
      <c r="R960" s="59"/>
      <c r="S960" s="59" t="s">
        <v>2174</v>
      </c>
      <c r="T960" s="59"/>
      <c r="U960" s="59"/>
      <c r="V960" s="59"/>
      <c r="W960" s="68"/>
      <c r="X960" s="68"/>
      <c r="Y960" s="59" t="s">
        <v>1798</v>
      </c>
    </row>
    <row r="961" s="17" customFormat="1" hidden="1" customHeight="1" spans="1:25">
      <c r="A961" s="59">
        <v>960</v>
      </c>
      <c r="B961" s="60" t="s">
        <v>2175</v>
      </c>
      <c r="C961" s="61">
        <f t="shared" si="63"/>
        <v>45734</v>
      </c>
      <c r="D961" s="62" t="str">
        <f ca="1" t="shared" si="64"/>
        <v>一年以上</v>
      </c>
      <c r="E961" s="313">
        <v>45734</v>
      </c>
      <c r="F961" s="59" t="s">
        <v>632</v>
      </c>
      <c r="G961" s="59" t="s">
        <v>2171</v>
      </c>
      <c r="H961" s="63"/>
      <c r="I961" s="63" t="s">
        <v>863</v>
      </c>
      <c r="J961" s="314">
        <v>17875</v>
      </c>
      <c r="K961" s="59" t="s">
        <v>28</v>
      </c>
      <c r="L961" s="59" t="s">
        <v>73</v>
      </c>
      <c r="M961" s="59" t="s">
        <v>941</v>
      </c>
      <c r="N961" s="315">
        <v>17875</v>
      </c>
      <c r="O961" s="316">
        <f t="shared" si="65"/>
        <v>0</v>
      </c>
      <c r="P961" s="95">
        <v>45734</v>
      </c>
      <c r="Q961" s="61">
        <f t="shared" si="66"/>
        <v>45734</v>
      </c>
      <c r="R961" s="59" t="s">
        <v>1865</v>
      </c>
      <c r="S961" s="59" t="s">
        <v>2174</v>
      </c>
      <c r="T961" s="59"/>
      <c r="U961" s="59"/>
      <c r="V961" s="59"/>
      <c r="W961" s="68"/>
      <c r="X961" s="68"/>
      <c r="Y961" s="59" t="s">
        <v>1798</v>
      </c>
    </row>
    <row r="962" s="17" customFormat="1" hidden="1" customHeight="1" spans="1:25">
      <c r="A962" s="59">
        <v>961</v>
      </c>
      <c r="B962" s="60" t="s">
        <v>2176</v>
      </c>
      <c r="C962" s="61">
        <f t="shared" si="63"/>
        <v>45734</v>
      </c>
      <c r="D962" s="62" t="str">
        <f ca="1" t="shared" si="64"/>
        <v>一年以上</v>
      </c>
      <c r="E962" s="313">
        <v>45734</v>
      </c>
      <c r="F962" s="59" t="s">
        <v>632</v>
      </c>
      <c r="G962" s="59" t="s">
        <v>2171</v>
      </c>
      <c r="H962" s="63"/>
      <c r="I962" s="63" t="s">
        <v>863</v>
      </c>
      <c r="J962" s="314">
        <v>37000</v>
      </c>
      <c r="K962" s="59" t="s">
        <v>28</v>
      </c>
      <c r="L962" s="59" t="s">
        <v>73</v>
      </c>
      <c r="M962" s="59" t="s">
        <v>133</v>
      </c>
      <c r="N962" s="315">
        <v>37000</v>
      </c>
      <c r="O962" s="316">
        <f t="shared" si="65"/>
        <v>0</v>
      </c>
      <c r="P962" s="95">
        <v>45958</v>
      </c>
      <c r="Q962" s="61">
        <f t="shared" si="66"/>
        <v>45958</v>
      </c>
      <c r="R962" s="59" t="s">
        <v>2177</v>
      </c>
      <c r="S962" s="59" t="s">
        <v>2151</v>
      </c>
      <c r="T962" s="59"/>
      <c r="U962" s="59"/>
      <c r="V962" s="59"/>
      <c r="W962" s="68"/>
      <c r="X962" s="68"/>
      <c r="Y962" s="59" t="s">
        <v>1798</v>
      </c>
    </row>
    <row r="963" s="17" customFormat="1" hidden="1" customHeight="1" spans="1:25">
      <c r="A963" s="59">
        <v>962</v>
      </c>
      <c r="B963" s="60" t="s">
        <v>2178</v>
      </c>
      <c r="C963" s="61">
        <f t="shared" si="63"/>
        <v>45734</v>
      </c>
      <c r="D963" s="62" t="str">
        <f ca="1" t="shared" si="64"/>
        <v>一年以上</v>
      </c>
      <c r="E963" s="313">
        <v>45734</v>
      </c>
      <c r="F963" s="59" t="s">
        <v>632</v>
      </c>
      <c r="G963" s="59" t="s">
        <v>2171</v>
      </c>
      <c r="H963" s="63"/>
      <c r="I963" s="63" t="s">
        <v>863</v>
      </c>
      <c r="J963" s="314">
        <v>0</v>
      </c>
      <c r="K963" s="59" t="s">
        <v>28</v>
      </c>
      <c r="L963" s="59" t="s">
        <v>73</v>
      </c>
      <c r="M963" s="59" t="s">
        <v>133</v>
      </c>
      <c r="N963" s="315"/>
      <c r="O963" s="316">
        <f t="shared" si="65"/>
        <v>0</v>
      </c>
      <c r="P963" s="95"/>
      <c r="Q963" s="61">
        <f t="shared" si="66"/>
        <v>0</v>
      </c>
      <c r="R963" s="59"/>
      <c r="S963" s="59" t="s">
        <v>2174</v>
      </c>
      <c r="T963" s="59"/>
      <c r="U963" s="59"/>
      <c r="V963" s="59"/>
      <c r="W963" s="68"/>
      <c r="X963" s="68"/>
      <c r="Y963" s="59" t="s">
        <v>2179</v>
      </c>
    </row>
    <row r="964" s="17" customFormat="1" hidden="1" customHeight="1" spans="1:25">
      <c r="A964" s="59">
        <v>963</v>
      </c>
      <c r="B964" s="60" t="s">
        <v>2180</v>
      </c>
      <c r="C964" s="61">
        <f t="shared" si="63"/>
        <v>45734</v>
      </c>
      <c r="D964" s="62" t="str">
        <f ca="1" t="shared" si="64"/>
        <v>一年以上</v>
      </c>
      <c r="E964" s="313">
        <v>45734</v>
      </c>
      <c r="F964" s="59" t="s">
        <v>632</v>
      </c>
      <c r="G964" s="59" t="s">
        <v>2166</v>
      </c>
      <c r="H964" s="63"/>
      <c r="I964" s="63" t="s">
        <v>926</v>
      </c>
      <c r="J964" s="314">
        <v>10000</v>
      </c>
      <c r="K964" s="59" t="s">
        <v>28</v>
      </c>
      <c r="L964" s="59" t="s">
        <v>73</v>
      </c>
      <c r="M964" s="59" t="s">
        <v>30</v>
      </c>
      <c r="N964" s="315">
        <v>10000</v>
      </c>
      <c r="O964" s="316">
        <f t="shared" si="65"/>
        <v>0</v>
      </c>
      <c r="P964" s="95">
        <v>45859</v>
      </c>
      <c r="Q964" s="61">
        <f t="shared" si="66"/>
        <v>45859</v>
      </c>
      <c r="R964" s="59"/>
      <c r="S964" s="59" t="s">
        <v>2181</v>
      </c>
      <c r="T964" s="59"/>
      <c r="U964" s="59"/>
      <c r="V964" s="59"/>
      <c r="W964" s="68"/>
      <c r="X964" s="68"/>
      <c r="Y964" s="59" t="s">
        <v>1798</v>
      </c>
    </row>
    <row r="965" s="17" customFormat="1" hidden="1" customHeight="1" spans="1:25">
      <c r="A965" s="59">
        <v>964</v>
      </c>
      <c r="B965" s="60" t="s">
        <v>2182</v>
      </c>
      <c r="C965" s="61">
        <f t="shared" si="63"/>
        <v>45735</v>
      </c>
      <c r="D965" s="62" t="str">
        <f ca="1" t="shared" si="64"/>
        <v>一年以上</v>
      </c>
      <c r="E965" s="313">
        <v>45735</v>
      </c>
      <c r="F965" s="59" t="s">
        <v>130</v>
      </c>
      <c r="G965" s="59" t="s">
        <v>2029</v>
      </c>
      <c r="H965" s="63"/>
      <c r="I965" s="63" t="s">
        <v>863</v>
      </c>
      <c r="J965" s="314">
        <v>17875</v>
      </c>
      <c r="K965" s="59" t="s">
        <v>28</v>
      </c>
      <c r="L965" s="59" t="s">
        <v>73</v>
      </c>
      <c r="M965" s="59" t="s">
        <v>133</v>
      </c>
      <c r="N965" s="65">
        <v>17875</v>
      </c>
      <c r="O965" s="316">
        <f t="shared" si="65"/>
        <v>0</v>
      </c>
      <c r="P965" s="95">
        <v>46049</v>
      </c>
      <c r="Q965" s="61">
        <f t="shared" si="66"/>
        <v>46049</v>
      </c>
      <c r="R965" s="59"/>
      <c r="S965" s="59" t="s">
        <v>2174</v>
      </c>
      <c r="T965" s="59"/>
      <c r="U965" s="59"/>
      <c r="V965" s="59"/>
      <c r="W965" s="68"/>
      <c r="X965" s="68"/>
      <c r="Y965" s="59" t="s">
        <v>1798</v>
      </c>
    </row>
    <row r="966" s="17" customFormat="1" hidden="1" customHeight="1" spans="1:25">
      <c r="A966" s="59">
        <v>965</v>
      </c>
      <c r="B966" s="60" t="s">
        <v>2183</v>
      </c>
      <c r="C966" s="61">
        <f t="shared" si="63"/>
        <v>45737</v>
      </c>
      <c r="D966" s="62" t="str">
        <f ca="1" t="shared" si="64"/>
        <v>一年以上</v>
      </c>
      <c r="E966" s="313">
        <v>45737</v>
      </c>
      <c r="F966" s="59" t="s">
        <v>130</v>
      </c>
      <c r="G966" s="59" t="s">
        <v>2029</v>
      </c>
      <c r="H966" s="63"/>
      <c r="I966" s="63" t="s">
        <v>863</v>
      </c>
      <c r="J966" s="321">
        <v>37000</v>
      </c>
      <c r="K966" s="59" t="s">
        <v>1706</v>
      </c>
      <c r="L966" s="59" t="s">
        <v>73</v>
      </c>
      <c r="M966" s="59" t="s">
        <v>941</v>
      </c>
      <c r="N966" s="315">
        <v>37000</v>
      </c>
      <c r="O966" s="316">
        <f t="shared" si="65"/>
        <v>0</v>
      </c>
      <c r="P966" s="95">
        <v>45737</v>
      </c>
      <c r="Q966" s="61">
        <f t="shared" si="66"/>
        <v>45737</v>
      </c>
      <c r="R966" s="59" t="s">
        <v>1904</v>
      </c>
      <c r="S966" s="59" t="s">
        <v>2151</v>
      </c>
      <c r="T966" s="59"/>
      <c r="U966" s="59"/>
      <c r="V966" s="59"/>
      <c r="W966" s="68"/>
      <c r="X966" s="68"/>
      <c r="Y966" s="59" t="s">
        <v>1956</v>
      </c>
    </row>
    <row r="967" s="17" customFormat="1" hidden="1" customHeight="1" spans="1:25">
      <c r="A967" s="59">
        <v>966</v>
      </c>
      <c r="B967" s="60" t="s">
        <v>2184</v>
      </c>
      <c r="C967" s="61">
        <f t="shared" si="63"/>
        <v>45738</v>
      </c>
      <c r="D967" s="62" t="str">
        <f ca="1" t="shared" si="64"/>
        <v>一年以上</v>
      </c>
      <c r="E967" s="313">
        <v>45738</v>
      </c>
      <c r="F967" s="59" t="s">
        <v>632</v>
      </c>
      <c r="G967" s="59" t="s">
        <v>2150</v>
      </c>
      <c r="H967" s="63"/>
      <c r="I967" s="63" t="s">
        <v>215</v>
      </c>
      <c r="J967" s="321">
        <v>10000</v>
      </c>
      <c r="K967" s="59" t="s">
        <v>28</v>
      </c>
      <c r="L967" s="59" t="s">
        <v>73</v>
      </c>
      <c r="M967" s="59" t="s">
        <v>30</v>
      </c>
      <c r="N967" s="315">
        <v>10000</v>
      </c>
      <c r="O967" s="316">
        <f t="shared" si="65"/>
        <v>0</v>
      </c>
      <c r="P967" s="95">
        <v>45775</v>
      </c>
      <c r="Q967" s="61">
        <f t="shared" si="66"/>
        <v>45775</v>
      </c>
      <c r="R967" s="59"/>
      <c r="S967" s="59" t="s">
        <v>2185</v>
      </c>
      <c r="T967" s="59"/>
      <c r="U967" s="59"/>
      <c r="V967" s="59"/>
      <c r="W967" s="68"/>
      <c r="X967" s="68"/>
      <c r="Y967" s="59" t="s">
        <v>1956</v>
      </c>
    </row>
    <row r="968" s="17" customFormat="1" hidden="1" customHeight="1" spans="1:25">
      <c r="A968" s="59">
        <v>967</v>
      </c>
      <c r="B968" s="60" t="s">
        <v>2186</v>
      </c>
      <c r="C968" s="61">
        <f t="shared" si="63"/>
        <v>45740</v>
      </c>
      <c r="D968" s="62" t="str">
        <f ca="1" t="shared" si="64"/>
        <v>一年以上</v>
      </c>
      <c r="E968" s="313">
        <v>45740</v>
      </c>
      <c r="F968" s="59" t="s">
        <v>632</v>
      </c>
      <c r="G968" s="59" t="s">
        <v>2150</v>
      </c>
      <c r="H968" s="63"/>
      <c r="I968" s="63" t="s">
        <v>2187</v>
      </c>
      <c r="J968" s="321">
        <v>15000</v>
      </c>
      <c r="K968" s="59" t="s">
        <v>28</v>
      </c>
      <c r="L968" s="59" t="s">
        <v>73</v>
      </c>
      <c r="M968" s="59" t="s">
        <v>30</v>
      </c>
      <c r="N968" s="315">
        <v>15000</v>
      </c>
      <c r="O968" s="316">
        <f t="shared" si="65"/>
        <v>0</v>
      </c>
      <c r="P968" s="95">
        <v>45772</v>
      </c>
      <c r="Q968" s="61">
        <f t="shared" si="66"/>
        <v>45772</v>
      </c>
      <c r="R968" s="59"/>
      <c r="S968" s="80" t="s">
        <v>2188</v>
      </c>
      <c r="T968" s="59"/>
      <c r="U968" s="59"/>
      <c r="V968" s="59"/>
      <c r="W968" s="68"/>
      <c r="X968" s="68"/>
      <c r="Y968" s="59" t="s">
        <v>2189</v>
      </c>
    </row>
    <row r="969" s="17" customFormat="1" hidden="1" customHeight="1" spans="1:25">
      <c r="A969" s="59">
        <v>968</v>
      </c>
      <c r="B969" s="60" t="s">
        <v>2190</v>
      </c>
      <c r="C969" s="61">
        <f t="shared" si="63"/>
        <v>45742</v>
      </c>
      <c r="D969" s="62" t="str">
        <f ca="1" t="shared" si="64"/>
        <v>一年以上</v>
      </c>
      <c r="E969" s="313">
        <v>45742</v>
      </c>
      <c r="F969" s="59" t="s">
        <v>632</v>
      </c>
      <c r="G969" s="59" t="s">
        <v>2150</v>
      </c>
      <c r="H969" s="63"/>
      <c r="I969" s="63" t="s">
        <v>2187</v>
      </c>
      <c r="J969" s="321">
        <v>15000</v>
      </c>
      <c r="K969" s="59" t="s">
        <v>28</v>
      </c>
      <c r="L969" s="59" t="s">
        <v>73</v>
      </c>
      <c r="M969" s="59" t="s">
        <v>30</v>
      </c>
      <c r="N969" s="315">
        <v>15000</v>
      </c>
      <c r="O969" s="316">
        <f t="shared" si="65"/>
        <v>0</v>
      </c>
      <c r="P969" s="95">
        <v>45784</v>
      </c>
      <c r="Q969" s="61">
        <f t="shared" si="66"/>
        <v>45784</v>
      </c>
      <c r="R969" s="59"/>
      <c r="S969" s="59" t="s">
        <v>653</v>
      </c>
      <c r="T969" s="59"/>
      <c r="U969" s="59"/>
      <c r="V969" s="59"/>
      <c r="W969" s="68"/>
      <c r="X969" s="68"/>
      <c r="Y969" s="59" t="s">
        <v>1798</v>
      </c>
    </row>
    <row r="970" s="17" customFormat="1" hidden="1" customHeight="1" spans="1:25">
      <c r="A970" s="59">
        <v>969</v>
      </c>
      <c r="B970" s="60" t="s">
        <v>2191</v>
      </c>
      <c r="C970" s="61">
        <f t="shared" si="63"/>
        <v>45743</v>
      </c>
      <c r="D970" s="62" t="str">
        <f ca="1" t="shared" si="64"/>
        <v>一年以上</v>
      </c>
      <c r="E970" s="313">
        <v>45743</v>
      </c>
      <c r="F970" s="59" t="s">
        <v>632</v>
      </c>
      <c r="G970" s="59" t="s">
        <v>2150</v>
      </c>
      <c r="H970" s="63"/>
      <c r="I970" s="63" t="s">
        <v>863</v>
      </c>
      <c r="J970" s="314">
        <v>15000</v>
      </c>
      <c r="K970" s="59" t="s">
        <v>28</v>
      </c>
      <c r="L970" s="59" t="s">
        <v>73</v>
      </c>
      <c r="M970" s="59" t="s">
        <v>30</v>
      </c>
      <c r="N970" s="315">
        <v>15000</v>
      </c>
      <c r="O970" s="316">
        <f t="shared" si="65"/>
        <v>0</v>
      </c>
      <c r="P970" s="95">
        <v>45791</v>
      </c>
      <c r="Q970" s="61">
        <f t="shared" si="66"/>
        <v>45791</v>
      </c>
      <c r="R970" s="59"/>
      <c r="S970" s="59" t="s">
        <v>2192</v>
      </c>
      <c r="T970" s="59"/>
      <c r="U970" s="59"/>
      <c r="V970" s="59"/>
      <c r="W970" s="68"/>
      <c r="X970" s="68"/>
      <c r="Y970" s="59"/>
    </row>
    <row r="971" s="17" customFormat="1" hidden="1" customHeight="1" spans="1:25">
      <c r="A971" s="59">
        <v>970</v>
      </c>
      <c r="B971" s="60" t="s">
        <v>2193</v>
      </c>
      <c r="C971" s="61">
        <f t="shared" si="63"/>
        <v>45756</v>
      </c>
      <c r="D971" s="62" t="str">
        <f ca="1" t="shared" si="64"/>
        <v>一年以上</v>
      </c>
      <c r="E971" s="313">
        <v>45756</v>
      </c>
      <c r="F971" s="59" t="s">
        <v>632</v>
      </c>
      <c r="G971" s="59" t="s">
        <v>2150</v>
      </c>
      <c r="H971" s="63"/>
      <c r="I971" s="63" t="s">
        <v>863</v>
      </c>
      <c r="J971" s="314">
        <v>15000</v>
      </c>
      <c r="K971" s="59" t="s">
        <v>28</v>
      </c>
      <c r="L971" s="59" t="s">
        <v>73</v>
      </c>
      <c r="M971" s="59" t="s">
        <v>30</v>
      </c>
      <c r="N971" s="315">
        <v>15000</v>
      </c>
      <c r="O971" s="316">
        <f t="shared" si="65"/>
        <v>0</v>
      </c>
      <c r="P971" s="95">
        <v>45783</v>
      </c>
      <c r="Q971" s="61">
        <f t="shared" si="66"/>
        <v>45783</v>
      </c>
      <c r="R971" s="59"/>
      <c r="S971" s="59" t="s">
        <v>2194</v>
      </c>
      <c r="T971" s="59"/>
      <c r="U971" s="59"/>
      <c r="V971" s="59"/>
      <c r="W971" s="68"/>
      <c r="X971" s="68"/>
      <c r="Y971" s="59"/>
    </row>
    <row r="972" s="17" customFormat="1" hidden="1" customHeight="1" spans="1:25">
      <c r="A972" s="59">
        <v>971</v>
      </c>
      <c r="B972" s="293" t="s">
        <v>2195</v>
      </c>
      <c r="C972" s="61">
        <f t="shared" si="63"/>
        <v>45756</v>
      </c>
      <c r="D972" s="62" t="str">
        <f ca="1" t="shared" si="64"/>
        <v>一年以上</v>
      </c>
      <c r="E972" s="322">
        <v>45756</v>
      </c>
      <c r="F972" s="59" t="s">
        <v>632</v>
      </c>
      <c r="G972" s="105" t="s">
        <v>2150</v>
      </c>
      <c r="H972" s="293"/>
      <c r="I972" s="293" t="s">
        <v>2187</v>
      </c>
      <c r="J972" s="323">
        <v>0</v>
      </c>
      <c r="K972" s="59" t="s">
        <v>28</v>
      </c>
      <c r="L972" s="59" t="s">
        <v>73</v>
      </c>
      <c r="M972" s="59" t="s">
        <v>30</v>
      </c>
      <c r="N972" s="324"/>
      <c r="O972" s="316">
        <f t="shared" si="65"/>
        <v>0</v>
      </c>
      <c r="P972" s="144"/>
      <c r="Q972" s="61">
        <f t="shared" si="66"/>
        <v>0</v>
      </c>
      <c r="R972" s="59"/>
      <c r="S972" s="60" t="s">
        <v>2196</v>
      </c>
      <c r="T972" s="105"/>
      <c r="U972" s="105"/>
      <c r="V972" s="68"/>
      <c r="W972" s="68"/>
      <c r="X972" s="68"/>
      <c r="Y972" s="68"/>
    </row>
    <row r="973" s="17" customFormat="1" hidden="1" customHeight="1" spans="1:25">
      <c r="A973" s="59">
        <v>972</v>
      </c>
      <c r="B973" s="293" t="s">
        <v>2197</v>
      </c>
      <c r="C973" s="61">
        <f t="shared" si="63"/>
        <v>45756</v>
      </c>
      <c r="D973" s="62" t="str">
        <f ca="1" t="shared" si="64"/>
        <v>一年以上</v>
      </c>
      <c r="E973" s="322">
        <v>45756</v>
      </c>
      <c r="F973" s="59" t="s">
        <v>632</v>
      </c>
      <c r="G973" s="105" t="s">
        <v>2171</v>
      </c>
      <c r="H973" s="293"/>
      <c r="I973" s="293" t="s">
        <v>797</v>
      </c>
      <c r="J973" s="323">
        <v>0</v>
      </c>
      <c r="K973" s="59" t="s">
        <v>28</v>
      </c>
      <c r="L973" s="59" t="s">
        <v>73</v>
      </c>
      <c r="M973" s="59" t="s">
        <v>65</v>
      </c>
      <c r="N973" s="324"/>
      <c r="O973" s="316">
        <f t="shared" si="65"/>
        <v>0</v>
      </c>
      <c r="P973" s="144"/>
      <c r="Q973" s="114"/>
      <c r="R973" s="59"/>
      <c r="S973" s="60" t="s">
        <v>653</v>
      </c>
      <c r="T973" s="105"/>
      <c r="U973" s="105"/>
      <c r="V973" s="68"/>
      <c r="W973" s="68"/>
      <c r="X973" s="68"/>
      <c r="Y973" s="68"/>
    </row>
    <row r="974" s="17" customFormat="1" hidden="1" customHeight="1" spans="1:25">
      <c r="A974" s="59">
        <v>973</v>
      </c>
      <c r="B974" s="293" t="s">
        <v>2198</v>
      </c>
      <c r="C974" s="61">
        <f t="shared" ref="C974:C1037" si="67">E974</f>
        <v>45756</v>
      </c>
      <c r="D974" s="62" t="str">
        <f ca="1" t="shared" si="64"/>
        <v>一年以上</v>
      </c>
      <c r="E974" s="322">
        <v>45756</v>
      </c>
      <c r="F974" s="59" t="s">
        <v>632</v>
      </c>
      <c r="G974" s="105" t="s">
        <v>2171</v>
      </c>
      <c r="H974" s="293"/>
      <c r="I974" s="293" t="s">
        <v>863</v>
      </c>
      <c r="J974" s="323">
        <v>0</v>
      </c>
      <c r="K974" s="105" t="s">
        <v>1706</v>
      </c>
      <c r="L974" s="59" t="s">
        <v>73</v>
      </c>
      <c r="M974" s="59" t="s">
        <v>941</v>
      </c>
      <c r="N974" s="324"/>
      <c r="O974" s="316">
        <f t="shared" si="65"/>
        <v>0</v>
      </c>
      <c r="P974" s="144"/>
      <c r="Q974" s="61">
        <f t="shared" ref="Q974:Q982" si="68">P974</f>
        <v>0</v>
      </c>
      <c r="R974" s="59"/>
      <c r="S974" s="60" t="s">
        <v>1805</v>
      </c>
      <c r="T974" s="105"/>
      <c r="U974" s="105"/>
      <c r="V974" s="68"/>
      <c r="W974" s="68"/>
      <c r="X974" s="68"/>
      <c r="Y974" s="68"/>
    </row>
    <row r="975" s="17" customFormat="1" hidden="1" customHeight="1" spans="1:25">
      <c r="A975" s="59">
        <v>974</v>
      </c>
      <c r="B975" s="293" t="s">
        <v>2199</v>
      </c>
      <c r="C975" s="61">
        <f t="shared" si="67"/>
        <v>45756</v>
      </c>
      <c r="D975" s="62" t="str">
        <f ca="1" t="shared" si="64"/>
        <v>一年以上</v>
      </c>
      <c r="E975" s="322">
        <v>45756</v>
      </c>
      <c r="F975" s="59" t="s">
        <v>632</v>
      </c>
      <c r="G975" s="105" t="s">
        <v>2150</v>
      </c>
      <c r="H975" s="293"/>
      <c r="I975" s="293" t="s">
        <v>851</v>
      </c>
      <c r="J975" s="323">
        <v>10000</v>
      </c>
      <c r="K975" s="59" t="s">
        <v>28</v>
      </c>
      <c r="L975" s="59" t="s">
        <v>73</v>
      </c>
      <c r="M975" s="59" t="s">
        <v>30</v>
      </c>
      <c r="N975" s="324">
        <v>10000</v>
      </c>
      <c r="O975" s="316">
        <f t="shared" si="65"/>
        <v>0</v>
      </c>
      <c r="P975" s="144">
        <v>45791</v>
      </c>
      <c r="Q975" s="61">
        <f t="shared" si="68"/>
        <v>45791</v>
      </c>
      <c r="R975" s="59"/>
      <c r="S975" s="60" t="s">
        <v>2200</v>
      </c>
      <c r="T975" s="105"/>
      <c r="U975" s="105"/>
      <c r="V975" s="68"/>
      <c r="W975" s="68"/>
      <c r="X975" s="68"/>
      <c r="Y975" s="68"/>
    </row>
    <row r="976" s="17" customFormat="1" hidden="1" customHeight="1" spans="1:25">
      <c r="A976" s="59">
        <v>975</v>
      </c>
      <c r="B976" s="293" t="s">
        <v>2201</v>
      </c>
      <c r="C976" s="61">
        <f t="shared" si="67"/>
        <v>45756</v>
      </c>
      <c r="D976" s="62" t="str">
        <f ca="1" t="shared" si="64"/>
        <v>一年以上</v>
      </c>
      <c r="E976" s="322">
        <v>45756</v>
      </c>
      <c r="F976" s="59" t="s">
        <v>632</v>
      </c>
      <c r="G976" s="105" t="s">
        <v>2150</v>
      </c>
      <c r="H976" s="293"/>
      <c r="I976" s="293" t="s">
        <v>2187</v>
      </c>
      <c r="J976" s="323">
        <v>15000</v>
      </c>
      <c r="K976" s="59" t="s">
        <v>28</v>
      </c>
      <c r="L976" s="59" t="s">
        <v>73</v>
      </c>
      <c r="M976" s="59" t="s">
        <v>30</v>
      </c>
      <c r="N976" s="324">
        <v>15000</v>
      </c>
      <c r="O976" s="316">
        <f t="shared" si="65"/>
        <v>0</v>
      </c>
      <c r="P976" s="144">
        <v>45793</v>
      </c>
      <c r="Q976" s="61">
        <f t="shared" si="68"/>
        <v>45793</v>
      </c>
      <c r="R976" s="59"/>
      <c r="S976" s="60" t="s">
        <v>2196</v>
      </c>
      <c r="T976" s="105"/>
      <c r="U976" s="105"/>
      <c r="V976" s="68"/>
      <c r="W976" s="68"/>
      <c r="X976" s="68"/>
      <c r="Y976" s="68"/>
    </row>
    <row r="977" s="17" customFormat="1" hidden="1" customHeight="1" spans="1:25">
      <c r="A977" s="59">
        <v>976</v>
      </c>
      <c r="B977" s="293" t="s">
        <v>2202</v>
      </c>
      <c r="C977" s="61">
        <f t="shared" si="67"/>
        <v>45762</v>
      </c>
      <c r="D977" s="62" t="str">
        <f ca="1" t="shared" si="64"/>
        <v>一年以上</v>
      </c>
      <c r="E977" s="322">
        <v>45762</v>
      </c>
      <c r="F977" s="59" t="s">
        <v>632</v>
      </c>
      <c r="G977" s="105" t="s">
        <v>2203</v>
      </c>
      <c r="H977" s="293"/>
      <c r="I977" s="293" t="s">
        <v>341</v>
      </c>
      <c r="J977" s="323">
        <v>1200</v>
      </c>
      <c r="K977" s="59" t="s">
        <v>28</v>
      </c>
      <c r="L977" s="59" t="s">
        <v>73</v>
      </c>
      <c r="M977" s="59" t="s">
        <v>30</v>
      </c>
      <c r="N977" s="324">
        <v>1200</v>
      </c>
      <c r="O977" s="316">
        <f t="shared" si="65"/>
        <v>0</v>
      </c>
      <c r="P977" s="144">
        <v>45923</v>
      </c>
      <c r="Q977" s="61">
        <f t="shared" si="68"/>
        <v>45923</v>
      </c>
      <c r="R977" s="59"/>
      <c r="S977" s="60" t="s">
        <v>2204</v>
      </c>
      <c r="T977" s="105"/>
      <c r="U977" s="105"/>
      <c r="V977" s="68"/>
      <c r="W977" s="68"/>
      <c r="X977" s="68"/>
      <c r="Y977" s="68"/>
    </row>
    <row r="978" s="17" customFormat="1" hidden="1" customHeight="1" spans="1:25">
      <c r="A978" s="59">
        <v>977</v>
      </c>
      <c r="B978" s="293" t="s">
        <v>2205</v>
      </c>
      <c r="C978" s="61">
        <f t="shared" si="67"/>
        <v>45763</v>
      </c>
      <c r="D978" s="62" t="str">
        <f ca="1" t="shared" si="64"/>
        <v>一年以上</v>
      </c>
      <c r="E978" s="322">
        <v>45763</v>
      </c>
      <c r="F978" s="59" t="s">
        <v>632</v>
      </c>
      <c r="G978" s="105" t="s">
        <v>2206</v>
      </c>
      <c r="H978" s="293"/>
      <c r="I978" s="293" t="s">
        <v>2207</v>
      </c>
      <c r="J978" s="323">
        <v>40000</v>
      </c>
      <c r="K978" s="59" t="s">
        <v>28</v>
      </c>
      <c r="L978" s="59" t="s">
        <v>73</v>
      </c>
      <c r="M978" s="59" t="s">
        <v>30</v>
      </c>
      <c r="N978" s="324">
        <v>40000</v>
      </c>
      <c r="O978" s="316">
        <f t="shared" si="65"/>
        <v>0</v>
      </c>
      <c r="P978" s="144">
        <v>45834</v>
      </c>
      <c r="Q978" s="61">
        <f t="shared" si="68"/>
        <v>45834</v>
      </c>
      <c r="R978" s="59"/>
      <c r="S978" s="60" t="s">
        <v>2208</v>
      </c>
      <c r="T978" s="105"/>
      <c r="U978" s="105"/>
      <c r="V978" s="68"/>
      <c r="W978" s="68"/>
      <c r="X978" s="68"/>
      <c r="Y978" s="68"/>
    </row>
    <row r="979" s="17" customFormat="1" hidden="1" customHeight="1" spans="1:25">
      <c r="A979" s="59">
        <v>978</v>
      </c>
      <c r="B979" s="293" t="s">
        <v>2209</v>
      </c>
      <c r="C979" s="61">
        <f t="shared" si="67"/>
        <v>45763</v>
      </c>
      <c r="D979" s="62" t="str">
        <f ca="1" t="shared" si="64"/>
        <v>一年以上</v>
      </c>
      <c r="E979" s="322">
        <v>45763</v>
      </c>
      <c r="F979" s="105" t="s">
        <v>130</v>
      </c>
      <c r="G979" s="105" t="s">
        <v>2210</v>
      </c>
      <c r="H979" s="293"/>
      <c r="I979" s="293" t="s">
        <v>2187</v>
      </c>
      <c r="J979" s="323">
        <v>44000</v>
      </c>
      <c r="K979" s="59" t="s">
        <v>28</v>
      </c>
      <c r="L979" s="59" t="s">
        <v>73</v>
      </c>
      <c r="M979" s="59" t="s">
        <v>65</v>
      </c>
      <c r="N979" s="324">
        <v>44000</v>
      </c>
      <c r="O979" s="316">
        <f t="shared" si="65"/>
        <v>0</v>
      </c>
      <c r="P979" s="144">
        <v>46049</v>
      </c>
      <c r="Q979" s="61">
        <f t="shared" si="68"/>
        <v>46049</v>
      </c>
      <c r="R979" s="59"/>
      <c r="S979" s="60" t="s">
        <v>2194</v>
      </c>
      <c r="T979" s="105"/>
      <c r="U979" s="105"/>
      <c r="V979" s="68"/>
      <c r="W979" s="68"/>
      <c r="X979" s="68"/>
      <c r="Y979" s="68"/>
    </row>
    <row r="980" s="17" customFormat="1" hidden="1" customHeight="1" spans="1:25">
      <c r="A980" s="59">
        <v>979</v>
      </c>
      <c r="B980" s="293" t="s">
        <v>2211</v>
      </c>
      <c r="C980" s="61">
        <f t="shared" si="67"/>
        <v>45763</v>
      </c>
      <c r="D980" s="62" t="str">
        <f ca="1" t="shared" si="64"/>
        <v>一年以上</v>
      </c>
      <c r="E980" s="322">
        <v>45763</v>
      </c>
      <c r="F980" s="105" t="s">
        <v>130</v>
      </c>
      <c r="G980" s="105" t="s">
        <v>2210</v>
      </c>
      <c r="H980" s="293"/>
      <c r="I980" s="293" t="s">
        <v>2187</v>
      </c>
      <c r="J980" s="323">
        <v>44000</v>
      </c>
      <c r="K980" s="59" t="s">
        <v>28</v>
      </c>
      <c r="L980" s="59" t="s">
        <v>73</v>
      </c>
      <c r="M980" s="59" t="s">
        <v>133</v>
      </c>
      <c r="N980" s="324">
        <v>44000</v>
      </c>
      <c r="O980" s="316">
        <f t="shared" si="65"/>
        <v>0</v>
      </c>
      <c r="P980" s="144">
        <v>45965</v>
      </c>
      <c r="Q980" s="61">
        <f t="shared" si="68"/>
        <v>45965</v>
      </c>
      <c r="R980" s="59"/>
      <c r="S980" s="60" t="s">
        <v>2194</v>
      </c>
      <c r="T980" s="105"/>
      <c r="U980" s="105"/>
      <c r="V980" s="68"/>
      <c r="W980" s="68"/>
      <c r="X980" s="68"/>
      <c r="Y980" s="68"/>
    </row>
    <row r="981" s="17" customFormat="1" hidden="1" customHeight="1" spans="1:25">
      <c r="A981" s="59">
        <v>980</v>
      </c>
      <c r="B981" s="293" t="s">
        <v>2212</v>
      </c>
      <c r="C981" s="61">
        <f t="shared" si="67"/>
        <v>45763</v>
      </c>
      <c r="D981" s="62" t="str">
        <f ca="1" t="shared" ref="D981:D1044" si="69">IF(TODAY()-E981&lt;60,"2个月内",IF(TODAY()-E981&lt;180,"3-6个月",IF(TODAY()-E981&lt;360,"6个月-1年","一年以上")))</f>
        <v>一年以上</v>
      </c>
      <c r="E981" s="322">
        <v>45763</v>
      </c>
      <c r="F981" s="105" t="s">
        <v>130</v>
      </c>
      <c r="G981" s="105" t="s">
        <v>2210</v>
      </c>
      <c r="H981" s="293"/>
      <c r="I981" s="293" t="s">
        <v>2187</v>
      </c>
      <c r="J981" s="323">
        <v>44000</v>
      </c>
      <c r="K981" s="59" t="s">
        <v>28</v>
      </c>
      <c r="L981" s="59" t="s">
        <v>73</v>
      </c>
      <c r="M981" s="59" t="s">
        <v>941</v>
      </c>
      <c r="N981" s="324"/>
      <c r="O981" s="316">
        <f t="shared" si="65"/>
        <v>44000</v>
      </c>
      <c r="P981" s="144"/>
      <c r="Q981" s="61">
        <f t="shared" si="68"/>
        <v>0</v>
      </c>
      <c r="R981" s="59"/>
      <c r="S981" s="60" t="s">
        <v>2194</v>
      </c>
      <c r="T981" s="105"/>
      <c r="U981" s="105"/>
      <c r="V981" s="68"/>
      <c r="W981" s="68"/>
      <c r="X981" s="68"/>
      <c r="Y981" s="68"/>
    </row>
    <row r="982" s="17" customFormat="1" hidden="1" customHeight="1" spans="1:25">
      <c r="A982" s="59">
        <v>981</v>
      </c>
      <c r="B982" s="293" t="s">
        <v>2213</v>
      </c>
      <c r="C982" s="61" t="str">
        <f t="shared" si="67"/>
        <v>2025-04-21</v>
      </c>
      <c r="D982" s="62" t="str">
        <f ca="1" t="shared" si="69"/>
        <v>一年以上</v>
      </c>
      <c r="E982" s="322" t="s">
        <v>2214</v>
      </c>
      <c r="F982" s="105" t="s">
        <v>130</v>
      </c>
      <c r="G982" s="105" t="s">
        <v>993</v>
      </c>
      <c r="H982" s="293"/>
      <c r="I982" s="293" t="s">
        <v>2215</v>
      </c>
      <c r="J982" s="323">
        <v>2000</v>
      </c>
      <c r="K982" s="59" t="s">
        <v>28</v>
      </c>
      <c r="L982" s="59" t="s">
        <v>73</v>
      </c>
      <c r="M982" s="59" t="s">
        <v>30</v>
      </c>
      <c r="N982" s="324">
        <v>2000</v>
      </c>
      <c r="O982" s="316">
        <f t="shared" si="65"/>
        <v>0</v>
      </c>
      <c r="P982" s="144">
        <v>45779</v>
      </c>
      <c r="Q982" s="114">
        <f t="shared" si="68"/>
        <v>45779</v>
      </c>
      <c r="R982" s="59"/>
      <c r="S982" s="60" t="s">
        <v>2216</v>
      </c>
      <c r="T982" s="105"/>
      <c r="U982" s="105"/>
      <c r="V982" s="68"/>
      <c r="W982" s="68"/>
      <c r="X982" s="68"/>
      <c r="Y982" s="68"/>
    </row>
    <row r="983" s="17" customFormat="1" hidden="1" customHeight="1" spans="1:25">
      <c r="A983" s="59">
        <v>982</v>
      </c>
      <c r="B983" s="293" t="s">
        <v>2217</v>
      </c>
      <c r="C983" s="61" t="str">
        <f t="shared" si="67"/>
        <v>2025-04-21</v>
      </c>
      <c r="D983" s="62" t="str">
        <f ca="1" t="shared" si="69"/>
        <v>一年以上</v>
      </c>
      <c r="E983" s="322" t="s">
        <v>2214</v>
      </c>
      <c r="F983" s="105" t="s">
        <v>130</v>
      </c>
      <c r="G983" s="105" t="s">
        <v>2218</v>
      </c>
      <c r="H983" s="293"/>
      <c r="I983" s="293" t="s">
        <v>476</v>
      </c>
      <c r="J983" s="323">
        <v>69800</v>
      </c>
      <c r="K983" s="59" t="s">
        <v>28</v>
      </c>
      <c r="L983" s="59" t="s">
        <v>73</v>
      </c>
      <c r="M983" s="59" t="s">
        <v>65</v>
      </c>
      <c r="N983" s="325">
        <v>69800</v>
      </c>
      <c r="O983" s="316">
        <f t="shared" si="65"/>
        <v>0</v>
      </c>
      <c r="P983" s="144"/>
      <c r="Q983" s="114"/>
      <c r="R983" s="59"/>
      <c r="S983" s="60" t="s">
        <v>2219</v>
      </c>
      <c r="T983" s="105"/>
      <c r="U983" s="105"/>
      <c r="V983" s="68"/>
      <c r="W983" s="68"/>
      <c r="X983" s="68"/>
      <c r="Y983" s="68"/>
    </row>
    <row r="984" s="17" customFormat="1" hidden="1" customHeight="1" spans="1:25">
      <c r="A984" s="59">
        <v>983</v>
      </c>
      <c r="B984" s="293" t="s">
        <v>2220</v>
      </c>
      <c r="C984" s="61" t="str">
        <f t="shared" si="67"/>
        <v>2025-04-21</v>
      </c>
      <c r="D984" s="62" t="str">
        <f ca="1" t="shared" si="69"/>
        <v>一年以上</v>
      </c>
      <c r="E984" s="322" t="s">
        <v>2214</v>
      </c>
      <c r="F984" s="105" t="s">
        <v>130</v>
      </c>
      <c r="G984" s="105" t="s">
        <v>2218</v>
      </c>
      <c r="H984" s="293"/>
      <c r="I984" s="293" t="s">
        <v>476</v>
      </c>
      <c r="J984" s="323">
        <v>13960</v>
      </c>
      <c r="K984" s="59" t="s">
        <v>28</v>
      </c>
      <c r="L984" s="59" t="s">
        <v>73</v>
      </c>
      <c r="M984" s="59" t="s">
        <v>941</v>
      </c>
      <c r="N984" s="325">
        <v>13960</v>
      </c>
      <c r="O984" s="316">
        <f t="shared" si="65"/>
        <v>0</v>
      </c>
      <c r="P984" s="144"/>
      <c r="Q984" s="114"/>
      <c r="R984" s="59"/>
      <c r="S984" s="60" t="s">
        <v>2219</v>
      </c>
      <c r="T984" s="105"/>
      <c r="U984" s="105"/>
      <c r="V984" s="68"/>
      <c r="W984" s="68"/>
      <c r="X984" s="68"/>
      <c r="Y984" s="68"/>
    </row>
    <row r="985" s="17" customFormat="1" hidden="1" customHeight="1" spans="1:25">
      <c r="A985" s="59">
        <v>984</v>
      </c>
      <c r="B985" s="293" t="s">
        <v>2221</v>
      </c>
      <c r="C985" s="61" t="str">
        <f t="shared" si="67"/>
        <v>2025-04-21</v>
      </c>
      <c r="D985" s="62" t="str">
        <f ca="1" t="shared" si="69"/>
        <v>一年以上</v>
      </c>
      <c r="E985" s="322" t="s">
        <v>2214</v>
      </c>
      <c r="F985" s="105" t="s">
        <v>130</v>
      </c>
      <c r="G985" s="105" t="s">
        <v>2210</v>
      </c>
      <c r="H985" s="293"/>
      <c r="I985" s="293" t="s">
        <v>341</v>
      </c>
      <c r="J985" s="323">
        <v>1000</v>
      </c>
      <c r="K985" s="59" t="s">
        <v>28</v>
      </c>
      <c r="L985" s="59" t="s">
        <v>73</v>
      </c>
      <c r="M985" s="59" t="s">
        <v>65</v>
      </c>
      <c r="N985" s="324"/>
      <c r="O985" s="316">
        <f t="shared" si="65"/>
        <v>1000</v>
      </c>
      <c r="P985" s="144"/>
      <c r="Q985" s="114"/>
      <c r="R985" s="59"/>
      <c r="S985" s="60" t="s">
        <v>2204</v>
      </c>
      <c r="T985" s="105"/>
      <c r="U985" s="105"/>
      <c r="V985" s="68"/>
      <c r="W985" s="68"/>
      <c r="X985" s="68"/>
      <c r="Y985" s="68"/>
    </row>
    <row r="986" s="17" customFormat="1" hidden="1" customHeight="1" spans="1:25">
      <c r="A986" s="59">
        <v>985</v>
      </c>
      <c r="B986" s="293" t="s">
        <v>2222</v>
      </c>
      <c r="C986" s="61" t="str">
        <f t="shared" si="67"/>
        <v>2025-04-22</v>
      </c>
      <c r="D986" s="62" t="str">
        <f ca="1" t="shared" si="69"/>
        <v>一年以上</v>
      </c>
      <c r="E986" s="322" t="s">
        <v>2223</v>
      </c>
      <c r="F986" s="105" t="s">
        <v>130</v>
      </c>
      <c r="G986" s="105" t="s">
        <v>2210</v>
      </c>
      <c r="H986" s="293"/>
      <c r="I986" s="293" t="s">
        <v>341</v>
      </c>
      <c r="J986" s="323">
        <v>1000</v>
      </c>
      <c r="K986" s="59" t="s">
        <v>28</v>
      </c>
      <c r="L986" s="59" t="s">
        <v>73</v>
      </c>
      <c r="M986" s="59" t="s">
        <v>65</v>
      </c>
      <c r="N986" s="324"/>
      <c r="O986" s="316">
        <f t="shared" si="65"/>
        <v>1000</v>
      </c>
      <c r="P986" s="144"/>
      <c r="Q986" s="114"/>
      <c r="R986" s="59"/>
      <c r="S986" s="60" t="s">
        <v>2224</v>
      </c>
      <c r="T986" s="105"/>
      <c r="U986" s="105"/>
      <c r="V986" s="68"/>
      <c r="W986" s="68"/>
      <c r="X986" s="68"/>
      <c r="Y986" s="68"/>
    </row>
    <row r="987" s="17" customFormat="1" hidden="1" customHeight="1" spans="1:25">
      <c r="A987" s="105"/>
      <c r="B987" s="293" t="s">
        <v>2225</v>
      </c>
      <c r="C987" s="61" t="str">
        <f t="shared" si="67"/>
        <v>2025-04-29</v>
      </c>
      <c r="D987" s="62" t="str">
        <f ca="1" t="shared" si="69"/>
        <v>一年以上</v>
      </c>
      <c r="E987" s="322" t="s">
        <v>2226</v>
      </c>
      <c r="F987" s="105" t="s">
        <v>130</v>
      </c>
      <c r="G987" s="105" t="s">
        <v>2227</v>
      </c>
      <c r="H987" s="293"/>
      <c r="I987" s="293" t="s">
        <v>863</v>
      </c>
      <c r="J987" s="323">
        <v>50000</v>
      </c>
      <c r="K987" s="59" t="s">
        <v>28</v>
      </c>
      <c r="L987" s="59" t="s">
        <v>73</v>
      </c>
      <c r="M987" s="59" t="s">
        <v>133</v>
      </c>
      <c r="N987" s="324">
        <v>50000</v>
      </c>
      <c r="O987" s="316">
        <f t="shared" si="65"/>
        <v>0</v>
      </c>
      <c r="P987" s="144">
        <v>45958</v>
      </c>
      <c r="Q987" s="61">
        <f>P987</f>
        <v>45958</v>
      </c>
      <c r="R987" s="59"/>
      <c r="S987" s="60" t="s">
        <v>2228</v>
      </c>
      <c r="T987" s="105"/>
      <c r="U987" s="105"/>
      <c r="V987" s="68"/>
      <c r="W987" s="68"/>
      <c r="X987" s="68"/>
      <c r="Y987" s="68"/>
    </row>
    <row r="988" s="17" customFormat="1" hidden="1" customHeight="1" spans="1:25">
      <c r="A988" s="105"/>
      <c r="B988" s="293" t="s">
        <v>2229</v>
      </c>
      <c r="C988" s="61" t="str">
        <f t="shared" si="67"/>
        <v>2025-04-29</v>
      </c>
      <c r="D988" s="62" t="str">
        <f ca="1" t="shared" si="69"/>
        <v>一年以上</v>
      </c>
      <c r="E988" s="322" t="s">
        <v>2226</v>
      </c>
      <c r="F988" s="105" t="s">
        <v>130</v>
      </c>
      <c r="G988" s="105" t="s">
        <v>2227</v>
      </c>
      <c r="H988" s="293"/>
      <c r="I988" s="293" t="s">
        <v>863</v>
      </c>
      <c r="J988" s="323">
        <v>50000</v>
      </c>
      <c r="K988" s="59" t="s">
        <v>28</v>
      </c>
      <c r="L988" s="59" t="s">
        <v>73</v>
      </c>
      <c r="M988" s="59" t="s">
        <v>65</v>
      </c>
      <c r="N988" s="326">
        <v>50000</v>
      </c>
      <c r="O988" s="316">
        <f t="shared" si="65"/>
        <v>0</v>
      </c>
      <c r="P988" s="95">
        <v>46049</v>
      </c>
      <c r="Q988" s="61">
        <f>P988</f>
        <v>46049</v>
      </c>
      <c r="R988" s="59"/>
      <c r="S988" s="60" t="s">
        <v>2230</v>
      </c>
      <c r="T988" s="105"/>
      <c r="U988" s="105"/>
      <c r="V988" s="68"/>
      <c r="W988" s="68"/>
      <c r="X988" s="68"/>
      <c r="Y988" s="68"/>
    </row>
    <row r="989" s="17" customFormat="1" hidden="1" customHeight="1" spans="1:25">
      <c r="A989" s="105"/>
      <c r="B989" s="293" t="s">
        <v>2231</v>
      </c>
      <c r="C989" s="61" t="str">
        <f t="shared" si="67"/>
        <v>2025-04-29</v>
      </c>
      <c r="D989" s="62" t="str">
        <f ca="1" t="shared" si="69"/>
        <v>一年以上</v>
      </c>
      <c r="E989" s="322" t="s">
        <v>2226</v>
      </c>
      <c r="F989" s="105" t="s">
        <v>130</v>
      </c>
      <c r="G989" s="105" t="s">
        <v>2227</v>
      </c>
      <c r="H989" s="293"/>
      <c r="I989" s="293" t="s">
        <v>863</v>
      </c>
      <c r="J989" s="323">
        <v>50000</v>
      </c>
      <c r="K989" s="59" t="s">
        <v>28</v>
      </c>
      <c r="L989" s="59" t="s">
        <v>73</v>
      </c>
      <c r="M989" s="59" t="s">
        <v>941</v>
      </c>
      <c r="N989" s="324">
        <v>50000</v>
      </c>
      <c r="O989" s="316">
        <f t="shared" si="65"/>
        <v>0</v>
      </c>
      <c r="P989" s="144">
        <v>45776</v>
      </c>
      <c r="Q989" s="61">
        <f>P989</f>
        <v>45776</v>
      </c>
      <c r="R989" s="59" t="s">
        <v>1865</v>
      </c>
      <c r="S989" s="60" t="s">
        <v>2232</v>
      </c>
      <c r="T989" s="105"/>
      <c r="U989" s="105"/>
      <c r="V989" s="68"/>
      <c r="W989" s="68"/>
      <c r="X989" s="68"/>
      <c r="Y989" s="68"/>
    </row>
    <row r="990" s="17" customFormat="1" hidden="1" customHeight="1" spans="1:25">
      <c r="A990" s="105"/>
      <c r="B990" s="293" t="s">
        <v>2233</v>
      </c>
      <c r="C990" s="61" t="str">
        <f t="shared" si="67"/>
        <v>2025-04-29</v>
      </c>
      <c r="D990" s="62" t="str">
        <f ca="1" t="shared" si="69"/>
        <v>一年以上</v>
      </c>
      <c r="E990" s="322" t="s">
        <v>2226</v>
      </c>
      <c r="F990" s="105" t="s">
        <v>632</v>
      </c>
      <c r="G990" s="105" t="s">
        <v>2234</v>
      </c>
      <c r="H990" s="293"/>
      <c r="I990" s="293" t="s">
        <v>2215</v>
      </c>
      <c r="J990" s="323">
        <v>20000</v>
      </c>
      <c r="K990" s="59" t="s">
        <v>28</v>
      </c>
      <c r="L990" s="59" t="s">
        <v>73</v>
      </c>
      <c r="M990" s="59" t="s">
        <v>30</v>
      </c>
      <c r="N990" s="324">
        <v>20000</v>
      </c>
      <c r="O990" s="316">
        <f t="shared" si="65"/>
        <v>0</v>
      </c>
      <c r="P990" s="144">
        <v>45789</v>
      </c>
      <c r="Q990" s="114">
        <f>P990</f>
        <v>45789</v>
      </c>
      <c r="R990" s="59"/>
      <c r="S990" s="60" t="s">
        <v>2235</v>
      </c>
      <c r="T990" s="105"/>
      <c r="U990" s="105"/>
      <c r="V990" s="68"/>
      <c r="W990" s="68"/>
      <c r="X990" s="68"/>
      <c r="Y990" s="68"/>
    </row>
    <row r="991" s="17" customFormat="1" hidden="1" customHeight="1" spans="1:25">
      <c r="A991" s="105"/>
      <c r="B991" s="293" t="s">
        <v>2236</v>
      </c>
      <c r="C991" s="61">
        <f t="shared" si="67"/>
        <v>45782</v>
      </c>
      <c r="D991" s="62" t="str">
        <f ca="1" t="shared" si="69"/>
        <v>一年以上</v>
      </c>
      <c r="E991" s="322">
        <v>45782</v>
      </c>
      <c r="F991" s="105" t="s">
        <v>632</v>
      </c>
      <c r="G991" s="105" t="s">
        <v>2234</v>
      </c>
      <c r="H991" s="293"/>
      <c r="I991" s="293" t="s">
        <v>2237</v>
      </c>
      <c r="J991" s="323"/>
      <c r="K991" s="105" t="s">
        <v>28</v>
      </c>
      <c r="L991" s="59" t="s">
        <v>73</v>
      </c>
      <c r="M991" s="59" t="s">
        <v>30</v>
      </c>
      <c r="N991" s="324"/>
      <c r="O991" s="316">
        <f t="shared" si="65"/>
        <v>0</v>
      </c>
      <c r="P991" s="144"/>
      <c r="Q991" s="114"/>
      <c r="R991" s="59"/>
      <c r="S991" s="60"/>
      <c r="T991" s="105"/>
      <c r="U991" s="105"/>
      <c r="V991" s="68"/>
      <c r="W991" s="68"/>
      <c r="X991" s="68"/>
      <c r="Y991" s="68"/>
    </row>
    <row r="992" s="17" customFormat="1" hidden="1" customHeight="1" spans="1:25">
      <c r="A992" s="105"/>
      <c r="B992" s="293" t="s">
        <v>2238</v>
      </c>
      <c r="C992" s="61">
        <f t="shared" si="67"/>
        <v>45783</v>
      </c>
      <c r="D992" s="62" t="str">
        <f ca="1" t="shared" si="69"/>
        <v>一年以上</v>
      </c>
      <c r="E992" s="322">
        <v>45783</v>
      </c>
      <c r="F992" s="105" t="s">
        <v>632</v>
      </c>
      <c r="G992" s="105" t="s">
        <v>2234</v>
      </c>
      <c r="H992" s="293"/>
      <c r="I992" s="293" t="s">
        <v>863</v>
      </c>
      <c r="J992" s="323">
        <v>10000</v>
      </c>
      <c r="K992" s="105" t="s">
        <v>1706</v>
      </c>
      <c r="L992" s="59" t="s">
        <v>73</v>
      </c>
      <c r="M992" s="59" t="s">
        <v>30</v>
      </c>
      <c r="N992" s="324">
        <v>10000</v>
      </c>
      <c r="O992" s="316">
        <f t="shared" si="65"/>
        <v>0</v>
      </c>
      <c r="P992" s="144">
        <v>45824</v>
      </c>
      <c r="Q992" s="61">
        <f>P992</f>
        <v>45824</v>
      </c>
      <c r="R992" s="59"/>
      <c r="S992" s="60" t="s">
        <v>2239</v>
      </c>
      <c r="T992" s="105"/>
      <c r="U992" s="105"/>
      <c r="V992" s="68"/>
      <c r="W992" s="68"/>
      <c r="X992" s="68"/>
      <c r="Y992" s="68"/>
    </row>
    <row r="993" s="17" customFormat="1" hidden="1" customHeight="1" spans="1:25">
      <c r="A993" s="105"/>
      <c r="B993" s="293" t="s">
        <v>2240</v>
      </c>
      <c r="C993" s="61" t="str">
        <f t="shared" si="67"/>
        <v>2025-05-09</v>
      </c>
      <c r="D993" s="62" t="str">
        <f ca="1" t="shared" si="69"/>
        <v>一年以上</v>
      </c>
      <c r="E993" s="322" t="s">
        <v>2241</v>
      </c>
      <c r="F993" s="105" t="s">
        <v>632</v>
      </c>
      <c r="G993" s="105" t="s">
        <v>2234</v>
      </c>
      <c r="H993" s="293"/>
      <c r="I993" s="293" t="s">
        <v>2242</v>
      </c>
      <c r="J993" s="323">
        <v>18900</v>
      </c>
      <c r="K993" s="105" t="s">
        <v>28</v>
      </c>
      <c r="L993" s="59" t="s">
        <v>73</v>
      </c>
      <c r="M993" s="59" t="s">
        <v>30</v>
      </c>
      <c r="N993" s="324">
        <v>18900</v>
      </c>
      <c r="O993" s="316">
        <f t="shared" si="65"/>
        <v>0</v>
      </c>
      <c r="P993" s="144">
        <v>45799</v>
      </c>
      <c r="Q993" s="114">
        <f>P993</f>
        <v>45799</v>
      </c>
      <c r="R993" s="59"/>
      <c r="S993" s="60" t="s">
        <v>2243</v>
      </c>
      <c r="T993" s="105"/>
      <c r="U993" s="105"/>
      <c r="V993" s="68"/>
      <c r="W993" s="68"/>
      <c r="X993" s="68"/>
      <c r="Y993" s="68"/>
    </row>
    <row r="994" s="17" customFormat="1" hidden="1" customHeight="1" spans="1:25">
      <c r="A994" s="105"/>
      <c r="B994" s="293" t="s">
        <v>2244</v>
      </c>
      <c r="C994" s="61" t="str">
        <f t="shared" si="67"/>
        <v>2025-05-09</v>
      </c>
      <c r="D994" s="62" t="str">
        <f ca="1" t="shared" si="69"/>
        <v>一年以上</v>
      </c>
      <c r="E994" s="322" t="s">
        <v>2241</v>
      </c>
      <c r="F994" s="105" t="s">
        <v>632</v>
      </c>
      <c r="G994" s="105" t="s">
        <v>2234</v>
      </c>
      <c r="H994" s="293"/>
      <c r="I994" s="293" t="s">
        <v>376</v>
      </c>
      <c r="J994" s="323">
        <v>100000</v>
      </c>
      <c r="K994" s="105" t="s">
        <v>28</v>
      </c>
      <c r="L994" s="59" t="s">
        <v>73</v>
      </c>
      <c r="M994" s="59" t="s">
        <v>30</v>
      </c>
      <c r="N994" s="327">
        <v>100000</v>
      </c>
      <c r="O994" s="316">
        <f t="shared" si="65"/>
        <v>0</v>
      </c>
      <c r="P994" s="144">
        <v>45840</v>
      </c>
      <c r="Q994" s="61">
        <f>P994</f>
        <v>45840</v>
      </c>
      <c r="R994" s="59"/>
      <c r="S994" s="60" t="s">
        <v>2245</v>
      </c>
      <c r="T994" s="105"/>
      <c r="U994" s="105"/>
      <c r="V994" s="68"/>
      <c r="W994" s="68"/>
      <c r="X994" s="68"/>
      <c r="Y994" s="68"/>
    </row>
    <row r="995" s="17" customFormat="1" hidden="1" customHeight="1" spans="1:25">
      <c r="A995" s="105"/>
      <c r="B995" s="293" t="s">
        <v>2246</v>
      </c>
      <c r="C995" s="61" t="str">
        <f t="shared" si="67"/>
        <v>2025-05-09</v>
      </c>
      <c r="D995" s="62" t="str">
        <f ca="1" t="shared" si="69"/>
        <v>一年以上</v>
      </c>
      <c r="E995" s="322" t="s">
        <v>2241</v>
      </c>
      <c r="F995" s="105" t="s">
        <v>632</v>
      </c>
      <c r="G995" s="105" t="s">
        <v>2234</v>
      </c>
      <c r="H995" s="293"/>
      <c r="I995" s="293" t="s">
        <v>2247</v>
      </c>
      <c r="J995" s="323"/>
      <c r="K995" s="105" t="s">
        <v>338</v>
      </c>
      <c r="L995" s="59" t="s">
        <v>73</v>
      </c>
      <c r="M995" s="59" t="s">
        <v>30</v>
      </c>
      <c r="N995" s="324"/>
      <c r="O995" s="316">
        <f t="shared" si="65"/>
        <v>0</v>
      </c>
      <c r="P995" s="144"/>
      <c r="Q995" s="114"/>
      <c r="R995" s="59"/>
      <c r="S995" s="60" t="s">
        <v>2248</v>
      </c>
      <c r="T995" s="105"/>
      <c r="U995" s="105"/>
      <c r="V995" s="68"/>
      <c r="W995" s="68"/>
      <c r="X995" s="68"/>
      <c r="Y995" s="68"/>
    </row>
    <row r="996" s="17" customFormat="1" hidden="1" customHeight="1" spans="1:25">
      <c r="A996" s="105"/>
      <c r="B996" s="293" t="s">
        <v>2249</v>
      </c>
      <c r="C996" s="61" t="str">
        <f t="shared" si="67"/>
        <v>2025-05-12</v>
      </c>
      <c r="D996" s="62" t="str">
        <f ca="1" t="shared" si="69"/>
        <v>一年以上</v>
      </c>
      <c r="E996" s="322" t="s">
        <v>2250</v>
      </c>
      <c r="F996" s="105" t="s">
        <v>632</v>
      </c>
      <c r="G996" s="105" t="s">
        <v>2234</v>
      </c>
      <c r="H996" s="293"/>
      <c r="I996" s="293" t="s">
        <v>2251</v>
      </c>
      <c r="J996" s="323">
        <v>2000</v>
      </c>
      <c r="K996" s="105" t="s">
        <v>28</v>
      </c>
      <c r="L996" s="59" t="s">
        <v>73</v>
      </c>
      <c r="M996" s="59" t="s">
        <v>30</v>
      </c>
      <c r="N996" s="324">
        <v>2000</v>
      </c>
      <c r="O996" s="316">
        <f t="shared" si="65"/>
        <v>0</v>
      </c>
      <c r="P996" s="144">
        <v>45820</v>
      </c>
      <c r="Q996" s="114">
        <v>45820</v>
      </c>
      <c r="R996" s="59"/>
      <c r="S996" s="60" t="s">
        <v>2252</v>
      </c>
      <c r="T996" s="105"/>
      <c r="U996" s="105"/>
      <c r="V996" s="68"/>
      <c r="W996" s="68"/>
      <c r="X996" s="68"/>
      <c r="Y996" s="68"/>
    </row>
    <row r="997" s="17" customFormat="1" hidden="1" customHeight="1" spans="1:25">
      <c r="A997" s="105"/>
      <c r="B997" s="293" t="s">
        <v>2253</v>
      </c>
      <c r="C997" s="61" t="str">
        <f t="shared" si="67"/>
        <v>2025-05-14</v>
      </c>
      <c r="D997" s="62" t="str">
        <f ca="1" t="shared" si="69"/>
        <v>一年以上</v>
      </c>
      <c r="E997" s="322" t="s">
        <v>2254</v>
      </c>
      <c r="F997" s="105" t="s">
        <v>632</v>
      </c>
      <c r="G997" s="105" t="s">
        <v>2234</v>
      </c>
      <c r="H997" s="293"/>
      <c r="I997" s="293" t="s">
        <v>2255</v>
      </c>
      <c r="J997" s="323">
        <v>10000</v>
      </c>
      <c r="K997" s="105" t="s">
        <v>28</v>
      </c>
      <c r="L997" s="59" t="s">
        <v>73</v>
      </c>
      <c r="M997" s="59" t="s">
        <v>30</v>
      </c>
      <c r="N997" s="324">
        <v>10000</v>
      </c>
      <c r="O997" s="316">
        <f t="shared" si="65"/>
        <v>0</v>
      </c>
      <c r="P997" s="144">
        <v>45813</v>
      </c>
      <c r="Q997" s="114">
        <f t="shared" ref="Q997:Q1022" si="70">P997</f>
        <v>45813</v>
      </c>
      <c r="R997" s="59"/>
      <c r="S997" s="60" t="s">
        <v>2256</v>
      </c>
      <c r="T997" s="105"/>
      <c r="U997" s="105"/>
      <c r="V997" s="68"/>
      <c r="W997" s="68"/>
      <c r="X997" s="68"/>
      <c r="Y997" s="68"/>
    </row>
    <row r="998" s="17" customFormat="1" hidden="1" customHeight="1" spans="1:25">
      <c r="A998" s="105"/>
      <c r="B998" s="293" t="s">
        <v>2257</v>
      </c>
      <c r="C998" s="61" t="str">
        <f t="shared" si="67"/>
        <v>2025-05-16</v>
      </c>
      <c r="D998" s="62" t="str">
        <f ca="1" t="shared" si="69"/>
        <v>一年以上</v>
      </c>
      <c r="E998" s="322" t="s">
        <v>2258</v>
      </c>
      <c r="F998" s="105" t="s">
        <v>632</v>
      </c>
      <c r="G998" s="105" t="s">
        <v>2234</v>
      </c>
      <c r="H998" s="293"/>
      <c r="I998" s="293" t="s">
        <v>2259</v>
      </c>
      <c r="J998" s="323">
        <v>10000</v>
      </c>
      <c r="K998" s="105" t="s">
        <v>28</v>
      </c>
      <c r="L998" s="59" t="s">
        <v>73</v>
      </c>
      <c r="M998" s="59" t="s">
        <v>30</v>
      </c>
      <c r="N998" s="324">
        <v>10000</v>
      </c>
      <c r="O998" s="316">
        <f t="shared" si="65"/>
        <v>0</v>
      </c>
      <c r="P998" s="144">
        <v>45842</v>
      </c>
      <c r="Q998" s="61">
        <f t="shared" si="70"/>
        <v>45842</v>
      </c>
      <c r="R998" s="59"/>
      <c r="S998" s="60" t="s">
        <v>2260</v>
      </c>
      <c r="T998" s="105"/>
      <c r="U998" s="105"/>
      <c r="V998" s="68"/>
      <c r="W998" s="68"/>
      <c r="X998" s="68"/>
      <c r="Y998" s="68"/>
    </row>
    <row r="999" s="17" customFormat="1" hidden="1" customHeight="1" spans="1:25">
      <c r="A999" s="105"/>
      <c r="B999" s="293" t="s">
        <v>2261</v>
      </c>
      <c r="C999" s="61" t="str">
        <f t="shared" si="67"/>
        <v>2025-05-16</v>
      </c>
      <c r="D999" s="62" t="str">
        <f ca="1" t="shared" si="69"/>
        <v>一年以上</v>
      </c>
      <c r="E999" s="322" t="s">
        <v>2258</v>
      </c>
      <c r="F999" s="105" t="s">
        <v>632</v>
      </c>
      <c r="G999" s="105" t="s">
        <v>2234</v>
      </c>
      <c r="H999" s="293"/>
      <c r="I999" s="293" t="s">
        <v>2259</v>
      </c>
      <c r="J999" s="323">
        <v>20000</v>
      </c>
      <c r="K999" s="105" t="s">
        <v>28</v>
      </c>
      <c r="L999" s="59" t="s">
        <v>73</v>
      </c>
      <c r="M999" s="59" t="s">
        <v>30</v>
      </c>
      <c r="N999" s="324">
        <v>20000</v>
      </c>
      <c r="O999" s="316">
        <f t="shared" si="65"/>
        <v>0</v>
      </c>
      <c r="P999" s="144">
        <v>45874</v>
      </c>
      <c r="Q999" s="114">
        <f t="shared" si="70"/>
        <v>45874</v>
      </c>
      <c r="R999" s="59"/>
      <c r="S999" s="60" t="s">
        <v>2262</v>
      </c>
      <c r="T999" s="105"/>
      <c r="U999" s="105"/>
      <c r="V999" s="68"/>
      <c r="W999" s="68"/>
      <c r="X999" s="68"/>
      <c r="Y999" s="68"/>
    </row>
    <row r="1000" s="17" customFormat="1" hidden="1" customHeight="1" spans="1:25">
      <c r="A1000" s="105"/>
      <c r="B1000" s="328" t="s">
        <v>2263</v>
      </c>
      <c r="C1000" s="61" t="str">
        <f t="shared" si="67"/>
        <v>2025-05-16</v>
      </c>
      <c r="D1000" s="62" t="str">
        <f ca="1" t="shared" si="69"/>
        <v>一年以上</v>
      </c>
      <c r="E1000" s="322" t="s">
        <v>2258</v>
      </c>
      <c r="F1000" s="105" t="s">
        <v>632</v>
      </c>
      <c r="G1000" s="105" t="s">
        <v>2234</v>
      </c>
      <c r="H1000" s="293"/>
      <c r="I1000" s="293" t="s">
        <v>2259</v>
      </c>
      <c r="J1000" s="323">
        <v>10000</v>
      </c>
      <c r="K1000" s="105" t="s">
        <v>1706</v>
      </c>
      <c r="L1000" s="59" t="s">
        <v>73</v>
      </c>
      <c r="M1000" s="59" t="s">
        <v>30</v>
      </c>
      <c r="N1000" s="324">
        <v>10000</v>
      </c>
      <c r="O1000" s="316">
        <f t="shared" si="65"/>
        <v>0</v>
      </c>
      <c r="P1000" s="144">
        <v>46079</v>
      </c>
      <c r="Q1000" s="114">
        <f t="shared" si="70"/>
        <v>46079</v>
      </c>
      <c r="R1000" s="59"/>
      <c r="S1000" s="60" t="s">
        <v>2264</v>
      </c>
      <c r="T1000" s="105"/>
      <c r="U1000" s="105"/>
      <c r="V1000" s="68"/>
      <c r="W1000" s="68"/>
      <c r="X1000" s="68"/>
      <c r="Y1000" s="68"/>
    </row>
    <row r="1001" s="17" customFormat="1" hidden="1" customHeight="1" spans="1:25">
      <c r="A1001" s="105"/>
      <c r="B1001" s="293" t="s">
        <v>2265</v>
      </c>
      <c r="C1001" s="61" t="str">
        <f t="shared" si="67"/>
        <v>2025-05-19</v>
      </c>
      <c r="D1001" s="62" t="str">
        <f ca="1" t="shared" si="69"/>
        <v>一年以上</v>
      </c>
      <c r="E1001" s="322" t="s">
        <v>2266</v>
      </c>
      <c r="F1001" s="105" t="s">
        <v>632</v>
      </c>
      <c r="G1001" s="105" t="s">
        <v>2234</v>
      </c>
      <c r="H1001" s="293"/>
      <c r="I1001" s="293" t="s">
        <v>2187</v>
      </c>
      <c r="J1001" s="323">
        <v>10000</v>
      </c>
      <c r="K1001" s="105" t="s">
        <v>28</v>
      </c>
      <c r="L1001" s="59" t="s">
        <v>73</v>
      </c>
      <c r="M1001" s="59" t="s">
        <v>30</v>
      </c>
      <c r="N1001" s="324">
        <v>10000</v>
      </c>
      <c r="O1001" s="316">
        <f t="shared" si="65"/>
        <v>0</v>
      </c>
      <c r="P1001" s="144">
        <v>45825</v>
      </c>
      <c r="Q1001" s="114">
        <f t="shared" si="70"/>
        <v>45825</v>
      </c>
      <c r="R1001" s="59"/>
      <c r="S1001" s="60" t="s">
        <v>2267</v>
      </c>
      <c r="T1001" s="105"/>
      <c r="U1001" s="105"/>
      <c r="V1001" s="68"/>
      <c r="W1001" s="68"/>
      <c r="X1001" s="68"/>
      <c r="Y1001" s="68"/>
    </row>
    <row r="1002" s="17" customFormat="1" hidden="1" customHeight="1" spans="1:25">
      <c r="A1002" s="105"/>
      <c r="B1002" s="293" t="s">
        <v>2268</v>
      </c>
      <c r="C1002" s="61" t="str">
        <f t="shared" si="67"/>
        <v>2025-05-20</v>
      </c>
      <c r="D1002" s="62" t="str">
        <f ca="1" t="shared" si="69"/>
        <v>一年以上</v>
      </c>
      <c r="E1002" s="322" t="s">
        <v>2269</v>
      </c>
      <c r="F1002" s="105" t="s">
        <v>632</v>
      </c>
      <c r="G1002" s="105" t="s">
        <v>993</v>
      </c>
      <c r="H1002" s="293"/>
      <c r="I1002" s="293" t="s">
        <v>851</v>
      </c>
      <c r="J1002" s="323">
        <v>10000</v>
      </c>
      <c r="K1002" s="105" t="s">
        <v>28</v>
      </c>
      <c r="L1002" s="59" t="s">
        <v>73</v>
      </c>
      <c r="M1002" s="59" t="s">
        <v>30</v>
      </c>
      <c r="N1002" s="324">
        <v>10000</v>
      </c>
      <c r="O1002" s="316">
        <f t="shared" si="65"/>
        <v>0</v>
      </c>
      <c r="P1002" s="144">
        <v>45835</v>
      </c>
      <c r="Q1002" s="114">
        <f t="shared" si="70"/>
        <v>45835</v>
      </c>
      <c r="R1002" s="59"/>
      <c r="S1002" s="60" t="s">
        <v>2270</v>
      </c>
      <c r="T1002" s="105"/>
      <c r="U1002" s="105"/>
      <c r="V1002" s="68"/>
      <c r="W1002" s="68"/>
      <c r="X1002" s="68"/>
      <c r="Y1002" s="68"/>
    </row>
    <row r="1003" s="17" customFormat="1" hidden="1" customHeight="1" spans="1:25">
      <c r="A1003" s="105"/>
      <c r="B1003" s="293" t="s">
        <v>2271</v>
      </c>
      <c r="C1003" s="61">
        <f t="shared" si="67"/>
        <v>45800</v>
      </c>
      <c r="D1003" s="62" t="str">
        <f ca="1" t="shared" si="69"/>
        <v>一年以上</v>
      </c>
      <c r="E1003" s="322">
        <v>45800</v>
      </c>
      <c r="F1003" s="105" t="s">
        <v>130</v>
      </c>
      <c r="G1003" s="105" t="s">
        <v>2227</v>
      </c>
      <c r="H1003" s="293"/>
      <c r="I1003" s="293" t="s">
        <v>665</v>
      </c>
      <c r="J1003" s="323">
        <v>3000</v>
      </c>
      <c r="K1003" s="105" t="s">
        <v>2272</v>
      </c>
      <c r="L1003" s="105" t="s">
        <v>73</v>
      </c>
      <c r="M1003" s="59" t="s">
        <v>65</v>
      </c>
      <c r="N1003" s="324">
        <v>3000</v>
      </c>
      <c r="O1003" s="316">
        <f t="shared" si="65"/>
        <v>0</v>
      </c>
      <c r="P1003" s="144">
        <v>45922</v>
      </c>
      <c r="Q1003" s="114">
        <f t="shared" si="70"/>
        <v>45922</v>
      </c>
      <c r="R1003" s="59"/>
      <c r="S1003" s="60" t="s">
        <v>2273</v>
      </c>
      <c r="T1003" s="105"/>
      <c r="U1003" s="105"/>
      <c r="V1003" s="68"/>
      <c r="W1003" s="68"/>
      <c r="X1003" s="68"/>
      <c r="Y1003" s="68"/>
    </row>
    <row r="1004" s="17" customFormat="1" hidden="1" customHeight="1" spans="1:25">
      <c r="A1004" s="105"/>
      <c r="B1004" s="293" t="s">
        <v>2274</v>
      </c>
      <c r="C1004" s="61" t="str">
        <f t="shared" si="67"/>
        <v>2025-05-27</v>
      </c>
      <c r="D1004" s="62" t="str">
        <f ca="1" t="shared" si="69"/>
        <v>一年以上</v>
      </c>
      <c r="E1004" s="322" t="s">
        <v>2275</v>
      </c>
      <c r="F1004" s="105" t="s">
        <v>632</v>
      </c>
      <c r="G1004" s="105" t="s">
        <v>2234</v>
      </c>
      <c r="H1004" s="293"/>
      <c r="I1004" s="293" t="s">
        <v>376</v>
      </c>
      <c r="J1004" s="323">
        <v>50000</v>
      </c>
      <c r="K1004" s="105" t="s">
        <v>28</v>
      </c>
      <c r="L1004" s="59" t="s">
        <v>73</v>
      </c>
      <c r="M1004" s="59" t="s">
        <v>30</v>
      </c>
      <c r="N1004" s="327">
        <v>50000</v>
      </c>
      <c r="O1004" s="316">
        <f t="shared" si="65"/>
        <v>0</v>
      </c>
      <c r="P1004" s="144">
        <v>45842</v>
      </c>
      <c r="Q1004" s="114">
        <f t="shared" si="70"/>
        <v>45842</v>
      </c>
      <c r="R1004" s="59"/>
      <c r="S1004" s="60"/>
      <c r="T1004" s="105"/>
      <c r="U1004" s="105"/>
      <c r="V1004" s="68"/>
      <c r="W1004" s="68"/>
      <c r="X1004" s="68"/>
      <c r="Y1004" s="68"/>
    </row>
    <row r="1005" s="17" customFormat="1" hidden="1" customHeight="1" spans="1:25">
      <c r="A1005" s="105"/>
      <c r="B1005" s="293" t="s">
        <v>2276</v>
      </c>
      <c r="C1005" s="61" t="str">
        <f t="shared" si="67"/>
        <v>2025-05-28</v>
      </c>
      <c r="D1005" s="62" t="str">
        <f ca="1" t="shared" si="69"/>
        <v>一年以上</v>
      </c>
      <c r="E1005" s="322" t="s">
        <v>2277</v>
      </c>
      <c r="F1005" s="105" t="s">
        <v>632</v>
      </c>
      <c r="G1005" s="105" t="s">
        <v>2234</v>
      </c>
      <c r="H1005" s="293"/>
      <c r="I1005" s="293" t="s">
        <v>2215</v>
      </c>
      <c r="J1005" s="323">
        <v>1000</v>
      </c>
      <c r="K1005" s="105" t="s">
        <v>28</v>
      </c>
      <c r="L1005" s="59" t="s">
        <v>73</v>
      </c>
      <c r="M1005" s="59" t="s">
        <v>30</v>
      </c>
      <c r="N1005" s="324"/>
      <c r="O1005" s="316">
        <f t="shared" si="65"/>
        <v>1000</v>
      </c>
      <c r="P1005" s="144"/>
      <c r="Q1005" s="114">
        <f t="shared" si="70"/>
        <v>0</v>
      </c>
      <c r="R1005" s="59"/>
      <c r="S1005" s="60" t="s">
        <v>2278</v>
      </c>
      <c r="T1005" s="105"/>
      <c r="U1005" s="105"/>
      <c r="V1005" s="68"/>
      <c r="W1005" s="68"/>
      <c r="X1005" s="68"/>
      <c r="Y1005" s="68"/>
    </row>
    <row r="1006" s="17" customFormat="1" hidden="1" customHeight="1" spans="1:25">
      <c r="A1006" s="105"/>
      <c r="B1006" s="293" t="s">
        <v>2279</v>
      </c>
      <c r="C1006" s="61" t="str">
        <f t="shared" si="67"/>
        <v>2025-06-03</v>
      </c>
      <c r="D1006" s="62" t="str">
        <f ca="1" t="shared" si="69"/>
        <v>一年以上</v>
      </c>
      <c r="E1006" s="322" t="s">
        <v>2280</v>
      </c>
      <c r="F1006" s="105" t="s">
        <v>130</v>
      </c>
      <c r="G1006" s="105" t="s">
        <v>2227</v>
      </c>
      <c r="H1006" s="293"/>
      <c r="I1006" s="293" t="s">
        <v>2187</v>
      </c>
      <c r="J1006" s="323">
        <v>17500</v>
      </c>
      <c r="K1006" s="105" t="s">
        <v>28</v>
      </c>
      <c r="L1006" s="59" t="s">
        <v>73</v>
      </c>
      <c r="M1006" s="2" t="s">
        <v>65</v>
      </c>
      <c r="N1006" s="324"/>
      <c r="O1006" s="316">
        <f t="shared" si="65"/>
        <v>17500</v>
      </c>
      <c r="P1006" s="144"/>
      <c r="Q1006" s="114">
        <f t="shared" si="70"/>
        <v>0</v>
      </c>
      <c r="R1006" s="59"/>
      <c r="S1006" s="60" t="s">
        <v>2281</v>
      </c>
      <c r="T1006" s="105"/>
      <c r="U1006" s="105"/>
      <c r="V1006" s="68"/>
      <c r="W1006" s="68"/>
      <c r="X1006" s="68"/>
      <c r="Y1006" s="68"/>
    </row>
    <row r="1007" s="17" customFormat="1" hidden="1" customHeight="1" spans="1:25">
      <c r="A1007" s="105"/>
      <c r="B1007" s="293" t="s">
        <v>2282</v>
      </c>
      <c r="C1007" s="61" t="str">
        <f t="shared" si="67"/>
        <v>2025-06-03</v>
      </c>
      <c r="D1007" s="62" t="str">
        <f ca="1" t="shared" si="69"/>
        <v>一年以上</v>
      </c>
      <c r="E1007" s="322" t="s">
        <v>2280</v>
      </c>
      <c r="F1007" s="105" t="s">
        <v>130</v>
      </c>
      <c r="G1007" s="105" t="s">
        <v>2227</v>
      </c>
      <c r="H1007" s="293"/>
      <c r="I1007" s="293" t="s">
        <v>2187</v>
      </c>
      <c r="J1007" s="323">
        <v>17500</v>
      </c>
      <c r="K1007" s="105" t="s">
        <v>28</v>
      </c>
      <c r="L1007" s="59" t="s">
        <v>73</v>
      </c>
      <c r="M1007" s="2" t="s">
        <v>133</v>
      </c>
      <c r="N1007" s="324"/>
      <c r="O1007" s="316">
        <f t="shared" si="65"/>
        <v>17500</v>
      </c>
      <c r="P1007" s="144"/>
      <c r="Q1007" s="114">
        <f t="shared" si="70"/>
        <v>0</v>
      </c>
      <c r="R1007" s="59"/>
      <c r="S1007" s="60" t="s">
        <v>2283</v>
      </c>
      <c r="T1007" s="105"/>
      <c r="U1007" s="105"/>
      <c r="V1007" s="68"/>
      <c r="W1007" s="68"/>
      <c r="X1007" s="68"/>
      <c r="Y1007" s="68"/>
    </row>
    <row r="1008" s="17" customFormat="1" hidden="1" customHeight="1" spans="1:25">
      <c r="A1008" s="105"/>
      <c r="B1008" s="293" t="s">
        <v>2284</v>
      </c>
      <c r="C1008" s="61" t="str">
        <f t="shared" si="67"/>
        <v>2025-06-03</v>
      </c>
      <c r="D1008" s="62" t="str">
        <f ca="1" t="shared" si="69"/>
        <v>一年以上</v>
      </c>
      <c r="E1008" s="322" t="s">
        <v>2280</v>
      </c>
      <c r="F1008" s="105" t="s">
        <v>130</v>
      </c>
      <c r="G1008" s="105" t="s">
        <v>2227</v>
      </c>
      <c r="H1008" s="293"/>
      <c r="I1008" s="293" t="s">
        <v>2187</v>
      </c>
      <c r="J1008" s="323">
        <v>17500</v>
      </c>
      <c r="K1008" s="105" t="s">
        <v>28</v>
      </c>
      <c r="L1008" s="59" t="s">
        <v>73</v>
      </c>
      <c r="M1008" s="2" t="s">
        <v>941</v>
      </c>
      <c r="N1008" s="324"/>
      <c r="O1008" s="316">
        <f t="shared" si="65"/>
        <v>17500</v>
      </c>
      <c r="P1008" s="144"/>
      <c r="Q1008" s="114">
        <f t="shared" si="70"/>
        <v>0</v>
      </c>
      <c r="R1008" s="59"/>
      <c r="S1008" s="60" t="s">
        <v>2285</v>
      </c>
      <c r="T1008" s="105"/>
      <c r="U1008" s="105"/>
      <c r="V1008" s="68"/>
      <c r="W1008" s="68"/>
      <c r="X1008" s="68"/>
      <c r="Y1008" s="68"/>
    </row>
    <row r="1009" s="17" customFormat="1" hidden="1" customHeight="1" spans="1:25">
      <c r="A1009" s="105"/>
      <c r="B1009" s="293" t="s">
        <v>2286</v>
      </c>
      <c r="C1009" s="61" t="str">
        <f t="shared" si="67"/>
        <v>2025-06-04</v>
      </c>
      <c r="D1009" s="62" t="str">
        <f ca="1" t="shared" si="69"/>
        <v>一年以上</v>
      </c>
      <c r="E1009" s="322" t="s">
        <v>2287</v>
      </c>
      <c r="F1009" s="105" t="s">
        <v>632</v>
      </c>
      <c r="G1009" s="105" t="s">
        <v>2234</v>
      </c>
      <c r="H1009" s="293"/>
      <c r="I1009" s="293" t="s">
        <v>2215</v>
      </c>
      <c r="J1009" s="323">
        <v>1000</v>
      </c>
      <c r="K1009" s="105" t="s">
        <v>28</v>
      </c>
      <c r="L1009" s="59" t="s">
        <v>73</v>
      </c>
      <c r="M1009" s="2" t="s">
        <v>30</v>
      </c>
      <c r="N1009" s="324">
        <v>1000</v>
      </c>
      <c r="O1009" s="316">
        <f t="shared" si="65"/>
        <v>0</v>
      </c>
      <c r="P1009" s="144">
        <v>45812</v>
      </c>
      <c r="Q1009" s="114">
        <f t="shared" si="70"/>
        <v>45812</v>
      </c>
      <c r="R1009" s="59"/>
      <c r="S1009" s="60" t="s">
        <v>653</v>
      </c>
      <c r="T1009" s="105"/>
      <c r="U1009" s="105"/>
      <c r="V1009" s="68"/>
      <c r="W1009" s="68"/>
      <c r="X1009" s="68"/>
      <c r="Y1009" s="68"/>
    </row>
    <row r="1010" s="17" customFormat="1" hidden="1" customHeight="1" spans="1:25">
      <c r="A1010" s="105"/>
      <c r="B1010" s="293" t="s">
        <v>2288</v>
      </c>
      <c r="C1010" s="61" t="str">
        <f t="shared" si="67"/>
        <v>2025-06-09</v>
      </c>
      <c r="D1010" s="62" t="str">
        <f ca="1" t="shared" si="69"/>
        <v>一年以上</v>
      </c>
      <c r="E1010" s="322" t="s">
        <v>2289</v>
      </c>
      <c r="F1010" s="105" t="s">
        <v>130</v>
      </c>
      <c r="G1010" s="105" t="s">
        <v>2227</v>
      </c>
      <c r="H1010" s="293"/>
      <c r="I1010" s="293" t="s">
        <v>863</v>
      </c>
      <c r="J1010" s="323">
        <v>9000</v>
      </c>
      <c r="K1010" s="105" t="s">
        <v>28</v>
      </c>
      <c r="L1010" s="59" t="s">
        <v>73</v>
      </c>
      <c r="M1010" s="2" t="s">
        <v>133</v>
      </c>
      <c r="N1010" s="324">
        <v>9000</v>
      </c>
      <c r="O1010" s="316">
        <f t="shared" si="65"/>
        <v>0</v>
      </c>
      <c r="P1010" s="144">
        <v>45925</v>
      </c>
      <c r="Q1010" s="61">
        <f t="shared" si="70"/>
        <v>45925</v>
      </c>
      <c r="R1010" s="59"/>
      <c r="S1010" s="60" t="s">
        <v>2290</v>
      </c>
      <c r="T1010" s="105"/>
      <c r="U1010" s="105"/>
      <c r="V1010" s="68"/>
      <c r="W1010" s="68"/>
      <c r="X1010" s="68"/>
      <c r="Y1010" s="68"/>
    </row>
    <row r="1011" s="17" customFormat="1" hidden="1" customHeight="1" spans="1:25">
      <c r="A1011" s="105"/>
      <c r="B1011" s="293" t="s">
        <v>2291</v>
      </c>
      <c r="C1011" s="61" t="str">
        <f t="shared" si="67"/>
        <v>2025-06-09</v>
      </c>
      <c r="D1011" s="62" t="str">
        <f ca="1" t="shared" si="69"/>
        <v>一年以上</v>
      </c>
      <c r="E1011" s="322" t="s">
        <v>2289</v>
      </c>
      <c r="F1011" s="105" t="s">
        <v>130</v>
      </c>
      <c r="G1011" s="105" t="s">
        <v>2227</v>
      </c>
      <c r="H1011" s="293"/>
      <c r="I1011" s="293" t="s">
        <v>863</v>
      </c>
      <c r="J1011" s="323">
        <v>9000</v>
      </c>
      <c r="K1011" s="105" t="s">
        <v>28</v>
      </c>
      <c r="L1011" s="59" t="s">
        <v>73</v>
      </c>
      <c r="M1011" s="2" t="s">
        <v>65</v>
      </c>
      <c r="N1011" s="326">
        <v>9000</v>
      </c>
      <c r="O1011" s="316">
        <f t="shared" ref="O1011:O1074" si="71">J1011-N1011</f>
        <v>0</v>
      </c>
      <c r="P1011" s="95">
        <v>46049</v>
      </c>
      <c r="Q1011" s="61">
        <f t="shared" si="70"/>
        <v>46049</v>
      </c>
      <c r="R1011" s="59"/>
      <c r="S1011" s="60" t="s">
        <v>2292</v>
      </c>
      <c r="T1011" s="105"/>
      <c r="U1011" s="105"/>
      <c r="V1011" s="68"/>
      <c r="W1011" s="68"/>
      <c r="X1011" s="68"/>
      <c r="Y1011" s="68"/>
    </row>
    <row r="1012" s="17" customFormat="1" hidden="1" customHeight="1" spans="1:25">
      <c r="A1012" s="105"/>
      <c r="B1012" s="293" t="s">
        <v>2293</v>
      </c>
      <c r="C1012" s="61" t="str">
        <f t="shared" si="67"/>
        <v>2025-06-09</v>
      </c>
      <c r="D1012" s="62" t="str">
        <f ca="1" t="shared" si="69"/>
        <v>一年以上</v>
      </c>
      <c r="E1012" s="322" t="s">
        <v>2289</v>
      </c>
      <c r="F1012" s="105" t="s">
        <v>130</v>
      </c>
      <c r="G1012" s="105" t="s">
        <v>2227</v>
      </c>
      <c r="H1012" s="293"/>
      <c r="I1012" s="293" t="s">
        <v>863</v>
      </c>
      <c r="J1012" s="323">
        <v>9000</v>
      </c>
      <c r="K1012" s="105" t="s">
        <v>28</v>
      </c>
      <c r="L1012" s="59" t="s">
        <v>73</v>
      </c>
      <c r="M1012" s="2" t="s">
        <v>941</v>
      </c>
      <c r="N1012" s="324">
        <v>9000</v>
      </c>
      <c r="O1012" s="316">
        <f t="shared" si="71"/>
        <v>0</v>
      </c>
      <c r="P1012" s="144">
        <v>45817</v>
      </c>
      <c r="Q1012" s="61">
        <f t="shared" si="70"/>
        <v>45817</v>
      </c>
      <c r="R1012" s="59"/>
      <c r="S1012" s="60" t="s">
        <v>2294</v>
      </c>
      <c r="T1012" s="105"/>
      <c r="U1012" s="105"/>
      <c r="V1012" s="68"/>
      <c r="W1012" s="68"/>
      <c r="X1012" s="68"/>
      <c r="Y1012" s="68"/>
    </row>
    <row r="1013" s="17" customFormat="1" hidden="1" customHeight="1" spans="1:25">
      <c r="A1013" s="105"/>
      <c r="B1013" s="293" t="s">
        <v>2295</v>
      </c>
      <c r="C1013" s="61" t="str">
        <f t="shared" si="67"/>
        <v>2025-06-09</v>
      </c>
      <c r="D1013" s="62" t="str">
        <f ca="1" t="shared" si="69"/>
        <v>一年以上</v>
      </c>
      <c r="E1013" s="322" t="s">
        <v>2289</v>
      </c>
      <c r="F1013" s="105" t="s">
        <v>130</v>
      </c>
      <c r="G1013" s="105" t="s">
        <v>2227</v>
      </c>
      <c r="H1013" s="293"/>
      <c r="I1013" s="293" t="s">
        <v>863</v>
      </c>
      <c r="J1013" s="323">
        <v>7500</v>
      </c>
      <c r="K1013" s="105" t="s">
        <v>28</v>
      </c>
      <c r="L1013" s="59" t="s">
        <v>73</v>
      </c>
      <c r="M1013" s="2" t="s">
        <v>133</v>
      </c>
      <c r="N1013" s="324">
        <v>7500</v>
      </c>
      <c r="O1013" s="316">
        <f t="shared" si="71"/>
        <v>0</v>
      </c>
      <c r="P1013" s="144">
        <v>45925</v>
      </c>
      <c r="Q1013" s="61">
        <f t="shared" si="70"/>
        <v>45925</v>
      </c>
      <c r="R1013" s="59"/>
      <c r="S1013" s="60" t="s">
        <v>2296</v>
      </c>
      <c r="T1013" s="105"/>
      <c r="U1013" s="105"/>
      <c r="V1013" s="68"/>
      <c r="W1013" s="68"/>
      <c r="X1013" s="68"/>
      <c r="Y1013" s="68"/>
    </row>
    <row r="1014" s="17" customFormat="1" hidden="1" customHeight="1" spans="1:25">
      <c r="A1014" s="105"/>
      <c r="B1014" s="293" t="s">
        <v>2297</v>
      </c>
      <c r="C1014" s="61" t="str">
        <f t="shared" si="67"/>
        <v>2025-06-09</v>
      </c>
      <c r="D1014" s="62" t="str">
        <f ca="1" t="shared" si="69"/>
        <v>一年以上</v>
      </c>
      <c r="E1014" s="322" t="s">
        <v>2289</v>
      </c>
      <c r="F1014" s="105" t="s">
        <v>130</v>
      </c>
      <c r="G1014" s="105" t="s">
        <v>2227</v>
      </c>
      <c r="H1014" s="293"/>
      <c r="I1014" s="293" t="s">
        <v>863</v>
      </c>
      <c r="J1014" s="323">
        <v>7500</v>
      </c>
      <c r="K1014" s="105" t="s">
        <v>28</v>
      </c>
      <c r="L1014" s="59" t="s">
        <v>73</v>
      </c>
      <c r="M1014" s="2" t="s">
        <v>65</v>
      </c>
      <c r="N1014" s="326">
        <v>7500</v>
      </c>
      <c r="O1014" s="316">
        <f t="shared" si="71"/>
        <v>0</v>
      </c>
      <c r="P1014" s="95">
        <v>46049</v>
      </c>
      <c r="Q1014" s="61">
        <f t="shared" si="70"/>
        <v>46049</v>
      </c>
      <c r="R1014" s="59"/>
      <c r="S1014" s="60" t="s">
        <v>2298</v>
      </c>
      <c r="T1014" s="105"/>
      <c r="U1014" s="105"/>
      <c r="V1014" s="68"/>
      <c r="W1014" s="68"/>
      <c r="X1014" s="68"/>
      <c r="Y1014" s="68"/>
    </row>
    <row r="1015" s="17" customFormat="1" hidden="1" customHeight="1" spans="1:25">
      <c r="A1015" s="105"/>
      <c r="B1015" s="293" t="s">
        <v>2299</v>
      </c>
      <c r="C1015" s="61" t="str">
        <f t="shared" si="67"/>
        <v>2025-06-09</v>
      </c>
      <c r="D1015" s="62" t="str">
        <f ca="1" t="shared" si="69"/>
        <v>一年以上</v>
      </c>
      <c r="E1015" s="322" t="s">
        <v>2289</v>
      </c>
      <c r="F1015" s="105" t="s">
        <v>130</v>
      </c>
      <c r="G1015" s="105" t="s">
        <v>2227</v>
      </c>
      <c r="H1015" s="293"/>
      <c r="I1015" s="293" t="s">
        <v>863</v>
      </c>
      <c r="J1015" s="323">
        <v>7500</v>
      </c>
      <c r="K1015" s="105" t="s">
        <v>28</v>
      </c>
      <c r="L1015" s="59" t="s">
        <v>73</v>
      </c>
      <c r="M1015" s="2" t="s">
        <v>941</v>
      </c>
      <c r="N1015" s="324">
        <v>7500</v>
      </c>
      <c r="O1015" s="316">
        <f t="shared" si="71"/>
        <v>0</v>
      </c>
      <c r="P1015" s="144">
        <v>45817</v>
      </c>
      <c r="Q1015" s="61">
        <f t="shared" si="70"/>
        <v>45817</v>
      </c>
      <c r="R1015" s="59"/>
      <c r="S1015" s="60" t="s">
        <v>2300</v>
      </c>
      <c r="T1015" s="105"/>
      <c r="U1015" s="105"/>
      <c r="V1015" s="68"/>
      <c r="W1015" s="68"/>
      <c r="X1015" s="68"/>
      <c r="Y1015" s="68"/>
    </row>
    <row r="1016" s="17" customFormat="1" hidden="1" customHeight="1" spans="1:25">
      <c r="A1016" s="105"/>
      <c r="B1016" s="293" t="s">
        <v>2301</v>
      </c>
      <c r="C1016" s="61" t="str">
        <f t="shared" si="67"/>
        <v>2025-06-09</v>
      </c>
      <c r="D1016" s="62" t="str">
        <f ca="1" t="shared" si="69"/>
        <v>一年以上</v>
      </c>
      <c r="E1016" s="322" t="s">
        <v>2289</v>
      </c>
      <c r="F1016" s="105" t="s">
        <v>130</v>
      </c>
      <c r="G1016" s="105" t="s">
        <v>2227</v>
      </c>
      <c r="H1016" s="293"/>
      <c r="I1016" s="293" t="s">
        <v>863</v>
      </c>
      <c r="J1016" s="323">
        <v>8500</v>
      </c>
      <c r="K1016" s="105" t="s">
        <v>28</v>
      </c>
      <c r="L1016" s="59" t="s">
        <v>73</v>
      </c>
      <c r="M1016" s="2" t="s">
        <v>133</v>
      </c>
      <c r="N1016" s="324">
        <v>8500</v>
      </c>
      <c r="O1016" s="316">
        <f t="shared" si="71"/>
        <v>0</v>
      </c>
      <c r="P1016" s="144">
        <v>45925</v>
      </c>
      <c r="Q1016" s="61">
        <f t="shared" si="70"/>
        <v>45925</v>
      </c>
      <c r="R1016" s="59"/>
      <c r="S1016" s="60" t="s">
        <v>2302</v>
      </c>
      <c r="T1016" s="105"/>
      <c r="U1016" s="105"/>
      <c r="V1016" s="68"/>
      <c r="W1016" s="68"/>
      <c r="X1016" s="68"/>
      <c r="Y1016" s="68"/>
    </row>
    <row r="1017" s="17" customFormat="1" hidden="1" customHeight="1" spans="1:25">
      <c r="A1017" s="105"/>
      <c r="B1017" s="293" t="s">
        <v>2303</v>
      </c>
      <c r="C1017" s="61" t="str">
        <f t="shared" si="67"/>
        <v>2025-06-09</v>
      </c>
      <c r="D1017" s="62" t="str">
        <f ca="1" t="shared" si="69"/>
        <v>一年以上</v>
      </c>
      <c r="E1017" s="322" t="s">
        <v>2289</v>
      </c>
      <c r="F1017" s="105" t="s">
        <v>130</v>
      </c>
      <c r="G1017" s="105" t="s">
        <v>2227</v>
      </c>
      <c r="H1017" s="293"/>
      <c r="I1017" s="293" t="s">
        <v>863</v>
      </c>
      <c r="J1017" s="323">
        <v>8500</v>
      </c>
      <c r="K1017" s="105" t="s">
        <v>28</v>
      </c>
      <c r="L1017" s="59" t="s">
        <v>73</v>
      </c>
      <c r="M1017" s="2" t="s">
        <v>65</v>
      </c>
      <c r="N1017" s="326">
        <v>8500</v>
      </c>
      <c r="O1017" s="316">
        <f t="shared" si="71"/>
        <v>0</v>
      </c>
      <c r="P1017" s="95">
        <v>46049</v>
      </c>
      <c r="Q1017" s="61">
        <f t="shared" si="70"/>
        <v>46049</v>
      </c>
      <c r="R1017" s="59"/>
      <c r="S1017" s="60" t="s">
        <v>2304</v>
      </c>
      <c r="T1017" s="105"/>
      <c r="U1017" s="105"/>
      <c r="V1017" s="68"/>
      <c r="W1017" s="68"/>
      <c r="X1017" s="68"/>
      <c r="Y1017" s="68"/>
    </row>
    <row r="1018" s="17" customFormat="1" hidden="1" customHeight="1" spans="1:25">
      <c r="A1018" s="105"/>
      <c r="B1018" s="293" t="s">
        <v>2305</v>
      </c>
      <c r="C1018" s="61" t="str">
        <f t="shared" si="67"/>
        <v>2025-06-09</v>
      </c>
      <c r="D1018" s="62" t="str">
        <f ca="1" t="shared" si="69"/>
        <v>一年以上</v>
      </c>
      <c r="E1018" s="322" t="s">
        <v>2289</v>
      </c>
      <c r="F1018" s="105" t="s">
        <v>130</v>
      </c>
      <c r="G1018" s="105" t="s">
        <v>2227</v>
      </c>
      <c r="H1018" s="293"/>
      <c r="I1018" s="293" t="s">
        <v>863</v>
      </c>
      <c r="J1018" s="323">
        <v>8500</v>
      </c>
      <c r="K1018" s="105" t="s">
        <v>28</v>
      </c>
      <c r="L1018" s="59" t="s">
        <v>73</v>
      </c>
      <c r="M1018" s="2" t="s">
        <v>941</v>
      </c>
      <c r="N1018" s="324">
        <v>8500</v>
      </c>
      <c r="O1018" s="316">
        <f t="shared" si="71"/>
        <v>0</v>
      </c>
      <c r="P1018" s="144">
        <v>45817</v>
      </c>
      <c r="Q1018" s="61">
        <f t="shared" si="70"/>
        <v>45817</v>
      </c>
      <c r="R1018" s="59"/>
      <c r="S1018" s="60" t="s">
        <v>2306</v>
      </c>
      <c r="T1018" s="105"/>
      <c r="U1018" s="105"/>
      <c r="V1018" s="68"/>
      <c r="W1018" s="68"/>
      <c r="X1018" s="68"/>
      <c r="Y1018" s="68"/>
    </row>
    <row r="1019" s="17" customFormat="1" hidden="1" customHeight="1" spans="1:25">
      <c r="A1019" s="105"/>
      <c r="B1019" s="293" t="s">
        <v>2307</v>
      </c>
      <c r="C1019" s="61" t="str">
        <f t="shared" si="67"/>
        <v>2025-06-09</v>
      </c>
      <c r="D1019" s="62" t="str">
        <f ca="1" t="shared" si="69"/>
        <v>一年以上</v>
      </c>
      <c r="E1019" s="322" t="s">
        <v>2289</v>
      </c>
      <c r="F1019" s="105" t="s">
        <v>130</v>
      </c>
      <c r="G1019" s="105" t="s">
        <v>2227</v>
      </c>
      <c r="H1019" s="293"/>
      <c r="I1019" s="293" t="s">
        <v>863</v>
      </c>
      <c r="J1019" s="323">
        <v>16500</v>
      </c>
      <c r="K1019" s="105" t="s">
        <v>28</v>
      </c>
      <c r="L1019" s="59" t="s">
        <v>73</v>
      </c>
      <c r="M1019" s="2" t="s">
        <v>133</v>
      </c>
      <c r="N1019" s="324">
        <v>16500</v>
      </c>
      <c r="O1019" s="316">
        <f t="shared" si="71"/>
        <v>0</v>
      </c>
      <c r="P1019" s="144">
        <v>45925</v>
      </c>
      <c r="Q1019" s="61">
        <f t="shared" si="70"/>
        <v>45925</v>
      </c>
      <c r="R1019" s="59"/>
      <c r="S1019" s="60" t="s">
        <v>2308</v>
      </c>
      <c r="T1019" s="105"/>
      <c r="U1019" s="105"/>
      <c r="V1019" s="68"/>
      <c r="W1019" s="68"/>
      <c r="X1019" s="68"/>
      <c r="Y1019" s="68"/>
    </row>
    <row r="1020" s="17" customFormat="1" hidden="1" customHeight="1" spans="1:25">
      <c r="A1020" s="105"/>
      <c r="B1020" s="293" t="s">
        <v>2309</v>
      </c>
      <c r="C1020" s="61" t="str">
        <f t="shared" si="67"/>
        <v>2025-06-09</v>
      </c>
      <c r="D1020" s="62" t="str">
        <f ca="1" t="shared" si="69"/>
        <v>一年以上</v>
      </c>
      <c r="E1020" s="322" t="s">
        <v>2289</v>
      </c>
      <c r="F1020" s="105" t="s">
        <v>130</v>
      </c>
      <c r="G1020" s="105" t="s">
        <v>2227</v>
      </c>
      <c r="H1020" s="293"/>
      <c r="I1020" s="293" t="s">
        <v>863</v>
      </c>
      <c r="J1020" s="323">
        <v>16500</v>
      </c>
      <c r="K1020" s="105" t="s">
        <v>28</v>
      </c>
      <c r="L1020" s="59" t="s">
        <v>73</v>
      </c>
      <c r="M1020" s="2" t="s">
        <v>65</v>
      </c>
      <c r="N1020" s="326">
        <v>16500</v>
      </c>
      <c r="O1020" s="316">
        <f t="shared" si="71"/>
        <v>0</v>
      </c>
      <c r="P1020" s="95">
        <v>46049</v>
      </c>
      <c r="Q1020" s="61">
        <f t="shared" si="70"/>
        <v>46049</v>
      </c>
      <c r="R1020" s="59"/>
      <c r="S1020" s="60" t="s">
        <v>2310</v>
      </c>
      <c r="T1020" s="105"/>
      <c r="U1020" s="105"/>
      <c r="V1020" s="68"/>
      <c r="W1020" s="68"/>
      <c r="X1020" s="68"/>
      <c r="Y1020" s="68"/>
    </row>
    <row r="1021" s="17" customFormat="1" hidden="1" customHeight="1" spans="1:25">
      <c r="A1021" s="105"/>
      <c r="B1021" s="293" t="s">
        <v>2311</v>
      </c>
      <c r="C1021" s="61" t="str">
        <f t="shared" si="67"/>
        <v>2025-06-09</v>
      </c>
      <c r="D1021" s="62" t="str">
        <f ca="1" t="shared" si="69"/>
        <v>一年以上</v>
      </c>
      <c r="E1021" s="322" t="s">
        <v>2289</v>
      </c>
      <c r="F1021" s="105" t="s">
        <v>130</v>
      </c>
      <c r="G1021" s="105" t="s">
        <v>2227</v>
      </c>
      <c r="H1021" s="293"/>
      <c r="I1021" s="293" t="s">
        <v>863</v>
      </c>
      <c r="J1021" s="323">
        <v>16500</v>
      </c>
      <c r="K1021" s="105" t="s">
        <v>28</v>
      </c>
      <c r="L1021" s="59" t="s">
        <v>73</v>
      </c>
      <c r="M1021" s="2" t="s">
        <v>941</v>
      </c>
      <c r="N1021" s="324">
        <v>16500</v>
      </c>
      <c r="O1021" s="316">
        <f t="shared" si="71"/>
        <v>0</v>
      </c>
      <c r="P1021" s="144">
        <v>45817</v>
      </c>
      <c r="Q1021" s="61">
        <f t="shared" si="70"/>
        <v>45817</v>
      </c>
      <c r="R1021" s="59"/>
      <c r="S1021" s="60" t="s">
        <v>2312</v>
      </c>
      <c r="T1021" s="105"/>
      <c r="U1021" s="105"/>
      <c r="V1021" s="68"/>
      <c r="W1021" s="68"/>
      <c r="X1021" s="68"/>
      <c r="Y1021" s="68"/>
    </row>
    <row r="1022" s="17" customFormat="1" hidden="1" customHeight="1" spans="1:25">
      <c r="A1022" s="105"/>
      <c r="B1022" s="293" t="s">
        <v>2313</v>
      </c>
      <c r="C1022" s="61" t="str">
        <f t="shared" si="67"/>
        <v>2025-06-10</v>
      </c>
      <c r="D1022" s="62" t="str">
        <f ca="1" t="shared" si="69"/>
        <v>一年以上</v>
      </c>
      <c r="E1022" s="322" t="s">
        <v>2314</v>
      </c>
      <c r="F1022" s="105" t="s">
        <v>632</v>
      </c>
      <c r="G1022" s="105" t="s">
        <v>2234</v>
      </c>
      <c r="H1022" s="293"/>
      <c r="I1022" s="293" t="s">
        <v>2187</v>
      </c>
      <c r="J1022" s="323">
        <v>16000</v>
      </c>
      <c r="K1022" s="105" t="s">
        <v>28</v>
      </c>
      <c r="L1022" s="59" t="s">
        <v>73</v>
      </c>
      <c r="M1022" s="2" t="s">
        <v>30</v>
      </c>
      <c r="N1022" s="324">
        <v>16000</v>
      </c>
      <c r="O1022" s="316">
        <f t="shared" si="71"/>
        <v>0</v>
      </c>
      <c r="P1022" s="144">
        <v>45905</v>
      </c>
      <c r="Q1022" s="114">
        <f t="shared" si="70"/>
        <v>45905</v>
      </c>
      <c r="R1022" s="59"/>
      <c r="S1022" s="60" t="s">
        <v>653</v>
      </c>
      <c r="T1022" s="105"/>
      <c r="U1022" s="105"/>
      <c r="V1022" s="68"/>
      <c r="W1022" s="68"/>
      <c r="X1022" s="68"/>
      <c r="Y1022" s="68"/>
    </row>
    <row r="1023" s="17" customFormat="1" hidden="1" customHeight="1" spans="1:25">
      <c r="A1023" s="105"/>
      <c r="B1023" s="293" t="s">
        <v>2315</v>
      </c>
      <c r="C1023" s="61" t="str">
        <f t="shared" si="67"/>
        <v>2025-06-12</v>
      </c>
      <c r="D1023" s="62" t="str">
        <f ca="1" t="shared" si="69"/>
        <v>一年以上</v>
      </c>
      <c r="E1023" s="322" t="s">
        <v>2316</v>
      </c>
      <c r="F1023" s="105" t="s">
        <v>632</v>
      </c>
      <c r="G1023" s="105" t="s">
        <v>2234</v>
      </c>
      <c r="H1023" s="293"/>
      <c r="I1023" s="293" t="s">
        <v>872</v>
      </c>
      <c r="J1023" s="323">
        <v>20000</v>
      </c>
      <c r="K1023" s="105" t="s">
        <v>28</v>
      </c>
      <c r="L1023" s="59" t="s">
        <v>73</v>
      </c>
      <c r="M1023" s="2" t="s">
        <v>30</v>
      </c>
      <c r="N1023" s="324">
        <v>20000</v>
      </c>
      <c r="O1023" s="316">
        <f t="shared" si="71"/>
        <v>0</v>
      </c>
      <c r="P1023" s="144">
        <v>45889</v>
      </c>
      <c r="Q1023" s="114">
        <v>45870</v>
      </c>
      <c r="R1023" s="59"/>
      <c r="S1023" s="60" t="s">
        <v>653</v>
      </c>
      <c r="T1023" s="105"/>
      <c r="U1023" s="105"/>
      <c r="V1023" s="68"/>
      <c r="W1023" s="68"/>
      <c r="X1023" s="68"/>
      <c r="Y1023" s="68"/>
    </row>
    <row r="1024" s="17" customFormat="1" hidden="1" customHeight="1" spans="1:25">
      <c r="A1024" s="105"/>
      <c r="B1024" s="293" t="s">
        <v>2317</v>
      </c>
      <c r="C1024" s="61" t="str">
        <f t="shared" si="67"/>
        <v>2025-06-13</v>
      </c>
      <c r="D1024" s="62" t="str">
        <f ca="1" t="shared" si="69"/>
        <v>一年以上</v>
      </c>
      <c r="E1024" s="322" t="s">
        <v>2318</v>
      </c>
      <c r="F1024" s="105" t="s">
        <v>632</v>
      </c>
      <c r="G1024" s="105" t="s">
        <v>2234</v>
      </c>
      <c r="H1024" s="293"/>
      <c r="I1024" s="293" t="s">
        <v>2319</v>
      </c>
      <c r="J1024" s="323">
        <v>10000</v>
      </c>
      <c r="K1024" s="105" t="s">
        <v>28</v>
      </c>
      <c r="L1024" s="59" t="s">
        <v>73</v>
      </c>
      <c r="M1024" s="2" t="s">
        <v>30</v>
      </c>
      <c r="N1024" s="324">
        <v>10000</v>
      </c>
      <c r="O1024" s="316">
        <f t="shared" si="71"/>
        <v>0</v>
      </c>
      <c r="P1024" s="144">
        <v>45849</v>
      </c>
      <c r="Q1024" s="114">
        <f t="shared" ref="Q1024:Q1071" si="72">P1024</f>
        <v>45849</v>
      </c>
      <c r="R1024" s="59"/>
      <c r="S1024" s="60" t="s">
        <v>653</v>
      </c>
      <c r="T1024" s="105"/>
      <c r="U1024" s="105"/>
      <c r="V1024" s="68"/>
      <c r="W1024" s="68"/>
      <c r="X1024" s="68"/>
      <c r="Y1024" s="68"/>
    </row>
    <row r="1025" s="17" customFormat="1" hidden="1" customHeight="1" spans="1:25">
      <c r="A1025" s="105"/>
      <c r="B1025" s="293" t="s">
        <v>2320</v>
      </c>
      <c r="C1025" s="61" t="str">
        <f t="shared" si="67"/>
        <v>2025-06-20</v>
      </c>
      <c r="D1025" s="62" t="str">
        <f ca="1" t="shared" si="69"/>
        <v>一年以上</v>
      </c>
      <c r="E1025" s="322" t="s">
        <v>2321</v>
      </c>
      <c r="F1025" s="105" t="s">
        <v>632</v>
      </c>
      <c r="G1025" s="105" t="s">
        <v>2234</v>
      </c>
      <c r="H1025" s="293"/>
      <c r="I1025" s="293" t="s">
        <v>2259</v>
      </c>
      <c r="J1025" s="323">
        <v>50000</v>
      </c>
      <c r="K1025" s="105" t="s">
        <v>28</v>
      </c>
      <c r="L1025" s="59" t="s">
        <v>73</v>
      </c>
      <c r="M1025" s="2" t="s">
        <v>30</v>
      </c>
      <c r="N1025" s="324">
        <v>50000</v>
      </c>
      <c r="O1025" s="316">
        <f t="shared" si="71"/>
        <v>0</v>
      </c>
      <c r="P1025" s="144">
        <v>45996</v>
      </c>
      <c r="Q1025" s="114">
        <f t="shared" si="72"/>
        <v>45996</v>
      </c>
      <c r="R1025" s="59"/>
      <c r="S1025" s="60" t="s">
        <v>653</v>
      </c>
      <c r="T1025" s="105"/>
      <c r="U1025" s="105"/>
      <c r="V1025" s="68"/>
      <c r="W1025" s="68"/>
      <c r="X1025" s="68"/>
      <c r="Y1025" s="68"/>
    </row>
    <row r="1026" s="17" customFormat="1" hidden="1" customHeight="1" spans="1:25">
      <c r="A1026" s="105"/>
      <c r="B1026" s="293" t="s">
        <v>2322</v>
      </c>
      <c r="C1026" s="61" t="str">
        <f t="shared" si="67"/>
        <v>2025-06-23</v>
      </c>
      <c r="D1026" s="62" t="str">
        <f ca="1" t="shared" si="69"/>
        <v>一年以上</v>
      </c>
      <c r="E1026" s="322" t="s">
        <v>2323</v>
      </c>
      <c r="F1026" s="105" t="s">
        <v>130</v>
      </c>
      <c r="G1026" s="105" t="s">
        <v>2227</v>
      </c>
      <c r="H1026" s="293"/>
      <c r="I1026" s="293" t="s">
        <v>2187</v>
      </c>
      <c r="J1026" s="323">
        <v>500</v>
      </c>
      <c r="K1026" s="105" t="s">
        <v>28</v>
      </c>
      <c r="L1026" s="59" t="s">
        <v>73</v>
      </c>
      <c r="M1026" s="2" t="s">
        <v>65</v>
      </c>
      <c r="N1026" s="324"/>
      <c r="O1026" s="316">
        <f t="shared" si="71"/>
        <v>500</v>
      </c>
      <c r="P1026" s="144"/>
      <c r="Q1026" s="114">
        <f t="shared" si="72"/>
        <v>0</v>
      </c>
      <c r="R1026" s="59"/>
      <c r="S1026" s="60" t="s">
        <v>2324</v>
      </c>
      <c r="T1026" s="105"/>
      <c r="U1026" s="105"/>
      <c r="V1026" s="68"/>
      <c r="W1026" s="68"/>
      <c r="X1026" s="68"/>
      <c r="Y1026" s="68"/>
    </row>
    <row r="1027" s="17" customFormat="1" hidden="1" customHeight="1" spans="1:25">
      <c r="A1027" s="105"/>
      <c r="B1027" s="293" t="s">
        <v>2325</v>
      </c>
      <c r="C1027" s="61" t="str">
        <f t="shared" si="67"/>
        <v>2025-06-23</v>
      </c>
      <c r="D1027" s="62" t="str">
        <f ca="1" t="shared" si="69"/>
        <v>一年以上</v>
      </c>
      <c r="E1027" s="322" t="s">
        <v>2323</v>
      </c>
      <c r="F1027" s="105" t="s">
        <v>130</v>
      </c>
      <c r="G1027" s="105" t="s">
        <v>2227</v>
      </c>
      <c r="H1027" s="293"/>
      <c r="I1027" s="293" t="s">
        <v>863</v>
      </c>
      <c r="J1027" s="323">
        <v>500</v>
      </c>
      <c r="K1027" s="105" t="s">
        <v>28</v>
      </c>
      <c r="L1027" s="59" t="s">
        <v>73</v>
      </c>
      <c r="M1027" s="2" t="s">
        <v>65</v>
      </c>
      <c r="N1027" s="326">
        <v>500</v>
      </c>
      <c r="O1027" s="316">
        <f t="shared" si="71"/>
        <v>0</v>
      </c>
      <c r="P1027" s="95">
        <v>46049</v>
      </c>
      <c r="Q1027" s="114">
        <f t="shared" si="72"/>
        <v>46049</v>
      </c>
      <c r="R1027" s="59"/>
      <c r="S1027" s="60" t="s">
        <v>2326</v>
      </c>
      <c r="T1027" s="105"/>
      <c r="U1027" s="105"/>
      <c r="V1027" s="68"/>
      <c r="W1027" s="68"/>
      <c r="X1027" s="68"/>
      <c r="Y1027" s="68"/>
    </row>
    <row r="1028" s="17" customFormat="1" hidden="1" customHeight="1" spans="1:25">
      <c r="A1028" s="105"/>
      <c r="B1028" s="293" t="s">
        <v>2327</v>
      </c>
      <c r="C1028" s="61" t="str">
        <f t="shared" si="67"/>
        <v>2025-06-23</v>
      </c>
      <c r="D1028" s="62" t="str">
        <f ca="1" t="shared" si="69"/>
        <v>一年以上</v>
      </c>
      <c r="E1028" s="322" t="s">
        <v>2323</v>
      </c>
      <c r="F1028" s="105" t="s">
        <v>130</v>
      </c>
      <c r="G1028" s="105" t="s">
        <v>2227</v>
      </c>
      <c r="H1028" s="293"/>
      <c r="I1028" s="293" t="s">
        <v>863</v>
      </c>
      <c r="J1028" s="323">
        <v>500</v>
      </c>
      <c r="K1028" s="105" t="s">
        <v>28</v>
      </c>
      <c r="L1028" s="59" t="s">
        <v>73</v>
      </c>
      <c r="M1028" s="2" t="s">
        <v>65</v>
      </c>
      <c r="N1028" s="326">
        <v>500</v>
      </c>
      <c r="O1028" s="316">
        <f t="shared" si="71"/>
        <v>0</v>
      </c>
      <c r="P1028" s="95">
        <v>46049</v>
      </c>
      <c r="Q1028" s="114">
        <f t="shared" si="72"/>
        <v>46049</v>
      </c>
      <c r="R1028" s="59"/>
      <c r="S1028" s="60" t="s">
        <v>2328</v>
      </c>
      <c r="T1028" s="105"/>
      <c r="U1028" s="105"/>
      <c r="V1028" s="68"/>
      <c r="W1028" s="68"/>
      <c r="X1028" s="68"/>
      <c r="Y1028" s="68"/>
    </row>
    <row r="1029" s="17" customFormat="1" hidden="1" customHeight="1" spans="1:25">
      <c r="A1029" s="105"/>
      <c r="B1029" s="293" t="s">
        <v>2329</v>
      </c>
      <c r="C1029" s="61" t="str">
        <f t="shared" si="67"/>
        <v>2025-06-23</v>
      </c>
      <c r="D1029" s="62" t="str">
        <f ca="1" t="shared" si="69"/>
        <v>一年以上</v>
      </c>
      <c r="E1029" s="322" t="s">
        <v>2323</v>
      </c>
      <c r="F1029" s="105" t="s">
        <v>130</v>
      </c>
      <c r="G1029" s="105" t="s">
        <v>2227</v>
      </c>
      <c r="H1029" s="293"/>
      <c r="I1029" s="293" t="s">
        <v>863</v>
      </c>
      <c r="J1029" s="323">
        <v>500</v>
      </c>
      <c r="K1029" s="105" t="s">
        <v>28</v>
      </c>
      <c r="L1029" s="59" t="s">
        <v>73</v>
      </c>
      <c r="M1029" s="2" t="s">
        <v>65</v>
      </c>
      <c r="N1029" s="326">
        <v>500</v>
      </c>
      <c r="O1029" s="316">
        <f t="shared" si="71"/>
        <v>0</v>
      </c>
      <c r="P1029" s="95">
        <v>46049</v>
      </c>
      <c r="Q1029" s="114">
        <f t="shared" si="72"/>
        <v>46049</v>
      </c>
      <c r="R1029" s="59"/>
      <c r="S1029" s="60" t="s">
        <v>2330</v>
      </c>
      <c r="T1029" s="105"/>
      <c r="U1029" s="105"/>
      <c r="V1029" s="68"/>
      <c r="W1029" s="68"/>
      <c r="X1029" s="68"/>
      <c r="Y1029" s="68"/>
    </row>
    <row r="1030" s="17" customFormat="1" hidden="1" customHeight="1" spans="1:25">
      <c r="A1030" s="105"/>
      <c r="B1030" s="293" t="s">
        <v>2331</v>
      </c>
      <c r="C1030" s="61">
        <f t="shared" si="67"/>
        <v>45833</v>
      </c>
      <c r="D1030" s="62" t="str">
        <f ca="1" t="shared" si="69"/>
        <v>一年以上</v>
      </c>
      <c r="E1030" s="322">
        <v>45833</v>
      </c>
      <c r="F1030" s="105" t="s">
        <v>632</v>
      </c>
      <c r="G1030" s="105" t="s">
        <v>2234</v>
      </c>
      <c r="H1030" s="293"/>
      <c r="I1030" s="293" t="s">
        <v>2332</v>
      </c>
      <c r="J1030" s="323">
        <v>15000</v>
      </c>
      <c r="K1030" s="105" t="s">
        <v>28</v>
      </c>
      <c r="L1030" s="59" t="s">
        <v>73</v>
      </c>
      <c r="M1030" s="59" t="s">
        <v>30</v>
      </c>
      <c r="N1030" s="324">
        <v>15000</v>
      </c>
      <c r="O1030" s="316">
        <f t="shared" si="71"/>
        <v>0</v>
      </c>
      <c r="P1030" s="144">
        <v>45852</v>
      </c>
      <c r="Q1030" s="114">
        <f t="shared" si="72"/>
        <v>45852</v>
      </c>
      <c r="R1030" s="59"/>
      <c r="S1030" s="60" t="s">
        <v>2333</v>
      </c>
      <c r="T1030" s="105"/>
      <c r="U1030" s="105"/>
      <c r="V1030" s="68"/>
      <c r="W1030" s="68"/>
      <c r="X1030" s="68"/>
      <c r="Y1030" s="68"/>
    </row>
    <row r="1031" s="17" customFormat="1" hidden="1" customHeight="1" spans="1:25">
      <c r="A1031" s="105"/>
      <c r="B1031" s="2" t="s">
        <v>2334</v>
      </c>
      <c r="C1031" s="61" t="str">
        <f t="shared" si="67"/>
        <v>2025-06-30</v>
      </c>
      <c r="D1031" s="62" t="str">
        <f ca="1" t="shared" si="69"/>
        <v>一年以上</v>
      </c>
      <c r="E1031" s="322" t="s">
        <v>2335</v>
      </c>
      <c r="F1031" s="105" t="s">
        <v>632</v>
      </c>
      <c r="G1031" s="105" t="s">
        <v>2234</v>
      </c>
      <c r="H1031" s="293"/>
      <c r="I1031" s="293" t="s">
        <v>2072</v>
      </c>
      <c r="J1031" s="323">
        <v>8000</v>
      </c>
      <c r="K1031" s="105" t="s">
        <v>28</v>
      </c>
      <c r="L1031" s="59" t="s">
        <v>73</v>
      </c>
      <c r="M1031" s="59" t="s">
        <v>30</v>
      </c>
      <c r="N1031" s="324">
        <v>8000</v>
      </c>
      <c r="O1031" s="316">
        <f t="shared" si="71"/>
        <v>0</v>
      </c>
      <c r="P1031" s="144">
        <v>45918</v>
      </c>
      <c r="Q1031" s="114">
        <f t="shared" si="72"/>
        <v>45918</v>
      </c>
      <c r="R1031" s="59"/>
      <c r="S1031" s="60" t="s">
        <v>2336</v>
      </c>
      <c r="T1031" s="105"/>
      <c r="U1031" s="105"/>
      <c r="V1031" s="68"/>
      <c r="W1031" s="68"/>
      <c r="X1031" s="68"/>
      <c r="Y1031" s="68"/>
    </row>
    <row r="1032" s="17" customFormat="1" hidden="1" customHeight="1" spans="1:25">
      <c r="A1032" s="105"/>
      <c r="B1032" s="2" t="s">
        <v>2337</v>
      </c>
      <c r="C1032" s="61" t="str">
        <f t="shared" si="67"/>
        <v>2025-07-02</v>
      </c>
      <c r="D1032" s="62" t="str">
        <f ca="1" t="shared" si="69"/>
        <v>一年以上</v>
      </c>
      <c r="E1032" s="322" t="s">
        <v>2338</v>
      </c>
      <c r="F1032" s="105" t="s">
        <v>632</v>
      </c>
      <c r="G1032" s="105" t="s">
        <v>2234</v>
      </c>
      <c r="H1032" s="293"/>
      <c r="I1032" s="293" t="s">
        <v>476</v>
      </c>
      <c r="J1032" s="323">
        <v>30000</v>
      </c>
      <c r="K1032" s="105" t="s">
        <v>28</v>
      </c>
      <c r="L1032" s="59" t="s">
        <v>73</v>
      </c>
      <c r="M1032" s="59" t="s">
        <v>30</v>
      </c>
      <c r="N1032" s="324">
        <v>30000</v>
      </c>
      <c r="O1032" s="316">
        <f t="shared" si="71"/>
        <v>0</v>
      </c>
      <c r="P1032" s="144">
        <v>45853</v>
      </c>
      <c r="Q1032" s="114">
        <f t="shared" si="72"/>
        <v>45853</v>
      </c>
      <c r="R1032" s="59"/>
      <c r="S1032" s="60" t="s">
        <v>2339</v>
      </c>
      <c r="T1032" s="105"/>
      <c r="U1032" s="105"/>
      <c r="V1032" s="68"/>
      <c r="W1032" s="68"/>
      <c r="X1032" s="68"/>
      <c r="Y1032" s="68"/>
    </row>
    <row r="1033" s="17" customFormat="1" hidden="1" customHeight="1" spans="1:25">
      <c r="A1033" s="105"/>
      <c r="B1033" s="2" t="s">
        <v>2340</v>
      </c>
      <c r="C1033" s="61" t="str">
        <f t="shared" si="67"/>
        <v>2025-07-08</v>
      </c>
      <c r="D1033" s="62" t="str">
        <f ca="1" t="shared" si="69"/>
        <v>6个月-1年</v>
      </c>
      <c r="E1033" s="322" t="s">
        <v>2341</v>
      </c>
      <c r="F1033" s="105" t="s">
        <v>632</v>
      </c>
      <c r="G1033" s="105" t="s">
        <v>993</v>
      </c>
      <c r="H1033" s="293"/>
      <c r="I1033" s="293" t="s">
        <v>2072</v>
      </c>
      <c r="J1033" s="323">
        <v>3000</v>
      </c>
      <c r="K1033" s="105" t="s">
        <v>1706</v>
      </c>
      <c r="L1033" s="59" t="s">
        <v>73</v>
      </c>
      <c r="M1033" s="59" t="s">
        <v>30</v>
      </c>
      <c r="N1033" s="324">
        <v>3000</v>
      </c>
      <c r="O1033" s="316">
        <f t="shared" si="71"/>
        <v>0</v>
      </c>
      <c r="P1033" s="144">
        <v>45918</v>
      </c>
      <c r="Q1033" s="114">
        <f t="shared" si="72"/>
        <v>45918</v>
      </c>
      <c r="R1033" s="59"/>
      <c r="S1033" s="60" t="s">
        <v>2342</v>
      </c>
      <c r="T1033" s="105"/>
      <c r="U1033" s="105"/>
      <c r="V1033" s="68"/>
      <c r="W1033" s="68"/>
      <c r="X1033" s="68"/>
      <c r="Y1033" s="68"/>
    </row>
    <row r="1034" s="17" customFormat="1" hidden="1" customHeight="1" spans="1:25">
      <c r="A1034" s="105"/>
      <c r="B1034" s="329" t="s">
        <v>2343</v>
      </c>
      <c r="C1034" s="61" t="str">
        <f t="shared" si="67"/>
        <v>2025-07-08</v>
      </c>
      <c r="D1034" s="62" t="str">
        <f ca="1" t="shared" si="69"/>
        <v>6个月-1年</v>
      </c>
      <c r="E1034" s="322" t="s">
        <v>2341</v>
      </c>
      <c r="F1034" s="105" t="s">
        <v>632</v>
      </c>
      <c r="G1034" s="105" t="s">
        <v>993</v>
      </c>
      <c r="H1034" s="293"/>
      <c r="I1034" s="293" t="s">
        <v>2259</v>
      </c>
      <c r="J1034" s="323">
        <v>20000</v>
      </c>
      <c r="K1034" s="105" t="s">
        <v>28</v>
      </c>
      <c r="L1034" s="59" t="s">
        <v>73</v>
      </c>
      <c r="M1034" s="59" t="s">
        <v>30</v>
      </c>
      <c r="N1034" s="324">
        <v>20000</v>
      </c>
      <c r="O1034" s="316">
        <f t="shared" si="71"/>
        <v>0</v>
      </c>
      <c r="P1034" s="144">
        <v>46079</v>
      </c>
      <c r="Q1034" s="114">
        <f t="shared" si="72"/>
        <v>46079</v>
      </c>
      <c r="R1034" s="59"/>
      <c r="S1034" s="60" t="s">
        <v>2344</v>
      </c>
      <c r="T1034" s="105"/>
      <c r="U1034" s="105"/>
      <c r="V1034" s="68"/>
      <c r="W1034" s="68"/>
      <c r="X1034" s="68"/>
      <c r="Y1034" s="68"/>
    </row>
    <row r="1035" s="17" customFormat="1" hidden="1" customHeight="1" spans="1:25">
      <c r="A1035" s="105"/>
      <c r="B1035" s="2" t="s">
        <v>2345</v>
      </c>
      <c r="C1035" s="61" t="str">
        <f t="shared" si="67"/>
        <v>2025-07-08</v>
      </c>
      <c r="D1035" s="62" t="str">
        <f ca="1" t="shared" si="69"/>
        <v>6个月-1年</v>
      </c>
      <c r="E1035" s="322" t="s">
        <v>2341</v>
      </c>
      <c r="F1035" s="105" t="s">
        <v>632</v>
      </c>
      <c r="G1035" s="105" t="s">
        <v>993</v>
      </c>
      <c r="H1035" s="293"/>
      <c r="I1035" s="293" t="s">
        <v>2346</v>
      </c>
      <c r="J1035" s="323">
        <v>10000</v>
      </c>
      <c r="K1035" s="105" t="s">
        <v>28</v>
      </c>
      <c r="L1035" s="59" t="s">
        <v>73</v>
      </c>
      <c r="M1035" s="59" t="s">
        <v>30</v>
      </c>
      <c r="N1035" s="324">
        <v>10000</v>
      </c>
      <c r="O1035" s="316">
        <f t="shared" si="71"/>
        <v>0</v>
      </c>
      <c r="P1035" s="144">
        <v>45873</v>
      </c>
      <c r="Q1035" s="114">
        <f t="shared" si="72"/>
        <v>45873</v>
      </c>
      <c r="R1035" s="59"/>
      <c r="S1035" s="60" t="s">
        <v>2347</v>
      </c>
      <c r="T1035" s="105"/>
      <c r="U1035" s="105"/>
      <c r="V1035" s="68"/>
      <c r="W1035" s="68"/>
      <c r="X1035" s="68"/>
      <c r="Y1035" s="68"/>
    </row>
    <row r="1036" s="17" customFormat="1" hidden="1" customHeight="1" spans="1:25">
      <c r="A1036" s="105"/>
      <c r="B1036" s="2" t="s">
        <v>2348</v>
      </c>
      <c r="C1036" s="61" t="str">
        <f t="shared" si="67"/>
        <v>2025-07-10</v>
      </c>
      <c r="D1036" s="62" t="str">
        <f ca="1" t="shared" si="69"/>
        <v>6个月-1年</v>
      </c>
      <c r="E1036" s="322" t="s">
        <v>2349</v>
      </c>
      <c r="F1036" s="105" t="s">
        <v>632</v>
      </c>
      <c r="G1036" s="105" t="s">
        <v>2234</v>
      </c>
      <c r="H1036" s="293"/>
      <c r="I1036" s="293" t="s">
        <v>1123</v>
      </c>
      <c r="J1036" s="323">
        <v>20000</v>
      </c>
      <c r="K1036" s="105" t="s">
        <v>28</v>
      </c>
      <c r="L1036" s="59" t="s">
        <v>73</v>
      </c>
      <c r="M1036" s="59" t="s">
        <v>30</v>
      </c>
      <c r="N1036" s="324">
        <v>20000</v>
      </c>
      <c r="O1036" s="316">
        <f t="shared" si="71"/>
        <v>0</v>
      </c>
      <c r="P1036" s="144">
        <v>45973</v>
      </c>
      <c r="Q1036" s="114">
        <f t="shared" si="72"/>
        <v>45973</v>
      </c>
      <c r="R1036" s="59"/>
      <c r="S1036" s="60" t="s">
        <v>2350</v>
      </c>
      <c r="T1036" s="105"/>
      <c r="U1036" s="105"/>
      <c r="V1036" s="68"/>
      <c r="W1036" s="68"/>
      <c r="X1036" s="68"/>
      <c r="Y1036" s="68"/>
    </row>
    <row r="1037" s="17" customFormat="1" hidden="1" customHeight="1" spans="1:25">
      <c r="A1037" s="105"/>
      <c r="B1037" s="329" t="s">
        <v>2351</v>
      </c>
      <c r="C1037" s="61" t="str">
        <f t="shared" si="67"/>
        <v>2025-07-13</v>
      </c>
      <c r="D1037" s="62" t="str">
        <f ca="1" t="shared" si="69"/>
        <v>6个月-1年</v>
      </c>
      <c r="E1037" s="322" t="s">
        <v>2352</v>
      </c>
      <c r="F1037" s="105" t="s">
        <v>70</v>
      </c>
      <c r="G1037" s="105" t="s">
        <v>1088</v>
      </c>
      <c r="H1037" s="293"/>
      <c r="I1037" s="293" t="s">
        <v>2353</v>
      </c>
      <c r="J1037" s="323">
        <v>28000</v>
      </c>
      <c r="K1037" s="105" t="s">
        <v>28</v>
      </c>
      <c r="L1037" s="59" t="s">
        <v>73</v>
      </c>
      <c r="M1037" s="59" t="s">
        <v>65</v>
      </c>
      <c r="N1037" s="324"/>
      <c r="O1037" s="316">
        <f t="shared" si="71"/>
        <v>28000</v>
      </c>
      <c r="P1037" s="144"/>
      <c r="Q1037" s="114">
        <f t="shared" si="72"/>
        <v>0</v>
      </c>
      <c r="R1037" s="59"/>
      <c r="S1037" s="60"/>
      <c r="T1037" s="105"/>
      <c r="U1037" s="105"/>
      <c r="V1037" s="68"/>
      <c r="W1037" s="68"/>
      <c r="X1037" s="68"/>
      <c r="Y1037" s="68"/>
    </row>
    <row r="1038" s="17" customFormat="1" hidden="1" customHeight="1" spans="1:25">
      <c r="A1038" s="105"/>
      <c r="B1038" s="293" t="s">
        <v>2354</v>
      </c>
      <c r="C1038" s="61" t="str">
        <f t="shared" ref="C1038:C1056" si="73">E1038</f>
        <v>2025-07-21</v>
      </c>
      <c r="D1038" s="62" t="str">
        <f ca="1" t="shared" si="69"/>
        <v>6个月-1年</v>
      </c>
      <c r="E1038" s="322" t="s">
        <v>2355</v>
      </c>
      <c r="F1038" s="105" t="s">
        <v>70</v>
      </c>
      <c r="G1038" s="105" t="s">
        <v>1088</v>
      </c>
      <c r="H1038" s="293"/>
      <c r="I1038" s="293" t="s">
        <v>1639</v>
      </c>
      <c r="J1038" s="323">
        <v>10000</v>
      </c>
      <c r="K1038" s="105" t="s">
        <v>28</v>
      </c>
      <c r="L1038" s="59" t="s">
        <v>73</v>
      </c>
      <c r="M1038" s="59" t="s">
        <v>65</v>
      </c>
      <c r="N1038" s="324"/>
      <c r="O1038" s="316">
        <f t="shared" si="71"/>
        <v>10000</v>
      </c>
      <c r="P1038" s="144"/>
      <c r="Q1038" s="114">
        <f t="shared" si="72"/>
        <v>0</v>
      </c>
      <c r="R1038" s="59"/>
      <c r="S1038" s="60" t="s">
        <v>2356</v>
      </c>
      <c r="T1038" s="105"/>
      <c r="U1038" s="105"/>
      <c r="V1038" s="68"/>
      <c r="W1038" s="68"/>
      <c r="X1038" s="68"/>
      <c r="Y1038" s="68"/>
    </row>
    <row r="1039" s="17" customFormat="1" hidden="1" customHeight="1" spans="1:25">
      <c r="A1039" s="105"/>
      <c r="B1039" s="293" t="s">
        <v>2357</v>
      </c>
      <c r="C1039" s="61" t="str">
        <f t="shared" si="73"/>
        <v>2025-07-21</v>
      </c>
      <c r="D1039" s="62" t="str">
        <f ca="1" t="shared" si="69"/>
        <v>6个月-1年</v>
      </c>
      <c r="E1039" s="322" t="s">
        <v>2355</v>
      </c>
      <c r="F1039" s="105" t="s">
        <v>632</v>
      </c>
      <c r="G1039" s="105" t="s">
        <v>2358</v>
      </c>
      <c r="H1039" s="293"/>
      <c r="I1039" s="293" t="s">
        <v>476</v>
      </c>
      <c r="J1039" s="323">
        <v>85000</v>
      </c>
      <c r="K1039" s="105" t="s">
        <v>1706</v>
      </c>
      <c r="L1039" s="59" t="s">
        <v>73</v>
      </c>
      <c r="M1039" s="59" t="s">
        <v>65</v>
      </c>
      <c r="N1039" s="324"/>
      <c r="O1039" s="316">
        <f t="shared" si="71"/>
        <v>85000</v>
      </c>
      <c r="P1039" s="144"/>
      <c r="Q1039" s="114">
        <f t="shared" si="72"/>
        <v>0</v>
      </c>
      <c r="R1039" s="59"/>
      <c r="S1039" s="60" t="s">
        <v>2359</v>
      </c>
      <c r="T1039" s="105"/>
      <c r="U1039" s="105"/>
      <c r="V1039" s="68"/>
      <c r="W1039" s="68"/>
      <c r="X1039" s="68"/>
      <c r="Y1039" s="68"/>
    </row>
    <row r="1040" s="17" customFormat="1" hidden="1" customHeight="1" spans="1:25">
      <c r="A1040" s="105"/>
      <c r="B1040" s="293" t="s">
        <v>2360</v>
      </c>
      <c r="C1040" s="61" t="str">
        <f t="shared" si="73"/>
        <v>2025-07-23</v>
      </c>
      <c r="D1040" s="62" t="str">
        <f ca="1" t="shared" si="69"/>
        <v>6个月-1年</v>
      </c>
      <c r="E1040" s="322" t="s">
        <v>2361</v>
      </c>
      <c r="F1040" s="105" t="s">
        <v>70</v>
      </c>
      <c r="G1040" s="105" t="s">
        <v>1088</v>
      </c>
      <c r="H1040" s="293"/>
      <c r="I1040" s="293" t="s">
        <v>2362</v>
      </c>
      <c r="J1040" s="323">
        <v>12000</v>
      </c>
      <c r="K1040" s="105" t="s">
        <v>1706</v>
      </c>
      <c r="L1040" s="59" t="s">
        <v>73</v>
      </c>
      <c r="M1040" s="59" t="s">
        <v>65</v>
      </c>
      <c r="N1040" s="324"/>
      <c r="O1040" s="316">
        <f t="shared" si="71"/>
        <v>12000</v>
      </c>
      <c r="P1040" s="144"/>
      <c r="Q1040" s="114">
        <f t="shared" si="72"/>
        <v>0</v>
      </c>
      <c r="R1040" s="59"/>
      <c r="S1040" s="60" t="s">
        <v>2363</v>
      </c>
      <c r="T1040" s="105"/>
      <c r="U1040" s="105"/>
      <c r="V1040" s="68"/>
      <c r="W1040" s="68"/>
      <c r="X1040" s="68"/>
      <c r="Y1040" s="68"/>
    </row>
    <row r="1041" s="17" customFormat="1" hidden="1" customHeight="1" spans="1:25">
      <c r="A1041" s="105"/>
      <c r="B1041" s="293" t="s">
        <v>2364</v>
      </c>
      <c r="C1041" s="61" t="str">
        <f t="shared" si="73"/>
        <v>2025-07-24</v>
      </c>
      <c r="D1041" s="62" t="str">
        <f ca="1" t="shared" si="69"/>
        <v>6个月-1年</v>
      </c>
      <c r="E1041" s="322" t="s">
        <v>2365</v>
      </c>
      <c r="F1041" s="105" t="s">
        <v>632</v>
      </c>
      <c r="G1041" s="105" t="s">
        <v>993</v>
      </c>
      <c r="H1041" s="293"/>
      <c r="I1041" s="293" t="s">
        <v>2072</v>
      </c>
      <c r="J1041" s="323">
        <v>9000</v>
      </c>
      <c r="K1041" s="105" t="s">
        <v>28</v>
      </c>
      <c r="L1041" s="59" t="s">
        <v>73</v>
      </c>
      <c r="M1041" s="59" t="s">
        <v>30</v>
      </c>
      <c r="N1041" s="324">
        <v>9000</v>
      </c>
      <c r="O1041" s="316">
        <f t="shared" si="71"/>
        <v>0</v>
      </c>
      <c r="P1041" s="144">
        <v>45946</v>
      </c>
      <c r="Q1041" s="114">
        <f t="shared" si="72"/>
        <v>45946</v>
      </c>
      <c r="R1041" s="59"/>
      <c r="S1041" s="60" t="s">
        <v>2366</v>
      </c>
      <c r="T1041" s="105"/>
      <c r="U1041" s="105"/>
      <c r="V1041" s="68"/>
      <c r="W1041" s="68"/>
      <c r="X1041" s="68"/>
      <c r="Y1041" s="68"/>
    </row>
    <row r="1042" s="17" customFormat="1" hidden="1" customHeight="1" spans="1:25">
      <c r="A1042" s="105"/>
      <c r="B1042" s="293" t="s">
        <v>2367</v>
      </c>
      <c r="C1042" s="61" t="str">
        <f t="shared" si="73"/>
        <v>2025-07-28</v>
      </c>
      <c r="D1042" s="62" t="str">
        <f ca="1" t="shared" si="69"/>
        <v>6个月-1年</v>
      </c>
      <c r="E1042" s="322" t="s">
        <v>2368</v>
      </c>
      <c r="F1042" s="105" t="s">
        <v>632</v>
      </c>
      <c r="G1042" s="105" t="s">
        <v>993</v>
      </c>
      <c r="H1042" s="293"/>
      <c r="I1042" s="293" t="s">
        <v>1430</v>
      </c>
      <c r="J1042" s="323">
        <v>20000</v>
      </c>
      <c r="K1042" s="105" t="s">
        <v>28</v>
      </c>
      <c r="L1042" s="59" t="s">
        <v>73</v>
      </c>
      <c r="M1042" s="59" t="s">
        <v>30</v>
      </c>
      <c r="N1042" s="324">
        <v>20000</v>
      </c>
      <c r="O1042" s="316">
        <f t="shared" si="71"/>
        <v>0</v>
      </c>
      <c r="P1042" s="144">
        <v>45912</v>
      </c>
      <c r="Q1042" s="114">
        <f t="shared" si="72"/>
        <v>45912</v>
      </c>
      <c r="R1042" s="59"/>
      <c r="S1042" s="60" t="s">
        <v>2369</v>
      </c>
      <c r="T1042" s="105"/>
      <c r="U1042" s="105"/>
      <c r="V1042" s="68"/>
      <c r="W1042" s="68"/>
      <c r="X1042" s="68"/>
      <c r="Y1042" s="68"/>
    </row>
    <row r="1043" s="17" customFormat="1" hidden="1" customHeight="1" spans="1:25">
      <c r="A1043" s="30"/>
      <c r="B1043" s="293" t="s">
        <v>2370</v>
      </c>
      <c r="C1043" s="61" t="str">
        <f t="shared" si="73"/>
        <v>2025-08-06</v>
      </c>
      <c r="D1043" s="62" t="str">
        <f ca="1" t="shared" si="69"/>
        <v>6个月-1年</v>
      </c>
      <c r="E1043" s="322" t="s">
        <v>2371</v>
      </c>
      <c r="F1043" s="105" t="s">
        <v>632</v>
      </c>
      <c r="G1043" s="105" t="s">
        <v>2218</v>
      </c>
      <c r="H1043" s="293"/>
      <c r="I1043" s="293" t="s">
        <v>1430</v>
      </c>
      <c r="J1043" s="323"/>
      <c r="K1043" s="105" t="s">
        <v>28</v>
      </c>
      <c r="L1043" s="105"/>
      <c r="M1043" s="59" t="s">
        <v>133</v>
      </c>
      <c r="N1043" s="324"/>
      <c r="O1043" s="316">
        <f t="shared" si="71"/>
        <v>0</v>
      </c>
      <c r="P1043" s="144"/>
      <c r="Q1043" s="114">
        <f t="shared" si="72"/>
        <v>0</v>
      </c>
      <c r="R1043" s="59"/>
      <c r="S1043" s="60" t="s">
        <v>2372</v>
      </c>
      <c r="T1043" s="105"/>
      <c r="U1043" s="105"/>
      <c r="V1043" s="68"/>
      <c r="W1043" s="68"/>
    </row>
    <row r="1044" s="17" customFormat="1" hidden="1" customHeight="1" spans="1:25">
      <c r="A1044" s="30"/>
      <c r="B1044" s="293" t="s">
        <v>2373</v>
      </c>
      <c r="C1044" s="61" t="str">
        <f t="shared" si="73"/>
        <v>2025-08-07</v>
      </c>
      <c r="D1044" s="62" t="str">
        <f ca="1" t="shared" si="69"/>
        <v>6个月-1年</v>
      </c>
      <c r="E1044" s="322" t="s">
        <v>2374</v>
      </c>
      <c r="F1044" s="105" t="s">
        <v>632</v>
      </c>
      <c r="G1044" s="105" t="s">
        <v>993</v>
      </c>
      <c r="H1044" s="293"/>
      <c r="I1044" s="293" t="s">
        <v>2072</v>
      </c>
      <c r="J1044" s="323">
        <v>8000</v>
      </c>
      <c r="K1044" s="105" t="s">
        <v>1706</v>
      </c>
      <c r="L1044" s="105"/>
      <c r="M1044" s="59" t="s">
        <v>30</v>
      </c>
      <c r="N1044" s="324">
        <v>8000</v>
      </c>
      <c r="O1044" s="316">
        <f t="shared" si="71"/>
        <v>0</v>
      </c>
      <c r="P1044" s="144">
        <v>45980</v>
      </c>
      <c r="Q1044" s="114">
        <f t="shared" si="72"/>
        <v>45980</v>
      </c>
      <c r="R1044" s="59"/>
      <c r="S1044" s="60" t="s">
        <v>2375</v>
      </c>
      <c r="T1044" s="105"/>
      <c r="U1044" s="105"/>
      <c r="V1044" s="68"/>
      <c r="W1044" s="68"/>
    </row>
    <row r="1045" s="17" customFormat="1" hidden="1" customHeight="1" spans="1:25">
      <c r="A1045" s="105"/>
      <c r="B1045" s="293" t="s">
        <v>2376</v>
      </c>
      <c r="C1045" s="61">
        <f t="shared" si="73"/>
        <v>45883</v>
      </c>
      <c r="D1045" s="62" t="str">
        <f ca="1" t="shared" ref="D1045:D1054" si="74">IF(TODAY()-E1045&lt;60,"2个月内",IF(TODAY()-E1045&lt;180,"3-6个月",IF(TODAY()-E1045&lt;360,"6个月-1年","一年以上")))</f>
        <v>6个月-1年</v>
      </c>
      <c r="E1045" s="322">
        <v>45883</v>
      </c>
      <c r="F1045" s="105" t="s">
        <v>632</v>
      </c>
      <c r="G1045" s="105" t="s">
        <v>993</v>
      </c>
      <c r="H1045" s="293"/>
      <c r="I1045" s="60" t="s">
        <v>2377</v>
      </c>
      <c r="J1045" s="323">
        <v>20000</v>
      </c>
      <c r="K1045" s="105" t="s">
        <v>28</v>
      </c>
      <c r="L1045" s="59" t="s">
        <v>73</v>
      </c>
      <c r="M1045" s="59" t="s">
        <v>30</v>
      </c>
      <c r="N1045" s="324">
        <v>20000</v>
      </c>
      <c r="O1045" s="316">
        <f t="shared" si="71"/>
        <v>0</v>
      </c>
      <c r="P1045" s="144">
        <v>45908</v>
      </c>
      <c r="Q1045" s="114">
        <f t="shared" si="72"/>
        <v>45908</v>
      </c>
      <c r="R1045" s="59"/>
      <c r="S1045" s="60" t="s">
        <v>2378</v>
      </c>
      <c r="T1045" s="105"/>
      <c r="U1045" s="105"/>
      <c r="V1045" s="68"/>
      <c r="W1045" s="68"/>
      <c r="X1045" s="68"/>
      <c r="Y1045" s="68"/>
    </row>
    <row r="1046" s="17" customFormat="1" hidden="1" customHeight="1" spans="1:25">
      <c r="A1046" s="105"/>
      <c r="B1046" s="293" t="s">
        <v>2379</v>
      </c>
      <c r="C1046" s="61">
        <f t="shared" si="73"/>
        <v>45882</v>
      </c>
      <c r="D1046" s="62" t="str">
        <f ca="1" t="shared" si="74"/>
        <v>6个月-1年</v>
      </c>
      <c r="E1046" s="322">
        <v>45882</v>
      </c>
      <c r="F1046" s="105" t="s">
        <v>130</v>
      </c>
      <c r="G1046" s="105" t="s">
        <v>2380</v>
      </c>
      <c r="H1046" s="293"/>
      <c r="I1046" s="293" t="s">
        <v>663</v>
      </c>
      <c r="J1046" s="323">
        <v>22500.17</v>
      </c>
      <c r="K1046" s="105" t="s">
        <v>28</v>
      </c>
      <c r="L1046" s="59" t="s">
        <v>73</v>
      </c>
      <c r="M1046" s="59" t="s">
        <v>941</v>
      </c>
      <c r="N1046" s="324"/>
      <c r="O1046" s="316">
        <f t="shared" si="71"/>
        <v>22500.17</v>
      </c>
      <c r="P1046" s="144"/>
      <c r="Q1046" s="114">
        <f t="shared" si="72"/>
        <v>0</v>
      </c>
      <c r="R1046" s="59"/>
      <c r="S1046" s="60" t="s">
        <v>2381</v>
      </c>
      <c r="T1046" s="105"/>
      <c r="U1046" s="105"/>
      <c r="V1046" s="68"/>
      <c r="W1046" s="68"/>
      <c r="X1046" s="68"/>
      <c r="Y1046" s="68"/>
    </row>
    <row r="1047" s="17" customFormat="1" hidden="1" customHeight="1" spans="1:25">
      <c r="A1047" s="105"/>
      <c r="B1047" s="293" t="s">
        <v>2382</v>
      </c>
      <c r="C1047" s="61">
        <f t="shared" si="73"/>
        <v>45887</v>
      </c>
      <c r="D1047" s="62" t="str">
        <f ca="1" t="shared" si="74"/>
        <v>6个月-1年</v>
      </c>
      <c r="E1047" s="322">
        <v>45887</v>
      </c>
      <c r="F1047" s="105" t="s">
        <v>632</v>
      </c>
      <c r="G1047" s="105" t="s">
        <v>993</v>
      </c>
      <c r="H1047" s="293"/>
      <c r="I1047" s="60" t="s">
        <v>2383</v>
      </c>
      <c r="J1047" s="323">
        <v>9000</v>
      </c>
      <c r="K1047" s="105" t="s">
        <v>28</v>
      </c>
      <c r="L1047" s="59" t="s">
        <v>73</v>
      </c>
      <c r="M1047" s="59" t="s">
        <v>30</v>
      </c>
      <c r="N1047" s="324">
        <v>9000</v>
      </c>
      <c r="O1047" s="316">
        <f t="shared" si="71"/>
        <v>0</v>
      </c>
      <c r="P1047" s="144">
        <v>45965</v>
      </c>
      <c r="Q1047" s="114">
        <f t="shared" si="72"/>
        <v>45965</v>
      </c>
      <c r="R1047" s="59"/>
      <c r="S1047" s="60" t="s">
        <v>2384</v>
      </c>
      <c r="T1047" s="105"/>
      <c r="U1047" s="105"/>
      <c r="V1047" s="68"/>
      <c r="W1047" s="68"/>
      <c r="X1047" s="68"/>
      <c r="Y1047" s="68"/>
    </row>
    <row r="1048" s="17" customFormat="1" hidden="1" customHeight="1" spans="1:25">
      <c r="A1048" s="105"/>
      <c r="B1048" s="293" t="s">
        <v>2385</v>
      </c>
      <c r="C1048" s="61">
        <f t="shared" si="73"/>
        <v>45895</v>
      </c>
      <c r="D1048" s="62" t="str">
        <f ca="1" t="shared" si="74"/>
        <v>6个月-1年</v>
      </c>
      <c r="E1048" s="322">
        <v>45895</v>
      </c>
      <c r="F1048" s="105" t="s">
        <v>632</v>
      </c>
      <c r="G1048" s="105" t="s">
        <v>993</v>
      </c>
      <c r="H1048" s="293"/>
      <c r="I1048" s="293" t="s">
        <v>1157</v>
      </c>
      <c r="J1048" s="323">
        <v>3000</v>
      </c>
      <c r="K1048" s="105" t="s">
        <v>28</v>
      </c>
      <c r="L1048" s="59" t="s">
        <v>73</v>
      </c>
      <c r="M1048" s="59" t="s">
        <v>30</v>
      </c>
      <c r="N1048" s="324">
        <v>3000</v>
      </c>
      <c r="O1048" s="316">
        <f t="shared" si="71"/>
        <v>0</v>
      </c>
      <c r="P1048" s="144">
        <v>45894</v>
      </c>
      <c r="Q1048" s="114">
        <f t="shared" si="72"/>
        <v>45894</v>
      </c>
      <c r="R1048" s="59"/>
      <c r="S1048" s="60" t="s">
        <v>2386</v>
      </c>
      <c r="T1048" s="105"/>
      <c r="U1048" s="105"/>
      <c r="V1048" s="68"/>
      <c r="W1048" s="68"/>
      <c r="X1048" s="68"/>
      <c r="Y1048" s="68"/>
    </row>
    <row r="1049" s="17" customFormat="1" hidden="1" customHeight="1" spans="1:25">
      <c r="A1049" s="105"/>
      <c r="B1049" s="293" t="s">
        <v>2387</v>
      </c>
      <c r="C1049" s="61">
        <f t="shared" si="73"/>
        <v>45888</v>
      </c>
      <c r="D1049" s="62" t="str">
        <f ca="1" t="shared" si="74"/>
        <v>6个月-1年</v>
      </c>
      <c r="E1049" s="322">
        <v>45888</v>
      </c>
      <c r="F1049" s="105" t="s">
        <v>632</v>
      </c>
      <c r="G1049" s="105" t="s">
        <v>993</v>
      </c>
      <c r="H1049" s="293"/>
      <c r="I1049" s="293" t="s">
        <v>851</v>
      </c>
      <c r="J1049" s="323">
        <v>10000</v>
      </c>
      <c r="K1049" s="105" t="s">
        <v>28</v>
      </c>
      <c r="L1049" s="59" t="s">
        <v>73</v>
      </c>
      <c r="M1049" s="59" t="s">
        <v>30</v>
      </c>
      <c r="N1049" s="324">
        <v>10000</v>
      </c>
      <c r="O1049" s="316">
        <f t="shared" si="71"/>
        <v>0</v>
      </c>
      <c r="P1049" s="144">
        <v>45905</v>
      </c>
      <c r="Q1049" s="114">
        <f t="shared" si="72"/>
        <v>45905</v>
      </c>
      <c r="R1049" s="59"/>
      <c r="S1049" s="60" t="s">
        <v>2388</v>
      </c>
      <c r="T1049" s="105"/>
      <c r="U1049" s="105"/>
      <c r="V1049" s="68"/>
      <c r="W1049" s="68"/>
      <c r="X1049" s="68"/>
      <c r="Y1049" s="68"/>
    </row>
    <row r="1050" s="17" customFormat="1" hidden="1" customHeight="1" spans="1:25">
      <c r="A1050" s="105"/>
      <c r="B1050" s="293" t="s">
        <v>2389</v>
      </c>
      <c r="C1050" s="61">
        <f t="shared" si="73"/>
        <v>45888</v>
      </c>
      <c r="D1050" s="62" t="str">
        <f ca="1" t="shared" si="74"/>
        <v>6个月-1年</v>
      </c>
      <c r="E1050" s="322">
        <v>45888</v>
      </c>
      <c r="F1050" s="105" t="s">
        <v>632</v>
      </c>
      <c r="G1050" s="105" t="s">
        <v>993</v>
      </c>
      <c r="H1050" s="293"/>
      <c r="I1050" s="293" t="s">
        <v>1814</v>
      </c>
      <c r="J1050" s="323">
        <v>10000</v>
      </c>
      <c r="K1050" s="105" t="s">
        <v>28</v>
      </c>
      <c r="L1050" s="59" t="s">
        <v>73</v>
      </c>
      <c r="M1050" s="59" t="s">
        <v>30</v>
      </c>
      <c r="N1050" s="324">
        <v>10000</v>
      </c>
      <c r="O1050" s="316">
        <f t="shared" si="71"/>
        <v>0</v>
      </c>
      <c r="P1050" s="144">
        <v>45912</v>
      </c>
      <c r="Q1050" s="114">
        <f t="shared" si="72"/>
        <v>45912</v>
      </c>
      <c r="R1050" s="59"/>
      <c r="S1050" s="60" t="s">
        <v>2390</v>
      </c>
      <c r="T1050" s="105"/>
      <c r="U1050" s="105"/>
      <c r="V1050" s="68"/>
      <c r="W1050" s="68"/>
      <c r="X1050" s="68"/>
      <c r="Y1050" s="68"/>
    </row>
    <row r="1051" s="17" customFormat="1" hidden="1" customHeight="1" spans="1:25">
      <c r="A1051" s="105"/>
      <c r="B1051" s="293" t="s">
        <v>2391</v>
      </c>
      <c r="C1051" s="61">
        <f t="shared" si="73"/>
        <v>45892</v>
      </c>
      <c r="D1051" s="62" t="str">
        <f ca="1" t="shared" si="74"/>
        <v>6个月-1年</v>
      </c>
      <c r="E1051" s="322">
        <v>45892</v>
      </c>
      <c r="F1051" s="105" t="s">
        <v>632</v>
      </c>
      <c r="G1051" s="105" t="s">
        <v>993</v>
      </c>
      <c r="H1051" s="293"/>
      <c r="I1051" s="293" t="s">
        <v>2392</v>
      </c>
      <c r="J1051" s="323"/>
      <c r="K1051" s="105" t="s">
        <v>1706</v>
      </c>
      <c r="L1051" s="59" t="s">
        <v>73</v>
      </c>
      <c r="M1051" s="59" t="s">
        <v>30</v>
      </c>
      <c r="N1051" s="324"/>
      <c r="O1051" s="316">
        <f t="shared" si="71"/>
        <v>0</v>
      </c>
      <c r="P1051" s="144"/>
      <c r="Q1051" s="114">
        <f t="shared" si="72"/>
        <v>0</v>
      </c>
      <c r="R1051" s="59"/>
      <c r="S1051" s="60" t="s">
        <v>2393</v>
      </c>
      <c r="T1051" s="105"/>
      <c r="U1051" s="105"/>
      <c r="V1051" s="68"/>
      <c r="W1051" s="68"/>
      <c r="X1051" s="68"/>
      <c r="Y1051" s="68"/>
    </row>
    <row r="1052" s="17" customFormat="1" hidden="1" customHeight="1" spans="1:25">
      <c r="A1052" s="105"/>
      <c r="B1052" s="293" t="s">
        <v>2394</v>
      </c>
      <c r="C1052" s="61" t="str">
        <f t="shared" si="73"/>
        <v>2025-08-26</v>
      </c>
      <c r="D1052" s="62" t="str">
        <f ca="1" t="shared" si="74"/>
        <v>6个月-1年</v>
      </c>
      <c r="E1052" s="322" t="s">
        <v>2395</v>
      </c>
      <c r="F1052" s="105" t="s">
        <v>2396</v>
      </c>
      <c r="G1052" s="105" t="s">
        <v>2060</v>
      </c>
      <c r="H1052" s="293"/>
      <c r="I1052" s="293" t="s">
        <v>2397</v>
      </c>
      <c r="J1052" s="323">
        <v>7377.5</v>
      </c>
      <c r="K1052" s="105" t="s">
        <v>28</v>
      </c>
      <c r="L1052" s="59" t="s">
        <v>73</v>
      </c>
      <c r="M1052" s="59" t="s">
        <v>133</v>
      </c>
      <c r="N1052" s="324">
        <v>7377.5</v>
      </c>
      <c r="O1052" s="316">
        <f t="shared" si="71"/>
        <v>0</v>
      </c>
      <c r="P1052" s="144">
        <v>45912</v>
      </c>
      <c r="Q1052" s="114">
        <f t="shared" si="72"/>
        <v>45912</v>
      </c>
      <c r="R1052" s="59"/>
      <c r="S1052" s="60"/>
      <c r="T1052" s="105"/>
      <c r="U1052" s="105"/>
      <c r="V1052" s="68"/>
      <c r="W1052" s="68"/>
      <c r="X1052" s="68"/>
      <c r="Y1052" s="68"/>
    </row>
    <row r="1053" s="17" customFormat="1" hidden="1" customHeight="1" spans="1:25">
      <c r="A1053" s="105"/>
      <c r="B1053" s="293" t="s">
        <v>2398</v>
      </c>
      <c r="C1053" s="61" t="str">
        <f t="shared" si="73"/>
        <v>2025-08-26</v>
      </c>
      <c r="D1053" s="62" t="str">
        <f ca="1" t="shared" si="74"/>
        <v>6个月-1年</v>
      </c>
      <c r="E1053" s="322" t="s">
        <v>2395</v>
      </c>
      <c r="F1053" s="105" t="s">
        <v>632</v>
      </c>
      <c r="G1053" s="105" t="s">
        <v>993</v>
      </c>
      <c r="H1053" s="293"/>
      <c r="I1053" s="293" t="s">
        <v>851</v>
      </c>
      <c r="J1053" s="323">
        <v>10000</v>
      </c>
      <c r="K1053" s="105" t="s">
        <v>28</v>
      </c>
      <c r="L1053" s="59" t="s">
        <v>73</v>
      </c>
      <c r="M1053" s="59" t="s">
        <v>30</v>
      </c>
      <c r="N1053" s="324">
        <v>10000</v>
      </c>
      <c r="O1053" s="316">
        <f t="shared" si="71"/>
        <v>0</v>
      </c>
      <c r="P1053" s="144">
        <v>45925</v>
      </c>
      <c r="Q1053" s="114">
        <f t="shared" si="72"/>
        <v>45925</v>
      </c>
      <c r="R1053" s="59"/>
      <c r="S1053" s="60" t="s">
        <v>2399</v>
      </c>
      <c r="T1053" s="105"/>
      <c r="U1053" s="105"/>
      <c r="V1053" s="68"/>
      <c r="W1053" s="68"/>
      <c r="X1053" s="68"/>
      <c r="Y1053" s="68"/>
    </row>
    <row r="1054" s="17" customFormat="1" hidden="1" customHeight="1" spans="1:25">
      <c r="A1054" s="105"/>
      <c r="B1054" s="293" t="s">
        <v>2400</v>
      </c>
      <c r="C1054" s="61" t="str">
        <f t="shared" si="73"/>
        <v>2025-08-28</v>
      </c>
      <c r="D1054" s="62" t="str">
        <f ca="1" t="shared" si="74"/>
        <v>6个月-1年</v>
      </c>
      <c r="E1054" s="322" t="s">
        <v>2401</v>
      </c>
      <c r="F1054" s="105" t="s">
        <v>632</v>
      </c>
      <c r="G1054" s="105" t="s">
        <v>993</v>
      </c>
      <c r="H1054" s="293"/>
      <c r="I1054" s="293" t="s">
        <v>2259</v>
      </c>
      <c r="J1054" s="323">
        <v>50000</v>
      </c>
      <c r="K1054" s="105" t="s">
        <v>1706</v>
      </c>
      <c r="L1054" s="59" t="s">
        <v>73</v>
      </c>
      <c r="M1054" s="59" t="s">
        <v>30</v>
      </c>
      <c r="N1054" s="324">
        <v>50000</v>
      </c>
      <c r="O1054" s="316">
        <f t="shared" si="71"/>
        <v>0</v>
      </c>
      <c r="P1054" s="144">
        <v>45945</v>
      </c>
      <c r="Q1054" s="114">
        <f t="shared" si="72"/>
        <v>45945</v>
      </c>
      <c r="R1054" s="59"/>
      <c r="S1054" s="60" t="s">
        <v>2402</v>
      </c>
      <c r="T1054" s="105"/>
      <c r="U1054" s="105"/>
      <c r="V1054" s="68"/>
      <c r="W1054" s="68"/>
      <c r="X1054" s="68"/>
      <c r="Y1054" s="68"/>
    </row>
    <row r="1055" s="17" customFormat="1" hidden="1" customHeight="1" spans="1:25">
      <c r="A1055" s="105"/>
      <c r="B1055" s="293" t="s">
        <v>2403</v>
      </c>
      <c r="C1055" s="61" t="str">
        <f t="shared" si="73"/>
        <v/>
      </c>
      <c r="D1055" s="62"/>
      <c r="E1055" s="322" t="s">
        <v>653</v>
      </c>
      <c r="F1055" s="105" t="s">
        <v>632</v>
      </c>
      <c r="G1055" s="105" t="s">
        <v>993</v>
      </c>
      <c r="H1055" s="293">
        <v>0</v>
      </c>
      <c r="I1055" s="293" t="s">
        <v>1900</v>
      </c>
      <c r="J1055" s="323">
        <v>0</v>
      </c>
      <c r="K1055" s="105" t="s">
        <v>28</v>
      </c>
      <c r="L1055" s="59" t="s">
        <v>73</v>
      </c>
      <c r="M1055" s="59" t="s">
        <v>30</v>
      </c>
      <c r="N1055" s="324"/>
      <c r="O1055" s="316">
        <f t="shared" si="71"/>
        <v>0</v>
      </c>
      <c r="P1055" s="144"/>
      <c r="Q1055" s="114">
        <f t="shared" si="72"/>
        <v>0</v>
      </c>
      <c r="R1055" s="59"/>
      <c r="S1055" s="60" t="s">
        <v>2404</v>
      </c>
      <c r="T1055" s="105"/>
      <c r="U1055" s="105"/>
      <c r="V1055" s="68"/>
      <c r="W1055" s="68"/>
      <c r="X1055" s="68"/>
      <c r="Y1055" s="68"/>
    </row>
    <row r="1056" s="17" customFormat="1" hidden="1" customHeight="1" spans="1:25">
      <c r="A1056" s="105"/>
      <c r="B1056" s="293" t="s">
        <v>2405</v>
      </c>
      <c r="C1056" s="61" t="str">
        <f t="shared" si="73"/>
        <v>2025-09-19</v>
      </c>
      <c r="D1056" s="62" t="str">
        <f ca="1">IF(TODAY()-E1056&lt;60,"2个月内",IF(TODAY()-E1056&lt;180,"3-6个月",IF(TODAY()-E1056&lt;360,"6个月-1年","一年以上")))</f>
        <v>6个月-1年</v>
      </c>
      <c r="E1056" s="322" t="s">
        <v>2406</v>
      </c>
      <c r="F1056" s="105" t="s">
        <v>632</v>
      </c>
      <c r="G1056" s="105" t="s">
        <v>993</v>
      </c>
      <c r="H1056" s="293"/>
      <c r="I1056" s="293" t="s">
        <v>315</v>
      </c>
      <c r="J1056" s="323">
        <v>5000</v>
      </c>
      <c r="K1056" s="105" t="s">
        <v>28</v>
      </c>
      <c r="L1056" s="59" t="s">
        <v>73</v>
      </c>
      <c r="M1056" s="59" t="s">
        <v>30</v>
      </c>
      <c r="N1056" s="324">
        <v>5000</v>
      </c>
      <c r="O1056" s="316">
        <f t="shared" si="71"/>
        <v>0</v>
      </c>
      <c r="P1056" s="144">
        <v>45988</v>
      </c>
      <c r="Q1056" s="114">
        <f t="shared" si="72"/>
        <v>45988</v>
      </c>
      <c r="R1056" s="59"/>
      <c r="S1056" s="60" t="s">
        <v>2407</v>
      </c>
      <c r="T1056" s="105"/>
      <c r="U1056" s="105"/>
      <c r="V1056" s="68"/>
      <c r="W1056" s="68"/>
      <c r="X1056" s="68"/>
      <c r="Y1056" s="68"/>
    </row>
    <row r="1057" s="17" customFormat="1" hidden="1" customHeight="1" spans="1:25">
      <c r="A1057" s="105"/>
      <c r="B1057" s="293" t="s">
        <v>2408</v>
      </c>
      <c r="C1057" s="61" t="s">
        <v>2406</v>
      </c>
      <c r="D1057" s="62" t="str">
        <f ca="1">IF(TODAY()-E1057&lt;60,"2个月内",IF(TODAY()-E1057&lt;180,"3-6个月",IF(TODAY()-E1057&lt;360,"6个月-1年","一年以上")))</f>
        <v>6个月-1年</v>
      </c>
      <c r="E1057" s="322" t="s">
        <v>2409</v>
      </c>
      <c r="F1057" s="105" t="s">
        <v>632</v>
      </c>
      <c r="G1057" s="105" t="s">
        <v>993</v>
      </c>
      <c r="H1057" s="293"/>
      <c r="I1057" s="293" t="s">
        <v>851</v>
      </c>
      <c r="J1057" s="323">
        <v>10000</v>
      </c>
      <c r="K1057" s="105" t="s">
        <v>28</v>
      </c>
      <c r="L1057" s="59" t="s">
        <v>2410</v>
      </c>
      <c r="M1057" s="59"/>
      <c r="N1057" s="324">
        <v>10000</v>
      </c>
      <c r="O1057" s="316">
        <f t="shared" si="71"/>
        <v>0</v>
      </c>
      <c r="P1057" s="144">
        <v>45941</v>
      </c>
      <c r="Q1057" s="114">
        <f t="shared" si="72"/>
        <v>45941</v>
      </c>
      <c r="R1057" s="59"/>
      <c r="S1057" s="60" t="s">
        <v>2411</v>
      </c>
      <c r="T1057" s="105"/>
      <c r="U1057" s="105"/>
      <c r="V1057" s="68"/>
      <c r="W1057" s="68"/>
      <c r="X1057" s="68"/>
      <c r="Y1057" s="68"/>
    </row>
    <row r="1058" s="17" customFormat="1" hidden="1" customHeight="1" spans="1:25">
      <c r="A1058" s="105"/>
      <c r="B1058" s="293" t="s">
        <v>2412</v>
      </c>
      <c r="C1058" s="61" t="s">
        <v>2409</v>
      </c>
      <c r="D1058" s="62" t="str">
        <f ca="1">IF(TODAY()-E1058&lt;60,"2个月内",IF(TODAY()-E1058&lt;180,"3-6个月",IF(TODAY()-E1058&lt;360,"6个月-1年","一年以上")))</f>
        <v>6个月-1年</v>
      </c>
      <c r="E1058" s="322" t="s">
        <v>2413</v>
      </c>
      <c r="F1058" s="105" t="s">
        <v>632</v>
      </c>
      <c r="G1058" s="105" t="s">
        <v>1088</v>
      </c>
      <c r="H1058" s="293"/>
      <c r="I1058" s="293" t="s">
        <v>612</v>
      </c>
      <c r="J1058" s="323">
        <v>10000</v>
      </c>
      <c r="K1058" s="105" t="s">
        <v>28</v>
      </c>
      <c r="L1058" s="59" t="s">
        <v>653</v>
      </c>
      <c r="M1058" s="59" t="s">
        <v>65</v>
      </c>
      <c r="N1058" s="324"/>
      <c r="O1058" s="316">
        <f t="shared" si="71"/>
        <v>10000</v>
      </c>
      <c r="P1058" s="144"/>
      <c r="Q1058" s="114">
        <f t="shared" si="72"/>
        <v>0</v>
      </c>
      <c r="R1058" s="59"/>
      <c r="S1058" s="60" t="s">
        <v>653</v>
      </c>
      <c r="T1058" s="105"/>
      <c r="U1058" s="105"/>
      <c r="V1058" s="68"/>
      <c r="W1058" s="68"/>
      <c r="X1058" s="68"/>
      <c r="Y1058" s="68"/>
    </row>
    <row r="1059" s="17" customFormat="1" hidden="1" customHeight="1" spans="1:25">
      <c r="A1059" s="105"/>
      <c r="B1059" s="293" t="s">
        <v>2414</v>
      </c>
      <c r="C1059" s="61" t="s">
        <v>2415</v>
      </c>
      <c r="D1059" s="62" t="str">
        <f ca="1">IF(TODAY()-E1059&lt;60,"2个月内",IF(TODAY()-E1059&lt;180,"3-6个月",IF(TODAY()-E1059&lt;360,"6个月-1年","一年以上")))</f>
        <v>6个月-1年</v>
      </c>
      <c r="E1059" s="322" t="s">
        <v>2416</v>
      </c>
      <c r="F1059" s="105" t="s">
        <v>632</v>
      </c>
      <c r="G1059" s="105" t="s">
        <v>993</v>
      </c>
      <c r="H1059" s="293"/>
      <c r="I1059" s="293" t="s">
        <v>851</v>
      </c>
      <c r="J1059" s="323">
        <v>10000</v>
      </c>
      <c r="K1059" s="105" t="s">
        <v>28</v>
      </c>
      <c r="L1059" s="59" t="s">
        <v>653</v>
      </c>
      <c r="M1059" s="59" t="s">
        <v>30</v>
      </c>
      <c r="N1059" s="324">
        <v>10000</v>
      </c>
      <c r="O1059" s="316">
        <f t="shared" si="71"/>
        <v>0</v>
      </c>
      <c r="P1059" s="144">
        <v>45953</v>
      </c>
      <c r="Q1059" s="114">
        <f t="shared" si="72"/>
        <v>45953</v>
      </c>
      <c r="R1059" s="59"/>
      <c r="S1059" s="60" t="s">
        <v>2417</v>
      </c>
      <c r="T1059" s="105"/>
      <c r="U1059" s="105"/>
      <c r="V1059" s="68"/>
      <c r="W1059" s="68"/>
      <c r="X1059" s="68"/>
      <c r="Y1059" s="68"/>
    </row>
    <row r="1060" s="17" customFormat="1" hidden="1" customHeight="1" spans="1:25">
      <c r="A1060" s="105"/>
      <c r="B1060" s="293" t="s">
        <v>2418</v>
      </c>
      <c r="C1060" s="61" t="s">
        <v>2419</v>
      </c>
      <c r="D1060" s="62"/>
      <c r="E1060" s="322" t="s">
        <v>2003</v>
      </c>
      <c r="F1060" s="105" t="s">
        <v>632</v>
      </c>
      <c r="G1060" s="105" t="s">
        <v>993</v>
      </c>
      <c r="H1060" s="293"/>
      <c r="I1060" s="293" t="s">
        <v>1665</v>
      </c>
      <c r="J1060" s="323">
        <v>0</v>
      </c>
      <c r="K1060" s="105" t="s">
        <v>28</v>
      </c>
      <c r="L1060" s="59" t="s">
        <v>2420</v>
      </c>
      <c r="M1060" s="59" t="s">
        <v>30</v>
      </c>
      <c r="N1060" s="324"/>
      <c r="O1060" s="316">
        <f t="shared" si="71"/>
        <v>0</v>
      </c>
      <c r="P1060" s="144"/>
      <c r="Q1060" s="114">
        <f t="shared" si="72"/>
        <v>0</v>
      </c>
      <c r="R1060" s="59"/>
      <c r="S1060" s="60" t="s">
        <v>2421</v>
      </c>
      <c r="T1060" s="105"/>
      <c r="U1060" s="105"/>
      <c r="V1060" s="68"/>
      <c r="W1060" s="68"/>
      <c r="X1060" s="68"/>
      <c r="Y1060" s="68"/>
    </row>
    <row r="1061" s="17" customFormat="1" hidden="1" customHeight="1" spans="1:25">
      <c r="A1061" s="105"/>
      <c r="B1061" s="293" t="s">
        <v>2422</v>
      </c>
      <c r="C1061" s="61" t="s">
        <v>2423</v>
      </c>
      <c r="D1061" s="62" t="str">
        <f ca="1">IF(TODAY()-E1061&lt;60,"2个月内",IF(TODAY()-E1061&lt;180,"3-6个月",IF(TODAY()-E1061&lt;360,"6个月-1年","一年以上")))</f>
        <v>6个月-1年</v>
      </c>
      <c r="E1061" s="322">
        <v>45950</v>
      </c>
      <c r="F1061" s="105" t="s">
        <v>632</v>
      </c>
      <c r="G1061" s="105" t="s">
        <v>993</v>
      </c>
      <c r="H1061" s="293"/>
      <c r="I1061" s="293" t="s">
        <v>1430</v>
      </c>
      <c r="J1061" s="323">
        <v>9000</v>
      </c>
      <c r="K1061" s="105" t="s">
        <v>28</v>
      </c>
      <c r="L1061" s="59" t="s">
        <v>73</v>
      </c>
      <c r="M1061" s="59" t="s">
        <v>30</v>
      </c>
      <c r="N1061" s="324">
        <v>9000</v>
      </c>
      <c r="O1061" s="316">
        <f t="shared" si="71"/>
        <v>0</v>
      </c>
      <c r="P1061" s="144">
        <v>45974</v>
      </c>
      <c r="Q1061" s="114">
        <f t="shared" si="72"/>
        <v>45974</v>
      </c>
      <c r="R1061" s="59"/>
      <c r="S1061" s="60" t="s">
        <v>2424</v>
      </c>
      <c r="T1061" s="105"/>
      <c r="U1061" s="105"/>
      <c r="V1061" s="68"/>
      <c r="W1061" s="68"/>
      <c r="X1061" s="68"/>
      <c r="Y1061" s="68"/>
    </row>
    <row r="1062" s="17" customFormat="1" hidden="1" customHeight="1" spans="1:25">
      <c r="A1062" s="105"/>
      <c r="B1062" s="293" t="s">
        <v>2425</v>
      </c>
      <c r="C1062" s="61" t="s">
        <v>2423</v>
      </c>
      <c r="D1062" s="62" t="str">
        <f ca="1">IF(TODAY()-E1062&lt;60,"2个月内",IF(TODAY()-E1062&lt;180,"3-6个月",IF(TODAY()-E1062&lt;360,"6个月-1年","一年以上")))</f>
        <v>6个月-1年</v>
      </c>
      <c r="E1062" s="322">
        <v>45950</v>
      </c>
      <c r="F1062" s="105" t="s">
        <v>632</v>
      </c>
      <c r="G1062" s="105" t="s">
        <v>993</v>
      </c>
      <c r="H1062" s="293"/>
      <c r="I1062" s="293" t="s">
        <v>1430</v>
      </c>
      <c r="J1062" s="323">
        <v>10000</v>
      </c>
      <c r="K1062" s="105" t="s">
        <v>28</v>
      </c>
      <c r="L1062" s="59" t="s">
        <v>73</v>
      </c>
      <c r="M1062" s="59" t="s">
        <v>30</v>
      </c>
      <c r="N1062" s="324">
        <v>10000</v>
      </c>
      <c r="O1062" s="316">
        <f t="shared" si="71"/>
        <v>0</v>
      </c>
      <c r="P1062" s="144">
        <v>45966</v>
      </c>
      <c r="Q1062" s="114">
        <f t="shared" si="72"/>
        <v>45966</v>
      </c>
      <c r="R1062" s="59"/>
      <c r="S1062" s="60" t="s">
        <v>2426</v>
      </c>
      <c r="T1062" s="105"/>
      <c r="U1062" s="105"/>
      <c r="V1062" s="68"/>
      <c r="W1062" s="68"/>
      <c r="X1062" s="68"/>
      <c r="Y1062" s="68"/>
    </row>
    <row r="1063" s="17" customFormat="1" hidden="1" customHeight="1" spans="1:25">
      <c r="A1063" s="105"/>
      <c r="B1063" s="293" t="s">
        <v>2427</v>
      </c>
      <c r="C1063" s="61" t="s">
        <v>2428</v>
      </c>
      <c r="D1063" s="62"/>
      <c r="E1063" s="322" t="s">
        <v>653</v>
      </c>
      <c r="F1063" s="105" t="s">
        <v>70</v>
      </c>
      <c r="G1063" s="105" t="s">
        <v>2218</v>
      </c>
      <c r="H1063" s="293"/>
      <c r="I1063" s="293" t="s">
        <v>663</v>
      </c>
      <c r="J1063" s="323"/>
      <c r="K1063" s="105" t="s">
        <v>28</v>
      </c>
      <c r="L1063" s="59"/>
      <c r="M1063" s="59" t="s">
        <v>133</v>
      </c>
      <c r="N1063" s="324"/>
      <c r="O1063" s="316">
        <f t="shared" si="71"/>
        <v>0</v>
      </c>
      <c r="P1063" s="144"/>
      <c r="Q1063" s="114">
        <f t="shared" si="72"/>
        <v>0</v>
      </c>
      <c r="R1063" s="59"/>
      <c r="S1063" s="60" t="s">
        <v>2023</v>
      </c>
      <c r="T1063" s="105"/>
      <c r="U1063" s="105"/>
      <c r="V1063" s="68"/>
      <c r="W1063" s="68"/>
      <c r="X1063" s="68"/>
      <c r="Y1063" s="68"/>
    </row>
    <row r="1064" s="17" customFormat="1" hidden="1" customHeight="1" spans="1:25">
      <c r="A1064" s="105"/>
      <c r="B1064" s="293" t="s">
        <v>2429</v>
      </c>
      <c r="C1064" s="61" t="s">
        <v>2430</v>
      </c>
      <c r="D1064" s="62" t="str">
        <f ca="1">IF(TODAY()-E1064&lt;60,"2个月内",IF(TODAY()-E1064&lt;180,"3-6个月",IF(TODAY()-E1064&lt;360,"6个月-1年","一年以上")))</f>
        <v>6个月-1年</v>
      </c>
      <c r="E1064" s="322" t="s">
        <v>2431</v>
      </c>
      <c r="F1064" s="105" t="s">
        <v>632</v>
      </c>
      <c r="G1064" s="105" t="s">
        <v>993</v>
      </c>
      <c r="H1064" s="293"/>
      <c r="I1064" s="293" t="s">
        <v>2187</v>
      </c>
      <c r="J1064" s="323">
        <v>5000</v>
      </c>
      <c r="K1064" s="105" t="s">
        <v>2432</v>
      </c>
      <c r="L1064" s="59" t="s">
        <v>2420</v>
      </c>
      <c r="M1064" s="59" t="s">
        <v>30</v>
      </c>
      <c r="N1064" s="324">
        <v>5000</v>
      </c>
      <c r="O1064" s="316">
        <f t="shared" si="71"/>
        <v>0</v>
      </c>
      <c r="P1064" s="144">
        <v>45999</v>
      </c>
      <c r="Q1064" s="114">
        <f t="shared" si="72"/>
        <v>45999</v>
      </c>
      <c r="R1064" s="59"/>
      <c r="S1064" s="60" t="s">
        <v>2433</v>
      </c>
      <c r="T1064" s="105"/>
      <c r="U1064" s="105"/>
      <c r="V1064" s="68"/>
      <c r="W1064" s="68"/>
      <c r="X1064" s="68"/>
      <c r="Y1064" s="68"/>
    </row>
    <row r="1065" s="17" customFormat="1" hidden="1" customHeight="1" spans="1:25">
      <c r="A1065" s="105"/>
      <c r="B1065" s="293" t="s">
        <v>2434</v>
      </c>
      <c r="C1065" s="61" t="s">
        <v>2435</v>
      </c>
      <c r="D1065" s="62" t="str">
        <f ca="1">IF(TODAY()-E1065&lt;60,"2个月内",IF(TODAY()-E1065&lt;180,"3-6个月",IF(TODAY()-E1065&lt;360,"6个月-1年","一年以上")))</f>
        <v>6个月-1年</v>
      </c>
      <c r="E1065" s="322" t="s">
        <v>2436</v>
      </c>
      <c r="F1065" s="105" t="s">
        <v>632</v>
      </c>
      <c r="G1065" s="105" t="s">
        <v>993</v>
      </c>
      <c r="H1065" s="293"/>
      <c r="I1065" s="293" t="s">
        <v>1814</v>
      </c>
      <c r="J1065" s="323">
        <v>35000</v>
      </c>
      <c r="K1065" s="105" t="s">
        <v>28</v>
      </c>
      <c r="L1065" s="59" t="s">
        <v>73</v>
      </c>
      <c r="M1065" s="59" t="s">
        <v>30</v>
      </c>
      <c r="N1065" s="324">
        <v>35000</v>
      </c>
      <c r="O1065" s="316">
        <f t="shared" si="71"/>
        <v>0</v>
      </c>
      <c r="P1065" s="144">
        <v>46017</v>
      </c>
      <c r="Q1065" s="114">
        <f t="shared" si="72"/>
        <v>46017</v>
      </c>
      <c r="R1065" s="59"/>
      <c r="S1065" s="60" t="s">
        <v>2437</v>
      </c>
      <c r="T1065" s="105"/>
      <c r="U1065" s="105"/>
      <c r="V1065" s="68"/>
      <c r="W1065" s="68"/>
      <c r="X1065" s="68"/>
      <c r="Y1065" s="68"/>
    </row>
    <row r="1066" s="17" customFormat="1" hidden="1" customHeight="1" spans="1:25">
      <c r="A1066" s="105"/>
      <c r="B1066" s="293" t="s">
        <v>2438</v>
      </c>
      <c r="C1066" s="61" t="s">
        <v>2439</v>
      </c>
      <c r="D1066" s="62" t="str">
        <f ca="1">IF(TODAY()-E1066&lt;60,"2个月内",IF(TODAY()-E1066&lt;180,"3-6个月",IF(TODAY()-E1066&lt;360,"6个月-1年","一年以上")))</f>
        <v>6个月-1年</v>
      </c>
      <c r="E1066" s="322" t="s">
        <v>2440</v>
      </c>
      <c r="F1066" s="105" t="s">
        <v>70</v>
      </c>
      <c r="G1066" s="105" t="s">
        <v>2218</v>
      </c>
      <c r="H1066" s="293"/>
      <c r="I1066" s="293" t="s">
        <v>2127</v>
      </c>
      <c r="J1066" s="323">
        <v>6120</v>
      </c>
      <c r="K1066" s="105" t="s">
        <v>28</v>
      </c>
      <c r="L1066" s="59"/>
      <c r="M1066" s="59" t="s">
        <v>65</v>
      </c>
      <c r="N1066" s="324"/>
      <c r="O1066" s="316">
        <f t="shared" si="71"/>
        <v>6120</v>
      </c>
      <c r="P1066" s="144"/>
      <c r="Q1066" s="114">
        <f t="shared" si="72"/>
        <v>0</v>
      </c>
      <c r="R1066" s="59"/>
      <c r="S1066" s="60" t="s">
        <v>653</v>
      </c>
      <c r="T1066" s="105"/>
      <c r="U1066" s="105"/>
      <c r="V1066" s="68"/>
      <c r="W1066" s="68"/>
      <c r="X1066" s="68"/>
      <c r="Y1066" s="68"/>
    </row>
    <row r="1067" s="17" customFormat="1" hidden="1" customHeight="1" spans="1:25">
      <c r="A1067" s="105"/>
      <c r="B1067" s="293" t="s">
        <v>2441</v>
      </c>
      <c r="C1067" s="61" t="s">
        <v>2442</v>
      </c>
      <c r="D1067" s="62"/>
      <c r="E1067" s="322" t="s">
        <v>2003</v>
      </c>
      <c r="F1067" s="105" t="s">
        <v>632</v>
      </c>
      <c r="G1067" s="105" t="s">
        <v>993</v>
      </c>
      <c r="H1067" s="293"/>
      <c r="I1067" s="293" t="s">
        <v>424</v>
      </c>
      <c r="J1067" s="323"/>
      <c r="K1067" s="105" t="s">
        <v>28</v>
      </c>
      <c r="L1067" s="59"/>
      <c r="M1067" s="59" t="s">
        <v>30</v>
      </c>
      <c r="N1067" s="324"/>
      <c r="O1067" s="316">
        <f t="shared" si="71"/>
        <v>0</v>
      </c>
      <c r="P1067" s="144"/>
      <c r="Q1067" s="114">
        <f t="shared" si="72"/>
        <v>0</v>
      </c>
      <c r="R1067" s="59"/>
      <c r="S1067" s="60" t="s">
        <v>2443</v>
      </c>
      <c r="T1067" s="105"/>
      <c r="U1067" s="105"/>
      <c r="V1067" s="68"/>
      <c r="W1067" s="68"/>
      <c r="X1067" s="68"/>
      <c r="Y1067" s="68"/>
    </row>
    <row r="1068" s="17" customFormat="1" hidden="1" customHeight="1" spans="1:25">
      <c r="A1068" s="105"/>
      <c r="B1068" s="293" t="s">
        <v>2444</v>
      </c>
      <c r="C1068" s="61" t="s">
        <v>2440</v>
      </c>
      <c r="D1068" s="62" t="str">
        <f ca="1" t="shared" ref="D1068:D1096" si="75">IF(TODAY()-E1068&lt;60,"2个月内",IF(TODAY()-E1068&lt;180,"3-6个月",IF(TODAY()-E1068&lt;360,"6个月-1年","一年以上")))</f>
        <v>6个月-1年</v>
      </c>
      <c r="E1068" s="322" t="s">
        <v>2440</v>
      </c>
      <c r="F1068" s="105" t="s">
        <v>632</v>
      </c>
      <c r="G1068" s="105" t="s">
        <v>993</v>
      </c>
      <c r="H1068" s="293"/>
      <c r="I1068" s="293" t="s">
        <v>851</v>
      </c>
      <c r="J1068" s="323">
        <v>10000</v>
      </c>
      <c r="K1068" s="105" t="s">
        <v>28</v>
      </c>
      <c r="L1068" s="59"/>
      <c r="M1068" s="59" t="s">
        <v>30</v>
      </c>
      <c r="N1068" s="324"/>
      <c r="O1068" s="316">
        <f t="shared" si="71"/>
        <v>10000</v>
      </c>
      <c r="P1068" s="144"/>
      <c r="Q1068" s="114">
        <f t="shared" si="72"/>
        <v>0</v>
      </c>
      <c r="R1068" s="59"/>
      <c r="S1068" s="60" t="s">
        <v>2445</v>
      </c>
      <c r="T1068" s="105"/>
      <c r="U1068" s="105"/>
      <c r="V1068" s="68"/>
      <c r="W1068" s="68"/>
      <c r="X1068" s="68"/>
      <c r="Y1068" s="68"/>
    </row>
    <row r="1069" s="17" customFormat="1" hidden="1" customHeight="1" spans="1:25">
      <c r="A1069" s="105"/>
      <c r="B1069" s="293" t="s">
        <v>2446</v>
      </c>
      <c r="C1069" s="61" t="s">
        <v>2440</v>
      </c>
      <c r="D1069" s="62" t="str">
        <f ca="1" t="shared" si="75"/>
        <v>6个月-1年</v>
      </c>
      <c r="E1069" s="322" t="s">
        <v>2440</v>
      </c>
      <c r="F1069" s="105" t="s">
        <v>632</v>
      </c>
      <c r="G1069" s="105" t="s">
        <v>993</v>
      </c>
      <c r="H1069" s="293"/>
      <c r="I1069" s="293" t="s">
        <v>851</v>
      </c>
      <c r="J1069" s="323">
        <v>10000</v>
      </c>
      <c r="K1069" s="105" t="s">
        <v>28</v>
      </c>
      <c r="L1069" s="59"/>
      <c r="M1069" s="59" t="s">
        <v>30</v>
      </c>
      <c r="N1069" s="324"/>
      <c r="O1069" s="316">
        <f t="shared" si="71"/>
        <v>10000</v>
      </c>
      <c r="P1069" s="144"/>
      <c r="Q1069" s="114">
        <f t="shared" si="72"/>
        <v>0</v>
      </c>
      <c r="R1069" s="59"/>
      <c r="S1069" s="60" t="s">
        <v>2447</v>
      </c>
      <c r="T1069" s="105"/>
      <c r="U1069" s="105"/>
      <c r="V1069" s="68"/>
      <c r="W1069" s="68"/>
      <c r="X1069" s="68"/>
      <c r="Y1069" s="68"/>
    </row>
    <row r="1070" s="17" customFormat="1" hidden="1" customHeight="1" spans="1:25">
      <c r="A1070" s="105"/>
      <c r="B1070" s="293" t="s">
        <v>2448</v>
      </c>
      <c r="C1070" s="61" t="s">
        <v>2449</v>
      </c>
      <c r="D1070" s="62" t="str">
        <f ca="1" t="shared" si="75"/>
        <v>6个月-1年</v>
      </c>
      <c r="E1070" s="322" t="s">
        <v>2449</v>
      </c>
      <c r="F1070" s="105" t="s">
        <v>632</v>
      </c>
      <c r="G1070" s="105" t="s">
        <v>993</v>
      </c>
      <c r="H1070" s="293"/>
      <c r="I1070" s="293" t="s">
        <v>2450</v>
      </c>
      <c r="J1070" s="323">
        <v>10000</v>
      </c>
      <c r="K1070" s="105" t="s">
        <v>2432</v>
      </c>
      <c r="L1070" s="59" t="s">
        <v>2420</v>
      </c>
      <c r="M1070" s="59" t="s">
        <v>30</v>
      </c>
      <c r="N1070" s="324">
        <v>10000</v>
      </c>
      <c r="O1070" s="316">
        <f t="shared" si="71"/>
        <v>0</v>
      </c>
      <c r="P1070" s="144">
        <v>45999</v>
      </c>
      <c r="Q1070" s="114">
        <f t="shared" si="72"/>
        <v>45999</v>
      </c>
      <c r="R1070" s="59"/>
      <c r="S1070" s="60" t="s">
        <v>2451</v>
      </c>
      <c r="T1070" s="105"/>
      <c r="U1070" s="105"/>
      <c r="V1070" s="68"/>
      <c r="W1070" s="68"/>
      <c r="X1070" s="68"/>
      <c r="Y1070" s="68"/>
    </row>
    <row r="1071" s="17" customFormat="1" hidden="1" customHeight="1" spans="1:25">
      <c r="A1071" s="105"/>
      <c r="B1071" s="293" t="s">
        <v>2452</v>
      </c>
      <c r="C1071" s="61" t="s">
        <v>2453</v>
      </c>
      <c r="D1071" s="62" t="str">
        <f ca="1" t="shared" si="75"/>
        <v>6个月-1年</v>
      </c>
      <c r="E1071" s="322">
        <v>45986</v>
      </c>
      <c r="F1071" s="105" t="s">
        <v>632</v>
      </c>
      <c r="G1071" s="105" t="s">
        <v>993</v>
      </c>
      <c r="H1071" s="293"/>
      <c r="I1071" s="293" t="s">
        <v>1123</v>
      </c>
      <c r="J1071" s="323">
        <v>20000</v>
      </c>
      <c r="K1071" s="105" t="s">
        <v>28</v>
      </c>
      <c r="L1071" s="59" t="s">
        <v>73</v>
      </c>
      <c r="M1071" s="59" t="s">
        <v>30</v>
      </c>
      <c r="N1071" s="324">
        <v>20000</v>
      </c>
      <c r="O1071" s="316">
        <f t="shared" si="71"/>
        <v>0</v>
      </c>
      <c r="P1071" s="144">
        <v>46045</v>
      </c>
      <c r="Q1071" s="114">
        <f t="shared" si="72"/>
        <v>46045</v>
      </c>
      <c r="R1071" s="59"/>
      <c r="S1071" s="60" t="s">
        <v>2454</v>
      </c>
      <c r="T1071" s="105"/>
      <c r="U1071" s="105"/>
      <c r="V1071" s="68"/>
      <c r="W1071" s="68"/>
      <c r="X1071" s="68"/>
      <c r="Y1071" s="68"/>
    </row>
    <row r="1072" s="17" customFormat="1" hidden="1" customHeight="1" spans="1:25">
      <c r="A1072" s="105"/>
      <c r="B1072" s="293" t="s">
        <v>2455</v>
      </c>
      <c r="C1072" s="61" t="s">
        <v>2453</v>
      </c>
      <c r="D1072" s="62" t="e">
        <f ca="1" t="shared" si="75"/>
        <v>#VALUE!</v>
      </c>
      <c r="E1072" s="322" t="s">
        <v>653</v>
      </c>
      <c r="F1072" s="105" t="s">
        <v>70</v>
      </c>
      <c r="G1072" s="105" t="s">
        <v>2218</v>
      </c>
      <c r="H1072" s="293"/>
      <c r="I1072" s="293" t="s">
        <v>2259</v>
      </c>
      <c r="J1072" s="323">
        <v>0</v>
      </c>
      <c r="K1072" s="105" t="s">
        <v>28</v>
      </c>
      <c r="L1072" s="59" t="s">
        <v>73</v>
      </c>
      <c r="M1072" s="59" t="s">
        <v>133</v>
      </c>
      <c r="N1072" s="324"/>
      <c r="O1072" s="316">
        <f t="shared" si="71"/>
        <v>0</v>
      </c>
      <c r="P1072" s="144"/>
      <c r="Q1072" s="114"/>
      <c r="R1072" s="59"/>
      <c r="S1072" s="60" t="s">
        <v>2456</v>
      </c>
      <c r="T1072" s="105"/>
      <c r="U1072" s="105"/>
      <c r="V1072" s="68"/>
      <c r="W1072" s="68"/>
      <c r="X1072" s="68"/>
      <c r="Y1072" s="68"/>
    </row>
    <row r="1073" s="17" customFormat="1" hidden="1" customHeight="1" spans="1:25">
      <c r="A1073" s="30"/>
      <c r="B1073" s="293" t="s">
        <v>2457</v>
      </c>
      <c r="C1073" s="114" t="s">
        <v>2458</v>
      </c>
      <c r="D1073" s="62" t="str">
        <f ca="1" t="shared" si="75"/>
        <v>6个月-1年</v>
      </c>
      <c r="E1073" s="322">
        <v>46020</v>
      </c>
      <c r="F1073" s="105" t="s">
        <v>632</v>
      </c>
      <c r="G1073" s="105" t="s">
        <v>993</v>
      </c>
      <c r="H1073" s="293"/>
      <c r="I1073" s="293" t="s">
        <v>1814</v>
      </c>
      <c r="J1073" s="323">
        <v>35000</v>
      </c>
      <c r="K1073" s="105" t="s">
        <v>28</v>
      </c>
      <c r="L1073" s="59" t="s">
        <v>73</v>
      </c>
      <c r="M1073" s="59" t="s">
        <v>30</v>
      </c>
      <c r="N1073" s="324">
        <v>35000</v>
      </c>
      <c r="O1073" s="316">
        <f t="shared" si="71"/>
        <v>0</v>
      </c>
      <c r="P1073" s="144">
        <v>46099</v>
      </c>
      <c r="Q1073" s="114">
        <f>P1073</f>
        <v>46099</v>
      </c>
      <c r="R1073" s="59"/>
      <c r="S1073" s="60" t="s">
        <v>2459</v>
      </c>
      <c r="T1073" s="105"/>
      <c r="U1073" s="105"/>
      <c r="V1073" s="68"/>
      <c r="W1073" s="68"/>
      <c r="X1073" s="68"/>
      <c r="Y1073" s="68"/>
    </row>
    <row r="1074" s="17" customFormat="1" hidden="1" customHeight="1" spans="1:25">
      <c r="A1074" s="30"/>
      <c r="B1074" s="293" t="s">
        <v>2460</v>
      </c>
      <c r="C1074" s="114" t="s">
        <v>2461</v>
      </c>
      <c r="D1074" s="62" t="str">
        <f ca="1" t="shared" si="75"/>
        <v>3-6个月</v>
      </c>
      <c r="E1074" s="322">
        <v>46030</v>
      </c>
      <c r="F1074" s="105" t="s">
        <v>632</v>
      </c>
      <c r="G1074" s="105" t="s">
        <v>993</v>
      </c>
      <c r="H1074" s="293"/>
      <c r="I1074" s="293" t="s">
        <v>1703</v>
      </c>
      <c r="J1074" s="323">
        <v>5000</v>
      </c>
      <c r="K1074" s="105" t="s">
        <v>28</v>
      </c>
      <c r="L1074" s="59" t="s">
        <v>73</v>
      </c>
      <c r="M1074" s="59" t="s">
        <v>30</v>
      </c>
      <c r="N1074" s="324">
        <v>5000</v>
      </c>
      <c r="O1074" s="316">
        <f t="shared" si="71"/>
        <v>0</v>
      </c>
      <c r="P1074" s="144">
        <v>46141</v>
      </c>
      <c r="Q1074" s="114"/>
      <c r="R1074" s="59"/>
      <c r="S1074" s="60" t="s">
        <v>2462</v>
      </c>
      <c r="T1074" s="105"/>
      <c r="U1074" s="105"/>
      <c r="V1074" s="68"/>
      <c r="W1074" s="68"/>
      <c r="X1074" s="68"/>
      <c r="Y1074" s="68"/>
    </row>
    <row r="1075" s="17" customFormat="1" hidden="1" customHeight="1" spans="1:25">
      <c r="A1075" s="30"/>
      <c r="B1075" s="293" t="s">
        <v>2463</v>
      </c>
      <c r="C1075" s="114" t="s">
        <v>2464</v>
      </c>
      <c r="D1075" s="62" t="str">
        <f ca="1" t="shared" si="75"/>
        <v>3-6个月</v>
      </c>
      <c r="E1075" s="322">
        <v>46056</v>
      </c>
      <c r="F1075" s="105" t="s">
        <v>632</v>
      </c>
      <c r="G1075" s="105" t="s">
        <v>993</v>
      </c>
      <c r="H1075" s="293"/>
      <c r="I1075" s="293" t="s">
        <v>1814</v>
      </c>
      <c r="J1075" s="323">
        <v>5500</v>
      </c>
      <c r="K1075" s="105" t="s">
        <v>28</v>
      </c>
      <c r="L1075" s="59" t="s">
        <v>73</v>
      </c>
      <c r="M1075" s="59" t="s">
        <v>30</v>
      </c>
      <c r="N1075" s="325">
        <v>5500</v>
      </c>
      <c r="O1075" s="316">
        <f t="shared" ref="O1075:O1096" si="76">J1075-N1075</f>
        <v>0</v>
      </c>
      <c r="P1075" s="144">
        <v>46094</v>
      </c>
      <c r="Q1075" s="114">
        <f>P1075</f>
        <v>46094</v>
      </c>
      <c r="R1075" s="59"/>
      <c r="S1075" s="60" t="s">
        <v>2465</v>
      </c>
      <c r="T1075" s="105"/>
      <c r="U1075" s="105"/>
      <c r="V1075" s="68"/>
      <c r="W1075" s="68"/>
      <c r="X1075" s="68"/>
      <c r="Y1075" s="68"/>
    </row>
    <row r="1076" s="17" customFormat="1" hidden="1" customHeight="1" spans="1:25">
      <c r="A1076" s="30"/>
      <c r="B1076" s="293" t="s">
        <v>2466</v>
      </c>
      <c r="C1076" s="114" t="s">
        <v>2467</v>
      </c>
      <c r="D1076" s="62" t="str">
        <f ca="1" t="shared" si="75"/>
        <v>3-6个月</v>
      </c>
      <c r="E1076" s="322">
        <v>46063</v>
      </c>
      <c r="F1076" s="105" t="s">
        <v>632</v>
      </c>
      <c r="G1076" s="105" t="s">
        <v>993</v>
      </c>
      <c r="H1076" s="293"/>
      <c r="I1076" s="293" t="s">
        <v>2187</v>
      </c>
      <c r="J1076" s="323">
        <v>10000</v>
      </c>
      <c r="K1076" s="105" t="s">
        <v>28</v>
      </c>
      <c r="L1076" s="59" t="s">
        <v>73</v>
      </c>
      <c r="M1076" s="59" t="s">
        <v>30</v>
      </c>
      <c r="N1076" s="324"/>
      <c r="O1076" s="316">
        <f t="shared" si="76"/>
        <v>10000</v>
      </c>
      <c r="P1076" s="144"/>
      <c r="Q1076" s="114"/>
      <c r="R1076" s="59"/>
      <c r="S1076" s="60" t="s">
        <v>2468</v>
      </c>
      <c r="T1076" s="105"/>
      <c r="U1076" s="105"/>
      <c r="V1076" s="68"/>
      <c r="W1076" s="68"/>
      <c r="X1076" s="68"/>
      <c r="Y1076" s="68"/>
    </row>
    <row r="1077" s="17" customFormat="1" hidden="1" customHeight="1" spans="1:25">
      <c r="A1077" s="30"/>
      <c r="B1077" s="293" t="s">
        <v>2469</v>
      </c>
      <c r="C1077" s="114" t="s">
        <v>2467</v>
      </c>
      <c r="D1077" s="62" t="str">
        <f ca="1" t="shared" si="75"/>
        <v>3-6个月</v>
      </c>
      <c r="E1077" s="322">
        <v>46063</v>
      </c>
      <c r="F1077" s="105" t="s">
        <v>632</v>
      </c>
      <c r="G1077" s="105" t="s">
        <v>993</v>
      </c>
      <c r="H1077" s="293"/>
      <c r="I1077" s="293" t="s">
        <v>1814</v>
      </c>
      <c r="J1077" s="323">
        <v>10000</v>
      </c>
      <c r="K1077" s="105" t="s">
        <v>28</v>
      </c>
      <c r="L1077" s="59" t="s">
        <v>73</v>
      </c>
      <c r="M1077" s="59" t="s">
        <v>30</v>
      </c>
      <c r="N1077" s="325">
        <v>10000</v>
      </c>
      <c r="O1077" s="316">
        <f t="shared" si="76"/>
        <v>0</v>
      </c>
      <c r="P1077" s="144">
        <v>46094</v>
      </c>
      <c r="Q1077" s="114">
        <f t="shared" ref="Q1077:Q1082" si="77">P1077</f>
        <v>46094</v>
      </c>
      <c r="R1077" s="59"/>
      <c r="S1077" s="60" t="s">
        <v>2470</v>
      </c>
      <c r="T1077" s="105"/>
      <c r="U1077" s="105"/>
      <c r="V1077" s="68"/>
      <c r="W1077" s="68"/>
      <c r="X1077" s="68"/>
      <c r="Y1077" s="68"/>
    </row>
    <row r="1078" s="17" customFormat="1" hidden="1" customHeight="1" spans="1:25">
      <c r="A1078" s="30"/>
      <c r="B1078" s="293" t="s">
        <v>2471</v>
      </c>
      <c r="C1078" s="114" t="s">
        <v>2467</v>
      </c>
      <c r="D1078" s="62" t="str">
        <f ca="1" t="shared" si="75"/>
        <v>3-6个月</v>
      </c>
      <c r="E1078" s="322">
        <v>46063</v>
      </c>
      <c r="F1078" s="105" t="s">
        <v>632</v>
      </c>
      <c r="G1078" s="105" t="s">
        <v>993</v>
      </c>
      <c r="H1078" s="293"/>
      <c r="I1078" s="293" t="s">
        <v>1814</v>
      </c>
      <c r="J1078" s="323">
        <v>22000</v>
      </c>
      <c r="K1078" s="105" t="s">
        <v>28</v>
      </c>
      <c r="L1078" s="59" t="s">
        <v>73</v>
      </c>
      <c r="M1078" s="59" t="s">
        <v>30</v>
      </c>
      <c r="N1078" s="324">
        <v>22000</v>
      </c>
      <c r="O1078" s="316">
        <f t="shared" si="76"/>
        <v>0</v>
      </c>
      <c r="P1078" s="144">
        <v>46097</v>
      </c>
      <c r="Q1078" s="114">
        <f t="shared" si="77"/>
        <v>46097</v>
      </c>
      <c r="R1078" s="59"/>
      <c r="S1078" s="60" t="s">
        <v>2472</v>
      </c>
      <c r="T1078" s="105"/>
      <c r="U1078" s="105"/>
      <c r="V1078" s="68"/>
      <c r="W1078" s="68"/>
      <c r="X1078" s="68"/>
      <c r="Y1078" s="68"/>
    </row>
    <row r="1079" s="17" customFormat="1" hidden="1" customHeight="1" spans="1:25">
      <c r="A1079" s="30"/>
      <c r="B1079" s="293" t="s">
        <v>2473</v>
      </c>
      <c r="C1079" s="114" t="s">
        <v>2474</v>
      </c>
      <c r="D1079" s="62" t="str">
        <f ca="1" t="shared" si="75"/>
        <v>3-6个月</v>
      </c>
      <c r="E1079" s="322">
        <v>46079</v>
      </c>
      <c r="F1079" s="105" t="s">
        <v>632</v>
      </c>
      <c r="G1079" s="105" t="s">
        <v>993</v>
      </c>
      <c r="H1079" s="293"/>
      <c r="I1079" s="293" t="s">
        <v>2187</v>
      </c>
      <c r="J1079" s="323">
        <v>8000</v>
      </c>
      <c r="K1079" s="105" t="s">
        <v>28</v>
      </c>
      <c r="L1079" s="59" t="s">
        <v>73</v>
      </c>
      <c r="M1079" s="59" t="s">
        <v>30</v>
      </c>
      <c r="N1079" s="324">
        <v>8000</v>
      </c>
      <c r="O1079" s="316">
        <f t="shared" si="76"/>
        <v>0</v>
      </c>
      <c r="P1079" s="144">
        <v>46121</v>
      </c>
      <c r="Q1079" s="114">
        <f t="shared" si="77"/>
        <v>46121</v>
      </c>
      <c r="R1079" s="59"/>
      <c r="S1079" s="60" t="s">
        <v>2475</v>
      </c>
      <c r="T1079" s="105"/>
      <c r="U1079" s="105"/>
      <c r="V1079" s="68"/>
      <c r="W1079" s="68"/>
      <c r="X1079" s="68"/>
      <c r="Y1079" s="68"/>
    </row>
    <row r="1080" s="17" customFormat="1" hidden="1" customHeight="1" spans="1:25">
      <c r="A1080" s="30"/>
      <c r="B1080" s="293" t="s">
        <v>2476</v>
      </c>
      <c r="C1080" s="114" t="s">
        <v>2477</v>
      </c>
      <c r="D1080" s="62" t="str">
        <f ca="1" t="shared" si="75"/>
        <v>3-6个月</v>
      </c>
      <c r="E1080" s="322">
        <v>46081</v>
      </c>
      <c r="F1080" s="105" t="s">
        <v>632</v>
      </c>
      <c r="G1080" s="105" t="s">
        <v>993</v>
      </c>
      <c r="H1080" s="293"/>
      <c r="I1080" s="293" t="s">
        <v>1123</v>
      </c>
      <c r="J1080" s="323">
        <v>2000</v>
      </c>
      <c r="K1080" s="105" t="s">
        <v>28</v>
      </c>
      <c r="L1080" s="59" t="s">
        <v>73</v>
      </c>
      <c r="M1080" s="59" t="s">
        <v>30</v>
      </c>
      <c r="N1080" s="324">
        <v>2000</v>
      </c>
      <c r="O1080" s="316">
        <f t="shared" si="76"/>
        <v>0</v>
      </c>
      <c r="P1080" s="144">
        <v>46090</v>
      </c>
      <c r="Q1080" s="114">
        <f t="shared" si="77"/>
        <v>46090</v>
      </c>
      <c r="R1080" s="59"/>
      <c r="S1080" s="60" t="s">
        <v>2478</v>
      </c>
      <c r="T1080" s="105"/>
      <c r="U1080" s="105"/>
      <c r="V1080" s="68"/>
      <c r="W1080" s="68"/>
      <c r="X1080" s="68"/>
      <c r="Y1080" s="68"/>
    </row>
    <row r="1081" s="17" customFormat="1" hidden="1" customHeight="1" spans="1:25">
      <c r="A1081" s="30"/>
      <c r="B1081" s="293" t="s">
        <v>2479</v>
      </c>
      <c r="C1081" s="114" t="s">
        <v>2480</v>
      </c>
      <c r="D1081" s="62" t="str">
        <f ca="1" t="shared" si="75"/>
        <v>3-6个月</v>
      </c>
      <c r="E1081" s="322">
        <v>46083</v>
      </c>
      <c r="F1081" s="105" t="s">
        <v>632</v>
      </c>
      <c r="G1081" s="105" t="s">
        <v>993</v>
      </c>
      <c r="H1081" s="293"/>
      <c r="I1081" s="293" t="s">
        <v>2187</v>
      </c>
      <c r="J1081" s="323">
        <v>7000</v>
      </c>
      <c r="K1081" s="330" t="s">
        <v>2432</v>
      </c>
      <c r="L1081" s="331" t="s">
        <v>2420</v>
      </c>
      <c r="M1081" s="59" t="s">
        <v>30</v>
      </c>
      <c r="N1081" s="324"/>
      <c r="O1081" s="316">
        <f t="shared" si="76"/>
        <v>7000</v>
      </c>
      <c r="P1081" s="144"/>
      <c r="Q1081" s="114"/>
      <c r="R1081" s="59"/>
      <c r="S1081" s="60" t="s">
        <v>2481</v>
      </c>
      <c r="T1081" s="105"/>
      <c r="U1081" s="105"/>
      <c r="V1081" s="68"/>
      <c r="W1081" s="68"/>
      <c r="X1081" s="68"/>
      <c r="Y1081" s="68"/>
    </row>
    <row r="1082" s="17" customFormat="1" hidden="1" customHeight="1" spans="1:25">
      <c r="A1082" s="30"/>
      <c r="B1082" s="293" t="s">
        <v>2482</v>
      </c>
      <c r="C1082" s="114" t="s">
        <v>2480</v>
      </c>
      <c r="D1082" s="62" t="str">
        <f ca="1" t="shared" si="75"/>
        <v>3-6个月</v>
      </c>
      <c r="E1082" s="322">
        <v>46083</v>
      </c>
      <c r="F1082" s="105" t="s">
        <v>632</v>
      </c>
      <c r="G1082" s="105" t="s">
        <v>993</v>
      </c>
      <c r="H1082" s="293"/>
      <c r="I1082" s="293" t="s">
        <v>1814</v>
      </c>
      <c r="J1082" s="323">
        <v>7000</v>
      </c>
      <c r="K1082" s="105" t="s">
        <v>28</v>
      </c>
      <c r="L1082" s="59" t="s">
        <v>73</v>
      </c>
      <c r="M1082" s="59" t="s">
        <v>30</v>
      </c>
      <c r="N1082" s="324">
        <v>7000</v>
      </c>
      <c r="O1082" s="316">
        <f t="shared" si="76"/>
        <v>0</v>
      </c>
      <c r="P1082" s="144">
        <v>46156</v>
      </c>
      <c r="Q1082" s="114">
        <f t="shared" si="77"/>
        <v>46156</v>
      </c>
      <c r="R1082" s="59"/>
      <c r="S1082" s="60" t="s">
        <v>2483</v>
      </c>
      <c r="T1082" s="105"/>
      <c r="U1082" s="105"/>
      <c r="V1082" s="68"/>
      <c r="W1082" s="68"/>
      <c r="X1082" s="68"/>
      <c r="Y1082" s="68"/>
    </row>
    <row r="1083" s="17" customFormat="1" hidden="1" customHeight="1" spans="1:25">
      <c r="A1083" s="30"/>
      <c r="B1083" s="293" t="s">
        <v>2484</v>
      </c>
      <c r="C1083" s="114" t="s">
        <v>2480</v>
      </c>
      <c r="D1083" s="62" t="str">
        <f ca="1" t="shared" si="75"/>
        <v>3-6个月</v>
      </c>
      <c r="E1083" s="322">
        <v>46081</v>
      </c>
      <c r="F1083" s="105" t="s">
        <v>70</v>
      </c>
      <c r="G1083" s="105" t="s">
        <v>2485</v>
      </c>
      <c r="H1083" s="293"/>
      <c r="I1083" s="293" t="s">
        <v>2087</v>
      </c>
      <c r="J1083" s="323">
        <v>5000</v>
      </c>
      <c r="K1083" s="105" t="s">
        <v>28</v>
      </c>
      <c r="L1083" s="59" t="s">
        <v>73</v>
      </c>
      <c r="M1083" s="59" t="s">
        <v>65</v>
      </c>
      <c r="N1083" s="324"/>
      <c r="O1083" s="316">
        <f t="shared" si="76"/>
        <v>5000</v>
      </c>
      <c r="P1083" s="144"/>
      <c r="Q1083" s="114"/>
      <c r="R1083" s="59"/>
      <c r="S1083" s="60" t="s">
        <v>653</v>
      </c>
      <c r="T1083" s="105"/>
      <c r="U1083" s="105"/>
      <c r="V1083" s="68"/>
      <c r="W1083" s="68"/>
      <c r="X1083" s="68"/>
      <c r="Y1083" s="68"/>
    </row>
    <row r="1084" s="17" customFormat="1" hidden="1" customHeight="1" spans="1:25">
      <c r="A1084" s="30"/>
      <c r="B1084" s="293" t="s">
        <v>2486</v>
      </c>
      <c r="C1084" s="114" t="s">
        <v>2487</v>
      </c>
      <c r="D1084" s="62" t="str">
        <f ca="1" t="shared" si="75"/>
        <v>3-6个月</v>
      </c>
      <c r="E1084" s="322">
        <v>46084</v>
      </c>
      <c r="F1084" s="105" t="s">
        <v>70</v>
      </c>
      <c r="G1084" s="105" t="s">
        <v>2485</v>
      </c>
      <c r="H1084" s="293"/>
      <c r="I1084" s="293" t="s">
        <v>2215</v>
      </c>
      <c r="J1084" s="323">
        <v>2000</v>
      </c>
      <c r="K1084" s="105" t="s">
        <v>28</v>
      </c>
      <c r="L1084" s="59" t="s">
        <v>73</v>
      </c>
      <c r="M1084" s="59" t="s">
        <v>30</v>
      </c>
      <c r="N1084" s="324">
        <v>2000.26</v>
      </c>
      <c r="O1084" s="316">
        <f t="shared" si="76"/>
        <v>-0.259999999999991</v>
      </c>
      <c r="P1084" s="144">
        <v>46119</v>
      </c>
      <c r="Q1084" s="114">
        <f>P1084</f>
        <v>46119</v>
      </c>
      <c r="R1084" s="59"/>
      <c r="S1084" s="60" t="s">
        <v>2488</v>
      </c>
      <c r="T1084" s="105"/>
      <c r="U1084" s="105"/>
      <c r="V1084" s="68"/>
      <c r="W1084" s="68"/>
      <c r="X1084" s="68"/>
      <c r="Y1084" s="68"/>
    </row>
    <row r="1085" s="17" customFormat="1" hidden="1" customHeight="1" spans="1:25">
      <c r="A1085" s="30"/>
      <c r="B1085" s="293" t="s">
        <v>2489</v>
      </c>
      <c r="C1085" s="114" t="s">
        <v>2490</v>
      </c>
      <c r="D1085" s="62" t="str">
        <f ca="1" t="shared" si="75"/>
        <v>3-6个月</v>
      </c>
      <c r="E1085" s="322">
        <v>46090</v>
      </c>
      <c r="F1085" s="105" t="s">
        <v>70</v>
      </c>
      <c r="G1085" s="105" t="s">
        <v>993</v>
      </c>
      <c r="H1085" s="293"/>
      <c r="I1085" s="293" t="s">
        <v>2491</v>
      </c>
      <c r="J1085" s="323">
        <v>10000</v>
      </c>
      <c r="K1085" s="105" t="s">
        <v>28</v>
      </c>
      <c r="L1085" s="59" t="s">
        <v>73</v>
      </c>
      <c r="M1085" s="59" t="s">
        <v>30</v>
      </c>
      <c r="N1085" s="324">
        <v>10000</v>
      </c>
      <c r="O1085" s="316">
        <f t="shared" si="76"/>
        <v>0</v>
      </c>
      <c r="P1085" s="144">
        <v>46190</v>
      </c>
      <c r="Q1085" s="114">
        <f>P1085</f>
        <v>46190</v>
      </c>
      <c r="R1085" s="59"/>
      <c r="S1085" s="60" t="s">
        <v>2492</v>
      </c>
      <c r="T1085" s="105"/>
      <c r="U1085" s="105"/>
      <c r="V1085" s="68"/>
      <c r="W1085" s="68"/>
      <c r="X1085" s="68"/>
      <c r="Y1085" s="68"/>
    </row>
    <row r="1086" s="17" customFormat="1" hidden="1" customHeight="1" spans="1:25">
      <c r="A1086" s="30"/>
      <c r="B1086" s="293" t="s">
        <v>2493</v>
      </c>
      <c r="C1086" s="114" t="s">
        <v>2494</v>
      </c>
      <c r="D1086" s="62" t="str">
        <f ca="1" t="shared" si="75"/>
        <v>3-6个月</v>
      </c>
      <c r="E1086" s="322">
        <v>46090</v>
      </c>
      <c r="F1086" s="105" t="s">
        <v>70</v>
      </c>
      <c r="G1086" s="105" t="s">
        <v>993</v>
      </c>
      <c r="H1086" s="293"/>
      <c r="I1086" s="293" t="s">
        <v>2495</v>
      </c>
      <c r="J1086" s="323">
        <v>3600</v>
      </c>
      <c r="K1086" s="105" t="s">
        <v>28</v>
      </c>
      <c r="L1086" s="59" t="s">
        <v>73</v>
      </c>
      <c r="M1086" s="59" t="s">
        <v>30</v>
      </c>
      <c r="N1086" s="324">
        <v>3600</v>
      </c>
      <c r="O1086" s="316">
        <f t="shared" si="76"/>
        <v>0</v>
      </c>
      <c r="P1086" s="144">
        <v>46164</v>
      </c>
      <c r="Q1086" s="114"/>
      <c r="R1086" s="59"/>
      <c r="S1086" s="60" t="s">
        <v>2496</v>
      </c>
      <c r="T1086" s="105"/>
      <c r="U1086" s="105"/>
      <c r="V1086" s="68"/>
      <c r="W1086" s="68"/>
      <c r="X1086" s="68"/>
      <c r="Y1086" s="68"/>
    </row>
    <row r="1087" s="17" customFormat="1" hidden="1" customHeight="1" spans="1:25">
      <c r="A1087" s="30"/>
      <c r="B1087" s="293" t="s">
        <v>2497</v>
      </c>
      <c r="C1087" s="114" t="s">
        <v>2498</v>
      </c>
      <c r="D1087" s="62" t="str">
        <f ca="1" t="shared" si="75"/>
        <v>3-6个月</v>
      </c>
      <c r="E1087" s="322">
        <v>46092</v>
      </c>
      <c r="F1087" s="105" t="s">
        <v>70</v>
      </c>
      <c r="G1087" s="105" t="s">
        <v>993</v>
      </c>
      <c r="H1087" s="293"/>
      <c r="I1087" s="293" t="s">
        <v>2255</v>
      </c>
      <c r="J1087" s="323">
        <v>30000</v>
      </c>
      <c r="K1087" s="105" t="s">
        <v>28</v>
      </c>
      <c r="L1087" s="59" t="s">
        <v>73</v>
      </c>
      <c r="M1087" s="59" t="s">
        <v>30</v>
      </c>
      <c r="N1087" s="324">
        <v>30000</v>
      </c>
      <c r="O1087" s="316">
        <f t="shared" si="76"/>
        <v>0</v>
      </c>
      <c r="P1087" s="144">
        <v>46119</v>
      </c>
      <c r="Q1087" s="114">
        <f t="shared" ref="Q1087:Q1096" si="78">P1087</f>
        <v>46119</v>
      </c>
      <c r="R1087" s="59"/>
      <c r="S1087" s="60" t="s">
        <v>2499</v>
      </c>
      <c r="T1087" s="105"/>
      <c r="U1087" s="105"/>
      <c r="V1087" s="68"/>
      <c r="W1087" s="68"/>
      <c r="X1087" s="68"/>
      <c r="Y1087" s="68"/>
    </row>
    <row r="1088" s="17" customFormat="1" hidden="1" customHeight="1" spans="1:25">
      <c r="A1088" s="30"/>
      <c r="B1088" s="293" t="s">
        <v>2500</v>
      </c>
      <c r="C1088" s="114" t="s">
        <v>2480</v>
      </c>
      <c r="D1088" s="62" t="str">
        <f ca="1" t="shared" si="75"/>
        <v>3-6个月</v>
      </c>
      <c r="E1088" s="322">
        <v>46097</v>
      </c>
      <c r="F1088" s="105" t="s">
        <v>70</v>
      </c>
      <c r="G1088" s="105" t="s">
        <v>993</v>
      </c>
      <c r="H1088" s="293"/>
      <c r="I1088" s="293" t="s">
        <v>1814</v>
      </c>
      <c r="J1088" s="323">
        <v>25000</v>
      </c>
      <c r="K1088" s="105" t="s">
        <v>28</v>
      </c>
      <c r="L1088" s="59" t="s">
        <v>73</v>
      </c>
      <c r="M1088" s="59" t="s">
        <v>30</v>
      </c>
      <c r="N1088" s="324">
        <v>25000</v>
      </c>
      <c r="O1088" s="316">
        <f t="shared" si="76"/>
        <v>0</v>
      </c>
      <c r="P1088" s="144">
        <v>46156</v>
      </c>
      <c r="Q1088" s="114">
        <f t="shared" si="78"/>
        <v>46156</v>
      </c>
      <c r="R1088" s="59"/>
      <c r="S1088" s="60" t="s">
        <v>653</v>
      </c>
      <c r="T1088" s="105"/>
      <c r="U1088" s="105"/>
      <c r="V1088" s="68"/>
      <c r="W1088" s="68"/>
      <c r="X1088" s="68"/>
      <c r="Y1088" s="68"/>
    </row>
    <row r="1089" s="17" customFormat="1" hidden="1" customHeight="1" spans="1:25">
      <c r="A1089" s="30"/>
      <c r="B1089" s="293" t="s">
        <v>2501</v>
      </c>
      <c r="C1089" s="114" t="s">
        <v>2502</v>
      </c>
      <c r="D1089" s="62" t="str">
        <f ca="1" t="shared" si="75"/>
        <v>3-6个月</v>
      </c>
      <c r="E1089" s="322">
        <v>46097</v>
      </c>
      <c r="F1089" s="105" t="s">
        <v>70</v>
      </c>
      <c r="G1089" s="105" t="s">
        <v>993</v>
      </c>
      <c r="H1089" s="293"/>
      <c r="I1089" s="293" t="s">
        <v>2503</v>
      </c>
      <c r="J1089" s="323">
        <v>3000</v>
      </c>
      <c r="K1089" s="105" t="s">
        <v>28</v>
      </c>
      <c r="L1089" s="59" t="s">
        <v>73</v>
      </c>
      <c r="M1089" s="59" t="s">
        <v>30</v>
      </c>
      <c r="N1089" s="324">
        <v>3000</v>
      </c>
      <c r="O1089" s="316">
        <f t="shared" si="76"/>
        <v>0</v>
      </c>
      <c r="P1089" s="144">
        <v>46106</v>
      </c>
      <c r="Q1089" s="114">
        <f t="shared" si="78"/>
        <v>46106</v>
      </c>
      <c r="R1089" s="59"/>
      <c r="S1089" s="60" t="s">
        <v>2504</v>
      </c>
      <c r="T1089" s="105"/>
      <c r="U1089" s="105"/>
      <c r="V1089" s="68"/>
      <c r="W1089" s="68"/>
      <c r="X1089" s="68"/>
      <c r="Y1089" s="68"/>
    </row>
    <row r="1090" s="17" customFormat="1" hidden="1" customHeight="1" spans="1:25">
      <c r="A1090" s="30"/>
      <c r="B1090" s="293" t="s">
        <v>2505</v>
      </c>
      <c r="C1090" s="114" t="s">
        <v>2506</v>
      </c>
      <c r="D1090" s="62" t="str">
        <f ca="1" t="shared" si="75"/>
        <v>3-6个月</v>
      </c>
      <c r="E1090" s="322">
        <v>46097</v>
      </c>
      <c r="F1090" s="105" t="s">
        <v>70</v>
      </c>
      <c r="G1090" s="105" t="s">
        <v>993</v>
      </c>
      <c r="H1090" s="293"/>
      <c r="I1090" s="293" t="s">
        <v>2491</v>
      </c>
      <c r="J1090" s="323">
        <v>20000</v>
      </c>
      <c r="K1090" s="105" t="s">
        <v>28</v>
      </c>
      <c r="L1090" s="59" t="s">
        <v>73</v>
      </c>
      <c r="M1090" s="59" t="s">
        <v>30</v>
      </c>
      <c r="N1090" s="324">
        <v>20000</v>
      </c>
      <c r="O1090" s="316">
        <f t="shared" si="76"/>
        <v>0</v>
      </c>
      <c r="P1090" s="144">
        <v>46190</v>
      </c>
      <c r="Q1090" s="114">
        <f t="shared" si="78"/>
        <v>46190</v>
      </c>
      <c r="R1090" s="59"/>
      <c r="S1090" s="60" t="s">
        <v>2507</v>
      </c>
      <c r="T1090" s="105"/>
      <c r="U1090" s="105"/>
      <c r="V1090" s="68"/>
      <c r="W1090" s="68"/>
      <c r="X1090" s="68"/>
      <c r="Y1090" s="68"/>
    </row>
    <row r="1091" s="17" customFormat="1" hidden="1" customHeight="1" spans="1:25">
      <c r="A1091" s="30"/>
      <c r="B1091" s="293" t="s">
        <v>2508</v>
      </c>
      <c r="C1091" s="114" t="s">
        <v>2509</v>
      </c>
      <c r="D1091" s="62" t="str">
        <f ca="1" t="shared" si="75"/>
        <v>3-6个月</v>
      </c>
      <c r="E1091" s="322">
        <v>46098</v>
      </c>
      <c r="F1091" s="105" t="s">
        <v>70</v>
      </c>
      <c r="G1091" s="105" t="s">
        <v>993</v>
      </c>
      <c r="H1091" s="293"/>
      <c r="I1091" s="293" t="s">
        <v>2510</v>
      </c>
      <c r="J1091" s="323">
        <v>15000</v>
      </c>
      <c r="K1091" s="105" t="s">
        <v>28</v>
      </c>
      <c r="L1091" s="59" t="s">
        <v>73</v>
      </c>
      <c r="M1091" s="59" t="s">
        <v>30</v>
      </c>
      <c r="N1091" s="324">
        <v>15000</v>
      </c>
      <c r="O1091" s="316">
        <f t="shared" si="76"/>
        <v>0</v>
      </c>
      <c r="P1091" s="144">
        <v>46122</v>
      </c>
      <c r="Q1091" s="114">
        <f t="shared" si="78"/>
        <v>46122</v>
      </c>
      <c r="R1091" s="59"/>
      <c r="S1091" s="60" t="s">
        <v>653</v>
      </c>
      <c r="T1091" s="105"/>
      <c r="U1091" s="105"/>
      <c r="V1091" s="68"/>
      <c r="W1091" s="68"/>
      <c r="X1091" s="68"/>
      <c r="Y1091" s="68"/>
    </row>
    <row r="1092" s="17" customFormat="1" hidden="1" customHeight="1" spans="1:25">
      <c r="A1092" s="30"/>
      <c r="B1092" s="293" t="s">
        <v>2511</v>
      </c>
      <c r="C1092" s="114" t="s">
        <v>2509</v>
      </c>
      <c r="D1092" s="62" t="str">
        <f ca="1" t="shared" si="75"/>
        <v>3-6个月</v>
      </c>
      <c r="E1092" s="322">
        <v>46100</v>
      </c>
      <c r="F1092" s="105" t="s">
        <v>70</v>
      </c>
      <c r="G1092" s="105" t="s">
        <v>993</v>
      </c>
      <c r="H1092" s="293"/>
      <c r="I1092" s="293" t="s">
        <v>2510</v>
      </c>
      <c r="J1092" s="323">
        <v>15000</v>
      </c>
      <c r="K1092" s="105" t="s">
        <v>28</v>
      </c>
      <c r="L1092" s="59" t="s">
        <v>73</v>
      </c>
      <c r="M1092" s="59" t="s">
        <v>30</v>
      </c>
      <c r="N1092" s="324">
        <v>15000</v>
      </c>
      <c r="O1092" s="316">
        <f t="shared" si="76"/>
        <v>0</v>
      </c>
      <c r="P1092" s="144">
        <v>46122</v>
      </c>
      <c r="Q1092" s="114">
        <f t="shared" si="78"/>
        <v>46122</v>
      </c>
      <c r="R1092" s="59"/>
      <c r="S1092" s="60" t="s">
        <v>2512</v>
      </c>
      <c r="T1092" s="105"/>
      <c r="U1092" s="105"/>
      <c r="V1092" s="68"/>
      <c r="W1092" s="68"/>
      <c r="X1092" s="68"/>
      <c r="Y1092" s="68"/>
    </row>
    <row r="1093" s="17" customFormat="1" hidden="1" customHeight="1" spans="1:25">
      <c r="A1093" s="30"/>
      <c r="B1093" s="293" t="s">
        <v>2513</v>
      </c>
      <c r="C1093" s="114" t="s">
        <v>2509</v>
      </c>
      <c r="D1093" s="62" t="str">
        <f ca="1" t="shared" si="75"/>
        <v>3-6个月</v>
      </c>
      <c r="E1093" s="322">
        <v>46100</v>
      </c>
      <c r="F1093" s="105" t="s">
        <v>70</v>
      </c>
      <c r="G1093" s="105" t="s">
        <v>993</v>
      </c>
      <c r="H1093" s="293"/>
      <c r="I1093" s="293" t="s">
        <v>2510</v>
      </c>
      <c r="J1093" s="323">
        <v>15000</v>
      </c>
      <c r="K1093" s="105" t="s">
        <v>28</v>
      </c>
      <c r="L1093" s="59" t="s">
        <v>73</v>
      </c>
      <c r="M1093" s="59" t="s">
        <v>30</v>
      </c>
      <c r="N1093" s="324">
        <v>15000</v>
      </c>
      <c r="O1093" s="316">
        <f t="shared" si="76"/>
        <v>0</v>
      </c>
      <c r="P1093" s="144">
        <v>46122</v>
      </c>
      <c r="Q1093" s="114">
        <f t="shared" si="78"/>
        <v>46122</v>
      </c>
      <c r="R1093" s="59"/>
      <c r="S1093" s="60" t="s">
        <v>2514</v>
      </c>
      <c r="T1093" s="105"/>
      <c r="U1093" s="105"/>
      <c r="V1093" s="68"/>
      <c r="W1093" s="68"/>
      <c r="X1093" s="68"/>
      <c r="Y1093" s="68"/>
    </row>
    <row r="1094" s="17" customFormat="1" hidden="1" customHeight="1" spans="1:25">
      <c r="A1094" s="30"/>
      <c r="B1094" s="293" t="s">
        <v>2515</v>
      </c>
      <c r="C1094" s="114" t="s">
        <v>2509</v>
      </c>
      <c r="D1094" s="62" t="str">
        <f ca="1" t="shared" si="75"/>
        <v>3-6个月</v>
      </c>
      <c r="E1094" s="322">
        <v>46100</v>
      </c>
      <c r="F1094" s="105" t="s">
        <v>70</v>
      </c>
      <c r="G1094" s="105" t="s">
        <v>993</v>
      </c>
      <c r="H1094" s="293"/>
      <c r="I1094" s="293" t="s">
        <v>2510</v>
      </c>
      <c r="J1094" s="323">
        <v>15000</v>
      </c>
      <c r="K1094" s="105" t="s">
        <v>28</v>
      </c>
      <c r="L1094" s="59" t="s">
        <v>73</v>
      </c>
      <c r="M1094" s="59" t="s">
        <v>30</v>
      </c>
      <c r="N1094" s="324">
        <v>15000</v>
      </c>
      <c r="O1094" s="316">
        <f t="shared" si="76"/>
        <v>0</v>
      </c>
      <c r="P1094" s="144">
        <v>46122</v>
      </c>
      <c r="Q1094" s="114">
        <f t="shared" si="78"/>
        <v>46122</v>
      </c>
      <c r="R1094" s="59"/>
      <c r="S1094" s="60" t="s">
        <v>2516</v>
      </c>
      <c r="T1094" s="105"/>
      <c r="U1094" s="105"/>
      <c r="V1094" s="68"/>
      <c r="W1094" s="68"/>
      <c r="X1094" s="68"/>
      <c r="Y1094" s="68"/>
    </row>
    <row r="1095" s="17" customFormat="1" hidden="1" customHeight="1" spans="1:25">
      <c r="A1095" s="30"/>
      <c r="B1095" s="293" t="s">
        <v>2517</v>
      </c>
      <c r="C1095" s="114" t="s">
        <v>2509</v>
      </c>
      <c r="D1095" s="62" t="str">
        <f ca="1" t="shared" si="75"/>
        <v>3-6个月</v>
      </c>
      <c r="E1095" s="322">
        <v>46100</v>
      </c>
      <c r="F1095" s="105" t="s">
        <v>70</v>
      </c>
      <c r="G1095" s="105" t="s">
        <v>993</v>
      </c>
      <c r="H1095" s="293"/>
      <c r="I1095" s="293" t="s">
        <v>2510</v>
      </c>
      <c r="J1095" s="323">
        <v>15000</v>
      </c>
      <c r="K1095" s="105" t="s">
        <v>28</v>
      </c>
      <c r="L1095" s="59" t="s">
        <v>73</v>
      </c>
      <c r="M1095" s="59" t="s">
        <v>30</v>
      </c>
      <c r="N1095" s="324">
        <v>15000</v>
      </c>
      <c r="O1095" s="316">
        <f t="shared" si="76"/>
        <v>0</v>
      </c>
      <c r="P1095" s="144">
        <v>46122</v>
      </c>
      <c r="Q1095" s="114">
        <f t="shared" si="78"/>
        <v>46122</v>
      </c>
      <c r="R1095" s="59"/>
      <c r="S1095" s="60" t="s">
        <v>2518</v>
      </c>
      <c r="T1095" s="105"/>
      <c r="U1095" s="105"/>
      <c r="V1095" s="68"/>
      <c r="W1095" s="68"/>
      <c r="X1095" s="68"/>
      <c r="Y1095" s="68"/>
    </row>
    <row r="1096" s="17" customFormat="1" hidden="1" customHeight="1" spans="1:25">
      <c r="A1096" s="30"/>
      <c r="B1096" s="293" t="s">
        <v>2519</v>
      </c>
      <c r="C1096" s="114" t="s">
        <v>2520</v>
      </c>
      <c r="D1096" s="62" t="str">
        <f ca="1" t="shared" si="75"/>
        <v>3-6个月</v>
      </c>
      <c r="E1096" s="322">
        <v>46113</v>
      </c>
      <c r="F1096" s="105" t="s">
        <v>70</v>
      </c>
      <c r="G1096" s="105" t="s">
        <v>993</v>
      </c>
      <c r="H1096" s="293"/>
      <c r="I1096" s="293" t="s">
        <v>2450</v>
      </c>
      <c r="J1096" s="323">
        <v>44800</v>
      </c>
      <c r="K1096" s="105" t="s">
        <v>2432</v>
      </c>
      <c r="L1096" s="59" t="s">
        <v>2420</v>
      </c>
      <c r="M1096" s="59" t="s">
        <v>133</v>
      </c>
      <c r="N1096" s="324"/>
      <c r="O1096" s="316">
        <f t="shared" si="76"/>
        <v>44800</v>
      </c>
      <c r="P1096" s="144"/>
      <c r="Q1096" s="114">
        <f t="shared" si="78"/>
        <v>0</v>
      </c>
      <c r="R1096" s="59"/>
      <c r="S1096" s="60" t="s">
        <v>2521</v>
      </c>
      <c r="T1096" s="105"/>
      <c r="U1096" s="105"/>
      <c r="V1096" s="68"/>
      <c r="W1096" s="68"/>
      <c r="X1096" s="68"/>
      <c r="Y1096" s="68"/>
    </row>
    <row r="1097" s="17" customFormat="1" hidden="1" customHeight="1" spans="1:25">
      <c r="A1097" s="30"/>
      <c r="B1097" s="293"/>
      <c r="C1097" s="332">
        <v>46091</v>
      </c>
      <c r="D1097" s="333" t="s">
        <v>2522</v>
      </c>
      <c r="E1097" s="322">
        <v>46091</v>
      </c>
      <c r="F1097" s="330" t="s">
        <v>1875</v>
      </c>
      <c r="G1097" s="330" t="s">
        <v>2523</v>
      </c>
      <c r="H1097" s="105"/>
      <c r="I1097" s="334" t="s">
        <v>2524</v>
      </c>
      <c r="J1097" s="323">
        <v>30000</v>
      </c>
      <c r="K1097" s="330" t="s">
        <v>28</v>
      </c>
      <c r="L1097" s="59" t="s">
        <v>73</v>
      </c>
      <c r="M1097" s="331" t="s">
        <v>2525</v>
      </c>
      <c r="N1097" s="324">
        <v>30000</v>
      </c>
      <c r="O1097" s="316"/>
      <c r="P1097" s="144">
        <v>46182</v>
      </c>
      <c r="Q1097" s="114">
        <v>46174</v>
      </c>
      <c r="R1097" s="59"/>
      <c r="S1097" s="335" t="s">
        <v>2526</v>
      </c>
      <c r="T1097" s="105"/>
      <c r="U1097" s="105"/>
      <c r="V1097" s="68"/>
      <c r="W1097" s="68"/>
      <c r="X1097" s="68"/>
      <c r="Y1097" s="68"/>
    </row>
    <row r="1098" s="17" customFormat="1" hidden="1" customHeight="1" spans="1:25">
      <c r="A1098" s="30"/>
      <c r="B1098" s="293" t="s">
        <v>2527</v>
      </c>
      <c r="C1098" s="114" t="s">
        <v>2528</v>
      </c>
      <c r="D1098" s="62" t="str">
        <f ca="1" t="shared" ref="D1098:D1112" si="79">IF(TODAY()-E1098&lt;60,"2个月内",IF(TODAY()-E1098&lt;180,"3-6个月",IF(TODAY()-E1098&lt;360,"6个月-1年","一年以上")))</f>
        <v>3-6个月</v>
      </c>
      <c r="E1098" s="322">
        <v>46114</v>
      </c>
      <c r="F1098" s="105" t="s">
        <v>70</v>
      </c>
      <c r="G1098" s="105" t="s">
        <v>993</v>
      </c>
      <c r="H1098" s="293"/>
      <c r="I1098" s="293" t="s">
        <v>2529</v>
      </c>
      <c r="J1098" s="323">
        <v>10000</v>
      </c>
      <c r="K1098" s="105" t="s">
        <v>28</v>
      </c>
      <c r="L1098" s="59" t="s">
        <v>73</v>
      </c>
      <c r="M1098" s="59" t="s">
        <v>30</v>
      </c>
      <c r="N1098" s="324">
        <v>10000</v>
      </c>
      <c r="O1098" s="316">
        <f t="shared" ref="O1098:O1112" si="80">J1098-N1098</f>
        <v>0</v>
      </c>
      <c r="P1098" s="144">
        <v>46141</v>
      </c>
      <c r="Q1098" s="114">
        <f t="shared" ref="Q1098:Q1108" si="81">P1098</f>
        <v>46141</v>
      </c>
      <c r="R1098" s="59"/>
      <c r="S1098" s="60" t="s">
        <v>2530</v>
      </c>
      <c r="T1098" s="105"/>
      <c r="U1098" s="105"/>
      <c r="V1098" s="68"/>
      <c r="W1098" s="68"/>
      <c r="X1098" s="68"/>
      <c r="Y1098" s="68"/>
    </row>
    <row r="1099" s="17" customFormat="1" hidden="1" customHeight="1" spans="1:25">
      <c r="A1099" s="30"/>
      <c r="B1099" s="293" t="s">
        <v>2531</v>
      </c>
      <c r="C1099" s="114" t="s">
        <v>2532</v>
      </c>
      <c r="D1099" s="62" t="str">
        <f ca="1" t="shared" si="79"/>
        <v>3-6个月</v>
      </c>
      <c r="E1099" s="322">
        <v>46121</v>
      </c>
      <c r="F1099" s="105" t="s">
        <v>70</v>
      </c>
      <c r="G1099" s="105" t="s">
        <v>993</v>
      </c>
      <c r="H1099" s="293"/>
      <c r="I1099" s="293" t="s">
        <v>2215</v>
      </c>
      <c r="J1099" s="323">
        <v>2000</v>
      </c>
      <c r="K1099" s="105" t="s">
        <v>28</v>
      </c>
      <c r="L1099" s="59" t="s">
        <v>73</v>
      </c>
      <c r="M1099" s="59" t="s">
        <v>30</v>
      </c>
      <c r="N1099" s="324">
        <v>2000.31</v>
      </c>
      <c r="O1099" s="316">
        <f t="shared" si="80"/>
        <v>-0.309999999999945</v>
      </c>
      <c r="P1099" s="144">
        <v>46193</v>
      </c>
      <c r="Q1099" s="114">
        <f t="shared" si="81"/>
        <v>46193</v>
      </c>
      <c r="R1099" s="59"/>
      <c r="S1099" s="60" t="s">
        <v>2533</v>
      </c>
      <c r="T1099" s="105"/>
      <c r="U1099" s="105"/>
      <c r="V1099" s="68"/>
      <c r="W1099" s="68"/>
      <c r="X1099" s="68"/>
      <c r="Y1099" s="68"/>
    </row>
    <row r="1100" s="17" customFormat="1" hidden="1" customHeight="1" spans="1:25">
      <c r="A1100" s="30"/>
      <c r="B1100" s="293" t="s">
        <v>2534</v>
      </c>
      <c r="C1100" s="114" t="s">
        <v>2532</v>
      </c>
      <c r="D1100" s="62" t="str">
        <f ca="1" t="shared" si="79"/>
        <v>3-6个月</v>
      </c>
      <c r="E1100" s="322">
        <v>46121</v>
      </c>
      <c r="F1100" s="105" t="s">
        <v>70</v>
      </c>
      <c r="G1100" s="105" t="s">
        <v>993</v>
      </c>
      <c r="H1100" s="293"/>
      <c r="I1100" s="293" t="s">
        <v>2215</v>
      </c>
      <c r="J1100" s="323">
        <v>4000</v>
      </c>
      <c r="K1100" s="105" t="s">
        <v>28</v>
      </c>
      <c r="L1100" s="59" t="s">
        <v>73</v>
      </c>
      <c r="M1100" s="59" t="s">
        <v>30</v>
      </c>
      <c r="N1100" s="324">
        <v>4000.16</v>
      </c>
      <c r="O1100" s="316">
        <f t="shared" si="80"/>
        <v>-0.159999999999854</v>
      </c>
      <c r="P1100" s="144">
        <v>46120</v>
      </c>
      <c r="Q1100" s="114">
        <f t="shared" si="81"/>
        <v>46120</v>
      </c>
      <c r="R1100" s="59"/>
      <c r="S1100" s="60" t="s">
        <v>2535</v>
      </c>
      <c r="T1100" s="105"/>
      <c r="U1100" s="105"/>
      <c r="V1100" s="68"/>
      <c r="W1100" s="68"/>
      <c r="X1100" s="68"/>
      <c r="Y1100" s="68"/>
    </row>
    <row r="1101" s="17" customFormat="1" hidden="1" customHeight="1" spans="1:25">
      <c r="A1101" s="30"/>
      <c r="B1101" s="293" t="s">
        <v>2536</v>
      </c>
      <c r="C1101" s="114" t="s">
        <v>2537</v>
      </c>
      <c r="D1101" s="62" t="str">
        <f ca="1" t="shared" si="79"/>
        <v>3-6个月</v>
      </c>
      <c r="E1101" s="322">
        <v>46125</v>
      </c>
      <c r="F1101" s="105" t="s">
        <v>70</v>
      </c>
      <c r="G1101" s="105" t="s">
        <v>993</v>
      </c>
      <c r="H1101" s="293"/>
      <c r="I1101" s="293" t="s">
        <v>1430</v>
      </c>
      <c r="J1101" s="323">
        <v>20000</v>
      </c>
      <c r="K1101" s="330" t="s">
        <v>1706</v>
      </c>
      <c r="L1101" s="59" t="s">
        <v>73</v>
      </c>
      <c r="M1101" s="59" t="s">
        <v>30</v>
      </c>
      <c r="N1101" s="324">
        <v>20000</v>
      </c>
      <c r="O1101" s="316">
        <f t="shared" si="80"/>
        <v>0</v>
      </c>
      <c r="P1101" s="144">
        <v>46139</v>
      </c>
      <c r="Q1101" s="114">
        <f t="shared" si="81"/>
        <v>46139</v>
      </c>
      <c r="R1101" s="59"/>
      <c r="S1101" s="60" t="s">
        <v>2538</v>
      </c>
      <c r="T1101" s="105"/>
      <c r="U1101" s="105"/>
      <c r="V1101" s="68"/>
      <c r="W1101" s="68"/>
      <c r="X1101" s="68"/>
      <c r="Y1101" s="68"/>
    </row>
    <row r="1102" s="17" customFormat="1" customHeight="1" spans="1:25">
      <c r="A1102" s="30"/>
      <c r="B1102" s="293" t="s">
        <v>2539</v>
      </c>
      <c r="C1102" s="114" t="s">
        <v>2540</v>
      </c>
      <c r="D1102" s="62" t="str">
        <f ca="1" t="shared" si="79"/>
        <v>3-6个月</v>
      </c>
      <c r="E1102" s="322">
        <v>46125</v>
      </c>
      <c r="F1102" s="105" t="s">
        <v>70</v>
      </c>
      <c r="G1102" s="105" t="s">
        <v>993</v>
      </c>
      <c r="H1102" s="293"/>
      <c r="I1102" s="293" t="s">
        <v>2541</v>
      </c>
      <c r="J1102" s="323">
        <v>10000</v>
      </c>
      <c r="K1102" s="330" t="s">
        <v>1706</v>
      </c>
      <c r="L1102" s="59" t="s">
        <v>73</v>
      </c>
      <c r="M1102" s="59" t="s">
        <v>30</v>
      </c>
      <c r="N1102" s="324">
        <v>10000</v>
      </c>
      <c r="O1102" s="316">
        <f t="shared" si="80"/>
        <v>0</v>
      </c>
      <c r="P1102" s="144">
        <v>46202</v>
      </c>
      <c r="Q1102" s="114">
        <f t="shared" si="81"/>
        <v>46202</v>
      </c>
      <c r="R1102" s="59"/>
      <c r="S1102" s="60" t="s">
        <v>2542</v>
      </c>
      <c r="T1102" s="105"/>
      <c r="U1102" s="105"/>
      <c r="V1102" s="68"/>
      <c r="W1102" s="68"/>
      <c r="X1102" s="68"/>
      <c r="Y1102" s="68"/>
    </row>
    <row r="1103" s="17" customFormat="1" hidden="1" customHeight="1" spans="1:25">
      <c r="A1103" s="30"/>
      <c r="B1103" s="293" t="s">
        <v>2543</v>
      </c>
      <c r="C1103" s="114" t="s">
        <v>2544</v>
      </c>
      <c r="D1103" s="62" t="str">
        <f ca="1" t="shared" si="79"/>
        <v>3-6个月</v>
      </c>
      <c r="E1103" s="322">
        <v>46140</v>
      </c>
      <c r="F1103" s="105" t="s">
        <v>70</v>
      </c>
      <c r="G1103" s="105" t="s">
        <v>993</v>
      </c>
      <c r="H1103" s="293"/>
      <c r="I1103" s="293" t="s">
        <v>1586</v>
      </c>
      <c r="J1103" s="323">
        <v>5000</v>
      </c>
      <c r="K1103" s="105" t="s">
        <v>28</v>
      </c>
      <c r="L1103" s="59" t="s">
        <v>73</v>
      </c>
      <c r="M1103" s="59" t="s">
        <v>30</v>
      </c>
      <c r="N1103" s="324">
        <v>5000</v>
      </c>
      <c r="O1103" s="316">
        <f t="shared" si="80"/>
        <v>0</v>
      </c>
      <c r="P1103" s="144">
        <v>46170</v>
      </c>
      <c r="Q1103" s="114">
        <f t="shared" si="81"/>
        <v>46170</v>
      </c>
      <c r="R1103" s="59"/>
      <c r="S1103" s="60" t="s">
        <v>2545</v>
      </c>
      <c r="T1103" s="105"/>
      <c r="U1103" s="105"/>
      <c r="V1103" s="68"/>
      <c r="W1103" s="68"/>
      <c r="X1103" s="68"/>
      <c r="Y1103" s="68"/>
    </row>
    <row r="1104" s="17" customFormat="1" hidden="1" customHeight="1" spans="1:25">
      <c r="A1104" s="30"/>
      <c r="B1104" s="293" t="s">
        <v>2546</v>
      </c>
      <c r="C1104" s="114" t="s">
        <v>2547</v>
      </c>
      <c r="D1104" s="62" t="str">
        <f ca="1" t="shared" si="79"/>
        <v>3-6个月</v>
      </c>
      <c r="E1104" s="322">
        <v>46142</v>
      </c>
      <c r="F1104" s="105" t="s">
        <v>70</v>
      </c>
      <c r="G1104" s="105" t="s">
        <v>993</v>
      </c>
      <c r="H1104" s="293"/>
      <c r="I1104" s="293" t="s">
        <v>1123</v>
      </c>
      <c r="J1104" s="323">
        <v>2000</v>
      </c>
      <c r="K1104" s="105" t="s">
        <v>28</v>
      </c>
      <c r="L1104" s="59" t="s">
        <v>73</v>
      </c>
      <c r="M1104" s="59" t="s">
        <v>30</v>
      </c>
      <c r="N1104" s="324">
        <v>2000</v>
      </c>
      <c r="O1104" s="316">
        <f t="shared" si="80"/>
        <v>0</v>
      </c>
      <c r="P1104" s="144">
        <v>46148</v>
      </c>
      <c r="Q1104" s="114">
        <f t="shared" si="81"/>
        <v>46148</v>
      </c>
      <c r="R1104" s="59"/>
      <c r="S1104" s="60" t="s">
        <v>2548</v>
      </c>
      <c r="T1104" s="105"/>
      <c r="U1104" s="105"/>
      <c r="V1104" s="68"/>
      <c r="W1104" s="68"/>
      <c r="X1104" s="68"/>
      <c r="Y1104" s="68"/>
    </row>
    <row r="1105" hidden="1" customHeight="1" spans="2:21">
      <c r="B1105" s="293" t="s">
        <v>2549</v>
      </c>
      <c r="C1105" s="114" t="s">
        <v>2550</v>
      </c>
      <c r="D1105" s="62" t="str">
        <f ca="1" t="shared" si="79"/>
        <v>2个月内</v>
      </c>
      <c r="E1105" s="322">
        <v>46149</v>
      </c>
      <c r="F1105" s="105" t="s">
        <v>70</v>
      </c>
      <c r="G1105" s="105" t="s">
        <v>993</v>
      </c>
      <c r="H1105" s="105" t="s">
        <v>993</v>
      </c>
      <c r="I1105" s="293" t="s">
        <v>2551</v>
      </c>
      <c r="J1105" s="323">
        <v>2000</v>
      </c>
      <c r="K1105" s="105" t="s">
        <v>28</v>
      </c>
      <c r="L1105" s="59" t="s">
        <v>73</v>
      </c>
      <c r="M1105" s="59" t="s">
        <v>30</v>
      </c>
      <c r="N1105" s="324">
        <v>2000</v>
      </c>
      <c r="O1105" s="316">
        <f t="shared" si="80"/>
        <v>0</v>
      </c>
      <c r="P1105" s="144">
        <v>46184</v>
      </c>
      <c r="Q1105" s="114">
        <f t="shared" si="81"/>
        <v>46184</v>
      </c>
      <c r="R1105" s="336"/>
      <c r="S1105" s="60" t="s">
        <v>2552</v>
      </c>
      <c r="T1105" s="17"/>
      <c r="U1105" s="17"/>
    </row>
    <row r="1106" hidden="1" customHeight="1" spans="2:21">
      <c r="B1106" s="293" t="s">
        <v>2553</v>
      </c>
      <c r="C1106" s="114" t="s">
        <v>2554</v>
      </c>
      <c r="D1106" s="62" t="str">
        <f ca="1" t="shared" si="79"/>
        <v>2个月内</v>
      </c>
      <c r="E1106" s="322">
        <v>46150</v>
      </c>
      <c r="F1106" s="105" t="s">
        <v>70</v>
      </c>
      <c r="G1106" s="105" t="s">
        <v>993</v>
      </c>
      <c r="H1106" s="105" t="s">
        <v>993</v>
      </c>
      <c r="I1106" s="293" t="s">
        <v>1746</v>
      </c>
      <c r="J1106" s="323">
        <v>25000</v>
      </c>
      <c r="K1106" s="105" t="s">
        <v>1706</v>
      </c>
      <c r="L1106" s="59" t="s">
        <v>73</v>
      </c>
      <c r="M1106" s="59" t="s">
        <v>133</v>
      </c>
      <c r="N1106" s="324"/>
      <c r="O1106" s="316">
        <f t="shared" si="80"/>
        <v>25000</v>
      </c>
      <c r="P1106" s="144"/>
      <c r="Q1106" s="114">
        <f t="shared" si="81"/>
        <v>0</v>
      </c>
      <c r="R1106" s="336"/>
      <c r="S1106" s="60" t="s">
        <v>2555</v>
      </c>
      <c r="T1106" s="17"/>
      <c r="U1106" s="17"/>
    </row>
    <row r="1107" customHeight="1" spans="2:21">
      <c r="B1107" s="293" t="s">
        <v>2556</v>
      </c>
      <c r="C1107" s="332">
        <v>46154</v>
      </c>
      <c r="D1107" s="62" t="str">
        <f ca="1" t="shared" si="79"/>
        <v>2个月内</v>
      </c>
      <c r="E1107" s="322">
        <v>46154</v>
      </c>
      <c r="F1107" s="105" t="s">
        <v>70</v>
      </c>
      <c r="G1107" s="105" t="s">
        <v>993</v>
      </c>
      <c r="H1107" s="105" t="s">
        <v>993</v>
      </c>
      <c r="I1107" s="293" t="s">
        <v>1157</v>
      </c>
      <c r="J1107" s="323">
        <v>2000</v>
      </c>
      <c r="K1107" s="105" t="s">
        <v>28</v>
      </c>
      <c r="L1107" s="59" t="s">
        <v>73</v>
      </c>
      <c r="M1107" s="59" t="s">
        <v>30</v>
      </c>
      <c r="N1107" s="324">
        <v>2000</v>
      </c>
      <c r="O1107" s="316">
        <f t="shared" si="80"/>
        <v>0</v>
      </c>
      <c r="P1107" s="144">
        <v>46202</v>
      </c>
      <c r="Q1107" s="114">
        <f t="shared" si="81"/>
        <v>46202</v>
      </c>
      <c r="R1107" s="336"/>
      <c r="S1107" s="60" t="s">
        <v>2557</v>
      </c>
      <c r="T1107" s="17"/>
      <c r="U1107" s="17"/>
    </row>
    <row r="1108" hidden="1" customHeight="1" spans="2:21">
      <c r="B1108" s="293"/>
      <c r="C1108" s="332">
        <v>46156</v>
      </c>
      <c r="D1108" s="333" t="s">
        <v>2522</v>
      </c>
      <c r="E1108" s="322">
        <v>46156</v>
      </c>
      <c r="F1108" s="330" t="s">
        <v>1875</v>
      </c>
      <c r="G1108" s="330" t="s">
        <v>2523</v>
      </c>
      <c r="H1108" s="105"/>
      <c r="I1108" s="334" t="s">
        <v>2524</v>
      </c>
      <c r="J1108" s="323">
        <v>60000</v>
      </c>
      <c r="K1108" s="330" t="s">
        <v>28</v>
      </c>
      <c r="L1108" s="59" t="s">
        <v>73</v>
      </c>
      <c r="M1108" s="331" t="s">
        <v>2525</v>
      </c>
      <c r="N1108" s="324">
        <v>60000</v>
      </c>
      <c r="O1108" s="316"/>
      <c r="P1108" s="144">
        <v>46182</v>
      </c>
      <c r="Q1108" s="114">
        <v>46174</v>
      </c>
      <c r="R1108" s="336"/>
      <c r="S1108" s="335" t="s">
        <v>2558</v>
      </c>
      <c r="T1108" s="17"/>
      <c r="U1108" s="17"/>
    </row>
    <row r="1109" hidden="1" customHeight="1" spans="2:21">
      <c r="B1109" s="293"/>
      <c r="C1109" s="332">
        <v>46156</v>
      </c>
      <c r="D1109" s="333" t="s">
        <v>2522</v>
      </c>
      <c r="E1109" s="322">
        <v>46156</v>
      </c>
      <c r="F1109" s="330" t="s">
        <v>1875</v>
      </c>
      <c r="G1109" s="330" t="s">
        <v>2523</v>
      </c>
      <c r="H1109" s="105"/>
      <c r="I1109" s="334" t="s">
        <v>2559</v>
      </c>
      <c r="J1109" s="323">
        <v>220000</v>
      </c>
      <c r="K1109" s="330" t="s">
        <v>1706</v>
      </c>
      <c r="L1109" s="59" t="s">
        <v>73</v>
      </c>
      <c r="M1109" s="331" t="s">
        <v>2525</v>
      </c>
      <c r="N1109" s="324"/>
      <c r="O1109" s="316">
        <v>220000</v>
      </c>
      <c r="P1109" s="144"/>
      <c r="Q1109" s="114"/>
      <c r="R1109" s="336"/>
      <c r="S1109" s="335" t="s">
        <v>2560</v>
      </c>
      <c r="T1109" s="17"/>
      <c r="U1109" s="17"/>
    </row>
    <row r="1110" hidden="1" customHeight="1" spans="2:21">
      <c r="B1110" s="293" t="s">
        <v>2561</v>
      </c>
      <c r="C1110" s="337">
        <v>46162</v>
      </c>
      <c r="D1110" s="62" t="str">
        <f ca="1">IF(TODAY()-E1110&lt;60,"2个月内",IF(TODAY()-E1110&lt;180,"3-6个月",IF(TODAY()-E1110&lt;360,"6个月-1年","一年以上")))</f>
        <v>2个月内</v>
      </c>
      <c r="E1110" s="322">
        <v>46162</v>
      </c>
      <c r="F1110" s="105" t="s">
        <v>70</v>
      </c>
      <c r="G1110" s="105" t="s">
        <v>993</v>
      </c>
      <c r="H1110" s="105" t="s">
        <v>993</v>
      </c>
      <c r="I1110" s="293" t="s">
        <v>2562</v>
      </c>
      <c r="J1110" s="323">
        <v>20000</v>
      </c>
      <c r="K1110" s="105" t="s">
        <v>28</v>
      </c>
      <c r="L1110" s="59" t="s">
        <v>73</v>
      </c>
      <c r="M1110" s="59" t="s">
        <v>30</v>
      </c>
      <c r="N1110" s="324">
        <v>20000</v>
      </c>
      <c r="O1110" s="316">
        <f t="shared" ref="O1110:O1117" si="82">J1110-N1110</f>
        <v>0</v>
      </c>
      <c r="P1110" s="144">
        <v>46191</v>
      </c>
      <c r="Q1110" s="114">
        <f t="shared" ref="Q1110:Q1114" si="83">P1110</f>
        <v>46191</v>
      </c>
      <c r="R1110" s="336"/>
      <c r="S1110" s="60" t="s">
        <v>2563</v>
      </c>
      <c r="T1110" s="17"/>
      <c r="U1110" s="17"/>
    </row>
    <row r="1111" hidden="1" customHeight="1" spans="2:21">
      <c r="B1111" s="293" t="s">
        <v>2564</v>
      </c>
      <c r="C1111" s="338">
        <v>46167</v>
      </c>
      <c r="D1111" s="62" t="str">
        <f ca="1" t="shared" ref="D1110:D1115" si="84">IF(TODAY()-E1111&lt;60,"2个月内",IF(TODAY()-E1111&lt;180,"3-6个月",IF(TODAY()-E1111&lt;360,"6个月-1年","一年以上")))</f>
        <v>2个月内</v>
      </c>
      <c r="E1111" s="322">
        <v>46167</v>
      </c>
      <c r="F1111" s="105" t="s">
        <v>70</v>
      </c>
      <c r="G1111" s="105" t="s">
        <v>993</v>
      </c>
      <c r="H1111" s="105" t="s">
        <v>993</v>
      </c>
      <c r="I1111" s="293" t="s">
        <v>2255</v>
      </c>
      <c r="J1111" s="323">
        <v>30000</v>
      </c>
      <c r="K1111" s="105" t="s">
        <v>1706</v>
      </c>
      <c r="L1111" s="59" t="s">
        <v>73</v>
      </c>
      <c r="M1111" s="59" t="s">
        <v>30</v>
      </c>
      <c r="N1111" s="339">
        <v>30000</v>
      </c>
      <c r="O1111" s="316">
        <f t="shared" si="82"/>
        <v>0</v>
      </c>
      <c r="P1111" s="144">
        <v>46184</v>
      </c>
      <c r="Q1111" s="114">
        <f t="shared" si="83"/>
        <v>46184</v>
      </c>
      <c r="R1111" s="60"/>
      <c r="S1111" s="60" t="s">
        <v>2565</v>
      </c>
      <c r="U1111" s="17"/>
    </row>
    <row r="1112" hidden="1" customHeight="1" spans="2:21">
      <c r="B1112" s="293" t="s">
        <v>2566</v>
      </c>
      <c r="C1112" s="338">
        <v>46168</v>
      </c>
      <c r="D1112" s="62" t="str">
        <f ca="1" t="shared" si="84"/>
        <v>2个月内</v>
      </c>
      <c r="E1112" s="322">
        <v>46168</v>
      </c>
      <c r="F1112" s="105" t="s">
        <v>70</v>
      </c>
      <c r="G1112" s="105" t="s">
        <v>962</v>
      </c>
      <c r="H1112" s="105" t="s">
        <v>2485</v>
      </c>
      <c r="I1112" s="293" t="s">
        <v>1157</v>
      </c>
      <c r="J1112" s="323">
        <v>20000</v>
      </c>
      <c r="K1112" s="105" t="s">
        <v>28</v>
      </c>
      <c r="L1112" s="59" t="s">
        <v>73</v>
      </c>
      <c r="M1112" s="59" t="s">
        <v>133</v>
      </c>
      <c r="N1112" s="339"/>
      <c r="O1112" s="316">
        <f t="shared" si="82"/>
        <v>20000</v>
      </c>
      <c r="P1112" s="114"/>
      <c r="Q1112" s="114">
        <f t="shared" si="83"/>
        <v>0</v>
      </c>
      <c r="R1112" s="60"/>
      <c r="S1112" s="60" t="s">
        <v>2557</v>
      </c>
      <c r="U1112" s="17"/>
    </row>
    <row r="1113" hidden="1" customHeight="1" spans="2:21">
      <c r="B1113" s="340" t="s">
        <v>2567</v>
      </c>
      <c r="C1113" s="341" t="s">
        <v>2568</v>
      </c>
      <c r="D1113" s="342" t="str">
        <f ca="1" t="shared" si="84"/>
        <v>2个月内</v>
      </c>
      <c r="E1113" s="343">
        <v>46169</v>
      </c>
      <c r="F1113" s="344" t="s">
        <v>70</v>
      </c>
      <c r="G1113" s="344" t="s">
        <v>993</v>
      </c>
      <c r="H1113" s="344"/>
      <c r="I1113" s="340" t="s">
        <v>1754</v>
      </c>
      <c r="J1113" s="345">
        <v>5000</v>
      </c>
      <c r="K1113" s="344" t="s">
        <v>28</v>
      </c>
      <c r="L1113" s="346" t="s">
        <v>73</v>
      </c>
      <c r="M1113" s="346" t="s">
        <v>30</v>
      </c>
      <c r="N1113" s="347"/>
      <c r="O1113" s="348">
        <f t="shared" si="82"/>
        <v>5000</v>
      </c>
      <c r="P1113" s="349"/>
      <c r="Q1113" s="349"/>
      <c r="R1113" s="350"/>
      <c r="S1113" s="350" t="s">
        <v>2569</v>
      </c>
      <c r="U1113" s="17"/>
    </row>
    <row r="1114" hidden="1" customHeight="1" spans="2:21">
      <c r="B1114" s="351" t="s">
        <v>2570</v>
      </c>
      <c r="C1114" s="352" t="s">
        <v>2571</v>
      </c>
      <c r="D1114" s="353" t="str">
        <f ca="1" t="shared" si="84"/>
        <v>2个月内</v>
      </c>
      <c r="E1114" s="354">
        <v>46170</v>
      </c>
      <c r="F1114" s="355" t="s">
        <v>70</v>
      </c>
      <c r="G1114" s="355" t="s">
        <v>993</v>
      </c>
      <c r="H1114" s="355"/>
      <c r="I1114" s="351" t="s">
        <v>2255</v>
      </c>
      <c r="J1114" s="356">
        <v>10000</v>
      </c>
      <c r="K1114" s="355" t="s">
        <v>1706</v>
      </c>
      <c r="L1114" s="357" t="s">
        <v>73</v>
      </c>
      <c r="M1114" s="357" t="s">
        <v>30</v>
      </c>
      <c r="N1114" s="358">
        <v>10000</v>
      </c>
      <c r="O1114" s="359">
        <f t="shared" si="82"/>
        <v>0</v>
      </c>
      <c r="P1114" s="144">
        <v>46195</v>
      </c>
      <c r="Q1114" s="114">
        <f t="shared" si="83"/>
        <v>46195</v>
      </c>
      <c r="R1114" s="360"/>
      <c r="S1114" s="360" t="s">
        <v>2572</v>
      </c>
      <c r="U1114" s="17"/>
    </row>
    <row r="1115" hidden="1" customHeight="1" spans="2:21">
      <c r="B1115" s="351" t="s">
        <v>2573</v>
      </c>
      <c r="C1115" s="352">
        <v>46182</v>
      </c>
      <c r="D1115" s="361" t="s">
        <v>1540</v>
      </c>
      <c r="E1115" s="354">
        <v>46182</v>
      </c>
      <c r="F1115" s="355" t="s">
        <v>70</v>
      </c>
      <c r="G1115" s="362" t="s">
        <v>2485</v>
      </c>
      <c r="H1115" s="351"/>
      <c r="I1115" s="363" t="s">
        <v>2574</v>
      </c>
      <c r="J1115" s="356">
        <v>50000</v>
      </c>
      <c r="K1115" s="355" t="s">
        <v>1706</v>
      </c>
      <c r="L1115" s="357" t="s">
        <v>73</v>
      </c>
      <c r="M1115" s="364" t="s">
        <v>133</v>
      </c>
      <c r="N1115" s="365"/>
      <c r="O1115" s="359">
        <f t="shared" si="82"/>
        <v>50000</v>
      </c>
      <c r="P1115" s="366"/>
      <c r="Q1115" s="367"/>
      <c r="R1115" s="357"/>
      <c r="S1115" s="60" t="s">
        <v>2565</v>
      </c>
    </row>
    <row r="1116" hidden="1" customHeight="1" spans="2:21">
      <c r="B1116" s="351" t="s">
        <v>2575</v>
      </c>
      <c r="C1116" s="2" t="s">
        <v>2576</v>
      </c>
      <c r="D1116" s="361" t="s">
        <v>1540</v>
      </c>
      <c r="E1116" s="354">
        <v>46189</v>
      </c>
      <c r="F1116" s="355" t="s">
        <v>70</v>
      </c>
      <c r="G1116" s="344" t="s">
        <v>993</v>
      </c>
      <c r="H1116" s="351"/>
      <c r="I1116" s="351" t="s">
        <v>2255</v>
      </c>
      <c r="J1116" s="356">
        <v>40000</v>
      </c>
      <c r="K1116" s="355" t="s">
        <v>1706</v>
      </c>
      <c r="L1116" s="357" t="s">
        <v>73</v>
      </c>
      <c r="M1116" s="357" t="s">
        <v>30</v>
      </c>
      <c r="N1116" s="365"/>
      <c r="O1116" s="359">
        <f t="shared" si="82"/>
        <v>40000</v>
      </c>
      <c r="P1116" s="366"/>
      <c r="Q1116" s="367"/>
      <c r="R1116" s="357"/>
      <c r="S1116" s="2" t="s">
        <v>2577</v>
      </c>
    </row>
    <row r="1117" hidden="1" customHeight="1" spans="2:21">
      <c r="B1117" s="31" t="s">
        <v>2578</v>
      </c>
      <c r="C1117" s="32" t="s">
        <v>2579</v>
      </c>
      <c r="D1117" s="361" t="s">
        <v>1540</v>
      </c>
      <c r="E1117" s="301">
        <v>46196</v>
      </c>
      <c r="F1117" s="355" t="s">
        <v>70</v>
      </c>
      <c r="G1117" s="344" t="s">
        <v>993</v>
      </c>
      <c r="I1117" s="351" t="s">
        <v>2187</v>
      </c>
      <c r="J1117" s="302">
        <v>2000</v>
      </c>
      <c r="K1117" s="105" t="s">
        <v>2432</v>
      </c>
      <c r="L1117" s="59" t="s">
        <v>2420</v>
      </c>
      <c r="M1117" s="357" t="s">
        <v>30</v>
      </c>
      <c r="O1117" s="359">
        <f t="shared" si="82"/>
        <v>2000</v>
      </c>
      <c r="S1117" s="368" t="s">
        <v>2580</v>
      </c>
    </row>
  </sheetData>
  <sheetProtection formatCells="0" formatColumns="0" formatRows="0" insertRows="0" insertColumns="0" insertHyperlinks="0" deleteColumns="0" deleteRows="0" sort="0" autoFilter="0" pivotTables="0"/>
  <autoFilter xmlns:etc="http://www.wps.cn/officeDocument/2017/etCustomData" ref="A2:Y1117" etc:filterBottomFollowUsedRange="0">
    <filterColumn colId="15">
      <filters>
        <dateGroupItem year="2026" month="6" day="29" dateTimeGrouping="day"/>
      </filters>
    </filterColumn>
    <extLst/>
  </autoFilter>
  <conditionalFormatting sqref="B4">
    <cfRule type="duplicateValues" dxfId="5" priority="1066"/>
  </conditionalFormatting>
  <conditionalFormatting sqref="B5">
    <cfRule type="duplicateValues" dxfId="5" priority="1065"/>
  </conditionalFormatting>
  <conditionalFormatting sqref="B6">
    <cfRule type="duplicateValues" dxfId="5" priority="1064"/>
  </conditionalFormatting>
  <conditionalFormatting sqref="B7">
    <cfRule type="duplicateValues" dxfId="5" priority="1063"/>
  </conditionalFormatting>
  <conditionalFormatting sqref="B8">
    <cfRule type="duplicateValues" dxfId="5" priority="1062"/>
  </conditionalFormatting>
  <conditionalFormatting sqref="B9">
    <cfRule type="duplicateValues" dxfId="5" priority="1061"/>
  </conditionalFormatting>
  <conditionalFormatting sqref="B10">
    <cfRule type="duplicateValues" dxfId="5" priority="1060"/>
  </conditionalFormatting>
  <conditionalFormatting sqref="B11">
    <cfRule type="duplicateValues" dxfId="5" priority="1059"/>
  </conditionalFormatting>
  <conditionalFormatting sqref="B12">
    <cfRule type="duplicateValues" dxfId="5" priority="1058"/>
  </conditionalFormatting>
  <conditionalFormatting sqref="B13">
    <cfRule type="duplicateValues" dxfId="5" priority="1057"/>
  </conditionalFormatting>
  <conditionalFormatting sqref="B14">
    <cfRule type="duplicateValues" dxfId="5" priority="1056"/>
  </conditionalFormatting>
  <conditionalFormatting sqref="B15">
    <cfRule type="duplicateValues" dxfId="5" priority="1055"/>
  </conditionalFormatting>
  <conditionalFormatting sqref="B16">
    <cfRule type="duplicateValues" dxfId="5" priority="1054"/>
  </conditionalFormatting>
  <conditionalFormatting sqref="B17">
    <cfRule type="duplicateValues" dxfId="5" priority="1053"/>
  </conditionalFormatting>
  <conditionalFormatting sqref="B18">
    <cfRule type="duplicateValues" dxfId="5" priority="1052"/>
  </conditionalFormatting>
  <conditionalFormatting sqref="B19">
    <cfRule type="duplicateValues" dxfId="5" priority="1051"/>
  </conditionalFormatting>
  <conditionalFormatting sqref="B20">
    <cfRule type="duplicateValues" dxfId="5" priority="1050"/>
  </conditionalFormatting>
  <conditionalFormatting sqref="B21">
    <cfRule type="duplicateValues" dxfId="5" priority="1049"/>
  </conditionalFormatting>
  <conditionalFormatting sqref="B22">
    <cfRule type="duplicateValues" dxfId="5" priority="1048"/>
  </conditionalFormatting>
  <conditionalFormatting sqref="B23">
    <cfRule type="duplicateValues" dxfId="5" priority="1047"/>
  </conditionalFormatting>
  <conditionalFormatting sqref="B24">
    <cfRule type="duplicateValues" dxfId="5" priority="1046"/>
  </conditionalFormatting>
  <conditionalFormatting sqref="B25">
    <cfRule type="duplicateValues" dxfId="5" priority="1045"/>
  </conditionalFormatting>
  <conditionalFormatting sqref="B26">
    <cfRule type="duplicateValues" dxfId="5" priority="1044"/>
  </conditionalFormatting>
  <conditionalFormatting sqref="B27">
    <cfRule type="duplicateValues" dxfId="5" priority="1043"/>
  </conditionalFormatting>
  <conditionalFormatting sqref="B28">
    <cfRule type="duplicateValues" dxfId="5" priority="1042"/>
  </conditionalFormatting>
  <conditionalFormatting sqref="B29">
    <cfRule type="duplicateValues" dxfId="5" priority="1041"/>
  </conditionalFormatting>
  <conditionalFormatting sqref="B30">
    <cfRule type="duplicateValues" dxfId="5" priority="1040"/>
  </conditionalFormatting>
  <conditionalFormatting sqref="B31">
    <cfRule type="duplicateValues" dxfId="5" priority="1039"/>
  </conditionalFormatting>
  <conditionalFormatting sqref="B32">
    <cfRule type="duplicateValues" dxfId="5" priority="1038"/>
  </conditionalFormatting>
  <conditionalFormatting sqref="B33">
    <cfRule type="duplicateValues" dxfId="5" priority="1037"/>
  </conditionalFormatting>
  <conditionalFormatting sqref="B34">
    <cfRule type="duplicateValues" dxfId="5" priority="1036"/>
  </conditionalFormatting>
  <conditionalFormatting sqref="B35">
    <cfRule type="duplicateValues" dxfId="5" priority="1035"/>
  </conditionalFormatting>
  <conditionalFormatting sqref="B36">
    <cfRule type="duplicateValues" dxfId="5" priority="1034"/>
  </conditionalFormatting>
  <conditionalFormatting sqref="B37">
    <cfRule type="duplicateValues" dxfId="5" priority="1033"/>
  </conditionalFormatting>
  <conditionalFormatting sqref="B38">
    <cfRule type="duplicateValues" dxfId="5" priority="1032"/>
  </conditionalFormatting>
  <conditionalFormatting sqref="B39">
    <cfRule type="duplicateValues" dxfId="5" priority="1031"/>
  </conditionalFormatting>
  <conditionalFormatting sqref="B40">
    <cfRule type="duplicateValues" dxfId="5" priority="1030"/>
  </conditionalFormatting>
  <conditionalFormatting sqref="B41">
    <cfRule type="duplicateValues" dxfId="5" priority="1029"/>
  </conditionalFormatting>
  <conditionalFormatting sqref="B42">
    <cfRule type="duplicateValues" dxfId="5" priority="1028"/>
  </conditionalFormatting>
  <conditionalFormatting sqref="B43">
    <cfRule type="duplicateValues" dxfId="5" priority="1027"/>
  </conditionalFormatting>
  <conditionalFormatting sqref="B44">
    <cfRule type="duplicateValues" dxfId="5" priority="1026"/>
  </conditionalFormatting>
  <conditionalFormatting sqref="B45">
    <cfRule type="duplicateValues" dxfId="5" priority="1025"/>
  </conditionalFormatting>
  <conditionalFormatting sqref="B46">
    <cfRule type="duplicateValues" dxfId="5" priority="1024"/>
  </conditionalFormatting>
  <conditionalFormatting sqref="B47">
    <cfRule type="duplicateValues" dxfId="5" priority="1023"/>
  </conditionalFormatting>
  <conditionalFormatting sqref="B48">
    <cfRule type="duplicateValues" dxfId="5" priority="1022"/>
  </conditionalFormatting>
  <conditionalFormatting sqref="B49">
    <cfRule type="duplicateValues" dxfId="5" priority="1021"/>
  </conditionalFormatting>
  <conditionalFormatting sqref="B50">
    <cfRule type="duplicateValues" dxfId="5" priority="1020"/>
  </conditionalFormatting>
  <conditionalFormatting sqref="B51">
    <cfRule type="duplicateValues" dxfId="5" priority="1019"/>
  </conditionalFormatting>
  <conditionalFormatting sqref="B52">
    <cfRule type="duplicateValues" dxfId="5" priority="1018"/>
  </conditionalFormatting>
  <conditionalFormatting sqref="B53">
    <cfRule type="duplicateValues" dxfId="5" priority="1017"/>
  </conditionalFormatting>
  <conditionalFormatting sqref="B54">
    <cfRule type="duplicateValues" dxfId="5" priority="1016"/>
  </conditionalFormatting>
  <conditionalFormatting sqref="B55">
    <cfRule type="duplicateValues" dxfId="5" priority="1015"/>
  </conditionalFormatting>
  <conditionalFormatting sqref="B56">
    <cfRule type="duplicateValues" dxfId="5" priority="1014"/>
  </conditionalFormatting>
  <conditionalFormatting sqref="B57">
    <cfRule type="duplicateValues" dxfId="5" priority="1013"/>
  </conditionalFormatting>
  <conditionalFormatting sqref="B58">
    <cfRule type="duplicateValues" dxfId="5" priority="1012"/>
  </conditionalFormatting>
  <conditionalFormatting sqref="B59">
    <cfRule type="duplicateValues" dxfId="5" priority="1011"/>
  </conditionalFormatting>
  <conditionalFormatting sqref="B60">
    <cfRule type="duplicateValues" dxfId="5" priority="1010"/>
  </conditionalFormatting>
  <conditionalFormatting sqref="B61">
    <cfRule type="duplicateValues" dxfId="5" priority="1009"/>
  </conditionalFormatting>
  <conditionalFormatting sqref="B62">
    <cfRule type="duplicateValues" dxfId="5" priority="1008"/>
  </conditionalFormatting>
  <conditionalFormatting sqref="B63">
    <cfRule type="duplicateValues" dxfId="5" priority="1007"/>
  </conditionalFormatting>
  <conditionalFormatting sqref="B64">
    <cfRule type="duplicateValues" dxfId="5" priority="1006"/>
  </conditionalFormatting>
  <conditionalFormatting sqref="B65">
    <cfRule type="duplicateValues" dxfId="5" priority="1005"/>
  </conditionalFormatting>
  <conditionalFormatting sqref="B66">
    <cfRule type="duplicateValues" dxfId="5" priority="1004"/>
  </conditionalFormatting>
  <conditionalFormatting sqref="B67">
    <cfRule type="duplicateValues" dxfId="5" priority="1003"/>
  </conditionalFormatting>
  <conditionalFormatting sqref="B68">
    <cfRule type="duplicateValues" dxfId="5" priority="1002"/>
  </conditionalFormatting>
  <conditionalFormatting sqref="B69">
    <cfRule type="duplicateValues" dxfId="5" priority="1001"/>
  </conditionalFormatting>
  <conditionalFormatting sqref="B70">
    <cfRule type="duplicateValues" dxfId="5" priority="1000"/>
  </conditionalFormatting>
  <conditionalFormatting sqref="B71">
    <cfRule type="duplicateValues" dxfId="5" priority="999"/>
  </conditionalFormatting>
  <conditionalFormatting sqref="B72">
    <cfRule type="duplicateValues" dxfId="5" priority="998"/>
  </conditionalFormatting>
  <conditionalFormatting sqref="B73">
    <cfRule type="duplicateValues" dxfId="5" priority="997"/>
  </conditionalFormatting>
  <conditionalFormatting sqref="B74">
    <cfRule type="duplicateValues" dxfId="5" priority="996"/>
  </conditionalFormatting>
  <conditionalFormatting sqref="B75">
    <cfRule type="duplicateValues" dxfId="5" priority="995"/>
  </conditionalFormatting>
  <conditionalFormatting sqref="B76">
    <cfRule type="duplicateValues" dxfId="5" priority="994"/>
  </conditionalFormatting>
  <conditionalFormatting sqref="B77">
    <cfRule type="duplicateValues" dxfId="5" priority="993"/>
  </conditionalFormatting>
  <conditionalFormatting sqref="B78">
    <cfRule type="duplicateValues" dxfId="5" priority="992"/>
  </conditionalFormatting>
  <conditionalFormatting sqref="B79">
    <cfRule type="duplicateValues" dxfId="5" priority="991"/>
  </conditionalFormatting>
  <conditionalFormatting sqref="B80">
    <cfRule type="duplicateValues" dxfId="5" priority="990"/>
  </conditionalFormatting>
  <conditionalFormatting sqref="B81">
    <cfRule type="duplicateValues" dxfId="5" priority="989"/>
  </conditionalFormatting>
  <conditionalFormatting sqref="B82">
    <cfRule type="duplicateValues" dxfId="5" priority="988"/>
  </conditionalFormatting>
  <conditionalFormatting sqref="B83">
    <cfRule type="duplicateValues" dxfId="5" priority="987"/>
  </conditionalFormatting>
  <conditionalFormatting sqref="B84">
    <cfRule type="duplicateValues" dxfId="5" priority="986"/>
  </conditionalFormatting>
  <conditionalFormatting sqref="B85">
    <cfRule type="duplicateValues" dxfId="5" priority="985"/>
  </conditionalFormatting>
  <conditionalFormatting sqref="B86">
    <cfRule type="duplicateValues" dxfId="5" priority="984"/>
  </conditionalFormatting>
  <conditionalFormatting sqref="B87">
    <cfRule type="duplicateValues" dxfId="5" priority="983"/>
  </conditionalFormatting>
  <conditionalFormatting sqref="B88">
    <cfRule type="duplicateValues" dxfId="5" priority="982"/>
  </conditionalFormatting>
  <conditionalFormatting sqref="B89">
    <cfRule type="duplicateValues" dxfId="5" priority="981"/>
  </conditionalFormatting>
  <conditionalFormatting sqref="B90">
    <cfRule type="duplicateValues" dxfId="5" priority="980"/>
  </conditionalFormatting>
  <conditionalFormatting sqref="B91">
    <cfRule type="duplicateValues" dxfId="5" priority="979"/>
  </conditionalFormatting>
  <conditionalFormatting sqref="B92">
    <cfRule type="duplicateValues" dxfId="5" priority="978"/>
  </conditionalFormatting>
  <conditionalFormatting sqref="B93">
    <cfRule type="duplicateValues" dxfId="5" priority="977"/>
  </conditionalFormatting>
  <conditionalFormatting sqref="B94">
    <cfRule type="duplicateValues" dxfId="5" priority="976"/>
  </conditionalFormatting>
  <conditionalFormatting sqref="B95">
    <cfRule type="duplicateValues" dxfId="5" priority="975"/>
  </conditionalFormatting>
  <conditionalFormatting sqref="B96">
    <cfRule type="duplicateValues" dxfId="5" priority="974"/>
  </conditionalFormatting>
  <conditionalFormatting sqref="B97">
    <cfRule type="duplicateValues" dxfId="5" priority="973"/>
  </conditionalFormatting>
  <conditionalFormatting sqref="B98">
    <cfRule type="duplicateValues" dxfId="5" priority="972"/>
  </conditionalFormatting>
  <conditionalFormatting sqref="B99">
    <cfRule type="duplicateValues" dxfId="5" priority="971"/>
  </conditionalFormatting>
  <conditionalFormatting sqref="B100">
    <cfRule type="duplicateValues" dxfId="5" priority="970"/>
  </conditionalFormatting>
  <conditionalFormatting sqref="B101">
    <cfRule type="duplicateValues" dxfId="5" priority="969"/>
  </conditionalFormatting>
  <conditionalFormatting sqref="B102">
    <cfRule type="duplicateValues" dxfId="5" priority="968"/>
  </conditionalFormatting>
  <conditionalFormatting sqref="B103">
    <cfRule type="duplicateValues" dxfId="5" priority="967"/>
  </conditionalFormatting>
  <conditionalFormatting sqref="B104">
    <cfRule type="duplicateValues" dxfId="5" priority="966"/>
  </conditionalFormatting>
  <conditionalFormatting sqref="B105">
    <cfRule type="duplicateValues" dxfId="5" priority="965"/>
  </conditionalFormatting>
  <conditionalFormatting sqref="B106">
    <cfRule type="duplicateValues" dxfId="5" priority="964"/>
  </conditionalFormatting>
  <conditionalFormatting sqref="B107">
    <cfRule type="duplicateValues" dxfId="5" priority="963"/>
  </conditionalFormatting>
  <conditionalFormatting sqref="B108">
    <cfRule type="duplicateValues" dxfId="5" priority="962"/>
  </conditionalFormatting>
  <conditionalFormatting sqref="B109">
    <cfRule type="duplicateValues" dxfId="5" priority="961"/>
  </conditionalFormatting>
  <conditionalFormatting sqref="B110">
    <cfRule type="duplicateValues" dxfId="5" priority="960"/>
  </conditionalFormatting>
  <conditionalFormatting sqref="B111">
    <cfRule type="duplicateValues" dxfId="5" priority="959"/>
  </conditionalFormatting>
  <conditionalFormatting sqref="B112">
    <cfRule type="duplicateValues" dxfId="5" priority="958"/>
  </conditionalFormatting>
  <conditionalFormatting sqref="B113">
    <cfRule type="duplicateValues" dxfId="5" priority="957"/>
  </conditionalFormatting>
  <conditionalFormatting sqref="B114">
    <cfRule type="duplicateValues" dxfId="5" priority="956"/>
  </conditionalFormatting>
  <conditionalFormatting sqref="B115">
    <cfRule type="duplicateValues" dxfId="5" priority="955"/>
  </conditionalFormatting>
  <conditionalFormatting sqref="B116">
    <cfRule type="duplicateValues" dxfId="5" priority="954"/>
  </conditionalFormatting>
  <conditionalFormatting sqref="B117">
    <cfRule type="duplicateValues" dxfId="5" priority="953"/>
  </conditionalFormatting>
  <conditionalFormatting sqref="B118">
    <cfRule type="duplicateValues" dxfId="5" priority="952"/>
  </conditionalFormatting>
  <conditionalFormatting sqref="B119">
    <cfRule type="duplicateValues" dxfId="5" priority="951"/>
  </conditionalFormatting>
  <conditionalFormatting sqref="B120">
    <cfRule type="duplicateValues" dxfId="5" priority="950"/>
  </conditionalFormatting>
  <conditionalFormatting sqref="B121">
    <cfRule type="duplicateValues" dxfId="5" priority="949"/>
  </conditionalFormatting>
  <conditionalFormatting sqref="B122">
    <cfRule type="duplicateValues" dxfId="5" priority="948"/>
  </conditionalFormatting>
  <conditionalFormatting sqref="B123">
    <cfRule type="duplicateValues" dxfId="5" priority="947"/>
  </conditionalFormatting>
  <conditionalFormatting sqref="B124">
    <cfRule type="duplicateValues" dxfId="5" priority="946"/>
  </conditionalFormatting>
  <conditionalFormatting sqref="B125">
    <cfRule type="duplicateValues" dxfId="5" priority="945"/>
  </conditionalFormatting>
  <conditionalFormatting sqref="B126">
    <cfRule type="duplicateValues" dxfId="5" priority="944"/>
  </conditionalFormatting>
  <conditionalFormatting sqref="B127">
    <cfRule type="duplicateValues" dxfId="5" priority="943"/>
  </conditionalFormatting>
  <conditionalFormatting sqref="B128">
    <cfRule type="duplicateValues" dxfId="5" priority="942"/>
  </conditionalFormatting>
  <conditionalFormatting sqref="B129">
    <cfRule type="duplicateValues" dxfId="5" priority="941"/>
  </conditionalFormatting>
  <conditionalFormatting sqref="B130">
    <cfRule type="duplicateValues" dxfId="5" priority="940"/>
  </conditionalFormatting>
  <conditionalFormatting sqref="B131">
    <cfRule type="duplicateValues" dxfId="5" priority="939"/>
  </conditionalFormatting>
  <conditionalFormatting sqref="B132">
    <cfRule type="duplicateValues" dxfId="5" priority="938"/>
  </conditionalFormatting>
  <conditionalFormatting sqref="B133">
    <cfRule type="duplicateValues" dxfId="5" priority="937"/>
  </conditionalFormatting>
  <conditionalFormatting sqref="B134">
    <cfRule type="duplicateValues" dxfId="5" priority="936"/>
  </conditionalFormatting>
  <conditionalFormatting sqref="B135">
    <cfRule type="duplicateValues" dxfId="5" priority="935"/>
  </conditionalFormatting>
  <conditionalFormatting sqref="B136">
    <cfRule type="duplicateValues" dxfId="5" priority="934"/>
  </conditionalFormatting>
  <conditionalFormatting sqref="B137">
    <cfRule type="duplicateValues" dxfId="5" priority="933"/>
  </conditionalFormatting>
  <conditionalFormatting sqref="B138">
    <cfRule type="duplicateValues" dxfId="5" priority="932"/>
  </conditionalFormatting>
  <conditionalFormatting sqref="B139">
    <cfRule type="duplicateValues" dxfId="5" priority="931"/>
  </conditionalFormatting>
  <conditionalFormatting sqref="B140">
    <cfRule type="duplicateValues" dxfId="5" priority="930"/>
  </conditionalFormatting>
  <conditionalFormatting sqref="B141">
    <cfRule type="duplicateValues" dxfId="5" priority="929"/>
  </conditionalFormatting>
  <conditionalFormatting sqref="B142">
    <cfRule type="duplicateValues" dxfId="5" priority="928"/>
  </conditionalFormatting>
  <conditionalFormatting sqref="B143">
    <cfRule type="duplicateValues" dxfId="5" priority="927"/>
  </conditionalFormatting>
  <conditionalFormatting sqref="B144">
    <cfRule type="duplicateValues" dxfId="5" priority="926"/>
  </conditionalFormatting>
  <conditionalFormatting sqref="B145">
    <cfRule type="duplicateValues" dxfId="5" priority="925"/>
  </conditionalFormatting>
  <conditionalFormatting sqref="B146">
    <cfRule type="duplicateValues" dxfId="5" priority="924"/>
  </conditionalFormatting>
  <conditionalFormatting sqref="B147">
    <cfRule type="duplicateValues" dxfId="5" priority="923"/>
  </conditionalFormatting>
  <conditionalFormatting sqref="B148">
    <cfRule type="duplicateValues" dxfId="5" priority="922"/>
  </conditionalFormatting>
  <conditionalFormatting sqref="B149">
    <cfRule type="duplicateValues" dxfId="5" priority="921"/>
  </conditionalFormatting>
  <conditionalFormatting sqref="B150">
    <cfRule type="duplicateValues" dxfId="5" priority="920"/>
  </conditionalFormatting>
  <conditionalFormatting sqref="B151">
    <cfRule type="duplicateValues" dxfId="5" priority="919"/>
  </conditionalFormatting>
  <conditionalFormatting sqref="B152">
    <cfRule type="duplicateValues" dxfId="5" priority="918"/>
  </conditionalFormatting>
  <conditionalFormatting sqref="B153">
    <cfRule type="duplicateValues" dxfId="5" priority="917"/>
  </conditionalFormatting>
  <conditionalFormatting sqref="B154">
    <cfRule type="duplicateValues" dxfId="5" priority="916"/>
  </conditionalFormatting>
  <conditionalFormatting sqref="B155">
    <cfRule type="duplicateValues" dxfId="5" priority="915"/>
  </conditionalFormatting>
  <conditionalFormatting sqref="B156">
    <cfRule type="duplicateValues" dxfId="5" priority="914"/>
  </conditionalFormatting>
  <conditionalFormatting sqref="B157">
    <cfRule type="duplicateValues" dxfId="5" priority="913"/>
  </conditionalFormatting>
  <conditionalFormatting sqref="B158">
    <cfRule type="duplicateValues" dxfId="5" priority="912"/>
  </conditionalFormatting>
  <conditionalFormatting sqref="B159">
    <cfRule type="duplicateValues" dxfId="5" priority="911"/>
  </conditionalFormatting>
  <conditionalFormatting sqref="B160">
    <cfRule type="duplicateValues" dxfId="5" priority="910"/>
  </conditionalFormatting>
  <conditionalFormatting sqref="B161">
    <cfRule type="duplicateValues" dxfId="5" priority="909"/>
  </conditionalFormatting>
  <conditionalFormatting sqref="B162">
    <cfRule type="duplicateValues" dxfId="5" priority="908"/>
  </conditionalFormatting>
  <conditionalFormatting sqref="B163">
    <cfRule type="duplicateValues" dxfId="5" priority="907"/>
  </conditionalFormatting>
  <conditionalFormatting sqref="B164">
    <cfRule type="duplicateValues" dxfId="5" priority="906"/>
  </conditionalFormatting>
  <conditionalFormatting sqref="B165">
    <cfRule type="duplicateValues" dxfId="5" priority="905"/>
  </conditionalFormatting>
  <conditionalFormatting sqref="B166">
    <cfRule type="duplicateValues" dxfId="5" priority="904"/>
  </conditionalFormatting>
  <conditionalFormatting sqref="B167">
    <cfRule type="duplicateValues" dxfId="5" priority="903"/>
  </conditionalFormatting>
  <conditionalFormatting sqref="B168">
    <cfRule type="duplicateValues" dxfId="5" priority="902"/>
  </conditionalFormatting>
  <conditionalFormatting sqref="B169">
    <cfRule type="duplicateValues" dxfId="5" priority="901"/>
  </conditionalFormatting>
  <conditionalFormatting sqref="B170">
    <cfRule type="duplicateValues" dxfId="5" priority="900"/>
  </conditionalFormatting>
  <conditionalFormatting sqref="B171">
    <cfRule type="duplicateValues" dxfId="5" priority="899"/>
  </conditionalFormatting>
  <conditionalFormatting sqref="B172">
    <cfRule type="duplicateValues" dxfId="5" priority="898"/>
  </conditionalFormatting>
  <conditionalFormatting sqref="B173">
    <cfRule type="duplicateValues" dxfId="5" priority="897"/>
  </conditionalFormatting>
  <conditionalFormatting sqref="B174">
    <cfRule type="duplicateValues" dxfId="5" priority="896"/>
  </conditionalFormatting>
  <conditionalFormatting sqref="B175">
    <cfRule type="duplicateValues" dxfId="5" priority="895"/>
  </conditionalFormatting>
  <conditionalFormatting sqref="B176">
    <cfRule type="duplicateValues" dxfId="5" priority="894"/>
  </conditionalFormatting>
  <conditionalFormatting sqref="B177">
    <cfRule type="duplicateValues" dxfId="5" priority="893"/>
  </conditionalFormatting>
  <conditionalFormatting sqref="B178">
    <cfRule type="duplicateValues" dxfId="5" priority="892"/>
  </conditionalFormatting>
  <conditionalFormatting sqref="B179">
    <cfRule type="duplicateValues" dxfId="5" priority="891"/>
  </conditionalFormatting>
  <conditionalFormatting sqref="B180">
    <cfRule type="duplicateValues" dxfId="5" priority="890"/>
  </conditionalFormatting>
  <conditionalFormatting sqref="B181">
    <cfRule type="duplicateValues" dxfId="5" priority="889"/>
  </conditionalFormatting>
  <conditionalFormatting sqref="B182">
    <cfRule type="duplicateValues" dxfId="5" priority="888"/>
  </conditionalFormatting>
  <conditionalFormatting sqref="B183">
    <cfRule type="duplicateValues" dxfId="5" priority="887"/>
  </conditionalFormatting>
  <conditionalFormatting sqref="B184">
    <cfRule type="duplicateValues" dxfId="5" priority="886"/>
  </conditionalFormatting>
  <conditionalFormatting sqref="B185">
    <cfRule type="duplicateValues" dxfId="5" priority="885"/>
  </conditionalFormatting>
  <conditionalFormatting sqref="B186">
    <cfRule type="duplicateValues" dxfId="5" priority="884"/>
  </conditionalFormatting>
  <conditionalFormatting sqref="B187">
    <cfRule type="duplicateValues" dxfId="5" priority="883"/>
  </conditionalFormatting>
  <conditionalFormatting sqref="B188">
    <cfRule type="duplicateValues" dxfId="5" priority="882"/>
  </conditionalFormatting>
  <conditionalFormatting sqref="B189">
    <cfRule type="duplicateValues" dxfId="5" priority="881"/>
  </conditionalFormatting>
  <conditionalFormatting sqref="B190">
    <cfRule type="duplicateValues" dxfId="5" priority="880"/>
  </conditionalFormatting>
  <conditionalFormatting sqref="B191">
    <cfRule type="duplicateValues" dxfId="5" priority="879"/>
  </conditionalFormatting>
  <conditionalFormatting sqref="B192">
    <cfRule type="duplicateValues" dxfId="5" priority="878"/>
  </conditionalFormatting>
  <conditionalFormatting sqref="B193">
    <cfRule type="duplicateValues" dxfId="5" priority="877"/>
  </conditionalFormatting>
  <conditionalFormatting sqref="B194">
    <cfRule type="duplicateValues" dxfId="5" priority="876"/>
  </conditionalFormatting>
  <conditionalFormatting sqref="B195">
    <cfRule type="duplicateValues" dxfId="5" priority="875"/>
  </conditionalFormatting>
  <conditionalFormatting sqref="B196">
    <cfRule type="duplicateValues" dxfId="5" priority="874"/>
  </conditionalFormatting>
  <conditionalFormatting sqref="B197">
    <cfRule type="duplicateValues" dxfId="5" priority="873"/>
  </conditionalFormatting>
  <conditionalFormatting sqref="B198">
    <cfRule type="duplicateValues" dxfId="5" priority="872"/>
  </conditionalFormatting>
  <conditionalFormatting sqref="B199">
    <cfRule type="duplicateValues" dxfId="5" priority="871"/>
  </conditionalFormatting>
  <conditionalFormatting sqref="B200">
    <cfRule type="duplicateValues" dxfId="5" priority="870"/>
  </conditionalFormatting>
  <conditionalFormatting sqref="B201">
    <cfRule type="duplicateValues" dxfId="5" priority="869"/>
  </conditionalFormatting>
  <conditionalFormatting sqref="B202">
    <cfRule type="duplicateValues" dxfId="5" priority="868"/>
  </conditionalFormatting>
  <conditionalFormatting sqref="B203">
    <cfRule type="duplicateValues" dxfId="5" priority="867"/>
  </conditionalFormatting>
  <conditionalFormatting sqref="B204">
    <cfRule type="duplicateValues" dxfId="5" priority="866"/>
  </conditionalFormatting>
  <conditionalFormatting sqref="B205">
    <cfRule type="duplicateValues" dxfId="5" priority="865"/>
  </conditionalFormatting>
  <conditionalFormatting sqref="B206">
    <cfRule type="duplicateValues" dxfId="5" priority="864"/>
  </conditionalFormatting>
  <conditionalFormatting sqref="B207">
    <cfRule type="duplicateValues" dxfId="5" priority="863"/>
  </conditionalFormatting>
  <conditionalFormatting sqref="B208">
    <cfRule type="duplicateValues" dxfId="5" priority="862"/>
  </conditionalFormatting>
  <conditionalFormatting sqref="B209">
    <cfRule type="duplicateValues" dxfId="5" priority="861"/>
  </conditionalFormatting>
  <conditionalFormatting sqref="B210">
    <cfRule type="duplicateValues" dxfId="5" priority="860"/>
  </conditionalFormatting>
  <conditionalFormatting sqref="B211">
    <cfRule type="duplicateValues" dxfId="5" priority="859"/>
  </conditionalFormatting>
  <conditionalFormatting sqref="B212">
    <cfRule type="duplicateValues" dxfId="5" priority="858"/>
  </conditionalFormatting>
  <conditionalFormatting sqref="B213">
    <cfRule type="duplicateValues" dxfId="5" priority="857"/>
  </conditionalFormatting>
  <conditionalFormatting sqref="B214">
    <cfRule type="duplicateValues" dxfId="5" priority="856"/>
  </conditionalFormatting>
  <conditionalFormatting sqref="B215">
    <cfRule type="duplicateValues" dxfId="5" priority="855"/>
  </conditionalFormatting>
  <conditionalFormatting sqref="B216">
    <cfRule type="duplicateValues" dxfId="5" priority="854"/>
  </conditionalFormatting>
  <conditionalFormatting sqref="B217">
    <cfRule type="duplicateValues" dxfId="5" priority="853"/>
  </conditionalFormatting>
  <conditionalFormatting sqref="B218">
    <cfRule type="duplicateValues" dxfId="5" priority="852"/>
  </conditionalFormatting>
  <conditionalFormatting sqref="B219">
    <cfRule type="duplicateValues" dxfId="5" priority="851"/>
  </conditionalFormatting>
  <conditionalFormatting sqref="B220">
    <cfRule type="duplicateValues" dxfId="5" priority="850"/>
  </conditionalFormatting>
  <conditionalFormatting sqref="B221">
    <cfRule type="duplicateValues" dxfId="5" priority="849"/>
  </conditionalFormatting>
  <conditionalFormatting sqref="B222">
    <cfRule type="duplicateValues" dxfId="5" priority="848"/>
  </conditionalFormatting>
  <conditionalFormatting sqref="B223">
    <cfRule type="duplicateValues" dxfId="5" priority="847"/>
  </conditionalFormatting>
  <conditionalFormatting sqref="B224">
    <cfRule type="duplicateValues" dxfId="5" priority="846"/>
  </conditionalFormatting>
  <conditionalFormatting sqref="B225">
    <cfRule type="duplicateValues" dxfId="5" priority="845"/>
  </conditionalFormatting>
  <conditionalFormatting sqref="B226">
    <cfRule type="duplicateValues" dxfId="5" priority="844"/>
  </conditionalFormatting>
  <conditionalFormatting sqref="B227">
    <cfRule type="duplicateValues" dxfId="5" priority="843"/>
  </conditionalFormatting>
  <conditionalFormatting sqref="B228">
    <cfRule type="duplicateValues" dxfId="5" priority="842"/>
  </conditionalFormatting>
  <conditionalFormatting sqref="B229">
    <cfRule type="duplicateValues" dxfId="5" priority="841"/>
  </conditionalFormatting>
  <conditionalFormatting sqref="B230">
    <cfRule type="duplicateValues" dxfId="5" priority="840"/>
  </conditionalFormatting>
  <conditionalFormatting sqref="B231">
    <cfRule type="duplicateValues" dxfId="5" priority="839"/>
  </conditionalFormatting>
  <conditionalFormatting sqref="B232">
    <cfRule type="duplicateValues" dxfId="5" priority="838"/>
  </conditionalFormatting>
  <conditionalFormatting sqref="B233">
    <cfRule type="duplicateValues" dxfId="5" priority="837"/>
  </conditionalFormatting>
  <conditionalFormatting sqref="B234">
    <cfRule type="duplicateValues" dxfId="5" priority="836"/>
  </conditionalFormatting>
  <conditionalFormatting sqref="B235">
    <cfRule type="duplicateValues" dxfId="5" priority="835"/>
  </conditionalFormatting>
  <conditionalFormatting sqref="B236">
    <cfRule type="duplicateValues" dxfId="5" priority="834"/>
  </conditionalFormatting>
  <conditionalFormatting sqref="B237">
    <cfRule type="duplicateValues" dxfId="5" priority="833"/>
  </conditionalFormatting>
  <conditionalFormatting sqref="B238">
    <cfRule type="duplicateValues" dxfId="5" priority="832"/>
  </conditionalFormatting>
  <conditionalFormatting sqref="B239">
    <cfRule type="duplicateValues" dxfId="5" priority="831"/>
  </conditionalFormatting>
  <conditionalFormatting sqref="B240">
    <cfRule type="duplicateValues" dxfId="5" priority="830"/>
  </conditionalFormatting>
  <conditionalFormatting sqref="B241">
    <cfRule type="duplicateValues" dxfId="5" priority="829"/>
  </conditionalFormatting>
  <conditionalFormatting sqref="B242">
    <cfRule type="duplicateValues" dxfId="5" priority="828"/>
  </conditionalFormatting>
  <conditionalFormatting sqref="B243">
    <cfRule type="duplicateValues" dxfId="5" priority="827"/>
  </conditionalFormatting>
  <conditionalFormatting sqref="B244">
    <cfRule type="duplicateValues" dxfId="5" priority="826"/>
  </conditionalFormatting>
  <conditionalFormatting sqref="B245">
    <cfRule type="duplicateValues" dxfId="5" priority="825"/>
  </conditionalFormatting>
  <conditionalFormatting sqref="B246">
    <cfRule type="duplicateValues" dxfId="5" priority="824"/>
  </conditionalFormatting>
  <conditionalFormatting sqref="B247">
    <cfRule type="duplicateValues" dxfId="5" priority="823"/>
  </conditionalFormatting>
  <conditionalFormatting sqref="B248">
    <cfRule type="duplicateValues" dxfId="5" priority="822"/>
  </conditionalFormatting>
  <conditionalFormatting sqref="B249">
    <cfRule type="duplicateValues" dxfId="5" priority="821"/>
  </conditionalFormatting>
  <conditionalFormatting sqref="B250">
    <cfRule type="duplicateValues" dxfId="5" priority="820"/>
  </conditionalFormatting>
  <conditionalFormatting sqref="B251">
    <cfRule type="duplicateValues" dxfId="5" priority="819"/>
  </conditionalFormatting>
  <conditionalFormatting sqref="B252">
    <cfRule type="duplicateValues" dxfId="5" priority="818"/>
  </conditionalFormatting>
  <conditionalFormatting sqref="B253">
    <cfRule type="duplicateValues" dxfId="5" priority="817"/>
  </conditionalFormatting>
  <conditionalFormatting sqref="B254">
    <cfRule type="duplicateValues" dxfId="5" priority="816"/>
  </conditionalFormatting>
  <conditionalFormatting sqref="B255">
    <cfRule type="duplicateValues" dxfId="5" priority="815"/>
  </conditionalFormatting>
  <conditionalFormatting sqref="B256">
    <cfRule type="duplicateValues" dxfId="5" priority="814"/>
  </conditionalFormatting>
  <conditionalFormatting sqref="B257">
    <cfRule type="duplicateValues" dxfId="5" priority="813"/>
  </conditionalFormatting>
  <conditionalFormatting sqref="B258">
    <cfRule type="duplicateValues" dxfId="5" priority="812"/>
  </conditionalFormatting>
  <conditionalFormatting sqref="B259">
    <cfRule type="duplicateValues" dxfId="5" priority="811"/>
  </conditionalFormatting>
  <conditionalFormatting sqref="B260">
    <cfRule type="duplicateValues" dxfId="5" priority="810"/>
  </conditionalFormatting>
  <conditionalFormatting sqref="B261">
    <cfRule type="duplicateValues" dxfId="5" priority="809"/>
  </conditionalFormatting>
  <conditionalFormatting sqref="B262">
    <cfRule type="duplicateValues" dxfId="5" priority="808"/>
  </conditionalFormatting>
  <conditionalFormatting sqref="B263">
    <cfRule type="duplicateValues" dxfId="5" priority="807"/>
  </conditionalFormatting>
  <conditionalFormatting sqref="B264">
    <cfRule type="duplicateValues" dxfId="5" priority="806"/>
  </conditionalFormatting>
  <conditionalFormatting sqref="B265">
    <cfRule type="duplicateValues" dxfId="5" priority="805"/>
  </conditionalFormatting>
  <conditionalFormatting sqref="B266">
    <cfRule type="duplicateValues" dxfId="5" priority="804"/>
  </conditionalFormatting>
  <conditionalFormatting sqref="B267">
    <cfRule type="duplicateValues" dxfId="5" priority="803"/>
  </conditionalFormatting>
  <conditionalFormatting sqref="B268">
    <cfRule type="duplicateValues" dxfId="5" priority="802"/>
  </conditionalFormatting>
  <conditionalFormatting sqref="B269">
    <cfRule type="duplicateValues" dxfId="5" priority="801"/>
  </conditionalFormatting>
  <conditionalFormatting sqref="B270">
    <cfRule type="duplicateValues" dxfId="5" priority="800"/>
  </conditionalFormatting>
  <conditionalFormatting sqref="B271">
    <cfRule type="duplicateValues" dxfId="5" priority="799"/>
  </conditionalFormatting>
  <conditionalFormatting sqref="B272">
    <cfRule type="duplicateValues" dxfId="5" priority="798"/>
  </conditionalFormatting>
  <conditionalFormatting sqref="B273">
    <cfRule type="duplicateValues" dxfId="5" priority="797"/>
  </conditionalFormatting>
  <conditionalFormatting sqref="B274">
    <cfRule type="duplicateValues" dxfId="5" priority="796"/>
  </conditionalFormatting>
  <conditionalFormatting sqref="B275">
    <cfRule type="duplicateValues" dxfId="5" priority="795"/>
  </conditionalFormatting>
  <conditionalFormatting sqref="B276">
    <cfRule type="duplicateValues" dxfId="5" priority="794"/>
  </conditionalFormatting>
  <conditionalFormatting sqref="B277">
    <cfRule type="duplicateValues" dxfId="5" priority="793"/>
  </conditionalFormatting>
  <conditionalFormatting sqref="B278">
    <cfRule type="duplicateValues" dxfId="5" priority="792"/>
  </conditionalFormatting>
  <conditionalFormatting sqref="B279">
    <cfRule type="duplicateValues" dxfId="5" priority="791"/>
  </conditionalFormatting>
  <conditionalFormatting sqref="B280">
    <cfRule type="duplicateValues" dxfId="5" priority="790"/>
  </conditionalFormatting>
  <conditionalFormatting sqref="B281">
    <cfRule type="duplicateValues" dxfId="5" priority="789"/>
  </conditionalFormatting>
  <conditionalFormatting sqref="B282">
    <cfRule type="duplicateValues" dxfId="5" priority="788"/>
  </conditionalFormatting>
  <conditionalFormatting sqref="B283">
    <cfRule type="duplicateValues" dxfId="5" priority="787"/>
  </conditionalFormatting>
  <conditionalFormatting sqref="B284">
    <cfRule type="duplicateValues" dxfId="5" priority="786"/>
  </conditionalFormatting>
  <conditionalFormatting sqref="B285">
    <cfRule type="duplicateValues" dxfId="5" priority="785"/>
  </conditionalFormatting>
  <conditionalFormatting sqref="B286">
    <cfRule type="duplicateValues" dxfId="5" priority="784"/>
  </conditionalFormatting>
  <conditionalFormatting sqref="B287">
    <cfRule type="duplicateValues" dxfId="5" priority="783"/>
  </conditionalFormatting>
  <conditionalFormatting sqref="B288">
    <cfRule type="duplicateValues" dxfId="5" priority="782"/>
  </conditionalFormatting>
  <conditionalFormatting sqref="B289">
    <cfRule type="duplicateValues" dxfId="5" priority="781"/>
  </conditionalFormatting>
  <conditionalFormatting sqref="B290">
    <cfRule type="duplicateValues" dxfId="5" priority="780"/>
  </conditionalFormatting>
  <conditionalFormatting sqref="B291">
    <cfRule type="duplicateValues" dxfId="5" priority="779"/>
  </conditionalFormatting>
  <conditionalFormatting sqref="B292">
    <cfRule type="duplicateValues" dxfId="5" priority="778"/>
  </conditionalFormatting>
  <conditionalFormatting sqref="B293">
    <cfRule type="duplicateValues" dxfId="5" priority="777"/>
  </conditionalFormatting>
  <conditionalFormatting sqref="B294">
    <cfRule type="duplicateValues" dxfId="5" priority="776"/>
  </conditionalFormatting>
  <conditionalFormatting sqref="B295">
    <cfRule type="duplicateValues" dxfId="5" priority="775"/>
  </conditionalFormatting>
  <conditionalFormatting sqref="B296">
    <cfRule type="duplicateValues" dxfId="5" priority="774"/>
  </conditionalFormatting>
  <conditionalFormatting sqref="B297">
    <cfRule type="duplicateValues" dxfId="5" priority="773"/>
  </conditionalFormatting>
  <conditionalFormatting sqref="B298">
    <cfRule type="duplicateValues" dxfId="5" priority="772"/>
  </conditionalFormatting>
  <conditionalFormatting sqref="B299">
    <cfRule type="duplicateValues" dxfId="5" priority="771"/>
  </conditionalFormatting>
  <conditionalFormatting sqref="B300">
    <cfRule type="duplicateValues" dxfId="5" priority="770"/>
  </conditionalFormatting>
  <conditionalFormatting sqref="B301">
    <cfRule type="duplicateValues" dxfId="5" priority="769"/>
  </conditionalFormatting>
  <conditionalFormatting sqref="B302">
    <cfRule type="duplicateValues" dxfId="5" priority="768"/>
  </conditionalFormatting>
  <conditionalFormatting sqref="B303">
    <cfRule type="duplicateValues" dxfId="5" priority="767"/>
  </conditionalFormatting>
  <conditionalFormatting sqref="B304">
    <cfRule type="duplicateValues" dxfId="5" priority="766"/>
  </conditionalFormatting>
  <conditionalFormatting sqref="B305">
    <cfRule type="duplicateValues" dxfId="5" priority="765"/>
  </conditionalFormatting>
  <conditionalFormatting sqref="B306">
    <cfRule type="duplicateValues" dxfId="5" priority="764"/>
  </conditionalFormatting>
  <conditionalFormatting sqref="B307">
    <cfRule type="duplicateValues" dxfId="5" priority="763"/>
  </conditionalFormatting>
  <conditionalFormatting sqref="B308">
    <cfRule type="duplicateValues" dxfId="5" priority="762"/>
  </conditionalFormatting>
  <conditionalFormatting sqref="B309">
    <cfRule type="duplicateValues" dxfId="5" priority="761"/>
  </conditionalFormatting>
  <conditionalFormatting sqref="B310">
    <cfRule type="duplicateValues" dxfId="5" priority="760"/>
  </conditionalFormatting>
  <conditionalFormatting sqref="B311">
    <cfRule type="duplicateValues" dxfId="5" priority="759"/>
  </conditionalFormatting>
  <conditionalFormatting sqref="B312">
    <cfRule type="duplicateValues" dxfId="5" priority="758"/>
  </conditionalFormatting>
  <conditionalFormatting sqref="B313">
    <cfRule type="duplicateValues" dxfId="5" priority="757"/>
  </conditionalFormatting>
  <conditionalFormatting sqref="B314">
    <cfRule type="duplicateValues" dxfId="5" priority="756"/>
  </conditionalFormatting>
  <conditionalFormatting sqref="B315">
    <cfRule type="duplicateValues" dxfId="5" priority="755"/>
  </conditionalFormatting>
  <conditionalFormatting sqref="B316">
    <cfRule type="duplicateValues" dxfId="5" priority="754"/>
  </conditionalFormatting>
  <conditionalFormatting sqref="B317">
    <cfRule type="duplicateValues" dxfId="5" priority="753"/>
  </conditionalFormatting>
  <conditionalFormatting sqref="B318">
    <cfRule type="duplicateValues" dxfId="5" priority="752"/>
  </conditionalFormatting>
  <conditionalFormatting sqref="B319">
    <cfRule type="duplicateValues" dxfId="5" priority="751"/>
  </conditionalFormatting>
  <conditionalFormatting sqref="B320">
    <cfRule type="duplicateValues" dxfId="5" priority="750"/>
  </conditionalFormatting>
  <conditionalFormatting sqref="B321">
    <cfRule type="duplicateValues" dxfId="5" priority="749"/>
  </conditionalFormatting>
  <conditionalFormatting sqref="B322">
    <cfRule type="duplicateValues" dxfId="5" priority="748"/>
  </conditionalFormatting>
  <conditionalFormatting sqref="B323">
    <cfRule type="duplicateValues" dxfId="5" priority="747"/>
  </conditionalFormatting>
  <conditionalFormatting sqref="B324">
    <cfRule type="duplicateValues" dxfId="5" priority="746"/>
  </conditionalFormatting>
  <conditionalFormatting sqref="B325">
    <cfRule type="duplicateValues" dxfId="5" priority="745"/>
  </conditionalFormatting>
  <conditionalFormatting sqref="B326">
    <cfRule type="duplicateValues" dxfId="5" priority="744"/>
  </conditionalFormatting>
  <conditionalFormatting sqref="B327">
    <cfRule type="duplicateValues" dxfId="5" priority="743"/>
  </conditionalFormatting>
  <conditionalFormatting sqref="B328">
    <cfRule type="duplicateValues" dxfId="5" priority="742"/>
  </conditionalFormatting>
  <conditionalFormatting sqref="B329">
    <cfRule type="duplicateValues" dxfId="5" priority="741"/>
  </conditionalFormatting>
  <conditionalFormatting sqref="B330">
    <cfRule type="duplicateValues" dxfId="5" priority="740"/>
  </conditionalFormatting>
  <conditionalFormatting sqref="B331">
    <cfRule type="duplicateValues" dxfId="5" priority="739"/>
  </conditionalFormatting>
  <conditionalFormatting sqref="B332">
    <cfRule type="duplicateValues" dxfId="5" priority="738"/>
  </conditionalFormatting>
  <conditionalFormatting sqref="B333">
    <cfRule type="duplicateValues" dxfId="5" priority="737"/>
  </conditionalFormatting>
  <conditionalFormatting sqref="B334">
    <cfRule type="duplicateValues" dxfId="5" priority="736"/>
  </conditionalFormatting>
  <conditionalFormatting sqref="B335">
    <cfRule type="duplicateValues" dxfId="5" priority="735"/>
  </conditionalFormatting>
  <conditionalFormatting sqref="B336">
    <cfRule type="duplicateValues" dxfId="5" priority="734"/>
  </conditionalFormatting>
  <conditionalFormatting sqref="B337">
    <cfRule type="duplicateValues" dxfId="5" priority="733"/>
  </conditionalFormatting>
  <conditionalFormatting sqref="B338">
    <cfRule type="duplicateValues" dxfId="5" priority="732"/>
  </conditionalFormatting>
  <conditionalFormatting sqref="B339">
    <cfRule type="duplicateValues" dxfId="5" priority="731"/>
  </conditionalFormatting>
  <conditionalFormatting sqref="B340">
    <cfRule type="duplicateValues" dxfId="5" priority="730"/>
  </conditionalFormatting>
  <conditionalFormatting sqref="B341">
    <cfRule type="duplicateValues" dxfId="5" priority="729"/>
  </conditionalFormatting>
  <conditionalFormatting sqref="B342">
    <cfRule type="duplicateValues" dxfId="5" priority="728"/>
  </conditionalFormatting>
  <conditionalFormatting sqref="B343">
    <cfRule type="duplicateValues" dxfId="5" priority="727"/>
  </conditionalFormatting>
  <conditionalFormatting sqref="B344">
    <cfRule type="duplicateValues" dxfId="5" priority="726"/>
  </conditionalFormatting>
  <conditionalFormatting sqref="B345">
    <cfRule type="duplicateValues" dxfId="5" priority="725"/>
  </conditionalFormatting>
  <conditionalFormatting sqref="B346">
    <cfRule type="duplicateValues" dxfId="5" priority="724"/>
  </conditionalFormatting>
  <conditionalFormatting sqref="B347">
    <cfRule type="duplicateValues" dxfId="5" priority="723"/>
  </conditionalFormatting>
  <conditionalFormatting sqref="B348">
    <cfRule type="duplicateValues" dxfId="5" priority="722"/>
  </conditionalFormatting>
  <conditionalFormatting sqref="B349">
    <cfRule type="duplicateValues" dxfId="5" priority="721"/>
  </conditionalFormatting>
  <conditionalFormatting sqref="B350">
    <cfRule type="duplicateValues" dxfId="5" priority="720"/>
  </conditionalFormatting>
  <conditionalFormatting sqref="B351">
    <cfRule type="duplicateValues" dxfId="5" priority="719"/>
  </conditionalFormatting>
  <conditionalFormatting sqref="B352">
    <cfRule type="duplicateValues" dxfId="5" priority="718"/>
  </conditionalFormatting>
  <conditionalFormatting sqref="B353">
    <cfRule type="duplicateValues" dxfId="5" priority="717"/>
  </conditionalFormatting>
  <conditionalFormatting sqref="B354">
    <cfRule type="duplicateValues" dxfId="5" priority="716"/>
  </conditionalFormatting>
  <conditionalFormatting sqref="B355">
    <cfRule type="duplicateValues" dxfId="5" priority="715"/>
  </conditionalFormatting>
  <conditionalFormatting sqref="B356">
    <cfRule type="duplicateValues" dxfId="5" priority="714"/>
  </conditionalFormatting>
  <conditionalFormatting sqref="B357">
    <cfRule type="duplicateValues" dxfId="5" priority="713"/>
  </conditionalFormatting>
  <conditionalFormatting sqref="B358">
    <cfRule type="duplicateValues" dxfId="5" priority="712"/>
  </conditionalFormatting>
  <conditionalFormatting sqref="B359">
    <cfRule type="duplicateValues" dxfId="5" priority="711"/>
  </conditionalFormatting>
  <conditionalFormatting sqref="B360">
    <cfRule type="duplicateValues" dxfId="5" priority="710"/>
  </conditionalFormatting>
  <conditionalFormatting sqref="B361">
    <cfRule type="duplicateValues" dxfId="5" priority="709"/>
  </conditionalFormatting>
  <conditionalFormatting sqref="B362">
    <cfRule type="duplicateValues" dxfId="5" priority="708"/>
  </conditionalFormatting>
  <conditionalFormatting sqref="B363">
    <cfRule type="duplicateValues" dxfId="5" priority="707"/>
  </conditionalFormatting>
  <conditionalFormatting sqref="B364">
    <cfRule type="duplicateValues" dxfId="5" priority="706"/>
  </conditionalFormatting>
  <conditionalFormatting sqref="B365">
    <cfRule type="duplicateValues" dxfId="5" priority="705"/>
  </conditionalFormatting>
  <conditionalFormatting sqref="B366">
    <cfRule type="duplicateValues" dxfId="5" priority="704"/>
  </conditionalFormatting>
  <conditionalFormatting sqref="B367">
    <cfRule type="duplicateValues" dxfId="5" priority="703"/>
  </conditionalFormatting>
  <conditionalFormatting sqref="B368">
    <cfRule type="duplicateValues" dxfId="5" priority="702"/>
  </conditionalFormatting>
  <conditionalFormatting sqref="B369">
    <cfRule type="duplicateValues" dxfId="5" priority="701"/>
  </conditionalFormatting>
  <conditionalFormatting sqref="B370">
    <cfRule type="duplicateValues" dxfId="5" priority="700"/>
  </conditionalFormatting>
  <conditionalFormatting sqref="B371">
    <cfRule type="duplicateValues" dxfId="5" priority="699"/>
  </conditionalFormatting>
  <conditionalFormatting sqref="B372">
    <cfRule type="duplicateValues" dxfId="5" priority="698"/>
  </conditionalFormatting>
  <conditionalFormatting sqref="B373">
    <cfRule type="duplicateValues" dxfId="5" priority="697"/>
  </conditionalFormatting>
  <conditionalFormatting sqref="B374">
    <cfRule type="duplicateValues" dxfId="5" priority="696"/>
  </conditionalFormatting>
  <conditionalFormatting sqref="B375">
    <cfRule type="duplicateValues" dxfId="5" priority="695"/>
  </conditionalFormatting>
  <conditionalFormatting sqref="B376">
    <cfRule type="duplicateValues" dxfId="5" priority="694"/>
  </conditionalFormatting>
  <conditionalFormatting sqref="B377">
    <cfRule type="duplicateValues" dxfId="5" priority="693"/>
  </conditionalFormatting>
  <conditionalFormatting sqref="B378">
    <cfRule type="duplicateValues" dxfId="5" priority="692"/>
  </conditionalFormatting>
  <conditionalFormatting sqref="B379">
    <cfRule type="duplicateValues" dxfId="5" priority="691"/>
  </conditionalFormatting>
  <conditionalFormatting sqref="B380">
    <cfRule type="duplicateValues" dxfId="5" priority="690"/>
  </conditionalFormatting>
  <conditionalFormatting sqref="B381">
    <cfRule type="duplicateValues" dxfId="5" priority="689"/>
  </conditionalFormatting>
  <conditionalFormatting sqref="B382">
    <cfRule type="duplicateValues" dxfId="5" priority="688"/>
  </conditionalFormatting>
  <conditionalFormatting sqref="B383">
    <cfRule type="duplicateValues" dxfId="5" priority="687"/>
  </conditionalFormatting>
  <conditionalFormatting sqref="B384">
    <cfRule type="duplicateValues" dxfId="5" priority="686"/>
  </conditionalFormatting>
  <conditionalFormatting sqref="B385">
    <cfRule type="duplicateValues" dxfId="5" priority="685"/>
  </conditionalFormatting>
  <conditionalFormatting sqref="B386">
    <cfRule type="duplicateValues" dxfId="5" priority="684"/>
  </conditionalFormatting>
  <conditionalFormatting sqref="B387">
    <cfRule type="duplicateValues" dxfId="5" priority="683"/>
  </conditionalFormatting>
  <conditionalFormatting sqref="B388">
    <cfRule type="duplicateValues" dxfId="5" priority="682"/>
  </conditionalFormatting>
  <conditionalFormatting sqref="B389">
    <cfRule type="duplicateValues" dxfId="5" priority="681"/>
  </conditionalFormatting>
  <conditionalFormatting sqref="B390">
    <cfRule type="duplicateValues" dxfId="5" priority="680"/>
  </conditionalFormatting>
  <conditionalFormatting sqref="B391">
    <cfRule type="duplicateValues" dxfId="5" priority="679"/>
  </conditionalFormatting>
  <conditionalFormatting sqref="B392">
    <cfRule type="duplicateValues" dxfId="5" priority="678"/>
  </conditionalFormatting>
  <conditionalFormatting sqref="B393">
    <cfRule type="duplicateValues" dxfId="5" priority="677"/>
  </conditionalFormatting>
  <conditionalFormatting sqref="B394">
    <cfRule type="duplicateValues" dxfId="5" priority="676"/>
  </conditionalFormatting>
  <conditionalFormatting sqref="B395">
    <cfRule type="duplicateValues" dxfId="5" priority="675"/>
  </conditionalFormatting>
  <conditionalFormatting sqref="B396">
    <cfRule type="duplicateValues" dxfId="5" priority="674"/>
  </conditionalFormatting>
  <conditionalFormatting sqref="B397">
    <cfRule type="duplicateValues" dxfId="5" priority="673"/>
  </conditionalFormatting>
  <conditionalFormatting sqref="B398">
    <cfRule type="duplicateValues" dxfId="5" priority="672"/>
  </conditionalFormatting>
  <conditionalFormatting sqref="B399">
    <cfRule type="duplicateValues" dxfId="5" priority="671"/>
  </conditionalFormatting>
  <conditionalFormatting sqref="B400">
    <cfRule type="duplicateValues" dxfId="5" priority="670"/>
  </conditionalFormatting>
  <conditionalFormatting sqref="B401">
    <cfRule type="duplicateValues" dxfId="5" priority="669"/>
  </conditionalFormatting>
  <conditionalFormatting sqref="B402">
    <cfRule type="duplicateValues" dxfId="5" priority="668"/>
  </conditionalFormatting>
  <conditionalFormatting sqref="B403">
    <cfRule type="duplicateValues" dxfId="5" priority="667"/>
  </conditionalFormatting>
  <conditionalFormatting sqref="B404">
    <cfRule type="duplicateValues" dxfId="5" priority="666"/>
  </conditionalFormatting>
  <conditionalFormatting sqref="B405">
    <cfRule type="duplicateValues" dxfId="5" priority="665"/>
  </conditionalFormatting>
  <conditionalFormatting sqref="B406">
    <cfRule type="duplicateValues" dxfId="5" priority="664"/>
  </conditionalFormatting>
  <conditionalFormatting sqref="B407">
    <cfRule type="duplicateValues" dxfId="5" priority="663"/>
  </conditionalFormatting>
  <conditionalFormatting sqref="B408">
    <cfRule type="duplicateValues" dxfId="5" priority="662"/>
  </conditionalFormatting>
  <conditionalFormatting sqref="B409">
    <cfRule type="duplicateValues" dxfId="5" priority="661"/>
  </conditionalFormatting>
  <conditionalFormatting sqref="B410">
    <cfRule type="duplicateValues" dxfId="5" priority="660"/>
  </conditionalFormatting>
  <conditionalFormatting sqref="B411">
    <cfRule type="duplicateValues" dxfId="5" priority="659"/>
  </conditionalFormatting>
  <conditionalFormatting sqref="B412">
    <cfRule type="duplicateValues" dxfId="5" priority="658"/>
  </conditionalFormatting>
  <conditionalFormatting sqref="B413">
    <cfRule type="duplicateValues" dxfId="5" priority="657"/>
  </conditionalFormatting>
  <conditionalFormatting sqref="B414">
    <cfRule type="duplicateValues" dxfId="5" priority="656"/>
  </conditionalFormatting>
  <conditionalFormatting sqref="B415">
    <cfRule type="duplicateValues" dxfId="5" priority="655"/>
  </conditionalFormatting>
  <conditionalFormatting sqref="B416">
    <cfRule type="duplicateValues" dxfId="5" priority="654"/>
  </conditionalFormatting>
  <conditionalFormatting sqref="B417">
    <cfRule type="duplicateValues" dxfId="5" priority="653"/>
  </conditionalFormatting>
  <conditionalFormatting sqref="B418">
    <cfRule type="duplicateValues" dxfId="5" priority="652"/>
  </conditionalFormatting>
  <conditionalFormatting sqref="B419">
    <cfRule type="duplicateValues" dxfId="5" priority="651"/>
  </conditionalFormatting>
  <conditionalFormatting sqref="B420">
    <cfRule type="duplicateValues" dxfId="5" priority="650"/>
  </conditionalFormatting>
  <conditionalFormatting sqref="B421">
    <cfRule type="duplicateValues" dxfId="5" priority="649"/>
  </conditionalFormatting>
  <conditionalFormatting sqref="B422">
    <cfRule type="duplicateValues" dxfId="5" priority="648"/>
  </conditionalFormatting>
  <conditionalFormatting sqref="B423">
    <cfRule type="duplicateValues" dxfId="5" priority="647"/>
  </conditionalFormatting>
  <conditionalFormatting sqref="B424">
    <cfRule type="duplicateValues" dxfId="5" priority="646"/>
  </conditionalFormatting>
  <conditionalFormatting sqref="B425">
    <cfRule type="duplicateValues" dxfId="5" priority="645"/>
  </conditionalFormatting>
  <conditionalFormatting sqref="B426">
    <cfRule type="duplicateValues" dxfId="5" priority="644"/>
  </conditionalFormatting>
  <conditionalFormatting sqref="B427">
    <cfRule type="duplicateValues" dxfId="5" priority="643"/>
  </conditionalFormatting>
  <conditionalFormatting sqref="B428">
    <cfRule type="duplicateValues" dxfId="5" priority="642"/>
  </conditionalFormatting>
  <conditionalFormatting sqref="B429">
    <cfRule type="duplicateValues" dxfId="5" priority="641"/>
  </conditionalFormatting>
  <conditionalFormatting sqref="B430">
    <cfRule type="duplicateValues" dxfId="5" priority="640"/>
  </conditionalFormatting>
  <conditionalFormatting sqref="B431">
    <cfRule type="duplicateValues" dxfId="5" priority="639"/>
  </conditionalFormatting>
  <conditionalFormatting sqref="B432">
    <cfRule type="duplicateValues" dxfId="5" priority="638"/>
  </conditionalFormatting>
  <conditionalFormatting sqref="B433">
    <cfRule type="duplicateValues" dxfId="5" priority="637"/>
  </conditionalFormatting>
  <conditionalFormatting sqref="B434">
    <cfRule type="duplicateValues" dxfId="5" priority="636"/>
  </conditionalFormatting>
  <conditionalFormatting sqref="B435">
    <cfRule type="duplicateValues" dxfId="5" priority="635"/>
  </conditionalFormatting>
  <conditionalFormatting sqref="B436">
    <cfRule type="duplicateValues" dxfId="5" priority="634"/>
  </conditionalFormatting>
  <conditionalFormatting sqref="B437">
    <cfRule type="duplicateValues" dxfId="5" priority="633"/>
  </conditionalFormatting>
  <conditionalFormatting sqref="B438">
    <cfRule type="duplicateValues" dxfId="5" priority="632"/>
  </conditionalFormatting>
  <conditionalFormatting sqref="B439">
    <cfRule type="duplicateValues" dxfId="5" priority="631"/>
  </conditionalFormatting>
  <conditionalFormatting sqref="B440">
    <cfRule type="duplicateValues" dxfId="5" priority="630"/>
  </conditionalFormatting>
  <conditionalFormatting sqref="B441">
    <cfRule type="duplicateValues" dxfId="5" priority="629"/>
  </conditionalFormatting>
  <conditionalFormatting sqref="B442">
    <cfRule type="duplicateValues" dxfId="5" priority="628"/>
  </conditionalFormatting>
  <conditionalFormatting sqref="B443">
    <cfRule type="duplicateValues" dxfId="5" priority="627"/>
  </conditionalFormatting>
  <conditionalFormatting sqref="B444">
    <cfRule type="duplicateValues" dxfId="5" priority="626"/>
  </conditionalFormatting>
  <conditionalFormatting sqref="B445">
    <cfRule type="duplicateValues" dxfId="5" priority="625"/>
  </conditionalFormatting>
  <conditionalFormatting sqref="B446">
    <cfRule type="duplicateValues" dxfId="5" priority="624"/>
  </conditionalFormatting>
  <conditionalFormatting sqref="B447">
    <cfRule type="duplicateValues" dxfId="5" priority="623"/>
  </conditionalFormatting>
  <conditionalFormatting sqref="B448">
    <cfRule type="duplicateValues" dxfId="5" priority="622"/>
  </conditionalFormatting>
  <conditionalFormatting sqref="B449">
    <cfRule type="duplicateValues" dxfId="5" priority="621"/>
  </conditionalFormatting>
  <conditionalFormatting sqref="B450">
    <cfRule type="duplicateValues" dxfId="5" priority="620"/>
  </conditionalFormatting>
  <conditionalFormatting sqref="B451">
    <cfRule type="duplicateValues" dxfId="5" priority="619"/>
  </conditionalFormatting>
  <conditionalFormatting sqref="B452">
    <cfRule type="duplicateValues" dxfId="5" priority="618"/>
  </conditionalFormatting>
  <conditionalFormatting sqref="B453">
    <cfRule type="duplicateValues" dxfId="5" priority="617"/>
  </conditionalFormatting>
  <conditionalFormatting sqref="B454">
    <cfRule type="duplicateValues" dxfId="5" priority="616"/>
  </conditionalFormatting>
  <conditionalFormatting sqref="B455">
    <cfRule type="duplicateValues" dxfId="5" priority="615"/>
  </conditionalFormatting>
  <conditionalFormatting sqref="B456">
    <cfRule type="duplicateValues" dxfId="5" priority="614"/>
  </conditionalFormatting>
  <conditionalFormatting sqref="B457">
    <cfRule type="duplicateValues" dxfId="5" priority="613"/>
  </conditionalFormatting>
  <conditionalFormatting sqref="B458">
    <cfRule type="duplicateValues" dxfId="5" priority="612"/>
  </conditionalFormatting>
  <conditionalFormatting sqref="B459">
    <cfRule type="duplicateValues" dxfId="5" priority="611"/>
  </conditionalFormatting>
  <conditionalFormatting sqref="B460">
    <cfRule type="duplicateValues" dxfId="5" priority="610"/>
  </conditionalFormatting>
  <conditionalFormatting sqref="B461">
    <cfRule type="duplicateValues" dxfId="5" priority="609"/>
  </conditionalFormatting>
  <conditionalFormatting sqref="B462">
    <cfRule type="duplicateValues" dxfId="5" priority="608"/>
  </conditionalFormatting>
  <conditionalFormatting sqref="B463">
    <cfRule type="duplicateValues" dxfId="5" priority="607"/>
  </conditionalFormatting>
  <conditionalFormatting sqref="B464">
    <cfRule type="duplicateValues" dxfId="5" priority="606"/>
  </conditionalFormatting>
  <conditionalFormatting sqref="B465">
    <cfRule type="duplicateValues" dxfId="5" priority="605"/>
  </conditionalFormatting>
  <conditionalFormatting sqref="B466">
    <cfRule type="duplicateValues" dxfId="5" priority="604"/>
  </conditionalFormatting>
  <conditionalFormatting sqref="B467">
    <cfRule type="duplicateValues" dxfId="5" priority="603"/>
  </conditionalFormatting>
  <conditionalFormatting sqref="B468">
    <cfRule type="duplicateValues" dxfId="5" priority="602"/>
  </conditionalFormatting>
  <conditionalFormatting sqref="B469">
    <cfRule type="duplicateValues" dxfId="5" priority="601"/>
  </conditionalFormatting>
  <conditionalFormatting sqref="B470">
    <cfRule type="duplicateValues" dxfId="5" priority="600"/>
  </conditionalFormatting>
  <conditionalFormatting sqref="B471">
    <cfRule type="duplicateValues" dxfId="5" priority="599"/>
  </conditionalFormatting>
  <conditionalFormatting sqref="B472">
    <cfRule type="duplicateValues" dxfId="5" priority="598"/>
  </conditionalFormatting>
  <conditionalFormatting sqref="B473">
    <cfRule type="duplicateValues" dxfId="5" priority="597"/>
  </conditionalFormatting>
  <conditionalFormatting sqref="B474">
    <cfRule type="duplicateValues" dxfId="5" priority="596"/>
  </conditionalFormatting>
  <conditionalFormatting sqref="B475">
    <cfRule type="duplicateValues" dxfId="5" priority="595"/>
  </conditionalFormatting>
  <conditionalFormatting sqref="B476">
    <cfRule type="duplicateValues" dxfId="5" priority="594"/>
  </conditionalFormatting>
  <conditionalFormatting sqref="B477">
    <cfRule type="duplicateValues" dxfId="5" priority="593"/>
  </conditionalFormatting>
  <conditionalFormatting sqref="B478">
    <cfRule type="duplicateValues" dxfId="5" priority="592"/>
  </conditionalFormatting>
  <conditionalFormatting sqref="B479">
    <cfRule type="duplicateValues" dxfId="5" priority="591"/>
  </conditionalFormatting>
  <conditionalFormatting sqref="B480">
    <cfRule type="duplicateValues" dxfId="5" priority="590"/>
  </conditionalFormatting>
  <conditionalFormatting sqref="B481">
    <cfRule type="duplicateValues" dxfId="5" priority="589"/>
  </conditionalFormatting>
  <conditionalFormatting sqref="B482">
    <cfRule type="duplicateValues" dxfId="5" priority="588"/>
  </conditionalFormatting>
  <conditionalFormatting sqref="B483">
    <cfRule type="duplicateValues" dxfId="5" priority="587"/>
  </conditionalFormatting>
  <conditionalFormatting sqref="B484">
    <cfRule type="duplicateValues" dxfId="5" priority="586"/>
  </conditionalFormatting>
  <conditionalFormatting sqref="B485">
    <cfRule type="duplicateValues" dxfId="5" priority="585"/>
  </conditionalFormatting>
  <conditionalFormatting sqref="B486">
    <cfRule type="duplicateValues" dxfId="5" priority="584"/>
  </conditionalFormatting>
  <conditionalFormatting sqref="B487">
    <cfRule type="duplicateValues" dxfId="5" priority="583"/>
  </conditionalFormatting>
  <conditionalFormatting sqref="B488">
    <cfRule type="duplicateValues" dxfId="5" priority="582"/>
  </conditionalFormatting>
  <conditionalFormatting sqref="B489">
    <cfRule type="duplicateValues" dxfId="5" priority="581"/>
  </conditionalFormatting>
  <conditionalFormatting sqref="B490">
    <cfRule type="duplicateValues" dxfId="5" priority="580"/>
  </conditionalFormatting>
  <conditionalFormatting sqref="B491">
    <cfRule type="duplicateValues" dxfId="5" priority="579"/>
  </conditionalFormatting>
  <conditionalFormatting sqref="B492">
    <cfRule type="duplicateValues" dxfId="5" priority="578"/>
  </conditionalFormatting>
  <conditionalFormatting sqref="B493">
    <cfRule type="duplicateValues" dxfId="5" priority="577"/>
  </conditionalFormatting>
  <conditionalFormatting sqref="B494">
    <cfRule type="duplicateValues" dxfId="5" priority="576"/>
  </conditionalFormatting>
  <conditionalFormatting sqref="B495">
    <cfRule type="duplicateValues" dxfId="5" priority="575"/>
  </conditionalFormatting>
  <conditionalFormatting sqref="B496">
    <cfRule type="duplicateValues" dxfId="5" priority="574"/>
  </conditionalFormatting>
  <conditionalFormatting sqref="B497">
    <cfRule type="duplicateValues" dxfId="5" priority="573"/>
  </conditionalFormatting>
  <conditionalFormatting sqref="B498">
    <cfRule type="duplicateValues" dxfId="5" priority="572"/>
  </conditionalFormatting>
  <conditionalFormatting sqref="B499">
    <cfRule type="duplicateValues" dxfId="5" priority="571"/>
  </conditionalFormatting>
  <conditionalFormatting sqref="B500">
    <cfRule type="duplicateValues" dxfId="5" priority="570"/>
  </conditionalFormatting>
  <conditionalFormatting sqref="B501">
    <cfRule type="duplicateValues" dxfId="5" priority="569"/>
  </conditionalFormatting>
  <conditionalFormatting sqref="B502">
    <cfRule type="duplicateValues" dxfId="5" priority="568"/>
  </conditionalFormatting>
  <conditionalFormatting sqref="B503">
    <cfRule type="duplicateValues" dxfId="5" priority="567"/>
  </conditionalFormatting>
  <conditionalFormatting sqref="B504">
    <cfRule type="duplicateValues" dxfId="5" priority="566"/>
  </conditionalFormatting>
  <conditionalFormatting sqref="B505">
    <cfRule type="duplicateValues" dxfId="5" priority="565"/>
  </conditionalFormatting>
  <conditionalFormatting sqref="B506">
    <cfRule type="duplicateValues" dxfId="5" priority="564"/>
  </conditionalFormatting>
  <conditionalFormatting sqref="B507">
    <cfRule type="duplicateValues" dxfId="5" priority="563"/>
  </conditionalFormatting>
  <conditionalFormatting sqref="B508">
    <cfRule type="duplicateValues" dxfId="5" priority="562"/>
  </conditionalFormatting>
  <conditionalFormatting sqref="B509">
    <cfRule type="duplicateValues" dxfId="5" priority="561"/>
  </conditionalFormatting>
  <conditionalFormatting sqref="B510">
    <cfRule type="duplicateValues" dxfId="5" priority="560"/>
  </conditionalFormatting>
  <conditionalFormatting sqref="B511">
    <cfRule type="duplicateValues" dxfId="5" priority="559"/>
  </conditionalFormatting>
  <conditionalFormatting sqref="B512">
    <cfRule type="duplicateValues" dxfId="5" priority="558"/>
  </conditionalFormatting>
  <conditionalFormatting sqref="B513">
    <cfRule type="duplicateValues" dxfId="5" priority="557"/>
  </conditionalFormatting>
  <conditionalFormatting sqref="B514">
    <cfRule type="duplicateValues" dxfId="5" priority="556"/>
  </conditionalFormatting>
  <conditionalFormatting sqref="B515">
    <cfRule type="duplicateValues" dxfId="5" priority="555"/>
  </conditionalFormatting>
  <conditionalFormatting sqref="B516">
    <cfRule type="duplicateValues" dxfId="5" priority="554"/>
  </conditionalFormatting>
  <conditionalFormatting sqref="B517">
    <cfRule type="duplicateValues" dxfId="5" priority="553"/>
  </conditionalFormatting>
  <conditionalFormatting sqref="B518">
    <cfRule type="duplicateValues" dxfId="5" priority="552"/>
  </conditionalFormatting>
  <conditionalFormatting sqref="B519">
    <cfRule type="duplicateValues" dxfId="5" priority="551"/>
  </conditionalFormatting>
  <conditionalFormatting sqref="B520">
    <cfRule type="duplicateValues" dxfId="5" priority="550"/>
  </conditionalFormatting>
  <conditionalFormatting sqref="B521">
    <cfRule type="duplicateValues" dxfId="5" priority="549"/>
  </conditionalFormatting>
  <conditionalFormatting sqref="B522">
    <cfRule type="duplicateValues" dxfId="5" priority="548"/>
  </conditionalFormatting>
  <conditionalFormatting sqref="B523">
    <cfRule type="duplicateValues" dxfId="5" priority="547"/>
  </conditionalFormatting>
  <conditionalFormatting sqref="B524">
    <cfRule type="duplicateValues" dxfId="5" priority="546"/>
  </conditionalFormatting>
  <conditionalFormatting sqref="B525">
    <cfRule type="duplicateValues" dxfId="5" priority="545"/>
  </conditionalFormatting>
  <conditionalFormatting sqref="B526">
    <cfRule type="duplicateValues" dxfId="5" priority="544"/>
  </conditionalFormatting>
  <conditionalFormatting sqref="B527">
    <cfRule type="duplicateValues" dxfId="5" priority="543"/>
  </conditionalFormatting>
  <conditionalFormatting sqref="B528">
    <cfRule type="duplicateValues" dxfId="5" priority="542"/>
  </conditionalFormatting>
  <conditionalFormatting sqref="B529">
    <cfRule type="duplicateValues" dxfId="5" priority="541"/>
  </conditionalFormatting>
  <conditionalFormatting sqref="B530">
    <cfRule type="duplicateValues" dxfId="5" priority="540"/>
  </conditionalFormatting>
  <conditionalFormatting sqref="B531">
    <cfRule type="duplicateValues" dxfId="5" priority="539"/>
  </conditionalFormatting>
  <conditionalFormatting sqref="B532">
    <cfRule type="duplicateValues" dxfId="5" priority="538"/>
  </conditionalFormatting>
  <conditionalFormatting sqref="B533">
    <cfRule type="duplicateValues" dxfId="5" priority="537"/>
  </conditionalFormatting>
  <conditionalFormatting sqref="B534">
    <cfRule type="duplicateValues" dxfId="5" priority="536"/>
  </conditionalFormatting>
  <conditionalFormatting sqref="B535">
    <cfRule type="duplicateValues" dxfId="5" priority="535"/>
  </conditionalFormatting>
  <conditionalFormatting sqref="B536">
    <cfRule type="duplicateValues" dxfId="5" priority="534"/>
  </conditionalFormatting>
  <conditionalFormatting sqref="B537">
    <cfRule type="duplicateValues" dxfId="5" priority="533"/>
  </conditionalFormatting>
  <conditionalFormatting sqref="B538">
    <cfRule type="duplicateValues" dxfId="5" priority="532"/>
  </conditionalFormatting>
  <conditionalFormatting sqref="B539">
    <cfRule type="duplicateValues" dxfId="5" priority="531"/>
  </conditionalFormatting>
  <conditionalFormatting sqref="B540">
    <cfRule type="duplicateValues" dxfId="5" priority="530"/>
  </conditionalFormatting>
  <conditionalFormatting sqref="B541">
    <cfRule type="duplicateValues" dxfId="5" priority="529"/>
  </conditionalFormatting>
  <conditionalFormatting sqref="B542">
    <cfRule type="duplicateValues" dxfId="5" priority="528"/>
  </conditionalFormatting>
  <conditionalFormatting sqref="B543">
    <cfRule type="duplicateValues" dxfId="5" priority="527"/>
  </conditionalFormatting>
  <conditionalFormatting sqref="B544">
    <cfRule type="duplicateValues" dxfId="5" priority="526"/>
  </conditionalFormatting>
  <conditionalFormatting sqref="B545">
    <cfRule type="duplicateValues" dxfId="5" priority="525"/>
  </conditionalFormatting>
  <conditionalFormatting sqref="B546">
    <cfRule type="duplicateValues" dxfId="5" priority="524"/>
  </conditionalFormatting>
  <conditionalFormatting sqref="B547">
    <cfRule type="duplicateValues" dxfId="5" priority="523"/>
  </conditionalFormatting>
  <conditionalFormatting sqref="B548">
    <cfRule type="duplicateValues" dxfId="5" priority="522"/>
  </conditionalFormatting>
  <conditionalFormatting sqref="B549">
    <cfRule type="duplicateValues" dxfId="5" priority="521"/>
  </conditionalFormatting>
  <conditionalFormatting sqref="B550">
    <cfRule type="duplicateValues" dxfId="5" priority="520"/>
  </conditionalFormatting>
  <conditionalFormatting sqref="B551">
    <cfRule type="duplicateValues" dxfId="5" priority="519"/>
  </conditionalFormatting>
  <conditionalFormatting sqref="B552">
    <cfRule type="duplicateValues" dxfId="5" priority="518"/>
  </conditionalFormatting>
  <conditionalFormatting sqref="B553">
    <cfRule type="duplicateValues" dxfId="5" priority="517"/>
  </conditionalFormatting>
  <conditionalFormatting sqref="B554">
    <cfRule type="duplicateValues" dxfId="5" priority="516"/>
  </conditionalFormatting>
  <conditionalFormatting sqref="B555">
    <cfRule type="duplicateValues" dxfId="5" priority="515"/>
  </conditionalFormatting>
  <conditionalFormatting sqref="B556">
    <cfRule type="duplicateValues" dxfId="5" priority="514"/>
  </conditionalFormatting>
  <conditionalFormatting sqref="B557">
    <cfRule type="duplicateValues" dxfId="5" priority="513"/>
  </conditionalFormatting>
  <conditionalFormatting sqref="B558">
    <cfRule type="duplicateValues" dxfId="5" priority="512"/>
  </conditionalFormatting>
  <conditionalFormatting sqref="B559">
    <cfRule type="duplicateValues" dxfId="5" priority="511"/>
  </conditionalFormatting>
  <conditionalFormatting sqref="B560">
    <cfRule type="duplicateValues" dxfId="5" priority="510"/>
  </conditionalFormatting>
  <conditionalFormatting sqref="B561">
    <cfRule type="duplicateValues" dxfId="5" priority="509"/>
  </conditionalFormatting>
  <conditionalFormatting sqref="B562">
    <cfRule type="duplicateValues" dxfId="5" priority="508"/>
  </conditionalFormatting>
  <conditionalFormatting sqref="B563">
    <cfRule type="duplicateValues" dxfId="5" priority="507"/>
  </conditionalFormatting>
  <conditionalFormatting sqref="B564">
    <cfRule type="duplicateValues" dxfId="5" priority="506"/>
  </conditionalFormatting>
  <conditionalFormatting sqref="B565">
    <cfRule type="duplicateValues" dxfId="5" priority="505"/>
  </conditionalFormatting>
  <conditionalFormatting sqref="B566">
    <cfRule type="duplicateValues" dxfId="5" priority="504"/>
  </conditionalFormatting>
  <conditionalFormatting sqref="B567">
    <cfRule type="duplicateValues" dxfId="5" priority="503"/>
  </conditionalFormatting>
  <conditionalFormatting sqref="B568">
    <cfRule type="duplicateValues" dxfId="5" priority="502"/>
  </conditionalFormatting>
  <conditionalFormatting sqref="B569">
    <cfRule type="duplicateValues" dxfId="5" priority="501"/>
  </conditionalFormatting>
  <conditionalFormatting sqref="B570">
    <cfRule type="duplicateValues" dxfId="5" priority="500"/>
  </conditionalFormatting>
  <conditionalFormatting sqref="B571">
    <cfRule type="duplicateValues" dxfId="5" priority="499"/>
  </conditionalFormatting>
  <conditionalFormatting sqref="B572">
    <cfRule type="duplicateValues" dxfId="5" priority="498"/>
  </conditionalFormatting>
  <conditionalFormatting sqref="B573">
    <cfRule type="duplicateValues" dxfId="5" priority="497"/>
  </conditionalFormatting>
  <conditionalFormatting sqref="B574">
    <cfRule type="duplicateValues" dxfId="5" priority="496"/>
  </conditionalFormatting>
  <conditionalFormatting sqref="B575">
    <cfRule type="duplicateValues" dxfId="5" priority="495"/>
  </conditionalFormatting>
  <conditionalFormatting sqref="B576">
    <cfRule type="duplicateValues" dxfId="5" priority="494"/>
  </conditionalFormatting>
  <conditionalFormatting sqref="B577">
    <cfRule type="duplicateValues" dxfId="5" priority="493"/>
  </conditionalFormatting>
  <conditionalFormatting sqref="B578">
    <cfRule type="duplicateValues" dxfId="5" priority="492"/>
  </conditionalFormatting>
  <conditionalFormatting sqref="B579">
    <cfRule type="duplicateValues" dxfId="5" priority="491"/>
  </conditionalFormatting>
  <conditionalFormatting sqref="B580">
    <cfRule type="duplicateValues" dxfId="5" priority="490"/>
  </conditionalFormatting>
  <conditionalFormatting sqref="B581">
    <cfRule type="duplicateValues" dxfId="5" priority="489"/>
  </conditionalFormatting>
  <conditionalFormatting sqref="B582">
    <cfRule type="duplicateValues" dxfId="5" priority="488"/>
  </conditionalFormatting>
  <conditionalFormatting sqref="B583">
    <cfRule type="duplicateValues" dxfId="5" priority="487"/>
  </conditionalFormatting>
  <conditionalFormatting sqref="B584">
    <cfRule type="duplicateValues" dxfId="5" priority="486"/>
  </conditionalFormatting>
  <conditionalFormatting sqref="B585">
    <cfRule type="duplicateValues" dxfId="5" priority="485"/>
  </conditionalFormatting>
  <conditionalFormatting sqref="B586">
    <cfRule type="duplicateValues" dxfId="5" priority="484"/>
  </conditionalFormatting>
  <conditionalFormatting sqref="B587">
    <cfRule type="duplicateValues" dxfId="5" priority="483"/>
  </conditionalFormatting>
  <conditionalFormatting sqref="B588">
    <cfRule type="duplicateValues" dxfId="5" priority="482"/>
  </conditionalFormatting>
  <conditionalFormatting sqref="B589">
    <cfRule type="duplicateValues" dxfId="5" priority="481"/>
  </conditionalFormatting>
  <conditionalFormatting sqref="B590">
    <cfRule type="duplicateValues" dxfId="5" priority="480"/>
  </conditionalFormatting>
  <conditionalFormatting sqref="B591">
    <cfRule type="duplicateValues" dxfId="5" priority="479"/>
  </conditionalFormatting>
  <conditionalFormatting sqref="B592">
    <cfRule type="duplicateValues" dxfId="5" priority="478"/>
  </conditionalFormatting>
  <conditionalFormatting sqref="B593">
    <cfRule type="duplicateValues" dxfId="5" priority="477"/>
  </conditionalFormatting>
  <conditionalFormatting sqref="B594">
    <cfRule type="duplicateValues" dxfId="5" priority="476"/>
  </conditionalFormatting>
  <conditionalFormatting sqref="B595">
    <cfRule type="duplicateValues" dxfId="5" priority="475"/>
  </conditionalFormatting>
  <conditionalFormatting sqref="B596">
    <cfRule type="duplicateValues" dxfId="5" priority="474"/>
  </conditionalFormatting>
  <conditionalFormatting sqref="B597">
    <cfRule type="duplicateValues" dxfId="5" priority="473"/>
  </conditionalFormatting>
  <conditionalFormatting sqref="B598">
    <cfRule type="duplicateValues" dxfId="5" priority="472"/>
  </conditionalFormatting>
  <conditionalFormatting sqref="B599">
    <cfRule type="duplicateValues" dxfId="5" priority="471"/>
  </conditionalFormatting>
  <conditionalFormatting sqref="B600">
    <cfRule type="duplicateValues" dxfId="5" priority="470"/>
  </conditionalFormatting>
  <conditionalFormatting sqref="B601">
    <cfRule type="duplicateValues" dxfId="5" priority="469"/>
  </conditionalFormatting>
  <conditionalFormatting sqref="B602">
    <cfRule type="duplicateValues" dxfId="5" priority="468"/>
  </conditionalFormatting>
  <conditionalFormatting sqref="B603">
    <cfRule type="duplicateValues" dxfId="5" priority="467"/>
  </conditionalFormatting>
  <conditionalFormatting sqref="B604">
    <cfRule type="duplicateValues" dxfId="5" priority="466"/>
  </conditionalFormatting>
  <conditionalFormatting sqref="B605">
    <cfRule type="duplicateValues" dxfId="5" priority="465"/>
  </conditionalFormatting>
  <conditionalFormatting sqref="B606">
    <cfRule type="duplicateValues" dxfId="5" priority="464"/>
  </conditionalFormatting>
  <conditionalFormatting sqref="B607">
    <cfRule type="duplicateValues" dxfId="5" priority="463"/>
  </conditionalFormatting>
  <conditionalFormatting sqref="B608">
    <cfRule type="duplicateValues" dxfId="5" priority="462"/>
  </conditionalFormatting>
  <conditionalFormatting sqref="B609">
    <cfRule type="duplicateValues" dxfId="5" priority="461"/>
  </conditionalFormatting>
  <conditionalFormatting sqref="B610">
    <cfRule type="duplicateValues" dxfId="5" priority="460"/>
  </conditionalFormatting>
  <conditionalFormatting sqref="B611">
    <cfRule type="duplicateValues" dxfId="5" priority="459"/>
  </conditionalFormatting>
  <conditionalFormatting sqref="B612">
    <cfRule type="duplicateValues" dxfId="5" priority="458"/>
  </conditionalFormatting>
  <conditionalFormatting sqref="B613">
    <cfRule type="duplicateValues" dxfId="5" priority="457"/>
  </conditionalFormatting>
  <conditionalFormatting sqref="B614">
    <cfRule type="duplicateValues" dxfId="5" priority="456"/>
  </conditionalFormatting>
  <conditionalFormatting sqref="B615">
    <cfRule type="duplicateValues" dxfId="5" priority="455"/>
  </conditionalFormatting>
  <conditionalFormatting sqref="B616">
    <cfRule type="duplicateValues" dxfId="5" priority="454"/>
  </conditionalFormatting>
  <conditionalFormatting sqref="B617">
    <cfRule type="duplicateValues" dxfId="5" priority="453"/>
  </conditionalFormatting>
  <conditionalFormatting sqref="B618">
    <cfRule type="duplicateValues" dxfId="5" priority="452"/>
  </conditionalFormatting>
  <conditionalFormatting sqref="B619">
    <cfRule type="duplicateValues" dxfId="5" priority="451"/>
  </conditionalFormatting>
  <conditionalFormatting sqref="B620">
    <cfRule type="duplicateValues" dxfId="5" priority="450"/>
  </conditionalFormatting>
  <conditionalFormatting sqref="B621">
    <cfRule type="duplicateValues" dxfId="5" priority="449"/>
  </conditionalFormatting>
  <conditionalFormatting sqref="B622">
    <cfRule type="duplicateValues" dxfId="5" priority="448"/>
  </conditionalFormatting>
  <conditionalFormatting sqref="B623">
    <cfRule type="duplicateValues" dxfId="5" priority="447"/>
  </conditionalFormatting>
  <conditionalFormatting sqref="B624">
    <cfRule type="duplicateValues" dxfId="5" priority="446"/>
  </conditionalFormatting>
  <conditionalFormatting sqref="B625">
    <cfRule type="duplicateValues" dxfId="5" priority="445"/>
  </conditionalFormatting>
  <conditionalFormatting sqref="B626">
    <cfRule type="duplicateValues" dxfId="5" priority="444"/>
  </conditionalFormatting>
  <conditionalFormatting sqref="B627">
    <cfRule type="duplicateValues" dxfId="5" priority="443"/>
  </conditionalFormatting>
  <conditionalFormatting sqref="B628">
    <cfRule type="duplicateValues" dxfId="5" priority="442"/>
  </conditionalFormatting>
  <conditionalFormatting sqref="B629">
    <cfRule type="duplicateValues" dxfId="5" priority="441"/>
  </conditionalFormatting>
  <conditionalFormatting sqref="B630">
    <cfRule type="duplicateValues" dxfId="5" priority="440"/>
  </conditionalFormatting>
  <conditionalFormatting sqref="B631">
    <cfRule type="duplicateValues" dxfId="5" priority="439"/>
  </conditionalFormatting>
  <conditionalFormatting sqref="B632">
    <cfRule type="duplicateValues" dxfId="5" priority="438"/>
  </conditionalFormatting>
  <conditionalFormatting sqref="B633">
    <cfRule type="duplicateValues" dxfId="5" priority="437"/>
  </conditionalFormatting>
  <conditionalFormatting sqref="B634">
    <cfRule type="duplicateValues" dxfId="5" priority="436"/>
  </conditionalFormatting>
  <conditionalFormatting sqref="B635">
    <cfRule type="duplicateValues" dxfId="5" priority="435"/>
  </conditionalFormatting>
  <conditionalFormatting sqref="B636">
    <cfRule type="duplicateValues" dxfId="5" priority="434"/>
  </conditionalFormatting>
  <conditionalFormatting sqref="B637">
    <cfRule type="duplicateValues" dxfId="5" priority="433"/>
  </conditionalFormatting>
  <conditionalFormatting sqref="B638">
    <cfRule type="duplicateValues" dxfId="5" priority="432"/>
  </conditionalFormatting>
  <conditionalFormatting sqref="B639">
    <cfRule type="duplicateValues" dxfId="5" priority="431"/>
  </conditionalFormatting>
  <conditionalFormatting sqref="B640">
    <cfRule type="duplicateValues" dxfId="5" priority="430"/>
  </conditionalFormatting>
  <conditionalFormatting sqref="B641">
    <cfRule type="duplicateValues" dxfId="5" priority="429"/>
  </conditionalFormatting>
  <conditionalFormatting sqref="B642">
    <cfRule type="duplicateValues" dxfId="5" priority="428"/>
  </conditionalFormatting>
  <conditionalFormatting sqref="B643">
    <cfRule type="duplicateValues" dxfId="5" priority="427"/>
  </conditionalFormatting>
  <conditionalFormatting sqref="B644">
    <cfRule type="duplicateValues" dxfId="5" priority="426"/>
  </conditionalFormatting>
  <conditionalFormatting sqref="B645">
    <cfRule type="duplicateValues" dxfId="5" priority="425"/>
  </conditionalFormatting>
  <conditionalFormatting sqref="B646">
    <cfRule type="duplicateValues" dxfId="5" priority="424"/>
  </conditionalFormatting>
  <conditionalFormatting sqref="B647">
    <cfRule type="duplicateValues" dxfId="5" priority="423"/>
  </conditionalFormatting>
  <conditionalFormatting sqref="B648">
    <cfRule type="duplicateValues" dxfId="5" priority="422"/>
  </conditionalFormatting>
  <conditionalFormatting sqref="B649">
    <cfRule type="duplicateValues" dxfId="5" priority="421"/>
  </conditionalFormatting>
  <conditionalFormatting sqref="B650">
    <cfRule type="duplicateValues" dxfId="5" priority="420"/>
  </conditionalFormatting>
  <conditionalFormatting sqref="B651">
    <cfRule type="duplicateValues" dxfId="5" priority="419"/>
  </conditionalFormatting>
  <conditionalFormatting sqref="B652">
    <cfRule type="duplicateValues" dxfId="5" priority="418"/>
  </conditionalFormatting>
  <conditionalFormatting sqref="B653">
    <cfRule type="duplicateValues" dxfId="5" priority="417"/>
  </conditionalFormatting>
  <conditionalFormatting sqref="B654">
    <cfRule type="duplicateValues" dxfId="5" priority="416"/>
  </conditionalFormatting>
  <conditionalFormatting sqref="B655">
    <cfRule type="duplicateValues" dxfId="5" priority="415"/>
  </conditionalFormatting>
  <conditionalFormatting sqref="B656">
    <cfRule type="duplicateValues" dxfId="5" priority="414"/>
  </conditionalFormatting>
  <conditionalFormatting sqref="B657">
    <cfRule type="duplicateValues" dxfId="5" priority="413"/>
  </conditionalFormatting>
  <conditionalFormatting sqref="B658">
    <cfRule type="duplicateValues" dxfId="5" priority="412"/>
  </conditionalFormatting>
  <conditionalFormatting sqref="B659">
    <cfRule type="duplicateValues" dxfId="5" priority="411"/>
  </conditionalFormatting>
  <conditionalFormatting sqref="B660">
    <cfRule type="duplicateValues" dxfId="5" priority="410"/>
  </conditionalFormatting>
  <conditionalFormatting sqref="B661">
    <cfRule type="duplicateValues" dxfId="5" priority="409"/>
  </conditionalFormatting>
  <conditionalFormatting sqref="B662">
    <cfRule type="duplicateValues" dxfId="5" priority="408"/>
  </conditionalFormatting>
  <conditionalFormatting sqref="B663">
    <cfRule type="duplicateValues" dxfId="5" priority="407"/>
  </conditionalFormatting>
  <conditionalFormatting sqref="B664">
    <cfRule type="duplicateValues" dxfId="5" priority="406"/>
  </conditionalFormatting>
  <conditionalFormatting sqref="B665">
    <cfRule type="duplicateValues" dxfId="5" priority="405"/>
  </conditionalFormatting>
  <conditionalFormatting sqref="B666">
    <cfRule type="duplicateValues" dxfId="5" priority="404"/>
  </conditionalFormatting>
  <conditionalFormatting sqref="B667">
    <cfRule type="duplicateValues" dxfId="5" priority="403"/>
  </conditionalFormatting>
  <conditionalFormatting sqref="B668">
    <cfRule type="duplicateValues" dxfId="5" priority="402"/>
  </conditionalFormatting>
  <conditionalFormatting sqref="B669">
    <cfRule type="duplicateValues" dxfId="5" priority="401"/>
  </conditionalFormatting>
  <conditionalFormatting sqref="B670">
    <cfRule type="duplicateValues" dxfId="5" priority="400"/>
  </conditionalFormatting>
  <conditionalFormatting sqref="B671">
    <cfRule type="duplicateValues" dxfId="5" priority="399"/>
  </conditionalFormatting>
  <conditionalFormatting sqref="B672">
    <cfRule type="duplicateValues" dxfId="5" priority="398"/>
  </conditionalFormatting>
  <conditionalFormatting sqref="B673">
    <cfRule type="duplicateValues" dxfId="5" priority="397"/>
  </conditionalFormatting>
  <conditionalFormatting sqref="B674">
    <cfRule type="duplicateValues" dxfId="5" priority="396"/>
  </conditionalFormatting>
  <conditionalFormatting sqref="B675">
    <cfRule type="duplicateValues" dxfId="5" priority="395"/>
  </conditionalFormatting>
  <conditionalFormatting sqref="B676">
    <cfRule type="duplicateValues" dxfId="5" priority="394"/>
  </conditionalFormatting>
  <conditionalFormatting sqref="B677">
    <cfRule type="duplicateValues" dxfId="5" priority="393"/>
  </conditionalFormatting>
  <conditionalFormatting sqref="B678">
    <cfRule type="duplicateValues" dxfId="5" priority="392"/>
  </conditionalFormatting>
  <conditionalFormatting sqref="B679">
    <cfRule type="duplicateValues" dxfId="5" priority="391"/>
  </conditionalFormatting>
  <conditionalFormatting sqref="B680">
    <cfRule type="duplicateValues" dxfId="5" priority="390"/>
  </conditionalFormatting>
  <conditionalFormatting sqref="B681">
    <cfRule type="duplicateValues" dxfId="5" priority="389"/>
  </conditionalFormatting>
  <conditionalFormatting sqref="B682">
    <cfRule type="duplicateValues" dxfId="5" priority="388"/>
  </conditionalFormatting>
  <conditionalFormatting sqref="B683">
    <cfRule type="duplicateValues" dxfId="5" priority="387"/>
  </conditionalFormatting>
  <conditionalFormatting sqref="B684">
    <cfRule type="duplicateValues" dxfId="5" priority="386"/>
  </conditionalFormatting>
  <conditionalFormatting sqref="B685">
    <cfRule type="duplicateValues" dxfId="5" priority="385"/>
  </conditionalFormatting>
  <conditionalFormatting sqref="B686">
    <cfRule type="duplicateValues" dxfId="5" priority="384"/>
  </conditionalFormatting>
  <conditionalFormatting sqref="B687">
    <cfRule type="duplicateValues" dxfId="5" priority="383"/>
  </conditionalFormatting>
  <conditionalFormatting sqref="B688">
    <cfRule type="duplicateValues" dxfId="5" priority="382"/>
  </conditionalFormatting>
  <conditionalFormatting sqref="B689">
    <cfRule type="duplicateValues" dxfId="5" priority="381"/>
  </conditionalFormatting>
  <conditionalFormatting sqref="B690">
    <cfRule type="duplicateValues" dxfId="5" priority="380"/>
  </conditionalFormatting>
  <conditionalFormatting sqref="B691">
    <cfRule type="duplicateValues" dxfId="5" priority="379"/>
  </conditionalFormatting>
  <conditionalFormatting sqref="B692">
    <cfRule type="duplicateValues" dxfId="5" priority="378"/>
  </conditionalFormatting>
  <conditionalFormatting sqref="B693">
    <cfRule type="duplicateValues" dxfId="5" priority="377"/>
  </conditionalFormatting>
  <conditionalFormatting sqref="B694">
    <cfRule type="duplicateValues" dxfId="5" priority="376"/>
  </conditionalFormatting>
  <conditionalFormatting sqref="B695">
    <cfRule type="duplicateValues" dxfId="5" priority="375"/>
  </conditionalFormatting>
  <conditionalFormatting sqref="B696">
    <cfRule type="duplicateValues" dxfId="5" priority="374"/>
  </conditionalFormatting>
  <conditionalFormatting sqref="B697">
    <cfRule type="duplicateValues" dxfId="5" priority="373"/>
  </conditionalFormatting>
  <conditionalFormatting sqref="B698">
    <cfRule type="duplicateValues" dxfId="5" priority="372"/>
  </conditionalFormatting>
  <conditionalFormatting sqref="B699">
    <cfRule type="duplicateValues" dxfId="5" priority="371"/>
  </conditionalFormatting>
  <conditionalFormatting sqref="B700">
    <cfRule type="duplicateValues" dxfId="5" priority="370"/>
  </conditionalFormatting>
  <conditionalFormatting sqref="B701">
    <cfRule type="duplicateValues" dxfId="5" priority="369"/>
  </conditionalFormatting>
  <conditionalFormatting sqref="B702">
    <cfRule type="duplicateValues" dxfId="5" priority="368"/>
  </conditionalFormatting>
  <conditionalFormatting sqref="B703">
    <cfRule type="duplicateValues" dxfId="5" priority="367"/>
  </conditionalFormatting>
  <conditionalFormatting sqref="B704">
    <cfRule type="duplicateValues" dxfId="5" priority="366"/>
  </conditionalFormatting>
  <conditionalFormatting sqref="B705">
    <cfRule type="duplicateValues" dxfId="5" priority="365"/>
  </conditionalFormatting>
  <conditionalFormatting sqref="B706">
    <cfRule type="duplicateValues" dxfId="5" priority="364"/>
  </conditionalFormatting>
  <conditionalFormatting sqref="B707">
    <cfRule type="duplicateValues" dxfId="5" priority="363"/>
  </conditionalFormatting>
  <conditionalFormatting sqref="B708">
    <cfRule type="duplicateValues" dxfId="5" priority="362"/>
  </conditionalFormatting>
  <conditionalFormatting sqref="B709">
    <cfRule type="duplicateValues" dxfId="5" priority="361"/>
  </conditionalFormatting>
  <conditionalFormatting sqref="B710">
    <cfRule type="duplicateValues" dxfId="5" priority="360"/>
  </conditionalFormatting>
  <conditionalFormatting sqref="B711">
    <cfRule type="duplicateValues" dxfId="5" priority="359"/>
  </conditionalFormatting>
  <conditionalFormatting sqref="B712">
    <cfRule type="duplicateValues" dxfId="5" priority="358"/>
  </conditionalFormatting>
  <conditionalFormatting sqref="B713">
    <cfRule type="duplicateValues" dxfId="5" priority="357"/>
  </conditionalFormatting>
  <conditionalFormatting sqref="B714">
    <cfRule type="duplicateValues" dxfId="5" priority="356"/>
  </conditionalFormatting>
  <conditionalFormatting sqref="B715">
    <cfRule type="duplicateValues" dxfId="5" priority="355"/>
  </conditionalFormatting>
  <conditionalFormatting sqref="B716">
    <cfRule type="duplicateValues" dxfId="5" priority="354"/>
  </conditionalFormatting>
  <conditionalFormatting sqref="B717">
    <cfRule type="duplicateValues" dxfId="5" priority="353"/>
  </conditionalFormatting>
  <conditionalFormatting sqref="B718">
    <cfRule type="duplicateValues" dxfId="5" priority="352"/>
  </conditionalFormatting>
  <conditionalFormatting sqref="B719">
    <cfRule type="duplicateValues" dxfId="5" priority="351"/>
  </conditionalFormatting>
  <conditionalFormatting sqref="B720">
    <cfRule type="duplicateValues" dxfId="5" priority="350"/>
  </conditionalFormatting>
  <conditionalFormatting sqref="B721">
    <cfRule type="duplicateValues" dxfId="5" priority="349"/>
  </conditionalFormatting>
  <conditionalFormatting sqref="B722">
    <cfRule type="duplicateValues" dxfId="5" priority="348"/>
  </conditionalFormatting>
  <conditionalFormatting sqref="B723">
    <cfRule type="duplicateValues" dxfId="5" priority="347"/>
  </conditionalFormatting>
  <conditionalFormatting sqref="B724">
    <cfRule type="duplicateValues" dxfId="5" priority="346"/>
  </conditionalFormatting>
  <conditionalFormatting sqref="B725">
    <cfRule type="duplicateValues" dxfId="5" priority="345"/>
  </conditionalFormatting>
  <conditionalFormatting sqref="B726">
    <cfRule type="duplicateValues" dxfId="5" priority="344"/>
  </conditionalFormatting>
  <conditionalFormatting sqref="B727">
    <cfRule type="duplicateValues" dxfId="5" priority="343"/>
  </conditionalFormatting>
  <conditionalFormatting sqref="B728">
    <cfRule type="duplicateValues" dxfId="5" priority="342"/>
  </conditionalFormatting>
  <conditionalFormatting sqref="B729">
    <cfRule type="duplicateValues" dxfId="5" priority="341"/>
  </conditionalFormatting>
  <conditionalFormatting sqref="B730">
    <cfRule type="duplicateValues" dxfId="5" priority="340"/>
  </conditionalFormatting>
  <conditionalFormatting sqref="B731">
    <cfRule type="duplicateValues" dxfId="5" priority="339"/>
  </conditionalFormatting>
  <conditionalFormatting sqref="B732">
    <cfRule type="duplicateValues" dxfId="5" priority="338"/>
  </conditionalFormatting>
  <conditionalFormatting sqref="B733">
    <cfRule type="duplicateValues" dxfId="5" priority="337"/>
  </conditionalFormatting>
  <conditionalFormatting sqref="B734">
    <cfRule type="duplicateValues" dxfId="5" priority="336"/>
  </conditionalFormatting>
  <conditionalFormatting sqref="B735">
    <cfRule type="duplicateValues" dxfId="5" priority="335"/>
  </conditionalFormatting>
  <conditionalFormatting sqref="B736">
    <cfRule type="duplicateValues" dxfId="5" priority="334"/>
  </conditionalFormatting>
  <conditionalFormatting sqref="B737">
    <cfRule type="duplicateValues" dxfId="5" priority="333"/>
  </conditionalFormatting>
  <conditionalFormatting sqref="B738">
    <cfRule type="duplicateValues" dxfId="5" priority="332"/>
  </conditionalFormatting>
  <conditionalFormatting sqref="B739">
    <cfRule type="duplicateValues" dxfId="5" priority="331"/>
  </conditionalFormatting>
  <conditionalFormatting sqref="B740">
    <cfRule type="duplicateValues" dxfId="5" priority="330"/>
  </conditionalFormatting>
  <conditionalFormatting sqref="B741">
    <cfRule type="duplicateValues" dxfId="5" priority="329"/>
  </conditionalFormatting>
  <conditionalFormatting sqref="B742">
    <cfRule type="duplicateValues" dxfId="5" priority="328"/>
  </conditionalFormatting>
  <conditionalFormatting sqref="B743">
    <cfRule type="duplicateValues" dxfId="5" priority="327"/>
  </conditionalFormatting>
  <conditionalFormatting sqref="B744">
    <cfRule type="duplicateValues" dxfId="5" priority="326"/>
  </conditionalFormatting>
  <conditionalFormatting sqref="B745">
    <cfRule type="duplicateValues" dxfId="5" priority="325"/>
  </conditionalFormatting>
  <conditionalFormatting sqref="B746">
    <cfRule type="duplicateValues" dxfId="5" priority="324"/>
  </conditionalFormatting>
  <conditionalFormatting sqref="B747">
    <cfRule type="duplicateValues" dxfId="5" priority="323"/>
  </conditionalFormatting>
  <conditionalFormatting sqref="B748">
    <cfRule type="duplicateValues" dxfId="5" priority="322"/>
  </conditionalFormatting>
  <conditionalFormatting sqref="B749">
    <cfRule type="duplicateValues" dxfId="5" priority="321"/>
  </conditionalFormatting>
  <conditionalFormatting sqref="B750">
    <cfRule type="duplicateValues" dxfId="5" priority="320"/>
  </conditionalFormatting>
  <conditionalFormatting sqref="B751">
    <cfRule type="duplicateValues" dxfId="5" priority="319"/>
  </conditionalFormatting>
  <conditionalFormatting sqref="B752">
    <cfRule type="duplicateValues" dxfId="5" priority="318"/>
  </conditionalFormatting>
  <conditionalFormatting sqref="B753">
    <cfRule type="duplicateValues" dxfId="5" priority="317"/>
  </conditionalFormatting>
  <conditionalFormatting sqref="B754">
    <cfRule type="duplicateValues" dxfId="5" priority="316"/>
  </conditionalFormatting>
  <conditionalFormatting sqref="B755">
    <cfRule type="duplicateValues" dxfId="5" priority="315"/>
  </conditionalFormatting>
  <conditionalFormatting sqref="B756">
    <cfRule type="duplicateValues" dxfId="5" priority="314"/>
  </conditionalFormatting>
  <conditionalFormatting sqref="B757">
    <cfRule type="duplicateValues" dxfId="5" priority="313"/>
  </conditionalFormatting>
  <conditionalFormatting sqref="B758">
    <cfRule type="duplicateValues" dxfId="5" priority="312"/>
  </conditionalFormatting>
  <conditionalFormatting sqref="B759">
    <cfRule type="duplicateValues" dxfId="5" priority="311"/>
  </conditionalFormatting>
  <conditionalFormatting sqref="B760">
    <cfRule type="duplicateValues" dxfId="5" priority="310"/>
  </conditionalFormatting>
  <conditionalFormatting sqref="B761">
    <cfRule type="duplicateValues" dxfId="5" priority="309"/>
  </conditionalFormatting>
  <conditionalFormatting sqref="B762">
    <cfRule type="duplicateValues" dxfId="5" priority="308"/>
  </conditionalFormatting>
  <conditionalFormatting sqref="B763">
    <cfRule type="duplicateValues" dxfId="5" priority="307"/>
  </conditionalFormatting>
  <conditionalFormatting sqref="B764">
    <cfRule type="duplicateValues" dxfId="5" priority="306"/>
  </conditionalFormatting>
  <conditionalFormatting sqref="B765">
    <cfRule type="duplicateValues" dxfId="5" priority="305"/>
  </conditionalFormatting>
  <conditionalFormatting sqref="B766">
    <cfRule type="duplicateValues" dxfId="5" priority="304"/>
  </conditionalFormatting>
  <conditionalFormatting sqref="B767">
    <cfRule type="duplicateValues" dxfId="5" priority="303"/>
  </conditionalFormatting>
  <conditionalFormatting sqref="B768">
    <cfRule type="duplicateValues" dxfId="5" priority="302"/>
  </conditionalFormatting>
  <conditionalFormatting sqref="B769">
    <cfRule type="duplicateValues" dxfId="5" priority="301"/>
  </conditionalFormatting>
  <conditionalFormatting sqref="B770">
    <cfRule type="duplicateValues" dxfId="5" priority="300"/>
  </conditionalFormatting>
  <conditionalFormatting sqref="B771">
    <cfRule type="duplicateValues" dxfId="5" priority="299"/>
  </conditionalFormatting>
  <conditionalFormatting sqref="B772">
    <cfRule type="duplicateValues" dxfId="5" priority="298"/>
  </conditionalFormatting>
  <conditionalFormatting sqref="B773">
    <cfRule type="duplicateValues" dxfId="5" priority="297"/>
  </conditionalFormatting>
  <conditionalFormatting sqref="B774">
    <cfRule type="duplicateValues" dxfId="5" priority="296"/>
  </conditionalFormatting>
  <conditionalFormatting sqref="B775">
    <cfRule type="duplicateValues" dxfId="5" priority="295"/>
  </conditionalFormatting>
  <conditionalFormatting sqref="B776">
    <cfRule type="duplicateValues" dxfId="5" priority="294"/>
  </conditionalFormatting>
  <conditionalFormatting sqref="B777">
    <cfRule type="duplicateValues" dxfId="5" priority="293"/>
  </conditionalFormatting>
  <conditionalFormatting sqref="B778">
    <cfRule type="duplicateValues" dxfId="5" priority="292"/>
  </conditionalFormatting>
  <conditionalFormatting sqref="B779">
    <cfRule type="duplicateValues" dxfId="5" priority="291"/>
  </conditionalFormatting>
  <conditionalFormatting sqref="B780">
    <cfRule type="duplicateValues" dxfId="5" priority="290"/>
  </conditionalFormatting>
  <conditionalFormatting sqref="B781">
    <cfRule type="duplicateValues" dxfId="5" priority="289"/>
  </conditionalFormatting>
  <conditionalFormatting sqref="B782">
    <cfRule type="duplicateValues" dxfId="5" priority="288"/>
  </conditionalFormatting>
  <conditionalFormatting sqref="B783">
    <cfRule type="duplicateValues" dxfId="5" priority="287"/>
  </conditionalFormatting>
  <conditionalFormatting sqref="B784">
    <cfRule type="duplicateValues" dxfId="5" priority="286"/>
  </conditionalFormatting>
  <conditionalFormatting sqref="B785">
    <cfRule type="duplicateValues" dxfId="5" priority="285"/>
  </conditionalFormatting>
  <conditionalFormatting sqref="B786">
    <cfRule type="duplicateValues" dxfId="5" priority="284"/>
  </conditionalFormatting>
  <conditionalFormatting sqref="B787">
    <cfRule type="duplicateValues" dxfId="5" priority="283"/>
  </conditionalFormatting>
  <conditionalFormatting sqref="B788">
    <cfRule type="duplicateValues" dxfId="5" priority="282"/>
  </conditionalFormatting>
  <conditionalFormatting sqref="B789">
    <cfRule type="duplicateValues" dxfId="5" priority="281"/>
  </conditionalFormatting>
  <conditionalFormatting sqref="B790">
    <cfRule type="duplicateValues" dxfId="5" priority="280"/>
  </conditionalFormatting>
  <conditionalFormatting sqref="B791">
    <cfRule type="duplicateValues" dxfId="5" priority="279"/>
  </conditionalFormatting>
  <conditionalFormatting sqref="B792">
    <cfRule type="duplicateValues" dxfId="5" priority="278"/>
  </conditionalFormatting>
  <conditionalFormatting sqref="B793">
    <cfRule type="duplicateValues" dxfId="5" priority="277"/>
  </conditionalFormatting>
  <conditionalFormatting sqref="B794">
    <cfRule type="duplicateValues" dxfId="5" priority="276"/>
  </conditionalFormatting>
  <conditionalFormatting sqref="B795">
    <cfRule type="duplicateValues" dxfId="5" priority="275"/>
  </conditionalFormatting>
  <conditionalFormatting sqref="B796">
    <cfRule type="duplicateValues" dxfId="5" priority="274"/>
  </conditionalFormatting>
  <conditionalFormatting sqref="B797">
    <cfRule type="duplicateValues" dxfId="5" priority="273"/>
  </conditionalFormatting>
  <conditionalFormatting sqref="B798">
    <cfRule type="duplicateValues" dxfId="5" priority="272"/>
  </conditionalFormatting>
  <conditionalFormatting sqref="B799">
    <cfRule type="duplicateValues" dxfId="5" priority="271"/>
  </conditionalFormatting>
  <conditionalFormatting sqref="B800">
    <cfRule type="duplicateValues" dxfId="5" priority="270"/>
  </conditionalFormatting>
  <conditionalFormatting sqref="B801">
    <cfRule type="duplicateValues" dxfId="5" priority="269"/>
  </conditionalFormatting>
  <conditionalFormatting sqref="B802">
    <cfRule type="duplicateValues" dxfId="5" priority="268"/>
  </conditionalFormatting>
  <conditionalFormatting sqref="B803">
    <cfRule type="duplicateValues" dxfId="5" priority="267"/>
  </conditionalFormatting>
  <conditionalFormatting sqref="B804">
    <cfRule type="duplicateValues" dxfId="5" priority="266"/>
  </conditionalFormatting>
  <conditionalFormatting sqref="B805">
    <cfRule type="duplicateValues" dxfId="5" priority="265"/>
  </conditionalFormatting>
  <conditionalFormatting sqref="B806">
    <cfRule type="duplicateValues" dxfId="5" priority="264"/>
  </conditionalFormatting>
  <conditionalFormatting sqref="B807">
    <cfRule type="duplicateValues" dxfId="5" priority="263"/>
  </conditionalFormatting>
  <conditionalFormatting sqref="B808">
    <cfRule type="duplicateValues" dxfId="5" priority="262"/>
  </conditionalFormatting>
  <conditionalFormatting sqref="B809">
    <cfRule type="duplicateValues" dxfId="5" priority="261"/>
  </conditionalFormatting>
  <conditionalFormatting sqref="B810">
    <cfRule type="duplicateValues" dxfId="5" priority="260"/>
  </conditionalFormatting>
  <conditionalFormatting sqref="B811">
    <cfRule type="duplicateValues" dxfId="5" priority="259"/>
  </conditionalFormatting>
  <conditionalFormatting sqref="B812">
    <cfRule type="duplicateValues" dxfId="5" priority="258"/>
  </conditionalFormatting>
  <conditionalFormatting sqref="B813">
    <cfRule type="duplicateValues" dxfId="5" priority="257"/>
  </conditionalFormatting>
  <conditionalFormatting sqref="B814">
    <cfRule type="duplicateValues" dxfId="5" priority="256"/>
  </conditionalFormatting>
  <conditionalFormatting sqref="B815">
    <cfRule type="duplicateValues" dxfId="5" priority="255"/>
  </conditionalFormatting>
  <conditionalFormatting sqref="B816">
    <cfRule type="duplicateValues" dxfId="5" priority="254"/>
  </conditionalFormatting>
  <conditionalFormatting sqref="B817">
    <cfRule type="duplicateValues" dxfId="5" priority="253"/>
  </conditionalFormatting>
  <conditionalFormatting sqref="B818">
    <cfRule type="duplicateValues" dxfId="5" priority="252"/>
  </conditionalFormatting>
  <conditionalFormatting sqref="B819">
    <cfRule type="duplicateValues" dxfId="5" priority="251"/>
  </conditionalFormatting>
  <conditionalFormatting sqref="B820">
    <cfRule type="duplicateValues" dxfId="5" priority="250"/>
  </conditionalFormatting>
  <conditionalFormatting sqref="B821">
    <cfRule type="duplicateValues" dxfId="5" priority="249"/>
  </conditionalFormatting>
  <conditionalFormatting sqref="B822">
    <cfRule type="duplicateValues" dxfId="5" priority="248"/>
  </conditionalFormatting>
  <conditionalFormatting sqref="B823">
    <cfRule type="duplicateValues" dxfId="5" priority="247"/>
  </conditionalFormatting>
  <conditionalFormatting sqref="B824">
    <cfRule type="duplicateValues" dxfId="5" priority="246"/>
  </conditionalFormatting>
  <conditionalFormatting sqref="B825">
    <cfRule type="duplicateValues" dxfId="5" priority="245"/>
  </conditionalFormatting>
  <conditionalFormatting sqref="B826">
    <cfRule type="duplicateValues" dxfId="5" priority="244"/>
  </conditionalFormatting>
  <conditionalFormatting sqref="B827">
    <cfRule type="duplicateValues" dxfId="5" priority="243"/>
  </conditionalFormatting>
  <conditionalFormatting sqref="B828">
    <cfRule type="duplicateValues" dxfId="5" priority="242"/>
  </conditionalFormatting>
  <conditionalFormatting sqref="B829">
    <cfRule type="duplicateValues" dxfId="5" priority="241"/>
  </conditionalFormatting>
  <conditionalFormatting sqref="B830">
    <cfRule type="duplicateValues" dxfId="5" priority="240"/>
  </conditionalFormatting>
  <conditionalFormatting sqref="B831">
    <cfRule type="duplicateValues" dxfId="5" priority="239"/>
  </conditionalFormatting>
  <conditionalFormatting sqref="B832">
    <cfRule type="duplicateValues" dxfId="5" priority="238"/>
  </conditionalFormatting>
  <conditionalFormatting sqref="B833">
    <cfRule type="duplicateValues" dxfId="5" priority="237"/>
  </conditionalFormatting>
  <conditionalFormatting sqref="B834">
    <cfRule type="duplicateValues" dxfId="5" priority="236"/>
  </conditionalFormatting>
  <conditionalFormatting sqref="B835">
    <cfRule type="duplicateValues" dxfId="5" priority="235"/>
  </conditionalFormatting>
  <conditionalFormatting sqref="B836">
    <cfRule type="duplicateValues" dxfId="5" priority="234"/>
  </conditionalFormatting>
  <conditionalFormatting sqref="B837">
    <cfRule type="duplicateValues" dxfId="5" priority="233"/>
  </conditionalFormatting>
  <conditionalFormatting sqref="B838">
    <cfRule type="duplicateValues" dxfId="5" priority="232"/>
  </conditionalFormatting>
  <conditionalFormatting sqref="B839">
    <cfRule type="duplicateValues" dxfId="5" priority="231"/>
  </conditionalFormatting>
  <conditionalFormatting sqref="B840">
    <cfRule type="duplicateValues" dxfId="5" priority="230"/>
  </conditionalFormatting>
  <conditionalFormatting sqref="B841">
    <cfRule type="duplicateValues" dxfId="5" priority="229"/>
  </conditionalFormatting>
  <conditionalFormatting sqref="B842">
    <cfRule type="duplicateValues" dxfId="5" priority="228"/>
  </conditionalFormatting>
  <conditionalFormatting sqref="B843">
    <cfRule type="duplicateValues" dxfId="5" priority="227"/>
  </conditionalFormatting>
  <conditionalFormatting sqref="B844">
    <cfRule type="duplicateValues" dxfId="5" priority="226"/>
  </conditionalFormatting>
  <conditionalFormatting sqref="B845">
    <cfRule type="duplicateValues" dxfId="5" priority="225"/>
  </conditionalFormatting>
  <conditionalFormatting sqref="B846">
    <cfRule type="duplicateValues" dxfId="5" priority="224"/>
  </conditionalFormatting>
  <conditionalFormatting sqref="B847">
    <cfRule type="duplicateValues" dxfId="5" priority="223"/>
  </conditionalFormatting>
  <conditionalFormatting sqref="B848">
    <cfRule type="duplicateValues" dxfId="5" priority="222"/>
  </conditionalFormatting>
  <conditionalFormatting sqref="B849">
    <cfRule type="duplicateValues" dxfId="5" priority="221"/>
  </conditionalFormatting>
  <conditionalFormatting sqref="B850">
    <cfRule type="duplicateValues" dxfId="5" priority="220"/>
  </conditionalFormatting>
  <conditionalFormatting sqref="B851">
    <cfRule type="duplicateValues" dxfId="5" priority="219"/>
  </conditionalFormatting>
  <conditionalFormatting sqref="B852">
    <cfRule type="duplicateValues" dxfId="5" priority="218"/>
  </conditionalFormatting>
  <conditionalFormatting sqref="B853">
    <cfRule type="duplicateValues" dxfId="5" priority="217"/>
  </conditionalFormatting>
  <conditionalFormatting sqref="B854">
    <cfRule type="duplicateValues" dxfId="5" priority="216"/>
  </conditionalFormatting>
  <conditionalFormatting sqref="B855">
    <cfRule type="duplicateValues" dxfId="5" priority="215"/>
  </conditionalFormatting>
  <conditionalFormatting sqref="B856">
    <cfRule type="duplicateValues" dxfId="5" priority="214"/>
  </conditionalFormatting>
  <conditionalFormatting sqref="B857">
    <cfRule type="duplicateValues" dxfId="5" priority="213"/>
  </conditionalFormatting>
  <conditionalFormatting sqref="B858">
    <cfRule type="duplicateValues" dxfId="5" priority="212"/>
  </conditionalFormatting>
  <conditionalFormatting sqref="B859">
    <cfRule type="duplicateValues" dxfId="5" priority="211"/>
  </conditionalFormatting>
  <conditionalFormatting sqref="B860">
    <cfRule type="duplicateValues" dxfId="5" priority="210"/>
  </conditionalFormatting>
  <conditionalFormatting sqref="B861">
    <cfRule type="duplicateValues" dxfId="5" priority="209"/>
  </conditionalFormatting>
  <conditionalFormatting sqref="B862">
    <cfRule type="duplicateValues" dxfId="5" priority="208"/>
  </conditionalFormatting>
  <conditionalFormatting sqref="B863">
    <cfRule type="duplicateValues" dxfId="5" priority="207"/>
  </conditionalFormatting>
  <conditionalFormatting sqref="B864">
    <cfRule type="duplicateValues" dxfId="5" priority="206"/>
  </conditionalFormatting>
  <conditionalFormatting sqref="B865">
    <cfRule type="duplicateValues" dxfId="5" priority="205"/>
  </conditionalFormatting>
  <conditionalFormatting sqref="B866">
    <cfRule type="duplicateValues" dxfId="5" priority="204"/>
  </conditionalFormatting>
  <conditionalFormatting sqref="B867">
    <cfRule type="duplicateValues" dxfId="5" priority="203"/>
  </conditionalFormatting>
  <conditionalFormatting sqref="B868">
    <cfRule type="duplicateValues" dxfId="5" priority="202"/>
  </conditionalFormatting>
  <conditionalFormatting sqref="B869">
    <cfRule type="duplicateValues" dxfId="5" priority="201"/>
  </conditionalFormatting>
  <conditionalFormatting sqref="B870">
    <cfRule type="duplicateValues" dxfId="5" priority="200"/>
  </conditionalFormatting>
  <conditionalFormatting sqref="B871">
    <cfRule type="duplicateValues" dxfId="5" priority="199"/>
  </conditionalFormatting>
  <conditionalFormatting sqref="B872">
    <cfRule type="duplicateValues" dxfId="5" priority="198"/>
  </conditionalFormatting>
  <conditionalFormatting sqref="B873">
    <cfRule type="duplicateValues" dxfId="5" priority="197"/>
  </conditionalFormatting>
  <conditionalFormatting sqref="B874">
    <cfRule type="duplicateValues" dxfId="5" priority="196"/>
  </conditionalFormatting>
  <conditionalFormatting sqref="B875">
    <cfRule type="duplicateValues" dxfId="5" priority="195"/>
  </conditionalFormatting>
  <conditionalFormatting sqref="B876">
    <cfRule type="duplicateValues" dxfId="5" priority="194"/>
  </conditionalFormatting>
  <conditionalFormatting sqref="B877">
    <cfRule type="duplicateValues" dxfId="5" priority="193"/>
  </conditionalFormatting>
  <conditionalFormatting sqref="B878">
    <cfRule type="duplicateValues" dxfId="5" priority="192"/>
  </conditionalFormatting>
  <conditionalFormatting sqref="B879">
    <cfRule type="duplicateValues" dxfId="5" priority="191"/>
  </conditionalFormatting>
  <conditionalFormatting sqref="B880">
    <cfRule type="duplicateValues" dxfId="5" priority="190"/>
  </conditionalFormatting>
  <conditionalFormatting sqref="B881">
    <cfRule type="duplicateValues" dxfId="5" priority="189"/>
  </conditionalFormatting>
  <conditionalFormatting sqref="B882">
    <cfRule type="duplicateValues" dxfId="5" priority="188"/>
  </conditionalFormatting>
  <conditionalFormatting sqref="B883">
    <cfRule type="duplicateValues" dxfId="5" priority="187"/>
  </conditionalFormatting>
  <conditionalFormatting sqref="B884">
    <cfRule type="duplicateValues" dxfId="5" priority="186"/>
  </conditionalFormatting>
  <conditionalFormatting sqref="B885">
    <cfRule type="duplicateValues" dxfId="5" priority="185"/>
  </conditionalFormatting>
  <conditionalFormatting sqref="B886">
    <cfRule type="duplicateValues" dxfId="5" priority="184"/>
  </conditionalFormatting>
  <conditionalFormatting sqref="B887">
    <cfRule type="duplicateValues" dxfId="5" priority="183"/>
  </conditionalFormatting>
  <conditionalFormatting sqref="B888">
    <cfRule type="duplicateValues" dxfId="5" priority="182"/>
  </conditionalFormatting>
  <conditionalFormatting sqref="B889">
    <cfRule type="duplicateValues" dxfId="5" priority="181"/>
  </conditionalFormatting>
  <conditionalFormatting sqref="B890">
    <cfRule type="duplicateValues" dxfId="5" priority="180"/>
  </conditionalFormatting>
  <conditionalFormatting sqref="B891">
    <cfRule type="duplicateValues" dxfId="5" priority="179"/>
  </conditionalFormatting>
  <conditionalFormatting sqref="B892">
    <cfRule type="duplicateValues" dxfId="5" priority="178"/>
  </conditionalFormatting>
  <conditionalFormatting sqref="B893">
    <cfRule type="duplicateValues" dxfId="5" priority="177"/>
  </conditionalFormatting>
  <conditionalFormatting sqref="B894">
    <cfRule type="duplicateValues" dxfId="5" priority="176"/>
  </conditionalFormatting>
  <conditionalFormatting sqref="B895">
    <cfRule type="duplicateValues" dxfId="5" priority="175"/>
  </conditionalFormatting>
  <conditionalFormatting sqref="B896">
    <cfRule type="duplicateValues" dxfId="5" priority="174"/>
  </conditionalFormatting>
  <conditionalFormatting sqref="B897">
    <cfRule type="duplicateValues" dxfId="5" priority="173"/>
  </conditionalFormatting>
  <conditionalFormatting sqref="B898">
    <cfRule type="duplicateValues" dxfId="5" priority="172"/>
  </conditionalFormatting>
  <conditionalFormatting sqref="B899">
    <cfRule type="duplicateValues" dxfId="5" priority="171"/>
  </conditionalFormatting>
  <conditionalFormatting sqref="B900">
    <cfRule type="duplicateValues" dxfId="5" priority="170"/>
  </conditionalFormatting>
  <conditionalFormatting sqref="B901">
    <cfRule type="duplicateValues" dxfId="5" priority="169"/>
  </conditionalFormatting>
  <conditionalFormatting sqref="B902">
    <cfRule type="duplicateValues" dxfId="5" priority="168"/>
  </conditionalFormatting>
  <conditionalFormatting sqref="B903">
    <cfRule type="duplicateValues" dxfId="5" priority="167"/>
  </conditionalFormatting>
  <conditionalFormatting sqref="B904">
    <cfRule type="duplicateValues" dxfId="5" priority="166"/>
  </conditionalFormatting>
  <conditionalFormatting sqref="B905">
    <cfRule type="duplicateValues" dxfId="5" priority="165"/>
  </conditionalFormatting>
  <conditionalFormatting sqref="B906">
    <cfRule type="duplicateValues" dxfId="5" priority="164"/>
  </conditionalFormatting>
  <conditionalFormatting sqref="B907">
    <cfRule type="duplicateValues" dxfId="5" priority="163"/>
  </conditionalFormatting>
  <conditionalFormatting sqref="B908">
    <cfRule type="duplicateValues" dxfId="5" priority="162"/>
  </conditionalFormatting>
  <conditionalFormatting sqref="B909">
    <cfRule type="duplicateValues" dxfId="5" priority="161"/>
  </conditionalFormatting>
  <conditionalFormatting sqref="B910">
    <cfRule type="duplicateValues" dxfId="5" priority="160"/>
  </conditionalFormatting>
  <conditionalFormatting sqref="B911">
    <cfRule type="duplicateValues" dxfId="5" priority="159"/>
  </conditionalFormatting>
  <conditionalFormatting sqref="B912">
    <cfRule type="duplicateValues" dxfId="5" priority="158"/>
  </conditionalFormatting>
  <conditionalFormatting sqref="B913">
    <cfRule type="duplicateValues" dxfId="5" priority="157"/>
  </conditionalFormatting>
  <conditionalFormatting sqref="B914">
    <cfRule type="duplicateValues" dxfId="5" priority="156"/>
  </conditionalFormatting>
  <conditionalFormatting sqref="B915">
    <cfRule type="duplicateValues" dxfId="5" priority="155"/>
  </conditionalFormatting>
  <conditionalFormatting sqref="B916">
    <cfRule type="duplicateValues" dxfId="5" priority="154"/>
  </conditionalFormatting>
  <conditionalFormatting sqref="B917">
    <cfRule type="duplicateValues" dxfId="5" priority="153"/>
  </conditionalFormatting>
  <conditionalFormatting sqref="B918">
    <cfRule type="duplicateValues" dxfId="5" priority="152"/>
  </conditionalFormatting>
  <conditionalFormatting sqref="B919">
    <cfRule type="duplicateValues" dxfId="5" priority="151"/>
  </conditionalFormatting>
  <conditionalFormatting sqref="B920">
    <cfRule type="duplicateValues" dxfId="5" priority="150"/>
  </conditionalFormatting>
  <conditionalFormatting sqref="B921">
    <cfRule type="duplicateValues" dxfId="5" priority="149"/>
  </conditionalFormatting>
  <conditionalFormatting sqref="B922">
    <cfRule type="duplicateValues" dxfId="5" priority="148"/>
  </conditionalFormatting>
  <conditionalFormatting sqref="B923">
    <cfRule type="duplicateValues" dxfId="5" priority="147"/>
  </conditionalFormatting>
  <conditionalFormatting sqref="B924">
    <cfRule type="duplicateValues" dxfId="5" priority="146"/>
  </conditionalFormatting>
  <conditionalFormatting sqref="B925">
    <cfRule type="duplicateValues" dxfId="5" priority="145"/>
  </conditionalFormatting>
  <conditionalFormatting sqref="B926">
    <cfRule type="duplicateValues" dxfId="5" priority="144"/>
  </conditionalFormatting>
  <conditionalFormatting sqref="B927">
    <cfRule type="duplicateValues" dxfId="5" priority="143"/>
  </conditionalFormatting>
  <conditionalFormatting sqref="B928">
    <cfRule type="duplicateValues" dxfId="5" priority="142"/>
  </conditionalFormatting>
  <conditionalFormatting sqref="B929">
    <cfRule type="duplicateValues" dxfId="5" priority="141"/>
  </conditionalFormatting>
  <conditionalFormatting sqref="B930">
    <cfRule type="duplicateValues" dxfId="5" priority="140"/>
  </conditionalFormatting>
  <conditionalFormatting sqref="B931">
    <cfRule type="duplicateValues" dxfId="5" priority="139"/>
  </conditionalFormatting>
  <conditionalFormatting sqref="B932">
    <cfRule type="duplicateValues" dxfId="5" priority="138"/>
  </conditionalFormatting>
  <conditionalFormatting sqref="B933">
    <cfRule type="duplicateValues" dxfId="5" priority="137"/>
  </conditionalFormatting>
  <conditionalFormatting sqref="B934">
    <cfRule type="duplicateValues" dxfId="5" priority="136"/>
  </conditionalFormatting>
  <conditionalFormatting sqref="B935">
    <cfRule type="duplicateValues" dxfId="5" priority="135"/>
  </conditionalFormatting>
  <conditionalFormatting sqref="B936">
    <cfRule type="duplicateValues" dxfId="5" priority="134"/>
  </conditionalFormatting>
  <conditionalFormatting sqref="B937">
    <cfRule type="duplicateValues" dxfId="5" priority="133"/>
  </conditionalFormatting>
  <conditionalFormatting sqref="B938">
    <cfRule type="duplicateValues" dxfId="5" priority="132"/>
  </conditionalFormatting>
  <conditionalFormatting sqref="B939">
    <cfRule type="duplicateValues" dxfId="5" priority="131"/>
  </conditionalFormatting>
  <conditionalFormatting sqref="B940">
    <cfRule type="duplicateValues" dxfId="5" priority="128"/>
  </conditionalFormatting>
  <conditionalFormatting sqref="B941">
    <cfRule type="duplicateValues" dxfId="5" priority="127"/>
  </conditionalFormatting>
  <conditionalFormatting sqref="B942">
    <cfRule type="duplicateValues" dxfId="5" priority="126"/>
  </conditionalFormatting>
  <conditionalFormatting sqref="B943">
    <cfRule type="duplicateValues" dxfId="5" priority="125"/>
  </conditionalFormatting>
  <conditionalFormatting sqref="B944">
    <cfRule type="duplicateValues" dxfId="5" priority="124"/>
  </conditionalFormatting>
  <conditionalFormatting sqref="B945">
    <cfRule type="duplicateValues" dxfId="5" priority="123"/>
  </conditionalFormatting>
  <conditionalFormatting sqref="B946">
    <cfRule type="duplicateValues" dxfId="5" priority="122"/>
  </conditionalFormatting>
  <conditionalFormatting sqref="B947">
    <cfRule type="duplicateValues" dxfId="5" priority="121"/>
  </conditionalFormatting>
  <conditionalFormatting sqref="B948">
    <cfRule type="duplicateValues" dxfId="5" priority="120"/>
  </conditionalFormatting>
  <conditionalFormatting sqref="B949">
    <cfRule type="duplicateValues" dxfId="5" priority="118"/>
  </conditionalFormatting>
  <conditionalFormatting sqref="B950">
    <cfRule type="duplicateValues" dxfId="5" priority="117"/>
  </conditionalFormatting>
  <conditionalFormatting sqref="B951">
    <cfRule type="duplicateValues" dxfId="5" priority="116"/>
  </conditionalFormatting>
  <conditionalFormatting sqref="B952">
    <cfRule type="duplicateValues" dxfId="5" priority="96"/>
  </conditionalFormatting>
  <conditionalFormatting sqref="B953">
    <cfRule type="duplicateValues" dxfId="5" priority="95"/>
  </conditionalFormatting>
  <conditionalFormatting sqref="B954">
    <cfRule type="duplicateValues" dxfId="5" priority="94"/>
  </conditionalFormatting>
  <conditionalFormatting sqref="B955">
    <cfRule type="duplicateValues" dxfId="5" priority="93"/>
  </conditionalFormatting>
  <conditionalFormatting sqref="B956">
    <cfRule type="duplicateValues" dxfId="5" priority="92"/>
  </conditionalFormatting>
  <conditionalFormatting sqref="B957">
    <cfRule type="duplicateValues" dxfId="5" priority="91"/>
  </conditionalFormatting>
  <conditionalFormatting sqref="B958">
    <cfRule type="duplicateValues" dxfId="5" priority="90"/>
  </conditionalFormatting>
  <conditionalFormatting sqref="B959">
    <cfRule type="duplicateValues" dxfId="5" priority="89"/>
  </conditionalFormatting>
  <conditionalFormatting sqref="B960">
    <cfRule type="duplicateValues" dxfId="5" priority="88"/>
  </conditionalFormatting>
  <conditionalFormatting sqref="B961">
    <cfRule type="duplicateValues" dxfId="5" priority="87"/>
  </conditionalFormatting>
  <conditionalFormatting sqref="B962">
    <cfRule type="duplicateValues" dxfId="5" priority="86"/>
  </conditionalFormatting>
  <conditionalFormatting sqref="B963">
    <cfRule type="duplicateValues" dxfId="5" priority="85"/>
  </conditionalFormatting>
  <conditionalFormatting sqref="B964">
    <cfRule type="duplicateValues" dxfId="5" priority="84"/>
  </conditionalFormatting>
  <conditionalFormatting sqref="B965">
    <cfRule type="duplicateValues" dxfId="5" priority="83"/>
  </conditionalFormatting>
  <conditionalFormatting sqref="B966">
    <cfRule type="duplicateValues" dxfId="5" priority="82"/>
  </conditionalFormatting>
  <conditionalFormatting sqref="B967">
    <cfRule type="duplicateValues" dxfId="5" priority="81"/>
  </conditionalFormatting>
  <conditionalFormatting sqref="B968">
    <cfRule type="duplicateValues" dxfId="5" priority="80"/>
  </conditionalFormatting>
  <conditionalFormatting sqref="B969">
    <cfRule type="duplicateValues" dxfId="5" priority="79"/>
  </conditionalFormatting>
  <conditionalFormatting sqref="B970">
    <cfRule type="duplicateValues" dxfId="5" priority="78"/>
  </conditionalFormatting>
  <conditionalFormatting sqref="B971">
    <cfRule type="duplicateValues" dxfId="5" priority="77"/>
  </conditionalFormatting>
  <conditionalFormatting sqref="B1045">
    <cfRule type="duplicateValues" dxfId="5" priority="76"/>
  </conditionalFormatting>
  <conditionalFormatting sqref="B1046">
    <cfRule type="duplicateValues" dxfId="5" priority="75"/>
  </conditionalFormatting>
  <conditionalFormatting sqref="B1047">
    <cfRule type="duplicateValues" dxfId="5" priority="74"/>
  </conditionalFormatting>
  <conditionalFormatting sqref="B1048">
    <cfRule type="duplicateValues" dxfId="5" priority="73"/>
  </conditionalFormatting>
  <conditionalFormatting sqref="B1049">
    <cfRule type="duplicateValues" dxfId="5" priority="72"/>
  </conditionalFormatting>
  <conditionalFormatting sqref="B1050">
    <cfRule type="duplicateValues" dxfId="5" priority="71"/>
  </conditionalFormatting>
  <conditionalFormatting sqref="B1051">
    <cfRule type="duplicateValues" dxfId="5" priority="70"/>
  </conditionalFormatting>
  <conditionalFormatting sqref="B1052">
    <cfRule type="duplicateValues" dxfId="5" priority="68"/>
  </conditionalFormatting>
  <conditionalFormatting sqref="B1053">
    <cfRule type="duplicateValues" dxfId="5" priority="67"/>
  </conditionalFormatting>
  <conditionalFormatting sqref="B1054">
    <cfRule type="duplicateValues" dxfId="5" priority="66"/>
  </conditionalFormatting>
  <conditionalFormatting sqref="B1055">
    <cfRule type="duplicateValues" dxfId="5" priority="65"/>
  </conditionalFormatting>
  <conditionalFormatting sqref="B1056">
    <cfRule type="duplicateValues" dxfId="5" priority="64"/>
  </conditionalFormatting>
  <conditionalFormatting sqref="B1057">
    <cfRule type="duplicateValues" dxfId="5" priority="62"/>
  </conditionalFormatting>
  <conditionalFormatting sqref="B1058">
    <cfRule type="duplicateValues" dxfId="5" priority="61"/>
  </conditionalFormatting>
  <conditionalFormatting sqref="B1059">
    <cfRule type="duplicateValues" dxfId="5" priority="60"/>
  </conditionalFormatting>
  <conditionalFormatting sqref="B1060">
    <cfRule type="duplicateValues" dxfId="5" priority="59"/>
  </conditionalFormatting>
  <conditionalFormatting sqref="B1061">
    <cfRule type="duplicateValues" dxfId="5" priority="58"/>
  </conditionalFormatting>
  <conditionalFormatting sqref="B1062">
    <cfRule type="duplicateValues" dxfId="5" priority="57"/>
  </conditionalFormatting>
  <conditionalFormatting sqref="B1063">
    <cfRule type="duplicateValues" dxfId="5" priority="56"/>
  </conditionalFormatting>
  <conditionalFormatting sqref="B1064">
    <cfRule type="duplicateValues" dxfId="5" priority="55"/>
  </conditionalFormatting>
  <conditionalFormatting sqref="B1065">
    <cfRule type="duplicateValues" dxfId="5" priority="49"/>
  </conditionalFormatting>
  <conditionalFormatting sqref="B1066">
    <cfRule type="duplicateValues" dxfId="5" priority="48"/>
  </conditionalFormatting>
  <conditionalFormatting sqref="B1067">
    <cfRule type="duplicateValues" dxfId="5" priority="47"/>
  </conditionalFormatting>
  <conditionalFormatting sqref="B1068">
    <cfRule type="duplicateValues" dxfId="5" priority="46"/>
  </conditionalFormatting>
  <conditionalFormatting sqref="B1069">
    <cfRule type="duplicateValues" dxfId="5" priority="45"/>
  </conditionalFormatting>
  <conditionalFormatting sqref="B1070">
    <cfRule type="duplicateValues" dxfId="5" priority="44"/>
  </conditionalFormatting>
  <conditionalFormatting sqref="B1071">
    <cfRule type="duplicateValues" dxfId="5" priority="43"/>
  </conditionalFormatting>
  <conditionalFormatting sqref="B1072">
    <cfRule type="duplicateValues" dxfId="5" priority="42"/>
  </conditionalFormatting>
  <conditionalFormatting sqref="B1075">
    <cfRule type="duplicateValues" dxfId="5" priority="41"/>
  </conditionalFormatting>
  <conditionalFormatting sqref="B1076">
    <cfRule type="duplicateValues" dxfId="5" priority="40"/>
  </conditionalFormatting>
  <conditionalFormatting sqref="B1077">
    <cfRule type="duplicateValues" dxfId="5" priority="39"/>
  </conditionalFormatting>
  <conditionalFormatting sqref="B1078">
    <cfRule type="duplicateValues" dxfId="5" priority="38"/>
  </conditionalFormatting>
  <conditionalFormatting sqref="B1079">
    <cfRule type="duplicateValues" dxfId="5" priority="37"/>
  </conditionalFormatting>
  <conditionalFormatting sqref="B1080">
    <cfRule type="duplicateValues" dxfId="5" priority="36"/>
  </conditionalFormatting>
  <conditionalFormatting sqref="B1081">
    <cfRule type="duplicateValues" dxfId="5" priority="35"/>
  </conditionalFormatting>
  <conditionalFormatting sqref="B1082">
    <cfRule type="duplicateValues" dxfId="5" priority="34"/>
  </conditionalFormatting>
  <conditionalFormatting sqref="B1083">
    <cfRule type="duplicateValues" dxfId="5" priority="33"/>
  </conditionalFormatting>
  <conditionalFormatting sqref="B1084">
    <cfRule type="duplicateValues" dxfId="5" priority="32"/>
  </conditionalFormatting>
  <conditionalFormatting sqref="B1085">
    <cfRule type="duplicateValues" dxfId="5" priority="31"/>
  </conditionalFormatting>
  <conditionalFormatting sqref="B1086">
    <cfRule type="duplicateValues" dxfId="5" priority="30"/>
  </conditionalFormatting>
  <conditionalFormatting sqref="B1087">
    <cfRule type="duplicateValues" dxfId="5" priority="29"/>
  </conditionalFormatting>
  <conditionalFormatting sqref="B1088">
    <cfRule type="duplicateValues" dxfId="5" priority="28"/>
  </conditionalFormatting>
  <conditionalFormatting sqref="B1089">
    <cfRule type="duplicateValues" dxfId="5" priority="27"/>
  </conditionalFormatting>
  <conditionalFormatting sqref="B1090">
    <cfRule type="duplicateValues" dxfId="5" priority="26"/>
  </conditionalFormatting>
  <conditionalFormatting sqref="B1091">
    <cfRule type="duplicateValues" dxfId="5" priority="25"/>
  </conditionalFormatting>
  <conditionalFormatting sqref="B1092">
    <cfRule type="duplicateValues" dxfId="5" priority="24"/>
  </conditionalFormatting>
  <conditionalFormatting sqref="B1093">
    <cfRule type="duplicateValues" dxfId="5" priority="23"/>
  </conditionalFormatting>
  <conditionalFormatting sqref="B1094">
    <cfRule type="duplicateValues" dxfId="5" priority="22"/>
  </conditionalFormatting>
  <conditionalFormatting sqref="B1095">
    <cfRule type="duplicateValues" dxfId="5" priority="21"/>
  </conditionalFormatting>
  <conditionalFormatting sqref="B1098">
    <cfRule type="duplicateValues" dxfId="5" priority="15"/>
  </conditionalFormatting>
  <conditionalFormatting sqref="B1099">
    <cfRule type="duplicateValues" dxfId="5" priority="14"/>
  </conditionalFormatting>
  <conditionalFormatting sqref="B1100">
    <cfRule type="duplicateValues" dxfId="5" priority="13"/>
  </conditionalFormatting>
  <conditionalFormatting sqref="B1101">
    <cfRule type="duplicateValues" dxfId="5" priority="12"/>
  </conditionalFormatting>
  <conditionalFormatting sqref="B1102">
    <cfRule type="duplicateValues" dxfId="5" priority="11"/>
  </conditionalFormatting>
  <conditionalFormatting sqref="B1103">
    <cfRule type="duplicateValues" dxfId="5" priority="10"/>
  </conditionalFormatting>
  <conditionalFormatting sqref="B1104">
    <cfRule type="duplicateValues" dxfId="5" priority="9"/>
  </conditionalFormatting>
  <conditionalFormatting sqref="B1105">
    <cfRule type="duplicateValues" dxfId="5" priority="8"/>
  </conditionalFormatting>
  <conditionalFormatting sqref="B1106">
    <cfRule type="duplicateValues" dxfId="5" priority="6"/>
  </conditionalFormatting>
  <conditionalFormatting sqref="B1110">
    <cfRule type="duplicateValues" dxfId="5" priority="4"/>
  </conditionalFormatting>
  <conditionalFormatting sqref="B1113">
    <cfRule type="duplicateValues" dxfId="5" priority="2"/>
  </conditionalFormatting>
  <conditionalFormatting sqref="B1114">
    <cfRule type="duplicateValues" dxfId="5" priority="1"/>
  </conditionalFormatting>
  <conditionalFormatting sqref="B1096:B1097">
    <cfRule type="duplicateValues" dxfId="5" priority="16"/>
  </conditionalFormatting>
  <conditionalFormatting sqref="B1107:B1109">
    <cfRule type="duplicateValues" dxfId="5" priority="5"/>
  </conditionalFormatting>
  <conditionalFormatting sqref="B1111:B1112">
    <cfRule type="duplicateValues" dxfId="5" priority="3"/>
  </conditionalFormatting>
  <conditionalFormatting sqref="B1:B3 B972:B1044 B1073:B1074 B1115:B1048576">
    <cfRule type="duplicateValues" dxfId="5" priority="1113"/>
  </conditionalFormatting>
  <dataValidations count="3">
    <dataValidation allowBlank="1" showInputMessage="1" showErrorMessage="1" sqref="H133 H150 H356 H372 H426 H432 H452 H494 H200:H275 H277:H333 H335:H339 H341:H347 H447:H448 H473:H474"/>
    <dataValidation type="list" allowBlank="1" showInputMessage="1" showErrorMessage="1" sqref="H190 H195 H199 M401 H425 H429 M640 M791 M813 M815 M828 M833 M843 M851 F437:F440 F442:F443 F445:F448 F473:F474 H348:H350 H353:H355 H357:H358 H375:H378 H434:H440 H442:H443 H445:H446 L423:L424 M1:M88 M90:M399 M403:M431 M433:M461 M463:M464 M466:M524 M526:M613 M615:M617 M620:M621 M634:M638 M646:M658 M660:M742 M746:M753 M755:M769 M771:M778 M780:M782 M784:M789 M793:M796 M798:M800 M802:M809 M818:M826 M838:M841 M853:M866 M868:M875">
      <formula1>#REF!</formula1>
    </dataValidation>
    <dataValidation type="list" allowBlank="1" showInputMessage="1" showErrorMessage="1" sqref="M432 M614 M639 M618:M619 M622:M633 M641:M645">
      <formula1>$G$867:$G$875</formula1>
    </dataValidation>
  </dataValidations>
  <pageMargins left="0.75" right="0.75" top="1" bottom="1" header="0.5" footer="0.5"/>
  <pageSetup paperSize="9" orientation="portrait"/>
  <headerFooter/>
  <ignoredErrors>
    <ignoredError sqref="M2:M1072" listDataValidation="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42"/>
  <sheetViews>
    <sheetView tabSelected="1" topLeftCell="A44" workbookViewId="0">
      <selection activeCell="B61" sqref="B61:J62"/>
    </sheetView>
  </sheetViews>
  <sheetFormatPr defaultColWidth="9.64166666666667" defaultRowHeight="13.5"/>
  <cols>
    <col min="1" max="1" width="6" customWidth="1"/>
    <col min="2" max="2" width="11.75" style="4" customWidth="1"/>
    <col min="3" max="3" width="28.3833333333333" style="4" customWidth="1"/>
    <col min="5" max="5" width="12.6333333333333" customWidth="1"/>
    <col min="6" max="6" width="19.1416666666667" customWidth="1"/>
    <col min="7" max="7" width="15" customWidth="1"/>
    <col min="8" max="8" width="16.6333333333333" customWidth="1"/>
    <col min="9" max="9" width="20.25" customWidth="1"/>
    <col min="10" max="10" width="21.5" customWidth="1"/>
  </cols>
  <sheetData>
    <row r="1" ht="24" customHeight="1" spans="1:11">
      <c r="A1" s="228" t="s">
        <v>2581</v>
      </c>
      <c r="B1" s="228"/>
      <c r="C1" s="228"/>
      <c r="D1" s="228"/>
      <c r="E1" s="228"/>
      <c r="F1" s="228"/>
      <c r="G1" s="228"/>
      <c r="H1" s="228"/>
    </row>
    <row r="2" ht="21" customHeight="1" spans="1:11">
      <c r="A2" s="229" t="s">
        <v>2582</v>
      </c>
      <c r="B2" s="229" t="s">
        <v>2583</v>
      </c>
      <c r="C2" s="230" t="s">
        <v>8</v>
      </c>
      <c r="D2" s="230" t="s">
        <v>2584</v>
      </c>
      <c r="E2" s="230" t="s">
        <v>2585</v>
      </c>
      <c r="F2" s="231" t="s">
        <v>2586</v>
      </c>
      <c r="G2" s="232" t="s">
        <v>2587</v>
      </c>
      <c r="H2" s="230" t="s">
        <v>19</v>
      </c>
      <c r="I2" t="s">
        <v>2588</v>
      </c>
      <c r="J2" t="s">
        <v>2589</v>
      </c>
    </row>
    <row r="3" spans="1:11">
      <c r="A3" s="233">
        <v>1</v>
      </c>
      <c r="B3" s="234">
        <v>46029</v>
      </c>
      <c r="C3" s="235" t="s">
        <v>797</v>
      </c>
      <c r="D3" s="233"/>
      <c r="E3" s="236" t="s">
        <v>2420</v>
      </c>
      <c r="F3" s="236">
        <v>5000</v>
      </c>
      <c r="G3" s="235" t="s">
        <v>2590</v>
      </c>
      <c r="H3" s="237" t="s">
        <v>65</v>
      </c>
      <c r="K3">
        <f>_xlfn.XLOOKUP(I3,保证金登记!B:B,保证金登记!O:O)</f>
        <v>0</v>
      </c>
    </row>
    <row r="4" customFormat="1" spans="1:11">
      <c r="A4" s="233">
        <v>2</v>
      </c>
      <c r="B4" s="234">
        <v>46045</v>
      </c>
      <c r="C4" s="238" t="s">
        <v>1123</v>
      </c>
      <c r="D4" s="233"/>
      <c r="E4" s="236" t="s">
        <v>2420</v>
      </c>
      <c r="F4" s="236">
        <v>20000</v>
      </c>
      <c r="G4" s="235" t="s">
        <v>2591</v>
      </c>
      <c r="H4" s="237" t="s">
        <v>30</v>
      </c>
      <c r="I4" t="s">
        <v>2452</v>
      </c>
      <c r="J4" t="s">
        <v>2592</v>
      </c>
      <c r="K4">
        <f>_xlfn.XLOOKUP(I4,保证金登记!B:B,保证金登记!O:O)</f>
        <v>0</v>
      </c>
    </row>
    <row r="5" customFormat="1" spans="1:11">
      <c r="A5" s="233">
        <v>3</v>
      </c>
      <c r="B5" s="234">
        <v>46049</v>
      </c>
      <c r="C5" s="238" t="s">
        <v>863</v>
      </c>
      <c r="D5" s="233"/>
      <c r="E5" s="236" t="s">
        <v>2420</v>
      </c>
      <c r="F5" s="236">
        <v>28000</v>
      </c>
      <c r="G5" s="235" t="s">
        <v>2591</v>
      </c>
      <c r="H5" s="237" t="s">
        <v>133</v>
      </c>
      <c r="I5" t="s">
        <v>2157</v>
      </c>
      <c r="J5" t="s">
        <v>2593</v>
      </c>
      <c r="K5">
        <f>_xlfn.XLOOKUP(I5,保证金登记!B:B,保证金登记!O:O)</f>
        <v>0</v>
      </c>
    </row>
    <row r="6" customFormat="1" spans="1:11">
      <c r="A6" s="233">
        <v>4</v>
      </c>
      <c r="B6" s="234">
        <v>46049</v>
      </c>
      <c r="C6" s="238" t="s">
        <v>863</v>
      </c>
      <c r="D6" s="233"/>
      <c r="E6" s="236" t="s">
        <v>2420</v>
      </c>
      <c r="F6" s="236">
        <v>18000</v>
      </c>
      <c r="G6" s="235" t="s">
        <v>2591</v>
      </c>
      <c r="H6" s="237" t="s">
        <v>65</v>
      </c>
      <c r="I6" t="s">
        <v>2173</v>
      </c>
      <c r="J6" t="s">
        <v>2594</v>
      </c>
      <c r="K6">
        <f>_xlfn.XLOOKUP(I6,保证金登记!B:B,保证金登记!O:O)</f>
        <v>0</v>
      </c>
    </row>
    <row r="7" customFormat="1" spans="1:11">
      <c r="A7" s="233">
        <v>5</v>
      </c>
      <c r="B7" s="234">
        <v>46049</v>
      </c>
      <c r="C7" s="238" t="s">
        <v>863</v>
      </c>
      <c r="D7" s="233"/>
      <c r="E7" s="236" t="s">
        <v>2420</v>
      </c>
      <c r="F7" s="236">
        <v>17875</v>
      </c>
      <c r="G7" s="235" t="s">
        <v>2591</v>
      </c>
      <c r="H7" s="237" t="s">
        <v>133</v>
      </c>
      <c r="I7" t="s">
        <v>2182</v>
      </c>
      <c r="J7" t="s">
        <v>2595</v>
      </c>
      <c r="K7">
        <f>_xlfn.XLOOKUP(I7,保证金登记!B:B,保证金登记!O:O)</f>
        <v>0</v>
      </c>
    </row>
    <row r="8" customFormat="1" spans="1:11">
      <c r="A8" s="233">
        <v>6</v>
      </c>
      <c r="B8" s="234">
        <v>46049</v>
      </c>
      <c r="C8" s="238" t="s">
        <v>863</v>
      </c>
      <c r="D8" s="233"/>
      <c r="E8" s="236" t="s">
        <v>2420</v>
      </c>
      <c r="F8" s="236">
        <v>50000</v>
      </c>
      <c r="G8" s="235" t="s">
        <v>2591</v>
      </c>
      <c r="H8" s="237" t="s">
        <v>65</v>
      </c>
      <c r="I8" t="s">
        <v>2229</v>
      </c>
      <c r="J8" t="s">
        <v>2596</v>
      </c>
      <c r="K8">
        <f>_xlfn.XLOOKUP(I8,保证金登记!B:B,保证金登记!O:O)</f>
        <v>0</v>
      </c>
    </row>
    <row r="9" customFormat="1" spans="1:11">
      <c r="A9" s="233">
        <v>7</v>
      </c>
      <c r="B9" s="234">
        <v>46049</v>
      </c>
      <c r="C9" s="238" t="s">
        <v>863</v>
      </c>
      <c r="D9" s="233"/>
      <c r="E9" s="236" t="s">
        <v>2420</v>
      </c>
      <c r="F9" s="236">
        <v>9000</v>
      </c>
      <c r="G9" s="235" t="s">
        <v>2591</v>
      </c>
      <c r="H9" s="237" t="s">
        <v>65</v>
      </c>
      <c r="I9" t="s">
        <v>2291</v>
      </c>
      <c r="J9" t="s">
        <v>2597</v>
      </c>
      <c r="K9">
        <f>_xlfn.XLOOKUP(I9,保证金登记!B:B,保证金登记!O:O)</f>
        <v>0</v>
      </c>
    </row>
    <row r="10" customFormat="1" spans="1:11">
      <c r="A10" s="233">
        <v>8</v>
      </c>
      <c r="B10" s="234">
        <v>46049</v>
      </c>
      <c r="C10" s="238" t="s">
        <v>863</v>
      </c>
      <c r="D10" s="233"/>
      <c r="E10" s="236" t="s">
        <v>2420</v>
      </c>
      <c r="F10" s="236">
        <v>7500</v>
      </c>
      <c r="G10" s="235" t="s">
        <v>2591</v>
      </c>
      <c r="H10" s="237" t="s">
        <v>65</v>
      </c>
      <c r="I10" t="s">
        <v>2297</v>
      </c>
      <c r="J10" t="s">
        <v>2598</v>
      </c>
      <c r="K10">
        <f>_xlfn.XLOOKUP(I10,保证金登记!B:B,保证金登记!O:O)</f>
        <v>0</v>
      </c>
    </row>
    <row r="11" customFormat="1" spans="1:11">
      <c r="A11" s="233">
        <v>9</v>
      </c>
      <c r="B11" s="234">
        <v>46049</v>
      </c>
      <c r="C11" s="238" t="s">
        <v>863</v>
      </c>
      <c r="D11" s="233"/>
      <c r="E11" s="236" t="s">
        <v>2420</v>
      </c>
      <c r="F11" s="236">
        <v>8500</v>
      </c>
      <c r="G11" s="235" t="s">
        <v>2591</v>
      </c>
      <c r="H11" s="237" t="s">
        <v>65</v>
      </c>
      <c r="I11" t="s">
        <v>2303</v>
      </c>
      <c r="J11" t="s">
        <v>2599</v>
      </c>
      <c r="K11">
        <f>_xlfn.XLOOKUP(I11,保证金登记!B:B,保证金登记!O:O)</f>
        <v>0</v>
      </c>
    </row>
    <row r="12" customFormat="1" spans="1:11">
      <c r="A12" s="233">
        <v>10</v>
      </c>
      <c r="B12" s="234">
        <v>46049</v>
      </c>
      <c r="C12" s="238" t="s">
        <v>863</v>
      </c>
      <c r="D12" s="233"/>
      <c r="E12" s="236" t="s">
        <v>2420</v>
      </c>
      <c r="F12" s="236">
        <v>16500</v>
      </c>
      <c r="G12" s="235" t="s">
        <v>2591</v>
      </c>
      <c r="H12" s="237" t="s">
        <v>65</v>
      </c>
      <c r="I12" t="s">
        <v>2309</v>
      </c>
      <c r="J12" t="s">
        <v>2600</v>
      </c>
      <c r="K12">
        <f>_xlfn.XLOOKUP(I12,保证金登记!B:B,保证金登记!O:O)</f>
        <v>0</v>
      </c>
    </row>
    <row r="13" customFormat="1" spans="1:11">
      <c r="A13" s="233">
        <v>11</v>
      </c>
      <c r="B13" s="234">
        <v>46049</v>
      </c>
      <c r="C13" s="238" t="s">
        <v>863</v>
      </c>
      <c r="D13" s="233"/>
      <c r="E13" s="236" t="s">
        <v>2420</v>
      </c>
      <c r="F13" s="236">
        <v>500</v>
      </c>
      <c r="G13" s="235" t="s">
        <v>2591</v>
      </c>
      <c r="H13" s="237" t="s">
        <v>65</v>
      </c>
      <c r="I13" t="s">
        <v>2325</v>
      </c>
      <c r="J13" t="s">
        <v>2601</v>
      </c>
      <c r="K13">
        <f>_xlfn.XLOOKUP(I13,保证金登记!B:B,保证金登记!O:O)</f>
        <v>0</v>
      </c>
    </row>
    <row r="14" customFormat="1" spans="1:11">
      <c r="A14" s="233">
        <v>12</v>
      </c>
      <c r="B14" s="234">
        <v>46049</v>
      </c>
      <c r="C14" s="238" t="s">
        <v>863</v>
      </c>
      <c r="D14" s="233"/>
      <c r="E14" s="236" t="s">
        <v>2420</v>
      </c>
      <c r="F14" s="236">
        <v>500</v>
      </c>
      <c r="G14" s="235" t="s">
        <v>2591</v>
      </c>
      <c r="H14" s="237" t="s">
        <v>65</v>
      </c>
      <c r="I14" t="s">
        <v>2327</v>
      </c>
      <c r="J14" t="s">
        <v>2602</v>
      </c>
      <c r="K14">
        <f>_xlfn.XLOOKUP(I14,保证金登记!B:B,保证金登记!O:O)</f>
        <v>0</v>
      </c>
    </row>
    <row r="15" customFormat="1" spans="1:11">
      <c r="A15" s="233">
        <v>13</v>
      </c>
      <c r="B15" s="234">
        <v>46049</v>
      </c>
      <c r="C15" s="238" t="s">
        <v>863</v>
      </c>
      <c r="D15" s="233"/>
      <c r="E15" s="236" t="s">
        <v>2420</v>
      </c>
      <c r="F15" s="236">
        <v>500</v>
      </c>
      <c r="G15" s="235" t="s">
        <v>2591</v>
      </c>
      <c r="H15" s="237" t="s">
        <v>65</v>
      </c>
      <c r="I15" t="s">
        <v>2329</v>
      </c>
      <c r="J15" t="s">
        <v>2603</v>
      </c>
      <c r="K15">
        <f>_xlfn.XLOOKUP(I15,保证金登记!B:B,保证金登记!O:O)</f>
        <v>0</v>
      </c>
    </row>
    <row r="16" s="4" customFormat="1" spans="1:11">
      <c r="A16" s="233">
        <v>14</v>
      </c>
      <c r="B16" s="234">
        <v>46049</v>
      </c>
      <c r="C16" s="238" t="s">
        <v>863</v>
      </c>
      <c r="D16" s="233"/>
      <c r="E16" s="236" t="s">
        <v>2420</v>
      </c>
      <c r="F16" s="239">
        <v>37000</v>
      </c>
      <c r="G16" s="240" t="s">
        <v>2604</v>
      </c>
      <c r="H16" s="241" t="s">
        <v>65</v>
      </c>
      <c r="I16" s="4" t="s">
        <v>2170</v>
      </c>
      <c r="J16" t="s">
        <v>2605</v>
      </c>
      <c r="K16">
        <f>_xlfn.XLOOKUP(I16,保证金登记!B:B,保证金登记!O:O)</f>
        <v>0</v>
      </c>
    </row>
    <row r="17" s="4" customFormat="1" spans="1:11">
      <c r="A17" s="233">
        <v>15</v>
      </c>
      <c r="B17" s="234">
        <v>46049</v>
      </c>
      <c r="C17" s="242" t="s">
        <v>2187</v>
      </c>
      <c r="D17" s="233"/>
      <c r="E17" s="236" t="s">
        <v>2420</v>
      </c>
      <c r="F17" s="239">
        <v>44000</v>
      </c>
      <c r="G17" s="233"/>
      <c r="H17" s="241" t="s">
        <v>65</v>
      </c>
      <c r="I17" s="4" t="s">
        <v>2209</v>
      </c>
      <c r="J17" t="s">
        <v>2606</v>
      </c>
      <c r="K17">
        <f>_xlfn.XLOOKUP(I17,保证金登记!B:B,保证金登记!O:O)</f>
        <v>0</v>
      </c>
    </row>
    <row r="18" s="4" customFormat="1" spans="1:11">
      <c r="A18" s="233">
        <v>16</v>
      </c>
      <c r="B18" s="234">
        <v>46062</v>
      </c>
      <c r="C18" s="242" t="s">
        <v>663</v>
      </c>
      <c r="D18" s="233"/>
      <c r="E18" s="236" t="s">
        <v>2420</v>
      </c>
      <c r="F18" s="239">
        <v>25536.9</v>
      </c>
      <c r="G18" s="233" t="s">
        <v>2591</v>
      </c>
      <c r="H18" s="241" t="s">
        <v>941</v>
      </c>
      <c r="I18" s="4" t="s">
        <v>2043</v>
      </c>
      <c r="J18" t="s">
        <v>2607</v>
      </c>
      <c r="K18">
        <f>_xlfn.XLOOKUP(I18,保证金登记!B:B,保证金登记!O:O)</f>
        <v>0</v>
      </c>
    </row>
    <row r="19" s="4" customFormat="1" spans="1:11">
      <c r="A19" s="233">
        <v>17</v>
      </c>
      <c r="B19" s="234">
        <v>46062</v>
      </c>
      <c r="C19" s="242" t="s">
        <v>663</v>
      </c>
      <c r="D19" s="233"/>
      <c r="E19" s="236" t="s">
        <v>2420</v>
      </c>
      <c r="F19" s="239">
        <v>4644.08</v>
      </c>
      <c r="G19" s="233" t="s">
        <v>2591</v>
      </c>
      <c r="H19" s="241" t="s">
        <v>941</v>
      </c>
      <c r="I19" s="4" t="s">
        <v>2045</v>
      </c>
      <c r="J19" t="s">
        <v>2608</v>
      </c>
      <c r="K19">
        <f>_xlfn.XLOOKUP(I19,保证金登记!B:B,保证金登记!O:O)</f>
        <v>0</v>
      </c>
    </row>
    <row r="20" s="4" customFormat="1" spans="1:11">
      <c r="A20" s="233">
        <v>18</v>
      </c>
      <c r="B20" s="234">
        <v>46062</v>
      </c>
      <c r="C20" s="242" t="s">
        <v>663</v>
      </c>
      <c r="D20" s="233"/>
      <c r="E20" s="236" t="s">
        <v>2420</v>
      </c>
      <c r="F20" s="239">
        <v>20838.39</v>
      </c>
      <c r="G20" s="233" t="s">
        <v>2591</v>
      </c>
      <c r="H20" s="241" t="s">
        <v>941</v>
      </c>
      <c r="I20" s="4" t="s">
        <v>2047</v>
      </c>
      <c r="J20" t="s">
        <v>2609</v>
      </c>
      <c r="K20">
        <f>_xlfn.XLOOKUP(I20,保证金登记!B:B,保证金登记!O:O)</f>
        <v>0</v>
      </c>
    </row>
    <row r="21" s="4" customFormat="1" spans="1:11">
      <c r="A21" s="233">
        <v>19</v>
      </c>
      <c r="B21" s="234">
        <v>46062</v>
      </c>
      <c r="C21" s="242" t="s">
        <v>663</v>
      </c>
      <c r="D21" s="233"/>
      <c r="E21" s="236" t="s">
        <v>2420</v>
      </c>
      <c r="F21" s="239">
        <v>15500</v>
      </c>
      <c r="G21" s="233" t="s">
        <v>2591</v>
      </c>
      <c r="H21" s="241" t="s">
        <v>133</v>
      </c>
      <c r="I21" s="4" t="s">
        <v>2051</v>
      </c>
      <c r="J21" t="s">
        <v>2610</v>
      </c>
      <c r="K21">
        <f>_xlfn.XLOOKUP(I21,保证金登记!B:B,保证金登记!O:O)</f>
        <v>0</v>
      </c>
    </row>
    <row r="22" s="4" customFormat="1" spans="1:11">
      <c r="A22" s="233">
        <v>20</v>
      </c>
      <c r="B22" s="234">
        <v>46062</v>
      </c>
      <c r="C22" s="242" t="s">
        <v>663</v>
      </c>
      <c r="D22" s="233"/>
      <c r="E22" s="236" t="s">
        <v>2420</v>
      </c>
      <c r="F22" s="239">
        <v>69500</v>
      </c>
      <c r="G22" s="233" t="s">
        <v>2591</v>
      </c>
      <c r="H22" s="241" t="s">
        <v>133</v>
      </c>
      <c r="I22" s="4" t="s">
        <v>2053</v>
      </c>
      <c r="J22" t="s">
        <v>2611</v>
      </c>
      <c r="K22">
        <f>_xlfn.XLOOKUP(I22,保证金登记!B:B,保证金登记!O:O)</f>
        <v>0</v>
      </c>
    </row>
    <row r="23" s="4" customFormat="1" spans="1:11">
      <c r="A23" s="233">
        <v>21</v>
      </c>
      <c r="B23" s="234">
        <v>46062</v>
      </c>
      <c r="C23" s="242" t="s">
        <v>663</v>
      </c>
      <c r="D23" s="233"/>
      <c r="E23" s="236" t="s">
        <v>2420</v>
      </c>
      <c r="F23" s="239">
        <v>85100</v>
      </c>
      <c r="G23" s="233" t="s">
        <v>2591</v>
      </c>
      <c r="H23" s="243" t="s">
        <v>133</v>
      </c>
      <c r="I23" s="4" t="s">
        <v>2055</v>
      </c>
      <c r="J23" t="s">
        <v>2612</v>
      </c>
      <c r="K23">
        <f>_xlfn.XLOOKUP(I23,保证金登记!B:B,保证金登记!O:O)</f>
        <v>0</v>
      </c>
    </row>
    <row r="24" s="4" customFormat="1" ht="15.75" spans="1:11">
      <c r="A24" s="233">
        <v>22</v>
      </c>
      <c r="B24" s="234">
        <v>46080</v>
      </c>
      <c r="C24" s="244" t="s">
        <v>863</v>
      </c>
      <c r="D24" s="233"/>
      <c r="E24" s="236" t="s">
        <v>2420</v>
      </c>
      <c r="F24" s="239">
        <v>6500</v>
      </c>
      <c r="G24" s="235" t="s">
        <v>2604</v>
      </c>
      <c r="H24" s="237" t="s">
        <v>65</v>
      </c>
      <c r="I24" s="245" t="s">
        <v>2096</v>
      </c>
      <c r="J24" s="246" t="s">
        <v>2613</v>
      </c>
      <c r="K24">
        <f>_xlfn.XLOOKUP(I24,保证金登记!B:B,保证金登记!O:O)</f>
        <v>0</v>
      </c>
    </row>
    <row r="25" s="4" customFormat="1" ht="15.75" spans="1:11">
      <c r="A25" s="233">
        <v>23</v>
      </c>
      <c r="B25" s="234">
        <v>46080</v>
      </c>
      <c r="C25" s="244" t="s">
        <v>863</v>
      </c>
      <c r="D25" s="233"/>
      <c r="E25" s="236" t="s">
        <v>2420</v>
      </c>
      <c r="F25" s="239">
        <v>50000</v>
      </c>
      <c r="G25" s="233" t="s">
        <v>2591</v>
      </c>
      <c r="H25" s="237" t="s">
        <v>65</v>
      </c>
      <c r="I25" s="60" t="s">
        <v>2111</v>
      </c>
      <c r="J25" s="247" t="s">
        <v>2614</v>
      </c>
      <c r="K25">
        <f>_xlfn.XLOOKUP(I25,保证金登记!B:B,保证金登记!O:O)</f>
        <v>0</v>
      </c>
    </row>
    <row r="26" s="4" customFormat="1" ht="15.75" spans="1:11">
      <c r="A26" s="233">
        <v>24</v>
      </c>
      <c r="B26" s="234">
        <v>46080</v>
      </c>
      <c r="C26" s="244" t="s">
        <v>863</v>
      </c>
      <c r="D26" s="233"/>
      <c r="E26" s="236" t="s">
        <v>2420</v>
      </c>
      <c r="F26" s="239">
        <v>28000</v>
      </c>
      <c r="G26" s="233" t="s">
        <v>2591</v>
      </c>
      <c r="H26" s="237" t="s">
        <v>65</v>
      </c>
      <c r="I26" s="60" t="s">
        <v>2159</v>
      </c>
      <c r="J26" s="247" t="s">
        <v>2615</v>
      </c>
      <c r="K26">
        <f>_xlfn.XLOOKUP(I26,保证金登记!B:B,保证金登记!O:O)</f>
        <v>0</v>
      </c>
    </row>
    <row r="27" s="4" customFormat="1" ht="15.75" spans="1:11">
      <c r="A27" s="233"/>
      <c r="B27" s="234">
        <v>46081</v>
      </c>
      <c r="C27" s="244" t="s">
        <v>863</v>
      </c>
      <c r="D27" s="233"/>
      <c r="E27" s="236" t="s">
        <v>2420</v>
      </c>
      <c r="F27" s="239">
        <v>11500</v>
      </c>
      <c r="G27" s="233"/>
      <c r="H27" s="233" t="s">
        <v>133</v>
      </c>
      <c r="I27" s="60" t="s">
        <v>1768</v>
      </c>
      <c r="J27" s="248" t="s">
        <v>2616</v>
      </c>
      <c r="K27">
        <f>_xlfn.XLOOKUP(I27,保证金登记!B:B,保证金登记!O:O)</f>
        <v>0</v>
      </c>
    </row>
    <row r="28" s="4" customFormat="1" ht="15.75" spans="1:11">
      <c r="A28" s="233"/>
      <c r="B28" s="234">
        <v>46081</v>
      </c>
      <c r="C28" s="244" t="s">
        <v>863</v>
      </c>
      <c r="D28" s="233"/>
      <c r="E28" s="236" t="s">
        <v>2420</v>
      </c>
      <c r="F28" s="239">
        <v>14300</v>
      </c>
      <c r="G28" s="233"/>
      <c r="H28" s="233" t="s">
        <v>133</v>
      </c>
      <c r="I28" s="60" t="s">
        <v>1962</v>
      </c>
      <c r="J28" s="248" t="s">
        <v>2617</v>
      </c>
      <c r="K28">
        <f>_xlfn.XLOOKUP(I28,保证金登记!B:B,保证金登记!O:O)</f>
        <v>0</v>
      </c>
    </row>
    <row r="29" s="4" customFormat="1" ht="15.75" spans="1:11">
      <c r="A29" s="233"/>
      <c r="B29" s="234">
        <v>46081</v>
      </c>
      <c r="C29" s="244" t="s">
        <v>863</v>
      </c>
      <c r="D29" s="233"/>
      <c r="E29" s="236" t="s">
        <v>2420</v>
      </c>
      <c r="F29" s="239">
        <v>14300</v>
      </c>
      <c r="G29" s="233"/>
      <c r="H29" s="233" t="s">
        <v>941</v>
      </c>
      <c r="I29" s="60" t="s">
        <v>1965</v>
      </c>
      <c r="J29" s="248" t="s">
        <v>2618</v>
      </c>
      <c r="K29">
        <f>_xlfn.XLOOKUP(I29,保证金登记!B:B,保证金登记!O:O)</f>
        <v>0</v>
      </c>
    </row>
    <row r="30" s="4" customFormat="1" ht="15.75" spans="1:11">
      <c r="A30" s="233"/>
      <c r="B30" s="234">
        <v>46081</v>
      </c>
      <c r="C30" s="244" t="s">
        <v>863</v>
      </c>
      <c r="D30" s="233"/>
      <c r="E30" s="236" t="s">
        <v>2420</v>
      </c>
      <c r="F30" s="239">
        <v>50000</v>
      </c>
      <c r="G30" s="233"/>
      <c r="H30" s="233" t="s">
        <v>133</v>
      </c>
      <c r="I30" s="60" t="s">
        <v>2109</v>
      </c>
      <c r="J30" s="248" t="s">
        <v>2619</v>
      </c>
      <c r="K30">
        <f>_xlfn.XLOOKUP(I30,保证金登记!B:B,保证金登记!O:O)</f>
        <v>0</v>
      </c>
    </row>
    <row r="31" s="225" customFormat="1" ht="15.75" spans="1:11">
      <c r="A31" s="249"/>
      <c r="B31" s="250">
        <v>46090</v>
      </c>
      <c r="C31" s="251" t="s">
        <v>1123</v>
      </c>
      <c r="D31" s="251"/>
      <c r="E31" s="252" t="s">
        <v>2420</v>
      </c>
      <c r="F31" s="253">
        <v>2000</v>
      </c>
      <c r="G31" s="254" t="s">
        <v>2591</v>
      </c>
      <c r="H31" s="255" t="s">
        <v>2620</v>
      </c>
      <c r="I31" s="256" t="s">
        <v>2476</v>
      </c>
      <c r="J31" s="257" t="s">
        <v>2621</v>
      </c>
      <c r="K31">
        <f>_xlfn.XLOOKUP(I31,保证金登记!B:B,保证金登记!O:O)</f>
        <v>0</v>
      </c>
    </row>
    <row r="32" s="225" customFormat="1" ht="15.75" spans="1:11">
      <c r="A32" s="249"/>
      <c r="B32" s="258">
        <v>46094</v>
      </c>
      <c r="C32" s="249" t="s">
        <v>1814</v>
      </c>
      <c r="D32" s="249"/>
      <c r="E32" s="252" t="s">
        <v>2420</v>
      </c>
      <c r="F32" s="259">
        <v>5500</v>
      </c>
      <c r="G32" s="254" t="s">
        <v>2591</v>
      </c>
      <c r="H32" s="255" t="s">
        <v>2620</v>
      </c>
      <c r="I32" s="225" t="s">
        <v>2463</v>
      </c>
      <c r="J32" s="257" t="s">
        <v>2622</v>
      </c>
      <c r="K32">
        <f>_xlfn.XLOOKUP(I32,保证金登记!B:B,保证金登记!O:O)</f>
        <v>0</v>
      </c>
    </row>
    <row r="33" s="225" customFormat="1" ht="15.75" spans="1:11">
      <c r="A33" s="249"/>
      <c r="B33" s="258">
        <v>46094</v>
      </c>
      <c r="C33" s="249" t="s">
        <v>1814</v>
      </c>
      <c r="D33" s="249"/>
      <c r="E33" s="252" t="s">
        <v>2420</v>
      </c>
      <c r="F33" s="260">
        <v>10000</v>
      </c>
      <c r="G33" s="254" t="s">
        <v>2591</v>
      </c>
      <c r="H33" s="255" t="s">
        <v>2620</v>
      </c>
      <c r="I33" s="225" t="s">
        <v>2469</v>
      </c>
      <c r="J33" s="257" t="s">
        <v>2623</v>
      </c>
      <c r="K33">
        <f>_xlfn.XLOOKUP(I33,保证金登记!B:B,保证金登记!O:O)</f>
        <v>0</v>
      </c>
    </row>
    <row r="34" s="225" customFormat="1" ht="15.75" spans="1:11">
      <c r="A34" s="249"/>
      <c r="B34" s="258">
        <v>46097</v>
      </c>
      <c r="C34" s="249" t="s">
        <v>1814</v>
      </c>
      <c r="D34" s="249"/>
      <c r="E34" s="252" t="s">
        <v>2420</v>
      </c>
      <c r="F34" s="260">
        <v>22000</v>
      </c>
      <c r="G34" s="254" t="s">
        <v>2591</v>
      </c>
      <c r="H34" s="255" t="s">
        <v>2620</v>
      </c>
      <c r="I34" s="225" t="s">
        <v>2471</v>
      </c>
      <c r="J34" s="261" t="s">
        <v>2624</v>
      </c>
      <c r="K34">
        <f>_xlfn.XLOOKUP(I34,保证金登记!B:B,保证金登记!O:O)</f>
        <v>0</v>
      </c>
    </row>
    <row r="35" s="225" customFormat="1" ht="15.75" spans="1:11">
      <c r="A35" s="249"/>
      <c r="B35" s="258">
        <v>46099</v>
      </c>
      <c r="C35" s="249" t="s">
        <v>1814</v>
      </c>
      <c r="D35" s="249"/>
      <c r="E35" s="252" t="s">
        <v>2420</v>
      </c>
      <c r="F35" s="260">
        <v>35000</v>
      </c>
      <c r="G35" s="254" t="s">
        <v>2591</v>
      </c>
      <c r="H35" s="255" t="s">
        <v>2620</v>
      </c>
      <c r="I35" s="225" t="s">
        <v>2457</v>
      </c>
      <c r="J35" s="257" t="s">
        <v>2625</v>
      </c>
      <c r="K35">
        <f>_xlfn.XLOOKUP(I35,保证金登记!B:B,保证金登记!O:O)</f>
        <v>0</v>
      </c>
    </row>
    <row r="36" s="225" customFormat="1" ht="15.75" spans="1:11">
      <c r="A36" s="249"/>
      <c r="B36" s="258">
        <v>46106</v>
      </c>
      <c r="C36" s="249" t="s">
        <v>2503</v>
      </c>
      <c r="D36" s="249"/>
      <c r="E36" s="252" t="s">
        <v>2420</v>
      </c>
      <c r="F36" s="260">
        <v>3000</v>
      </c>
      <c r="G36" s="249"/>
      <c r="H36" s="255" t="s">
        <v>2620</v>
      </c>
      <c r="I36" s="225" t="s">
        <v>2501</v>
      </c>
      <c r="J36" s="261" t="s">
        <v>2626</v>
      </c>
      <c r="K36">
        <f>_xlfn.XLOOKUP(I36,保证金登记!B:B,保证金登记!O:O)</f>
        <v>0</v>
      </c>
    </row>
    <row r="37" s="226" customFormat="1" ht="15.75" spans="1:11">
      <c r="A37" s="262"/>
      <c r="B37" s="263">
        <v>46119</v>
      </c>
      <c r="C37" s="262" t="s">
        <v>2255</v>
      </c>
      <c r="D37" s="262"/>
      <c r="E37" s="262" t="s">
        <v>2420</v>
      </c>
      <c r="F37" s="264">
        <v>30000</v>
      </c>
      <c r="G37" s="265" t="s">
        <v>2604</v>
      </c>
      <c r="H37" s="262" t="s">
        <v>30</v>
      </c>
      <c r="I37" s="226" t="s">
        <v>2497</v>
      </c>
      <c r="J37" s="266" t="s">
        <v>2627</v>
      </c>
      <c r="K37" s="267">
        <f>_xlfn.XLOOKUP(I37,保证金登记!B:B,保证金登记!O:O)</f>
        <v>0</v>
      </c>
    </row>
    <row r="38" s="226" customFormat="1" ht="15.75" spans="1:11">
      <c r="A38" s="262"/>
      <c r="B38" s="263">
        <v>46119</v>
      </c>
      <c r="C38" s="268" t="s">
        <v>2215</v>
      </c>
      <c r="D38" s="262"/>
      <c r="E38" s="262" t="s">
        <v>2420</v>
      </c>
      <c r="F38" s="264">
        <v>2000.26</v>
      </c>
      <c r="G38" s="262" t="s">
        <v>2591</v>
      </c>
      <c r="H38" s="262" t="s">
        <v>30</v>
      </c>
      <c r="I38" s="226" t="s">
        <v>2486</v>
      </c>
      <c r="J38" s="266" t="s">
        <v>2628</v>
      </c>
      <c r="K38" s="267">
        <f>_xlfn.XLOOKUP(I38,保证金登记!B:B,保证金登记!O:O)</f>
        <v>-0.259999999999991</v>
      </c>
    </row>
    <row r="39" s="226" customFormat="1" ht="15.75" spans="1:11">
      <c r="A39" s="262"/>
      <c r="B39" s="263">
        <v>46121</v>
      </c>
      <c r="C39" s="262" t="s">
        <v>2187</v>
      </c>
      <c r="D39" s="262"/>
      <c r="E39" s="262" t="s">
        <v>2420</v>
      </c>
      <c r="F39" s="264">
        <v>8000</v>
      </c>
      <c r="G39" s="262" t="s">
        <v>2432</v>
      </c>
      <c r="H39" s="262" t="s">
        <v>30</v>
      </c>
      <c r="I39" s="268" t="s">
        <v>2473</v>
      </c>
      <c r="J39" s="266" t="s">
        <v>2629</v>
      </c>
      <c r="K39" s="267">
        <f>_xlfn.XLOOKUP(I39,保证金登记!B:B,保证金登记!O:O)</f>
        <v>0</v>
      </c>
    </row>
    <row r="40" s="226" customFormat="1" ht="15.75" spans="1:11">
      <c r="A40" s="262"/>
      <c r="B40" s="263">
        <v>46120</v>
      </c>
      <c r="C40" s="269" t="s">
        <v>2215</v>
      </c>
      <c r="D40" s="270"/>
      <c r="E40" s="262" t="s">
        <v>2420</v>
      </c>
      <c r="F40" s="271">
        <v>4000.16</v>
      </c>
      <c r="G40" s="265" t="s">
        <v>2591</v>
      </c>
      <c r="H40" s="272" t="s">
        <v>2620</v>
      </c>
      <c r="I40" s="226" t="s">
        <v>2534</v>
      </c>
      <c r="J40" s="266" t="s">
        <v>2630</v>
      </c>
      <c r="K40" s="267">
        <f>_xlfn.XLOOKUP(I40,保证金登记!B:B,保证金登记!O:O)</f>
        <v>-0.159999999999854</v>
      </c>
    </row>
    <row r="41" s="226" customFormat="1" ht="15.75" spans="1:11">
      <c r="A41" s="262"/>
      <c r="B41" s="273">
        <v>46122</v>
      </c>
      <c r="C41" s="265" t="s">
        <v>2510</v>
      </c>
      <c r="D41" s="270"/>
      <c r="E41" s="262" t="s">
        <v>2420</v>
      </c>
      <c r="F41" s="271">
        <v>15000</v>
      </c>
      <c r="G41" s="265" t="s">
        <v>2591</v>
      </c>
      <c r="H41" s="274" t="s">
        <v>2620</v>
      </c>
      <c r="I41" s="268" t="s">
        <v>2508</v>
      </c>
      <c r="J41" s="266" t="s">
        <v>2631</v>
      </c>
      <c r="K41" s="267">
        <f>_xlfn.XLOOKUP(I41,保证金登记!B:B,保证金登记!O:O)</f>
        <v>0</v>
      </c>
    </row>
    <row r="42" s="226" customFormat="1" ht="15.75" spans="1:11">
      <c r="A42" s="262"/>
      <c r="B42" s="273">
        <v>46122</v>
      </c>
      <c r="C42" s="265" t="s">
        <v>2510</v>
      </c>
      <c r="D42" s="270"/>
      <c r="E42" s="262" t="s">
        <v>2420</v>
      </c>
      <c r="F42" s="271">
        <v>15000</v>
      </c>
      <c r="G42" s="265" t="s">
        <v>2591</v>
      </c>
      <c r="H42" s="274" t="s">
        <v>2620</v>
      </c>
      <c r="I42" s="226" t="s">
        <v>2511</v>
      </c>
      <c r="J42" s="266" t="s">
        <v>2632</v>
      </c>
      <c r="K42" s="267">
        <f>_xlfn.XLOOKUP(I42,保证金登记!B:B,保证金登记!O:O)</f>
        <v>0</v>
      </c>
    </row>
    <row r="43" s="226" customFormat="1" ht="15.75" spans="1:11">
      <c r="A43" s="262"/>
      <c r="B43" s="273">
        <v>46122</v>
      </c>
      <c r="C43" s="265" t="s">
        <v>2510</v>
      </c>
      <c r="D43" s="270"/>
      <c r="E43" s="262" t="s">
        <v>2420</v>
      </c>
      <c r="F43" s="271">
        <v>15000</v>
      </c>
      <c r="G43" s="265" t="s">
        <v>2591</v>
      </c>
      <c r="H43" s="274" t="s">
        <v>2620</v>
      </c>
      <c r="I43" s="226" t="s">
        <v>2513</v>
      </c>
      <c r="J43" s="266" t="s">
        <v>2633</v>
      </c>
      <c r="K43" s="267">
        <f>_xlfn.XLOOKUP(I43,保证金登记!B:B,保证金登记!O:O)</f>
        <v>0</v>
      </c>
    </row>
    <row r="44" s="226" customFormat="1" ht="15.75" spans="1:11">
      <c r="A44" s="262"/>
      <c r="B44" s="273">
        <v>46122</v>
      </c>
      <c r="C44" s="265" t="s">
        <v>2510</v>
      </c>
      <c r="D44" s="270"/>
      <c r="E44" s="262" t="s">
        <v>2420</v>
      </c>
      <c r="F44" s="271">
        <v>15000</v>
      </c>
      <c r="G44" s="265" t="s">
        <v>2591</v>
      </c>
      <c r="H44" s="274" t="s">
        <v>2620</v>
      </c>
      <c r="I44" s="226" t="s">
        <v>2515</v>
      </c>
      <c r="J44" s="266" t="s">
        <v>2634</v>
      </c>
      <c r="K44" s="267">
        <f>_xlfn.XLOOKUP(I44,保证金登记!B:B,保证金登记!O:O)</f>
        <v>0</v>
      </c>
    </row>
    <row r="45" s="226" customFormat="1" ht="15.75" spans="1:11">
      <c r="A45" s="262"/>
      <c r="B45" s="273">
        <v>46122</v>
      </c>
      <c r="C45" s="265" t="s">
        <v>2510</v>
      </c>
      <c r="D45" s="270"/>
      <c r="E45" s="262" t="s">
        <v>2420</v>
      </c>
      <c r="F45" s="271">
        <v>15000</v>
      </c>
      <c r="G45" s="265" t="s">
        <v>2591</v>
      </c>
      <c r="H45" s="274" t="s">
        <v>2620</v>
      </c>
      <c r="I45" s="226" t="s">
        <v>2517</v>
      </c>
      <c r="J45" s="266" t="s">
        <v>2635</v>
      </c>
      <c r="K45" s="267">
        <f>_xlfn.XLOOKUP(I45,保证金登记!B:B,保证金登记!O:O)</f>
        <v>0</v>
      </c>
    </row>
    <row r="46" s="226" customFormat="1" ht="15.75" spans="1:11">
      <c r="A46" s="262"/>
      <c r="B46" s="273">
        <v>46139</v>
      </c>
      <c r="C46" s="269" t="s">
        <v>2215</v>
      </c>
      <c r="D46" s="270"/>
      <c r="E46" s="262" t="s">
        <v>2420</v>
      </c>
      <c r="F46" s="264">
        <v>2000.31</v>
      </c>
      <c r="G46" s="265" t="s">
        <v>2591</v>
      </c>
      <c r="H46" s="274" t="s">
        <v>2620</v>
      </c>
      <c r="I46" s="226" t="s">
        <v>2531</v>
      </c>
      <c r="J46" s="266" t="s">
        <v>2636</v>
      </c>
      <c r="K46" s="267">
        <f>_xlfn.XLOOKUP(I46,保证金登记!B:B,保证金登记!O:O)</f>
        <v>-0.309999999999945</v>
      </c>
    </row>
    <row r="47" s="226" customFormat="1" ht="15.75" spans="1:11">
      <c r="A47" s="262"/>
      <c r="B47" s="273">
        <v>46139</v>
      </c>
      <c r="C47" s="269" t="s">
        <v>1430</v>
      </c>
      <c r="D47" s="270"/>
      <c r="E47" s="262" t="s">
        <v>2420</v>
      </c>
      <c r="F47" s="264">
        <v>20000</v>
      </c>
      <c r="G47" s="265" t="s">
        <v>2604</v>
      </c>
      <c r="H47" s="274" t="s">
        <v>30</v>
      </c>
      <c r="I47" s="226" t="s">
        <v>2536</v>
      </c>
      <c r="J47" s="266" t="s">
        <v>2637</v>
      </c>
      <c r="K47" s="267">
        <f>_xlfn.XLOOKUP(I47,保证金登记!B:B,保证金登记!O:O)</f>
        <v>0</v>
      </c>
    </row>
    <row r="48" s="226" customFormat="1" ht="15.75" spans="1:11">
      <c r="A48" s="262"/>
      <c r="B48" s="273">
        <v>46140</v>
      </c>
      <c r="C48" s="262" t="s">
        <v>2529</v>
      </c>
      <c r="D48" s="262"/>
      <c r="E48" s="262" t="s">
        <v>2420</v>
      </c>
      <c r="F48" s="264">
        <v>10000</v>
      </c>
      <c r="G48" s="265" t="s">
        <v>2591</v>
      </c>
      <c r="H48" s="274" t="s">
        <v>30</v>
      </c>
      <c r="I48" s="226" t="s">
        <v>2527</v>
      </c>
      <c r="J48" s="266" t="s">
        <v>2638</v>
      </c>
      <c r="K48" s="267">
        <f>_xlfn.XLOOKUP(I48,保证金登记!B:B,保证金登记!O:O)</f>
        <v>0</v>
      </c>
    </row>
    <row r="49" s="226" customFormat="1" ht="15.75" spans="1:11">
      <c r="A49" s="262"/>
      <c r="B49" s="275">
        <v>46140</v>
      </c>
      <c r="C49" s="276" t="s">
        <v>1703</v>
      </c>
      <c r="D49" s="276"/>
      <c r="E49" s="276" t="s">
        <v>2420</v>
      </c>
      <c r="F49" s="277">
        <v>5000</v>
      </c>
      <c r="G49" s="278" t="s">
        <v>2591</v>
      </c>
      <c r="H49" s="279" t="s">
        <v>30</v>
      </c>
      <c r="I49" s="226" t="s">
        <v>2460</v>
      </c>
      <c r="J49" s="266" t="s">
        <v>2639</v>
      </c>
      <c r="K49" s="267">
        <f>_xlfn.XLOOKUP(I49,保证金登记!B:B,保证金登记!O:O)</f>
        <v>0</v>
      </c>
    </row>
    <row r="50" s="227" customFormat="1" ht="15.75" spans="1:11">
      <c r="A50" s="233"/>
      <c r="B50" s="280">
        <v>46148</v>
      </c>
      <c r="C50" s="281" t="s">
        <v>1123</v>
      </c>
      <c r="D50" s="281"/>
      <c r="E50" s="281" t="s">
        <v>2420</v>
      </c>
      <c r="F50" s="282">
        <v>2000</v>
      </c>
      <c r="G50" s="283" t="s">
        <v>2591</v>
      </c>
      <c r="H50" s="284" t="s">
        <v>30</v>
      </c>
      <c r="I50" s="227" t="s">
        <v>2546</v>
      </c>
      <c r="J50" s="285" t="s">
        <v>2640</v>
      </c>
      <c r="K50" s="286">
        <f>_xlfn.XLOOKUP(I50,保证金登记!B:B,保证金登记!O:O)</f>
        <v>0</v>
      </c>
    </row>
    <row r="51" s="227" customFormat="1" ht="15.75" spans="1:11">
      <c r="A51" s="233"/>
      <c r="B51" s="280">
        <v>46156</v>
      </c>
      <c r="C51" s="281" t="s">
        <v>1814</v>
      </c>
      <c r="D51" s="281"/>
      <c r="E51" s="281" t="s">
        <v>2420</v>
      </c>
      <c r="F51" s="282">
        <v>7000</v>
      </c>
      <c r="G51" s="283" t="s">
        <v>2604</v>
      </c>
      <c r="H51" s="284" t="s">
        <v>30</v>
      </c>
      <c r="I51" s="227" t="s">
        <v>2482</v>
      </c>
      <c r="J51" s="285" t="s">
        <v>2641</v>
      </c>
      <c r="K51" s="286">
        <f>_xlfn.XLOOKUP(I51,保证金登记!B:B,保证金登记!O:O)</f>
        <v>0</v>
      </c>
    </row>
    <row r="52" s="227" customFormat="1" ht="15.75" spans="1:11">
      <c r="A52" s="233"/>
      <c r="B52" s="280">
        <v>46156</v>
      </c>
      <c r="C52" s="281" t="s">
        <v>1814</v>
      </c>
      <c r="D52" s="281"/>
      <c r="E52" s="281" t="s">
        <v>2420</v>
      </c>
      <c r="F52" s="282">
        <v>25000</v>
      </c>
      <c r="G52" s="283" t="s">
        <v>2591</v>
      </c>
      <c r="H52" s="284" t="s">
        <v>30</v>
      </c>
      <c r="I52" s="227" t="s">
        <v>2500</v>
      </c>
      <c r="J52" s="285" t="s">
        <v>2642</v>
      </c>
      <c r="K52" s="286">
        <f>_xlfn.XLOOKUP(I52,保证金登记!B:B,保证金登记!O:O)</f>
        <v>0</v>
      </c>
    </row>
    <row r="53" s="227" customFormat="1" ht="15.75" spans="1:11">
      <c r="A53" s="233"/>
      <c r="B53" s="280">
        <v>46164</v>
      </c>
      <c r="C53" s="281" t="s">
        <v>2495</v>
      </c>
      <c r="D53" s="281"/>
      <c r="E53" s="281" t="s">
        <v>2420</v>
      </c>
      <c r="F53" s="282">
        <v>3600</v>
      </c>
      <c r="G53" s="283" t="s">
        <v>2591</v>
      </c>
      <c r="H53" s="284" t="s">
        <v>30</v>
      </c>
      <c r="I53" s="227" t="s">
        <v>2493</v>
      </c>
      <c r="J53" s="285" t="s">
        <v>2643</v>
      </c>
      <c r="K53" s="286">
        <f>_xlfn.XLOOKUP(I53,保证金登记!B:B,保证金登记!O:O)</f>
        <v>0</v>
      </c>
    </row>
    <row r="54" s="227" customFormat="1" ht="15.75" spans="1:11">
      <c r="A54" s="233"/>
      <c r="B54" s="280">
        <v>46170</v>
      </c>
      <c r="C54" s="281" t="s">
        <v>1586</v>
      </c>
      <c r="D54" s="281"/>
      <c r="E54" s="281" t="s">
        <v>2420</v>
      </c>
      <c r="F54" s="282">
        <v>5000</v>
      </c>
      <c r="G54" s="283" t="s">
        <v>2591</v>
      </c>
      <c r="H54" s="284" t="s">
        <v>30</v>
      </c>
      <c r="I54" s="227" t="s">
        <v>2543</v>
      </c>
      <c r="J54" s="285" t="s">
        <v>2644</v>
      </c>
      <c r="K54" s="286">
        <f>_xlfn.XLOOKUP(I54,保证金登记!B:B,保证金登记!O:O)</f>
        <v>0</v>
      </c>
    </row>
    <row r="55" s="4" customFormat="1" ht="15.75" spans="1:11">
      <c r="A55" s="233"/>
      <c r="B55" s="280">
        <v>46184</v>
      </c>
      <c r="C55" s="287" t="s">
        <v>2551</v>
      </c>
      <c r="D55" s="287"/>
      <c r="E55" s="281" t="s">
        <v>2420</v>
      </c>
      <c r="F55" s="288">
        <v>2000</v>
      </c>
      <c r="G55" s="283" t="s">
        <v>2591</v>
      </c>
      <c r="H55" s="284" t="s">
        <v>30</v>
      </c>
      <c r="I55" s="4" t="s">
        <v>2549</v>
      </c>
      <c r="J55" s="289" t="s">
        <v>2645</v>
      </c>
      <c r="K55" s="286">
        <f>_xlfn.XLOOKUP(I55,保证金登记!B:B,保证金登记!O:O)</f>
        <v>0</v>
      </c>
    </row>
    <row r="56" s="4" customFormat="1" ht="15.75" spans="1:11">
      <c r="A56" s="233"/>
      <c r="B56" s="280">
        <v>46190</v>
      </c>
      <c r="C56" s="287" t="s">
        <v>2491</v>
      </c>
      <c r="D56" s="287"/>
      <c r="E56" s="281" t="s">
        <v>2420</v>
      </c>
      <c r="F56" s="288">
        <v>20000</v>
      </c>
      <c r="G56" s="283" t="s">
        <v>2591</v>
      </c>
      <c r="H56" s="284" t="s">
        <v>30</v>
      </c>
      <c r="I56" s="4" t="s">
        <v>2489</v>
      </c>
      <c r="J56" s="289" t="s">
        <v>2646</v>
      </c>
      <c r="K56" s="286">
        <f>_xlfn.XLOOKUP(I56,保证金登记!B:B,保证金登记!O:O)</f>
        <v>0</v>
      </c>
    </row>
    <row r="57" s="4" customFormat="1" ht="15.75" spans="1:11">
      <c r="A57" s="233"/>
      <c r="B57" s="280">
        <v>46190</v>
      </c>
      <c r="C57" s="287" t="s">
        <v>2491</v>
      </c>
      <c r="D57" s="287"/>
      <c r="E57" s="281" t="s">
        <v>2420</v>
      </c>
      <c r="F57" s="288">
        <v>10000</v>
      </c>
      <c r="G57" s="283" t="s">
        <v>2591</v>
      </c>
      <c r="H57" s="284" t="s">
        <v>30</v>
      </c>
      <c r="I57" s="4" t="s">
        <v>2505</v>
      </c>
      <c r="J57" s="289" t="s">
        <v>2647</v>
      </c>
      <c r="K57" s="286">
        <f>_xlfn.XLOOKUP(I57,保证金登记!B:B,保证金登记!O:O)</f>
        <v>0</v>
      </c>
    </row>
    <row r="58" s="4" customFormat="1" ht="15.75" spans="1:11">
      <c r="A58" s="233"/>
      <c r="B58" s="280">
        <v>46191</v>
      </c>
      <c r="C58" s="233" t="s">
        <v>2562</v>
      </c>
      <c r="D58" s="233"/>
      <c r="E58" s="281" t="s">
        <v>2420</v>
      </c>
      <c r="F58" s="239">
        <v>20000</v>
      </c>
      <c r="G58" s="283" t="s">
        <v>2591</v>
      </c>
      <c r="H58" s="284" t="s">
        <v>30</v>
      </c>
      <c r="I58" s="4" t="s">
        <v>2561</v>
      </c>
      <c r="J58" s="290" t="s">
        <v>2648</v>
      </c>
      <c r="K58" s="286">
        <f>_xlfn.XLOOKUP(I58,保证金登记!B:B,保证金登记!O:O)</f>
        <v>0</v>
      </c>
    </row>
    <row r="59" s="4" customFormat="1" ht="15.75" spans="1:11">
      <c r="A59" s="233"/>
      <c r="B59" s="280">
        <v>46184</v>
      </c>
      <c r="C59" s="244" t="s">
        <v>2255</v>
      </c>
      <c r="D59" s="233"/>
      <c r="E59" s="233" t="s">
        <v>2420</v>
      </c>
      <c r="F59" s="291">
        <v>30000</v>
      </c>
      <c r="G59" s="233" t="s">
        <v>2604</v>
      </c>
      <c r="H59" s="108" t="s">
        <v>30</v>
      </c>
      <c r="I59" s="60" t="s">
        <v>2564</v>
      </c>
      <c r="J59" s="289" t="s">
        <v>2649</v>
      </c>
      <c r="K59" s="286">
        <f>_xlfn.XLOOKUP(I59,保证金登记!B:B,保证金登记!O:O)</f>
        <v>0</v>
      </c>
    </row>
    <row r="60" s="4" customFormat="1" ht="15.75" spans="1:11">
      <c r="A60" s="233"/>
      <c r="B60" s="280">
        <v>46195</v>
      </c>
      <c r="C60" s="244" t="s">
        <v>2255</v>
      </c>
      <c r="D60" s="233"/>
      <c r="E60" s="233" t="s">
        <v>2420</v>
      </c>
      <c r="F60" s="291">
        <v>10000</v>
      </c>
      <c r="G60" s="233" t="s">
        <v>2604</v>
      </c>
      <c r="H60" s="108" t="s">
        <v>30</v>
      </c>
      <c r="I60" s="4" t="s">
        <v>2570</v>
      </c>
      <c r="J60" s="289" t="s">
        <v>2650</v>
      </c>
      <c r="K60" s="286">
        <f>_xlfn.XLOOKUP(I60,保证金登记!B:B,保证金登记!O:O)</f>
        <v>0</v>
      </c>
    </row>
    <row r="61" s="4" customFormat="1" ht="15.75" spans="1:11">
      <c r="A61" s="233"/>
      <c r="B61" s="292">
        <v>46202</v>
      </c>
      <c r="C61" s="233" t="s">
        <v>2541</v>
      </c>
      <c r="D61" s="233"/>
      <c r="E61" s="233" t="s">
        <v>2420</v>
      </c>
      <c r="F61" s="239">
        <v>10000</v>
      </c>
      <c r="G61" s="233" t="s">
        <v>2604</v>
      </c>
      <c r="H61" s="108" t="s">
        <v>30</v>
      </c>
      <c r="I61" s="4" t="s">
        <v>2539</v>
      </c>
      <c r="J61" s="289" t="s">
        <v>2651</v>
      </c>
      <c r="K61" s="286">
        <f>_xlfn.XLOOKUP(I61,保证金登记!B:B,保证金登记!O:O)</f>
        <v>0</v>
      </c>
    </row>
    <row r="62" s="4" customFormat="1" ht="15.75" spans="1:11">
      <c r="A62" s="233"/>
      <c r="B62" s="292">
        <v>46202</v>
      </c>
      <c r="C62" s="233" t="s">
        <v>1157</v>
      </c>
      <c r="D62" s="233"/>
      <c r="E62" s="233" t="s">
        <v>2420</v>
      </c>
      <c r="F62" s="239">
        <v>2000</v>
      </c>
      <c r="G62" s="283" t="s">
        <v>2591</v>
      </c>
      <c r="H62" s="108" t="s">
        <v>30</v>
      </c>
      <c r="I62" s="4" t="s">
        <v>2556</v>
      </c>
      <c r="J62" s="289" t="s">
        <v>2652</v>
      </c>
      <c r="K62" s="286">
        <f>_xlfn.XLOOKUP(I62,保证金登记!B:B,保证金登记!O:O)</f>
        <v>0</v>
      </c>
    </row>
    <row r="63" s="4" customFormat="1" ht="15.75" spans="1:11">
      <c r="A63" s="233"/>
      <c r="B63" s="292"/>
      <c r="C63" s="233"/>
      <c r="D63" s="233"/>
      <c r="E63" s="233"/>
      <c r="F63" s="239"/>
      <c r="G63" s="233"/>
      <c r="H63" s="233"/>
      <c r="I63" s="4"/>
      <c r="J63" s="289"/>
    </row>
    <row r="64" s="4" customFormat="1" ht="15.75" spans="1:11">
      <c r="A64" s="233"/>
      <c r="B64" s="292"/>
      <c r="C64" s="233"/>
      <c r="D64" s="233"/>
      <c r="E64" s="233"/>
      <c r="F64" s="239"/>
      <c r="G64" s="233"/>
      <c r="H64" s="233"/>
      <c r="I64" s="4"/>
      <c r="J64" s="289"/>
    </row>
    <row r="65" s="4" customFormat="1" ht="15.75" spans="1:10">
      <c r="A65" s="233"/>
      <c r="B65" s="292"/>
      <c r="C65" s="233"/>
      <c r="D65" s="233"/>
      <c r="E65" s="233"/>
      <c r="F65" s="239"/>
      <c r="G65" s="233"/>
      <c r="H65" s="233"/>
      <c r="I65" s="4"/>
      <c r="J65" s="289"/>
    </row>
    <row r="66" s="4" customFormat="1" ht="15.75" spans="1:10">
      <c r="A66" s="233"/>
      <c r="B66" s="292"/>
      <c r="C66" s="233"/>
      <c r="D66" s="233"/>
      <c r="E66" s="233"/>
      <c r="F66" s="239"/>
      <c r="G66" s="233"/>
      <c r="H66" s="233"/>
      <c r="I66" s="4"/>
      <c r="J66" s="289"/>
    </row>
    <row r="67" s="4" customFormat="1" ht="15.75" spans="1:10">
      <c r="A67" s="233"/>
      <c r="B67" s="292"/>
      <c r="C67" s="233"/>
      <c r="D67" s="233"/>
      <c r="E67" s="233"/>
      <c r="F67" s="239"/>
      <c r="G67" s="233"/>
      <c r="H67" s="233"/>
      <c r="I67" s="4"/>
      <c r="J67" s="289"/>
    </row>
    <row r="68" s="4" customFormat="1" ht="15.75" spans="1:10">
      <c r="A68" s="233"/>
      <c r="B68" s="292"/>
      <c r="C68" s="233"/>
      <c r="D68" s="233"/>
      <c r="E68" s="233"/>
      <c r="F68" s="239"/>
      <c r="G68" s="233"/>
      <c r="H68" s="233"/>
      <c r="I68" s="4"/>
      <c r="J68" s="289"/>
    </row>
    <row r="69" s="4" customFormat="1" ht="15.75" spans="1:10">
      <c r="A69" s="233"/>
      <c r="B69" s="292"/>
      <c r="C69" s="233"/>
      <c r="D69" s="233"/>
      <c r="E69" s="233"/>
      <c r="F69" s="239"/>
      <c r="G69" s="233"/>
      <c r="H69" s="233"/>
      <c r="I69" s="4"/>
      <c r="J69" s="289"/>
    </row>
    <row r="70" s="4" customFormat="1" ht="15.75" spans="1:10">
      <c r="A70" s="233"/>
      <c r="B70" s="292"/>
      <c r="C70" s="233"/>
      <c r="D70" s="233"/>
      <c r="E70" s="233"/>
      <c r="F70" s="239"/>
      <c r="G70" s="233"/>
      <c r="H70" s="233"/>
      <c r="I70" s="293"/>
      <c r="J70" s="289"/>
    </row>
    <row r="71" s="4" customFormat="1" ht="15.75" spans="1:10">
      <c r="A71" s="233"/>
      <c r="B71" s="292"/>
      <c r="C71" s="233"/>
      <c r="D71" s="233"/>
      <c r="E71" s="233"/>
      <c r="F71" s="239"/>
      <c r="G71" s="233"/>
      <c r="H71" s="233"/>
      <c r="I71" s="4"/>
      <c r="J71" s="289"/>
    </row>
    <row r="72" s="4" customFormat="1" ht="15.75" spans="1:10">
      <c r="A72" s="233"/>
      <c r="B72" s="292"/>
      <c r="C72" s="233"/>
      <c r="D72" s="233"/>
      <c r="E72" s="233"/>
      <c r="F72" s="239"/>
      <c r="G72" s="233"/>
      <c r="H72" s="233"/>
      <c r="I72" s="4"/>
      <c r="J72" s="289"/>
    </row>
    <row r="73" s="227" customFormat="1" ht="15.75" spans="1:10">
      <c r="A73" s="233"/>
      <c r="B73" s="292"/>
      <c r="C73" s="233"/>
      <c r="D73" s="233"/>
      <c r="E73" s="233"/>
      <c r="F73" s="239"/>
      <c r="G73" s="233"/>
      <c r="H73" s="233"/>
      <c r="I73" s="227"/>
      <c r="J73" s="285"/>
    </row>
    <row r="74" s="4" customFormat="1" ht="15.75" spans="1:10">
      <c r="A74" s="233"/>
      <c r="B74" s="292"/>
      <c r="C74" s="233"/>
      <c r="D74" s="233"/>
      <c r="E74" s="233"/>
      <c r="F74" s="239"/>
      <c r="G74" s="233"/>
      <c r="H74" s="233"/>
      <c r="I74" s="4"/>
      <c r="J74" s="289"/>
    </row>
    <row r="75" s="4" customFormat="1" ht="15.75" spans="1:10">
      <c r="A75" s="233"/>
      <c r="B75" s="292"/>
      <c r="C75" s="233"/>
      <c r="D75" s="233"/>
      <c r="E75" s="233"/>
      <c r="F75" s="239"/>
      <c r="G75" s="233"/>
      <c r="H75" s="233"/>
      <c r="I75" s="4"/>
      <c r="J75" s="289"/>
    </row>
    <row r="76" s="4" customFormat="1" ht="15.75" spans="1:10">
      <c r="A76" s="233"/>
      <c r="B76" s="292"/>
      <c r="C76" s="233"/>
      <c r="D76" s="233"/>
      <c r="E76" s="233"/>
      <c r="F76" s="239"/>
      <c r="G76" s="233"/>
      <c r="H76" s="233"/>
      <c r="I76" s="4"/>
      <c r="J76" s="289"/>
    </row>
    <row r="77" s="4" customFormat="1" ht="15.75" spans="1:10">
      <c r="A77" s="233"/>
      <c r="B77" s="292"/>
      <c r="C77" s="233"/>
      <c r="D77" s="233"/>
      <c r="E77" s="233"/>
      <c r="F77" s="239"/>
      <c r="G77" s="233"/>
      <c r="H77" s="233"/>
      <c r="I77" s="4"/>
      <c r="J77" s="289"/>
    </row>
    <row r="78" s="4" customFormat="1" ht="15.75" spans="1:10">
      <c r="A78" s="233"/>
      <c r="B78" s="292"/>
      <c r="C78" s="233"/>
      <c r="D78" s="233"/>
      <c r="E78" s="233"/>
      <c r="F78" s="239"/>
      <c r="G78" s="233"/>
      <c r="H78" s="233"/>
      <c r="I78" s="4"/>
      <c r="J78" s="289"/>
    </row>
    <row r="79" s="4" customFormat="1" ht="15.75" spans="1:10">
      <c r="A79" s="233"/>
      <c r="B79" s="292"/>
      <c r="C79" s="233"/>
      <c r="D79" s="233"/>
      <c r="E79" s="233"/>
      <c r="F79" s="239"/>
      <c r="G79" s="233"/>
      <c r="H79" s="233"/>
      <c r="I79" s="4"/>
      <c r="J79" s="289"/>
    </row>
    <row r="80" s="4" customFormat="1" ht="15.75" spans="1:10">
      <c r="A80" s="233"/>
      <c r="B80" s="292"/>
      <c r="C80" s="233"/>
      <c r="D80" s="233"/>
      <c r="E80" s="233"/>
      <c r="F80" s="239"/>
      <c r="G80" s="233"/>
      <c r="H80" s="233"/>
      <c r="I80" s="4"/>
      <c r="J80" s="289"/>
    </row>
    <row r="81" s="4" customFormat="1" ht="15.75" spans="1:10">
      <c r="A81" s="233"/>
      <c r="B81" s="292"/>
      <c r="C81" s="233"/>
      <c r="D81" s="233"/>
      <c r="E81" s="233"/>
      <c r="F81" s="239"/>
      <c r="G81" s="233"/>
      <c r="H81" s="233"/>
      <c r="I81" s="4"/>
      <c r="J81" s="289"/>
    </row>
    <row r="82" s="4" customFormat="1" ht="15.75" spans="1:10">
      <c r="A82" s="233"/>
      <c r="B82" s="292"/>
      <c r="C82" s="233"/>
      <c r="D82" s="233"/>
      <c r="E82" s="233"/>
      <c r="F82" s="239"/>
      <c r="G82" s="233"/>
      <c r="H82" s="233"/>
      <c r="I82" s="4"/>
      <c r="J82" s="289"/>
    </row>
    <row r="83" s="225" customFormat="1" ht="15.75" spans="1:10">
      <c r="A83" s="249"/>
      <c r="B83" s="258"/>
      <c r="C83" s="249"/>
      <c r="D83" s="249"/>
      <c r="E83" s="249"/>
      <c r="F83" s="260"/>
      <c r="G83" s="249"/>
      <c r="H83" s="249"/>
      <c r="I83" s="225"/>
      <c r="J83" s="261"/>
    </row>
    <row r="84" s="4" customFormat="1" ht="15.75" spans="1:10">
      <c r="A84" s="233"/>
      <c r="B84" s="292"/>
      <c r="C84" s="233"/>
      <c r="D84" s="233"/>
      <c r="E84" s="233"/>
      <c r="F84" s="239"/>
      <c r="G84" s="233"/>
      <c r="H84" s="233"/>
      <c r="I84" s="4"/>
      <c r="J84" s="289"/>
    </row>
    <row r="85" s="4" customFormat="1" ht="15.75" spans="1:10">
      <c r="A85" s="233"/>
      <c r="B85" s="292"/>
      <c r="C85" s="233"/>
      <c r="D85" s="233"/>
      <c r="E85" s="233"/>
      <c r="F85" s="239"/>
      <c r="G85" s="233"/>
      <c r="H85" s="233"/>
      <c r="I85" s="4"/>
      <c r="J85" s="289"/>
    </row>
    <row r="86" s="4" customFormat="1" ht="15.75" spans="1:10">
      <c r="A86" s="233"/>
      <c r="B86" s="292"/>
      <c r="C86" s="233"/>
      <c r="D86" s="233"/>
      <c r="E86" s="233"/>
      <c r="F86" s="239"/>
      <c r="G86" s="233"/>
      <c r="H86" s="233"/>
      <c r="I86" s="4"/>
      <c r="J86" s="289"/>
    </row>
    <row r="87" s="4" customFormat="1" ht="15.75" spans="1:10">
      <c r="A87" s="233"/>
      <c r="B87" s="292"/>
      <c r="C87" s="233"/>
      <c r="D87" s="233"/>
      <c r="E87" s="233"/>
      <c r="F87" s="239"/>
      <c r="G87" s="233"/>
      <c r="H87" s="233"/>
      <c r="I87" s="4"/>
      <c r="J87" s="289"/>
    </row>
    <row r="88" s="4" customFormat="1" ht="15.75" spans="1:10">
      <c r="A88" s="233"/>
      <c r="B88" s="234"/>
      <c r="C88" s="233"/>
      <c r="D88" s="233"/>
      <c r="E88" s="233"/>
      <c r="F88" s="239"/>
      <c r="G88" s="244"/>
      <c r="H88" s="233"/>
      <c r="I88" s="294"/>
      <c r="J88" s="289"/>
    </row>
    <row r="89" s="4" customFormat="1" ht="15.75" spans="1:10">
      <c r="A89" s="233"/>
      <c r="B89" s="234"/>
      <c r="C89" s="233"/>
      <c r="D89" s="233"/>
      <c r="E89" s="233"/>
      <c r="F89" s="239"/>
      <c r="G89" s="244"/>
      <c r="H89" s="233"/>
      <c r="I89" s="294"/>
      <c r="J89" s="289"/>
    </row>
    <row r="90" s="4" customFormat="1" ht="15.75" spans="1:10">
      <c r="A90" s="233"/>
      <c r="B90" s="234"/>
      <c r="C90" s="233"/>
      <c r="D90" s="233"/>
      <c r="E90" s="233"/>
      <c r="F90" s="239"/>
      <c r="G90" s="244"/>
      <c r="H90" s="233"/>
      <c r="I90" s="294"/>
      <c r="J90" s="289"/>
    </row>
    <row r="91" s="4" customFormat="1" ht="15.75" spans="1:10">
      <c r="A91" s="233"/>
      <c r="B91" s="234"/>
      <c r="C91" s="233"/>
      <c r="D91" s="233"/>
      <c r="E91" s="233"/>
      <c r="F91" s="239"/>
      <c r="G91" s="233"/>
      <c r="H91" s="233"/>
      <c r="I91" s="294"/>
      <c r="J91" s="289"/>
    </row>
    <row r="92" s="4" customFormat="1" ht="15.75" spans="1:10">
      <c r="A92" s="233"/>
      <c r="B92" s="234"/>
      <c r="C92" s="233"/>
      <c r="D92" s="233"/>
      <c r="E92" s="233"/>
      <c r="F92" s="239"/>
      <c r="G92" s="233"/>
      <c r="H92" s="233"/>
      <c r="I92" s="294"/>
      <c r="J92" s="289"/>
    </row>
    <row r="93" s="4" customFormat="1" ht="15.75" spans="1:10">
      <c r="A93" s="233"/>
      <c r="B93" s="234"/>
      <c r="C93" s="233"/>
      <c r="D93" s="233"/>
      <c r="E93" s="233"/>
      <c r="F93" s="239"/>
      <c r="G93" s="233"/>
      <c r="H93" s="233"/>
      <c r="I93" s="294"/>
      <c r="J93" s="289"/>
    </row>
    <row r="94" s="4" customFormat="1" ht="15.75" spans="1:10">
      <c r="A94" s="233"/>
      <c r="B94" s="234"/>
      <c r="C94" s="244"/>
      <c r="D94" s="233"/>
      <c r="E94" s="233"/>
      <c r="F94" s="239"/>
      <c r="G94" s="233"/>
      <c r="H94" s="233"/>
      <c r="I94" s="294"/>
      <c r="J94" s="289"/>
    </row>
    <row r="95" s="4" customFormat="1" ht="15.75" spans="1:10">
      <c r="A95" s="233"/>
      <c r="B95" s="234"/>
      <c r="C95" s="244"/>
      <c r="D95" s="233"/>
      <c r="E95" s="233"/>
      <c r="F95" s="239"/>
      <c r="G95" s="233"/>
      <c r="H95" s="233"/>
      <c r="I95" s="294"/>
      <c r="J95" s="289"/>
    </row>
    <row r="96" s="4" customFormat="1" ht="15.75" spans="1:10">
      <c r="A96" s="233"/>
      <c r="B96" s="234"/>
      <c r="C96" s="244"/>
      <c r="D96" s="233"/>
      <c r="E96" s="233"/>
      <c r="F96" s="239"/>
      <c r="G96" s="233"/>
      <c r="H96" s="233"/>
      <c r="I96" s="294"/>
      <c r="J96" s="289"/>
    </row>
    <row r="97" s="4" customFormat="1" ht="15.75" spans="1:10">
      <c r="A97" s="233"/>
      <c r="B97" s="234"/>
      <c r="C97" s="244"/>
      <c r="D97" s="233"/>
      <c r="E97" s="233"/>
      <c r="F97" s="239"/>
      <c r="G97" s="233"/>
      <c r="H97" s="233"/>
      <c r="I97" s="294"/>
      <c r="J97" s="289"/>
    </row>
    <row r="98" s="4" customFormat="1" ht="15.75" spans="1:10">
      <c r="A98" s="233"/>
      <c r="B98" s="234"/>
      <c r="C98" s="244"/>
      <c r="D98" s="233"/>
      <c r="E98" s="233"/>
      <c r="F98" s="239"/>
      <c r="G98" s="233"/>
      <c r="H98" s="233"/>
      <c r="I98" s="294"/>
      <c r="J98" s="289"/>
    </row>
    <row r="99" s="4" customFormat="1" ht="15.75" spans="1:10">
      <c r="A99" s="233"/>
      <c r="B99" s="234"/>
      <c r="C99" s="244"/>
      <c r="D99" s="233"/>
      <c r="E99" s="233"/>
      <c r="F99" s="239"/>
      <c r="G99" s="233"/>
      <c r="H99" s="233"/>
      <c r="I99" s="294"/>
      <c r="J99" s="289"/>
    </row>
    <row r="100" s="4" customFormat="1" ht="15.75" spans="1:10">
      <c r="A100" s="233"/>
      <c r="B100" s="234"/>
      <c r="C100" s="244"/>
      <c r="D100" s="233"/>
      <c r="E100" s="233"/>
      <c r="F100" s="239"/>
      <c r="G100" s="233"/>
      <c r="H100" s="233"/>
      <c r="I100" s="294"/>
      <c r="J100" s="289"/>
    </row>
    <row r="101" s="4" customFormat="1" ht="15.75" spans="1:10">
      <c r="A101" s="233"/>
      <c r="B101" s="234"/>
      <c r="C101" s="244"/>
      <c r="D101" s="233"/>
      <c r="E101" s="233"/>
      <c r="F101" s="239"/>
      <c r="G101" s="233"/>
      <c r="H101" s="233"/>
      <c r="I101" s="294"/>
      <c r="J101" s="289"/>
    </row>
    <row r="102" s="4" customFormat="1" ht="15.75" spans="1:10">
      <c r="A102" s="233"/>
      <c r="B102" s="234"/>
      <c r="C102" s="244"/>
      <c r="D102" s="233"/>
      <c r="E102" s="233"/>
      <c r="F102" s="239"/>
      <c r="G102" s="233"/>
      <c r="H102" s="233"/>
      <c r="I102" s="294"/>
      <c r="J102" s="289"/>
    </row>
    <row r="103" s="4" customFormat="1" ht="15.75" spans="1:10">
      <c r="A103" s="233"/>
      <c r="B103" s="234"/>
      <c r="C103" s="291"/>
      <c r="D103" s="233"/>
      <c r="E103" s="233"/>
      <c r="F103" s="239"/>
      <c r="G103" s="233"/>
      <c r="H103" s="233"/>
      <c r="I103" s="294"/>
      <c r="J103" s="289"/>
    </row>
    <row r="104" s="4" customFormat="1" ht="15.75" spans="1:10">
      <c r="A104" s="233"/>
      <c r="B104" s="234"/>
      <c r="C104" s="291"/>
      <c r="D104" s="233"/>
      <c r="E104" s="233"/>
      <c r="F104" s="239"/>
      <c r="G104" s="233"/>
      <c r="H104" s="233"/>
      <c r="I104" s="294"/>
      <c r="J104" s="289"/>
    </row>
    <row r="105" s="4" customFormat="1" ht="15.75" spans="1:10">
      <c r="A105" s="233"/>
      <c r="B105" s="234"/>
      <c r="C105" s="244"/>
      <c r="D105" s="233"/>
      <c r="E105" s="233"/>
      <c r="F105" s="239"/>
      <c r="G105" s="233"/>
      <c r="H105" s="233"/>
      <c r="I105" s="294"/>
      <c r="J105" s="289"/>
    </row>
    <row r="106" s="4" customFormat="1" ht="15.75" spans="1:10">
      <c r="A106" s="233"/>
      <c r="B106" s="234"/>
      <c r="C106" s="244"/>
      <c r="D106" s="233"/>
      <c r="E106" s="233"/>
      <c r="F106" s="239"/>
      <c r="G106" s="233"/>
      <c r="H106" s="233"/>
      <c r="I106" s="294"/>
      <c r="J106" s="289"/>
    </row>
    <row r="107" s="4" customFormat="1" ht="15.75" spans="1:10">
      <c r="A107" s="233"/>
      <c r="B107" s="234"/>
      <c r="C107" s="244"/>
      <c r="D107" s="233"/>
      <c r="E107" s="233"/>
      <c r="F107" s="239"/>
      <c r="G107" s="233"/>
      <c r="H107" s="233"/>
      <c r="I107" s="294"/>
      <c r="J107" s="289"/>
    </row>
    <row r="108" s="4" customFormat="1" ht="15.75" spans="1:10">
      <c r="A108" s="233"/>
      <c r="B108" s="234"/>
      <c r="C108" s="291"/>
      <c r="D108" s="233"/>
      <c r="E108" s="233"/>
      <c r="F108" s="239"/>
      <c r="G108" s="233"/>
      <c r="H108" s="233"/>
      <c r="I108" s="227"/>
      <c r="J108" s="289"/>
    </row>
    <row r="109" s="4" customFormat="1" ht="15.75" spans="1:10">
      <c r="A109" s="233"/>
      <c r="B109" s="234"/>
      <c r="C109" s="244"/>
      <c r="D109" s="233"/>
      <c r="E109" s="233"/>
      <c r="F109" s="239"/>
      <c r="G109" s="233"/>
      <c r="H109" s="233"/>
      <c r="I109" s="294"/>
      <c r="J109" s="289"/>
    </row>
    <row r="110" s="4" customFormat="1" ht="15.75" spans="1:10">
      <c r="A110" s="233"/>
      <c r="B110" s="234"/>
      <c r="C110" s="291"/>
      <c r="D110" s="233"/>
      <c r="E110" s="233"/>
      <c r="F110" s="239"/>
      <c r="G110" s="233"/>
      <c r="H110" s="233"/>
      <c r="I110" s="294"/>
      <c r="J110" s="289"/>
    </row>
    <row r="111" s="4" customFormat="1" ht="15.75" spans="1:10">
      <c r="A111" s="233"/>
      <c r="B111" s="234"/>
      <c r="C111" s="244"/>
      <c r="D111" s="233"/>
      <c r="E111" s="233"/>
      <c r="F111" s="239"/>
      <c r="G111" s="233"/>
      <c r="H111" s="233"/>
      <c r="I111" s="294"/>
      <c r="J111" s="289"/>
    </row>
    <row r="112" s="4" customFormat="1" ht="15.75" spans="1:10">
      <c r="A112" s="233"/>
      <c r="B112" s="234"/>
      <c r="C112" s="244"/>
      <c r="D112" s="233"/>
      <c r="E112" s="233"/>
      <c r="F112" s="239"/>
      <c r="G112" s="233"/>
      <c r="H112" s="233"/>
      <c r="I112" s="294"/>
      <c r="J112" s="289"/>
    </row>
    <row r="113" s="4" customFormat="1" ht="15.75" spans="1:10">
      <c r="A113" s="233"/>
      <c r="B113" s="234"/>
      <c r="C113" s="291"/>
      <c r="D113" s="233"/>
      <c r="E113" s="233"/>
      <c r="F113" s="239"/>
      <c r="G113" s="233"/>
      <c r="H113" s="233"/>
      <c r="I113" s="294"/>
      <c r="J113" s="289"/>
    </row>
    <row r="114" s="4" customFormat="1" ht="15.75" spans="1:10">
      <c r="A114" s="233"/>
      <c r="B114" s="234"/>
      <c r="C114" s="244"/>
      <c r="D114" s="233"/>
      <c r="E114" s="233"/>
      <c r="F114" s="291"/>
      <c r="G114" s="233"/>
      <c r="H114" s="233"/>
      <c r="I114" s="294"/>
      <c r="J114" s="289"/>
    </row>
    <row r="115" s="4" customFormat="1" ht="15.75" spans="1:10">
      <c r="A115" s="233"/>
      <c r="B115" s="234"/>
      <c r="C115" s="244"/>
      <c r="D115" s="233"/>
      <c r="E115" s="233"/>
      <c r="F115" s="291"/>
      <c r="G115" s="244"/>
      <c r="H115" s="233"/>
      <c r="I115" s="294"/>
      <c r="J115" s="289"/>
    </row>
    <row r="116" s="4" customFormat="1" ht="15.75" spans="1:10">
      <c r="A116" s="233"/>
      <c r="B116" s="234"/>
      <c r="C116" s="244"/>
      <c r="D116" s="233"/>
      <c r="E116" s="233"/>
      <c r="F116" s="291"/>
      <c r="G116" s="244"/>
      <c r="H116" s="233"/>
      <c r="I116" s="294"/>
      <c r="J116" s="289"/>
    </row>
    <row r="117" s="4" customFormat="1" ht="15.75" spans="1:10">
      <c r="A117" s="233"/>
      <c r="B117" s="234"/>
      <c r="C117" s="244"/>
      <c r="D117" s="233"/>
      <c r="E117" s="233"/>
      <c r="F117" s="291"/>
      <c r="G117" s="244"/>
      <c r="H117" s="233"/>
      <c r="I117" s="294"/>
      <c r="J117" s="289"/>
    </row>
    <row r="118" s="4" customFormat="1" ht="15.75" spans="1:10">
      <c r="A118" s="233"/>
      <c r="B118" s="234"/>
      <c r="C118" s="244"/>
      <c r="D118" s="233"/>
      <c r="E118" s="233"/>
      <c r="F118" s="291"/>
      <c r="G118" s="244"/>
      <c r="H118" s="233"/>
      <c r="I118" s="294"/>
      <c r="J118" s="289"/>
    </row>
    <row r="119" s="4" customFormat="1" ht="15.75" spans="1:10">
      <c r="A119" s="233"/>
      <c r="B119" s="234"/>
      <c r="C119" s="244"/>
      <c r="D119" s="233"/>
      <c r="E119" s="233"/>
      <c r="F119" s="291"/>
      <c r="G119" s="233"/>
      <c r="H119" s="233"/>
      <c r="I119" s="294"/>
      <c r="J119" s="289"/>
    </row>
    <row r="120" s="4" customFormat="1" ht="15.75" spans="1:10">
      <c r="A120" s="233"/>
      <c r="B120" s="234"/>
      <c r="C120" s="244"/>
      <c r="E120" s="233"/>
      <c r="F120" s="291"/>
      <c r="G120" s="244"/>
      <c r="H120" s="233"/>
      <c r="I120" s="294"/>
      <c r="J120" s="289"/>
    </row>
    <row r="121" s="4" customFormat="1" ht="15.75" spans="1:10">
      <c r="A121" s="233"/>
      <c r="B121" s="234"/>
      <c r="C121" s="244"/>
      <c r="D121" s="233"/>
      <c r="E121" s="233"/>
      <c r="F121" s="291"/>
      <c r="G121" s="233"/>
      <c r="H121" s="233"/>
      <c r="I121" s="294"/>
      <c r="J121" s="289"/>
    </row>
    <row r="122" s="4" customFormat="1" ht="15.75" spans="1:10">
      <c r="A122" s="233"/>
      <c r="B122" s="234"/>
      <c r="C122" s="244"/>
      <c r="D122" s="233"/>
      <c r="E122" s="233"/>
      <c r="F122" s="291"/>
      <c r="G122" s="233"/>
      <c r="H122" s="233"/>
      <c r="I122" s="294"/>
      <c r="J122" s="289"/>
    </row>
    <row r="123" s="4" customFormat="1" ht="15.75" spans="1:10">
      <c r="A123" s="233"/>
      <c r="B123" s="234"/>
      <c r="C123" s="244"/>
      <c r="D123" s="233"/>
      <c r="E123" s="233"/>
      <c r="F123" s="291"/>
      <c r="G123" s="233"/>
      <c r="H123" s="108"/>
      <c r="I123" s="294"/>
      <c r="J123" s="289"/>
    </row>
    <row r="124" s="4" customFormat="1" ht="15.75" spans="1:10">
      <c r="A124" s="233"/>
      <c r="B124" s="234"/>
      <c r="C124" s="244"/>
      <c r="D124" s="233"/>
      <c r="E124" s="233"/>
      <c r="F124" s="291"/>
      <c r="G124" s="233"/>
      <c r="H124" s="108"/>
      <c r="I124" s="294"/>
      <c r="J124" s="289"/>
    </row>
    <row r="125" s="4" customFormat="1" ht="15.75" spans="1:10">
      <c r="A125" s="233"/>
      <c r="B125" s="234"/>
      <c r="C125" s="244"/>
      <c r="D125" s="233"/>
      <c r="E125" s="233"/>
      <c r="F125" s="291"/>
      <c r="G125" s="233"/>
      <c r="H125" s="108"/>
      <c r="I125" s="294"/>
      <c r="J125" s="289"/>
    </row>
    <row r="126" s="225" customFormat="1" ht="15.75" spans="1:10">
      <c r="A126" s="249"/>
      <c r="B126" s="295"/>
      <c r="C126" s="251"/>
      <c r="D126" s="249"/>
      <c r="E126" s="249"/>
      <c r="F126" s="253"/>
      <c r="G126" s="249"/>
      <c r="H126" s="296"/>
      <c r="I126" s="256"/>
      <c r="J126" s="261"/>
    </row>
    <row r="127" s="225" customFormat="1" ht="15.75" spans="1:10">
      <c r="A127" s="249"/>
      <c r="B127" s="295"/>
      <c r="C127" s="251"/>
      <c r="D127" s="249"/>
      <c r="E127" s="249"/>
      <c r="F127" s="253"/>
      <c r="G127" s="249"/>
      <c r="H127" s="296"/>
      <c r="I127" s="256"/>
      <c r="J127" s="261"/>
    </row>
    <row r="128" s="4" customFormat="1" ht="15.75" spans="1:10">
      <c r="A128" s="233"/>
      <c r="B128" s="234"/>
      <c r="C128" s="244"/>
      <c r="D128" s="233"/>
      <c r="E128" s="233"/>
      <c r="F128" s="291"/>
      <c r="G128" s="233"/>
      <c r="H128" s="108"/>
      <c r="I128" s="294"/>
      <c r="J128" s="289"/>
    </row>
    <row r="129" s="4" customFormat="1" ht="15.75" spans="1:10">
      <c r="A129" s="233"/>
      <c r="B129" s="234"/>
      <c r="C129" s="244"/>
      <c r="D129" s="233"/>
      <c r="E129" s="233"/>
      <c r="F129" s="291"/>
      <c r="G129" s="244"/>
      <c r="H129" s="233"/>
      <c r="I129" s="294"/>
      <c r="J129" s="289"/>
    </row>
    <row r="130" s="4" customFormat="1" ht="15.75" spans="1:10">
      <c r="A130" s="233"/>
      <c r="B130" s="234"/>
      <c r="C130" s="244"/>
      <c r="D130" s="244"/>
      <c r="E130" s="233"/>
      <c r="F130" s="291"/>
      <c r="G130" s="244"/>
      <c r="H130" s="108"/>
      <c r="I130" s="294"/>
      <c r="J130" s="289"/>
    </row>
    <row r="131" s="4" customFormat="1" ht="15.75" spans="1:10">
      <c r="A131" s="233"/>
      <c r="B131" s="234"/>
      <c r="C131" s="244"/>
      <c r="D131" s="244"/>
      <c r="E131" s="233"/>
      <c r="F131" s="291"/>
      <c r="G131" s="244"/>
      <c r="H131" s="297"/>
      <c r="I131" s="294"/>
      <c r="J131" s="289"/>
    </row>
    <row r="132" s="4" customFormat="1" ht="15.75" spans="1:10">
      <c r="A132" s="233"/>
      <c r="B132" s="234"/>
      <c r="C132" s="244"/>
      <c r="D132" s="244"/>
      <c r="E132" s="233"/>
      <c r="F132" s="291"/>
      <c r="G132" s="244"/>
      <c r="H132" s="297"/>
      <c r="I132" s="294"/>
      <c r="J132" s="289"/>
    </row>
    <row r="133" s="4" customFormat="1" ht="15.75" spans="1:10">
      <c r="A133" s="233"/>
      <c r="B133" s="234"/>
      <c r="C133" s="297"/>
      <c r="D133" s="244"/>
      <c r="E133" s="233"/>
      <c r="F133" s="291"/>
      <c r="G133" s="244"/>
      <c r="H133" s="108"/>
      <c r="I133" s="294"/>
      <c r="J133" s="298"/>
    </row>
    <row r="134" s="4" customFormat="1" ht="15.75" spans="1:10">
      <c r="A134" s="233"/>
      <c r="B134" s="234"/>
      <c r="C134" s="244"/>
      <c r="D134" s="233"/>
      <c r="E134" s="233"/>
      <c r="F134" s="291"/>
      <c r="G134" s="233"/>
      <c r="H134" s="108"/>
      <c r="I134" s="227"/>
      <c r="J134" s="289"/>
    </row>
    <row r="135" s="4" customFormat="1" ht="15.75" spans="1:10">
      <c r="A135" s="233"/>
      <c r="B135" s="234"/>
      <c r="C135" s="293"/>
      <c r="D135" s="233"/>
      <c r="E135" s="233"/>
      <c r="F135" s="291"/>
      <c r="G135" s="233"/>
      <c r="H135" s="108"/>
      <c r="I135" s="227"/>
      <c r="J135" s="289"/>
    </row>
    <row r="136" s="4" customFormat="1" ht="15.75" spans="1:10">
      <c r="A136" s="233"/>
      <c r="B136" s="234"/>
      <c r="C136" s="293"/>
      <c r="D136" s="233"/>
      <c r="E136" s="233"/>
      <c r="F136" s="291"/>
      <c r="G136" s="233"/>
      <c r="H136" s="108"/>
      <c r="I136" s="227"/>
      <c r="J136" s="289"/>
    </row>
    <row r="137" s="4" customFormat="1" ht="15.75" spans="1:10">
      <c r="A137" s="233"/>
      <c r="B137" s="234"/>
      <c r="C137" s="244"/>
      <c r="D137" s="233"/>
      <c r="E137" s="233"/>
      <c r="F137" s="291"/>
      <c r="G137" s="233"/>
      <c r="H137" s="108"/>
      <c r="I137" s="227"/>
      <c r="J137" s="289"/>
    </row>
    <row r="138" s="4" customFormat="1" ht="15.75" spans="1:10">
      <c r="A138" s="233"/>
      <c r="B138" s="234"/>
      <c r="C138" s="244"/>
      <c r="D138" s="233"/>
      <c r="E138" s="233"/>
      <c r="F138" s="291"/>
      <c r="G138" s="233"/>
      <c r="H138" s="108"/>
      <c r="I138" s="227"/>
      <c r="J138" s="289"/>
    </row>
    <row r="139" s="4" customFormat="1" ht="15.75" spans="1:10">
      <c r="A139" s="233"/>
      <c r="B139" s="234"/>
      <c r="C139" s="244"/>
      <c r="D139" s="233"/>
      <c r="E139" s="233"/>
      <c r="F139" s="291"/>
      <c r="G139" s="233"/>
      <c r="H139" s="108"/>
      <c r="I139" s="227"/>
      <c r="J139" s="289"/>
    </row>
    <row r="140" s="4" customFormat="1" ht="15.75" spans="1:10">
      <c r="A140" s="233"/>
      <c r="B140" s="234"/>
      <c r="C140" s="244"/>
      <c r="D140" s="233"/>
      <c r="E140" s="233"/>
      <c r="F140" s="291"/>
      <c r="G140" s="233"/>
      <c r="H140" s="108"/>
      <c r="I140" s="227"/>
      <c r="J140" s="289"/>
    </row>
    <row r="141" s="4" customFormat="1" ht="15.75" spans="1:10">
      <c r="A141" s="233"/>
      <c r="B141" s="292"/>
      <c r="C141" s="233"/>
      <c r="D141" s="233"/>
      <c r="E141" s="233"/>
      <c r="F141" s="239"/>
      <c r="G141" s="233"/>
      <c r="H141" s="233"/>
      <c r="J141" s="289"/>
    </row>
    <row r="142" spans="1:10">
      <c r="A142" s="233"/>
      <c r="B142" s="292"/>
      <c r="C142" s="242"/>
      <c r="D142" s="299" t="s">
        <v>2653</v>
      </c>
      <c r="E142" s="299"/>
      <c r="F142" s="300">
        <f>SUBTOTAL(9,F3:F141)</f>
        <v>1038695.1</v>
      </c>
      <c r="G142" s="242"/>
      <c r="H142" s="242"/>
    </row>
  </sheetData>
  <sheetProtection formatCells="0" formatColumns="0" formatRows="0" insertRows="0" insertColumns="0" insertHyperlinks="0" deleteColumns="0" deleteRows="0" sort="0" autoFilter="0" pivotTables="0"/>
  <autoFilter xmlns:etc="http://www.wps.cn/officeDocument/2017/etCustomData" ref="A2:K137" etc:filterBottomFollowUsedRange="0">
    <extLst/>
  </autoFilter>
  <mergeCells count="1">
    <mergeCell ref="A1:H1"/>
  </mergeCells>
  <conditionalFormatting sqref="I24">
    <cfRule type="duplicateValues" dxfId="5" priority="10"/>
  </conditionalFormatting>
  <conditionalFormatting sqref="I25">
    <cfRule type="duplicateValues" dxfId="5" priority="9"/>
  </conditionalFormatting>
  <conditionalFormatting sqref="I26">
    <cfRule type="duplicateValues" dxfId="5" priority="8"/>
  </conditionalFormatting>
  <conditionalFormatting sqref="I27">
    <cfRule type="duplicateValues" dxfId="5" priority="7"/>
  </conditionalFormatting>
  <conditionalFormatting sqref="I28">
    <cfRule type="duplicateValues" dxfId="5" priority="6"/>
  </conditionalFormatting>
  <conditionalFormatting sqref="I29">
    <cfRule type="duplicateValues" dxfId="5" priority="5"/>
  </conditionalFormatting>
  <conditionalFormatting sqref="I30">
    <cfRule type="duplicateValues" dxfId="5" priority="4"/>
  </conditionalFormatting>
  <conditionalFormatting sqref="I39">
    <cfRule type="duplicateValues" dxfId="5" priority="21"/>
  </conditionalFormatting>
  <conditionalFormatting sqref="I41">
    <cfRule type="duplicateValues" dxfId="5" priority="22"/>
  </conditionalFormatting>
  <conditionalFormatting sqref="I59">
    <cfRule type="duplicateValues" dxfId="5" priority="18"/>
  </conditionalFormatting>
  <conditionalFormatting sqref="I70">
    <cfRule type="duplicateValues" dxfId="5" priority="17"/>
  </conditionalFormatting>
  <pageMargins left="0.75" right="0.75" top="1" bottom="1" header="0.5" footer="0.5"/>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X890"/>
  <sheetViews>
    <sheetView workbookViewId="0">
      <pane ySplit="2" topLeftCell="A9" activePane="bottomLeft" state="frozen"/>
      <selection/>
      <selection pane="bottomLeft" activeCell="I190" sqref="I190"/>
    </sheetView>
  </sheetViews>
  <sheetFormatPr defaultColWidth="9.64166666666667" defaultRowHeight="12"/>
  <cols>
    <col min="1" max="1" width="6.24166666666667" style="30" customWidth="1"/>
    <col min="2" max="2" width="8.44166666666667" style="31" customWidth="1"/>
    <col min="3" max="3" width="10.5666666666667" style="32" customWidth="1"/>
    <col min="4" max="4" width="9.29166666666667" style="33" customWidth="1"/>
    <col min="5" max="5" width="11.5083333333333" style="30" customWidth="1"/>
    <col min="6" max="6" width="7.25" style="30" customWidth="1"/>
    <col min="7" max="7" width="8.38333333333333" style="30" customWidth="1"/>
    <col min="8" max="8" width="17.75" style="31" hidden="1" customWidth="1"/>
    <col min="9" max="9" width="20.5083333333333" style="31" customWidth="1"/>
    <col min="10" max="10" width="12.1083333333333" style="34" customWidth="1"/>
    <col min="11" max="11" width="7.575" style="30" customWidth="1"/>
    <col min="12" max="12" width="10.35" style="30" customWidth="1"/>
    <col min="13" max="13" width="12.7416666666667" style="20" customWidth="1"/>
    <col min="14" max="14" width="13.1416666666667" style="35" customWidth="1"/>
    <col min="15" max="15" width="12.225" style="36" customWidth="1"/>
    <col min="16" max="16" width="10.35" style="37" customWidth="1"/>
    <col min="17" max="17" width="11.3416666666667" style="32" customWidth="1"/>
    <col min="18" max="18" width="12.75" style="20" customWidth="1"/>
    <col min="19" max="19" width="40.6333333333333" style="38" customWidth="1"/>
    <col min="20" max="21" width="7.65833333333333" style="30" customWidth="1"/>
    <col min="22" max="22" width="20.4416666666667" style="17" customWidth="1"/>
    <col min="23" max="23" width="5.66666666666667" style="17" customWidth="1"/>
    <col min="24" max="24" width="6.775" style="17" customWidth="1"/>
    <col min="25" max="16384" width="9.29166666666667" style="17"/>
  </cols>
  <sheetData>
    <row r="1" s="17" customFormat="1" spans="1:24">
      <c r="A1" s="30"/>
      <c r="B1" s="31"/>
      <c r="C1" s="39" t="s">
        <v>0</v>
      </c>
      <c r="D1" s="40"/>
      <c r="E1" s="41"/>
      <c r="F1" s="42"/>
      <c r="G1" s="42"/>
      <c r="H1" s="43"/>
      <c r="I1" s="44"/>
      <c r="J1" s="45"/>
      <c r="K1" s="42"/>
      <c r="L1" s="42"/>
      <c r="M1" s="18"/>
      <c r="N1" s="46"/>
      <c r="O1" s="47"/>
      <c r="P1" s="48"/>
      <c r="Q1" s="41"/>
      <c r="R1" s="42"/>
      <c r="S1" s="49"/>
      <c r="T1" s="30"/>
    </row>
    <row r="2" s="18" customFormat="1" ht="24" spans="1:24">
      <c r="A2" s="50" t="s">
        <v>1</v>
      </c>
      <c r="B2" s="51" t="s">
        <v>2</v>
      </c>
      <c r="C2" s="52" t="s">
        <v>3</v>
      </c>
      <c r="D2" s="53" t="s">
        <v>4</v>
      </c>
      <c r="E2" s="50" t="s">
        <v>5</v>
      </c>
      <c r="F2" s="50" t="s">
        <v>6</v>
      </c>
      <c r="G2" s="50" t="s">
        <v>7</v>
      </c>
      <c r="H2" s="50" t="s">
        <v>8</v>
      </c>
      <c r="I2" s="50" t="s">
        <v>9</v>
      </c>
      <c r="J2" s="54" t="s">
        <v>10</v>
      </c>
      <c r="K2" s="50" t="s">
        <v>11</v>
      </c>
      <c r="L2" s="50" t="s">
        <v>12</v>
      </c>
      <c r="M2" s="50" t="s">
        <v>13</v>
      </c>
      <c r="N2" s="55" t="s">
        <v>14</v>
      </c>
      <c r="O2" s="56" t="s">
        <v>15</v>
      </c>
      <c r="P2" s="57" t="s">
        <v>16</v>
      </c>
      <c r="Q2" s="52" t="s">
        <v>17</v>
      </c>
      <c r="R2" s="50" t="s">
        <v>18</v>
      </c>
      <c r="S2" s="51" t="s">
        <v>19</v>
      </c>
      <c r="T2" s="50" t="s">
        <v>20</v>
      </c>
      <c r="U2" s="50" t="s">
        <v>21</v>
      </c>
      <c r="V2" s="58" t="s">
        <v>22</v>
      </c>
      <c r="W2" s="50" t="s">
        <v>23</v>
      </c>
      <c r="X2" s="50" t="s">
        <v>24</v>
      </c>
    </row>
    <row r="3" s="17" customFormat="1" ht="24" spans="1:24">
      <c r="A3" s="59">
        <v>182</v>
      </c>
      <c r="B3" s="60" t="s">
        <v>26</v>
      </c>
      <c r="C3" s="61">
        <v>42370</v>
      </c>
      <c r="D3" s="62" t="str">
        <f ca="1" t="shared" ref="D3:D66" si="0">IF(TODAY()-E3&lt;60,"2个月内",IF(TODAY()-E3&lt;180,"3-6个月",IF(TODAY()-E3&lt;360,"6个月-1年","一年以上")))</f>
        <v>一年以上</v>
      </c>
      <c r="E3" s="59"/>
      <c r="F3" s="59"/>
      <c r="G3" s="59"/>
      <c r="H3" s="63" t="s">
        <v>27</v>
      </c>
      <c r="I3" s="63" t="s">
        <v>27</v>
      </c>
      <c r="J3" s="64">
        <v>1000</v>
      </c>
      <c r="K3" s="59" t="s">
        <v>28</v>
      </c>
      <c r="L3" s="59" t="s">
        <v>29</v>
      </c>
      <c r="M3" s="59" t="s">
        <v>30</v>
      </c>
      <c r="N3" s="65"/>
      <c r="O3" s="65">
        <f t="shared" ref="O3:O10" si="1">J3-N3</f>
        <v>1000</v>
      </c>
      <c r="P3" s="66"/>
      <c r="Q3" s="61">
        <f t="shared" ref="Q3:Q66" si="2">P3</f>
        <v>0</v>
      </c>
      <c r="R3" s="67" t="s">
        <v>31</v>
      </c>
      <c r="S3" s="59"/>
      <c r="T3" s="59" t="s">
        <v>32</v>
      </c>
      <c r="U3" s="59" t="str">
        <f>VLOOKUP(T3,[1]区域划分!$A$1:$C$39,3,0)</f>
        <v>方渊</v>
      </c>
      <c r="V3" s="59"/>
      <c r="W3" s="68"/>
      <c r="X3" s="68"/>
    </row>
    <row r="4" s="17" customFormat="1" hidden="1" spans="1:24">
      <c r="A4" s="59">
        <v>183</v>
      </c>
      <c r="B4" s="60" t="s">
        <v>33</v>
      </c>
      <c r="C4" s="61">
        <v>42370</v>
      </c>
      <c r="D4" s="62" t="str">
        <f ca="1" t="shared" si="0"/>
        <v>一年以上</v>
      </c>
      <c r="E4" s="59"/>
      <c r="F4" s="59"/>
      <c r="G4" s="59"/>
      <c r="H4" s="63" t="s">
        <v>34</v>
      </c>
      <c r="I4" s="63" t="s">
        <v>34</v>
      </c>
      <c r="J4" s="64">
        <v>50000</v>
      </c>
      <c r="K4" s="59"/>
      <c r="L4" s="59" t="s">
        <v>29</v>
      </c>
      <c r="M4" s="59" t="s">
        <v>30</v>
      </c>
      <c r="N4" s="65">
        <v>50000</v>
      </c>
      <c r="O4" s="65">
        <f t="shared" si="1"/>
        <v>0</v>
      </c>
      <c r="P4" s="66">
        <v>44155</v>
      </c>
      <c r="Q4" s="61">
        <f t="shared" si="2"/>
        <v>44155</v>
      </c>
      <c r="R4" s="59"/>
      <c r="S4" s="59"/>
      <c r="T4" s="59"/>
      <c r="U4" s="59"/>
      <c r="V4" s="59"/>
      <c r="W4" s="68"/>
      <c r="X4" s="68"/>
    </row>
    <row r="5" s="17" customFormat="1" ht="24" spans="1:24">
      <c r="A5" s="59">
        <v>184</v>
      </c>
      <c r="B5" s="60" t="s">
        <v>35</v>
      </c>
      <c r="C5" s="61">
        <v>42370</v>
      </c>
      <c r="D5" s="62" t="str">
        <f ca="1" t="shared" si="0"/>
        <v>一年以上</v>
      </c>
      <c r="E5" s="59"/>
      <c r="F5" s="59"/>
      <c r="G5" s="59"/>
      <c r="H5" s="63" t="s">
        <v>36</v>
      </c>
      <c r="I5" s="63" t="s">
        <v>36</v>
      </c>
      <c r="J5" s="64">
        <v>3000</v>
      </c>
      <c r="K5" s="59" t="s">
        <v>28</v>
      </c>
      <c r="L5" s="59" t="s">
        <v>29</v>
      </c>
      <c r="M5" s="59" t="s">
        <v>30</v>
      </c>
      <c r="N5" s="65"/>
      <c r="O5" s="65">
        <f t="shared" si="1"/>
        <v>3000</v>
      </c>
      <c r="P5" s="66"/>
      <c r="Q5" s="61">
        <f t="shared" si="2"/>
        <v>0</v>
      </c>
      <c r="R5" s="59"/>
      <c r="S5" s="59" t="s">
        <v>37</v>
      </c>
      <c r="T5" s="59" t="s">
        <v>38</v>
      </c>
      <c r="U5" s="59" t="str">
        <f>VLOOKUP(T5,[1]区域划分!$A$1:$C$39,3,0)</f>
        <v>方渊</v>
      </c>
      <c r="V5" s="59"/>
      <c r="W5" s="68"/>
      <c r="X5" s="68"/>
    </row>
    <row r="6" s="17" customFormat="1" ht="72" spans="1:24">
      <c r="A6" s="59">
        <v>186</v>
      </c>
      <c r="B6" s="60" t="s">
        <v>39</v>
      </c>
      <c r="C6" s="61">
        <v>42370</v>
      </c>
      <c r="D6" s="62" t="str">
        <f ca="1" t="shared" si="0"/>
        <v>一年以上</v>
      </c>
      <c r="E6" s="59"/>
      <c r="F6" s="59"/>
      <c r="G6" s="59"/>
      <c r="H6" s="63" t="s">
        <v>40</v>
      </c>
      <c r="I6" s="63" t="s">
        <v>41</v>
      </c>
      <c r="J6" s="64">
        <v>3800</v>
      </c>
      <c r="K6" s="59" t="s">
        <v>28</v>
      </c>
      <c r="L6" s="59" t="s">
        <v>29</v>
      </c>
      <c r="M6" s="59" t="s">
        <v>30</v>
      </c>
      <c r="N6" s="65"/>
      <c r="O6" s="69">
        <f t="shared" si="1"/>
        <v>3800</v>
      </c>
      <c r="P6" s="66"/>
      <c r="Q6" s="61">
        <f t="shared" si="2"/>
        <v>0</v>
      </c>
      <c r="R6" s="60" t="s">
        <v>42</v>
      </c>
      <c r="S6" s="59" t="s">
        <v>43</v>
      </c>
      <c r="T6" s="59" t="s">
        <v>44</v>
      </c>
      <c r="U6" s="59" t="str">
        <f>VLOOKUP(T6,[1]区域划分!$A$1:$C$39,3,0)</f>
        <v>殷坤鹏</v>
      </c>
      <c r="V6" s="59" t="s">
        <v>45</v>
      </c>
      <c r="W6" s="68"/>
      <c r="X6" s="68"/>
    </row>
    <row r="7" s="17" customFormat="1" ht="24" spans="1:24">
      <c r="A7" s="59">
        <v>187</v>
      </c>
      <c r="B7" s="60" t="s">
        <v>46</v>
      </c>
      <c r="C7" s="61">
        <v>42370</v>
      </c>
      <c r="D7" s="62" t="str">
        <f ca="1" t="shared" si="0"/>
        <v>一年以上</v>
      </c>
      <c r="E7" s="59"/>
      <c r="F7" s="59"/>
      <c r="G7" s="59"/>
      <c r="H7" s="63" t="s">
        <v>47</v>
      </c>
      <c r="I7" s="63" t="s">
        <v>47</v>
      </c>
      <c r="J7" s="64">
        <v>20000</v>
      </c>
      <c r="K7" s="59" t="s">
        <v>28</v>
      </c>
      <c r="L7" s="59" t="s">
        <v>29</v>
      </c>
      <c r="M7" s="59" t="s">
        <v>30</v>
      </c>
      <c r="N7" s="65"/>
      <c r="O7" s="65">
        <f t="shared" si="1"/>
        <v>20000</v>
      </c>
      <c r="P7" s="66"/>
      <c r="Q7" s="61">
        <f t="shared" si="2"/>
        <v>0</v>
      </c>
      <c r="R7" s="59" t="s">
        <v>48</v>
      </c>
      <c r="S7" s="59" t="s">
        <v>48</v>
      </c>
      <c r="T7" s="59" t="s">
        <v>49</v>
      </c>
      <c r="U7" s="59" t="str">
        <f>VLOOKUP(T7,[1]区域划分!$A$1:$C$39,3,0)</f>
        <v>龚运谱</v>
      </c>
      <c r="V7" s="59"/>
      <c r="W7" s="68"/>
      <c r="X7" s="68"/>
    </row>
    <row r="8" s="17" customFormat="1" ht="24" hidden="1" spans="1:24">
      <c r="A8" s="59">
        <v>188</v>
      </c>
      <c r="B8" s="60" t="s">
        <v>50</v>
      </c>
      <c r="C8" s="61">
        <v>42370</v>
      </c>
      <c r="D8" s="62" t="str">
        <f ca="1" t="shared" si="0"/>
        <v>一年以上</v>
      </c>
      <c r="E8" s="59"/>
      <c r="F8" s="59"/>
      <c r="G8" s="59"/>
      <c r="H8" s="63" t="s">
        <v>51</v>
      </c>
      <c r="I8" s="63" t="s">
        <v>51</v>
      </c>
      <c r="J8" s="64">
        <v>300</v>
      </c>
      <c r="K8" s="59"/>
      <c r="L8" s="59" t="s">
        <v>29</v>
      </c>
      <c r="M8" s="59" t="s">
        <v>30</v>
      </c>
      <c r="N8" s="65">
        <v>300</v>
      </c>
      <c r="O8" s="65">
        <f t="shared" si="1"/>
        <v>0</v>
      </c>
      <c r="P8" s="66">
        <v>44728</v>
      </c>
      <c r="Q8" s="61">
        <f t="shared" si="2"/>
        <v>44728</v>
      </c>
      <c r="R8" s="59"/>
      <c r="S8" s="59" t="s">
        <v>52</v>
      </c>
      <c r="T8" s="59"/>
      <c r="U8" s="59"/>
      <c r="V8" s="59"/>
      <c r="W8" s="68"/>
      <c r="X8" s="68"/>
    </row>
    <row r="9" s="17" customFormat="1" ht="72" spans="1:24">
      <c r="A9" s="59">
        <v>185</v>
      </c>
      <c r="B9" s="60" t="s">
        <v>53</v>
      </c>
      <c r="C9" s="61">
        <v>42370</v>
      </c>
      <c r="D9" s="62" t="str">
        <f ca="1" t="shared" si="0"/>
        <v>一年以上</v>
      </c>
      <c r="E9" s="66">
        <v>42390</v>
      </c>
      <c r="F9" s="59"/>
      <c r="G9" s="59" t="s">
        <v>54</v>
      </c>
      <c r="H9" s="63" t="s">
        <v>55</v>
      </c>
      <c r="I9" s="63" t="s">
        <v>56</v>
      </c>
      <c r="J9" s="64">
        <v>20000</v>
      </c>
      <c r="K9" s="59" t="s">
        <v>28</v>
      </c>
      <c r="L9" s="59" t="s">
        <v>57</v>
      </c>
      <c r="M9" s="59" t="s">
        <v>30</v>
      </c>
      <c r="N9" s="65"/>
      <c r="O9" s="70">
        <f t="shared" si="1"/>
        <v>20000</v>
      </c>
      <c r="P9" s="66"/>
      <c r="Q9" s="61">
        <f t="shared" si="2"/>
        <v>0</v>
      </c>
      <c r="R9" s="59" t="s">
        <v>42</v>
      </c>
      <c r="S9" s="59" t="s">
        <v>58</v>
      </c>
      <c r="T9" s="59" t="s">
        <v>44</v>
      </c>
      <c r="U9" s="59" t="str">
        <f>VLOOKUP(T9,[1]区域划分!$A$1:$C$39,3,0)</f>
        <v>殷坤鹏</v>
      </c>
      <c r="V9" s="59" t="s">
        <v>45</v>
      </c>
      <c r="W9" s="68"/>
      <c r="X9" s="68"/>
    </row>
    <row r="10" s="19" customFormat="1" ht="24" spans="1:24">
      <c r="A10" s="59">
        <v>189</v>
      </c>
      <c r="B10" s="60" t="s">
        <v>59</v>
      </c>
      <c r="C10" s="61">
        <v>42370</v>
      </c>
      <c r="D10" s="62" t="str">
        <f ca="1" t="shared" si="0"/>
        <v>一年以上</v>
      </c>
      <c r="E10" s="66">
        <v>42400</v>
      </c>
      <c r="F10" s="66"/>
      <c r="G10" s="59"/>
      <c r="H10" s="60" t="s">
        <v>60</v>
      </c>
      <c r="I10" s="63" t="s">
        <v>60</v>
      </c>
      <c r="J10" s="71">
        <v>10000</v>
      </c>
      <c r="K10" s="59" t="s">
        <v>28</v>
      </c>
      <c r="L10" s="59" t="s">
        <v>61</v>
      </c>
      <c r="M10" s="59" t="s">
        <v>30</v>
      </c>
      <c r="N10" s="65"/>
      <c r="O10" s="65">
        <f t="shared" si="1"/>
        <v>10000</v>
      </c>
      <c r="P10" s="66"/>
      <c r="Q10" s="61">
        <f t="shared" si="2"/>
        <v>0</v>
      </c>
      <c r="R10" s="59" t="s">
        <v>62</v>
      </c>
      <c r="S10" s="72" t="s">
        <v>63</v>
      </c>
      <c r="T10" s="59" t="s">
        <v>49</v>
      </c>
      <c r="U10" s="59" t="str">
        <f>VLOOKUP(T10,[1]区域划分!$A$1:$C$39,3,0)</f>
        <v>龚运谱</v>
      </c>
      <c r="V10" s="59"/>
      <c r="W10" s="73"/>
      <c r="X10" s="73"/>
    </row>
    <row r="11" s="17" customFormat="1" spans="1:24">
      <c r="A11" s="59">
        <v>1</v>
      </c>
      <c r="B11" s="60" t="s">
        <v>64</v>
      </c>
      <c r="C11" s="61">
        <v>42887</v>
      </c>
      <c r="D11" s="62" t="str">
        <f ca="1" t="shared" si="0"/>
        <v>一年以上</v>
      </c>
      <c r="E11" s="61">
        <v>42887</v>
      </c>
      <c r="F11" s="59"/>
      <c r="G11" s="59"/>
      <c r="H11" s="371" t="s">
        <v>60</v>
      </c>
      <c r="I11" s="63" t="s">
        <v>60</v>
      </c>
      <c r="J11" s="64">
        <v>10000</v>
      </c>
      <c r="K11" s="59" t="s">
        <v>28</v>
      </c>
      <c r="L11" s="59" t="s">
        <v>61</v>
      </c>
      <c r="M11" s="59" t="s">
        <v>65</v>
      </c>
      <c r="N11" s="65"/>
      <c r="O11" s="65">
        <v>10000</v>
      </c>
      <c r="P11" s="66"/>
      <c r="Q11" s="61">
        <f t="shared" si="2"/>
        <v>0</v>
      </c>
      <c r="R11" s="59"/>
      <c r="S11" s="59"/>
      <c r="T11" s="59" t="s">
        <v>49</v>
      </c>
      <c r="U11" s="59" t="str">
        <f>VLOOKUP(T11,[1]区域划分!$A$1:$C$39,3,0)</f>
        <v>龚运谱</v>
      </c>
      <c r="V11" s="59"/>
      <c r="W11" s="68"/>
      <c r="X11" s="68"/>
    </row>
    <row r="12" s="20" customFormat="1" ht="24" spans="1:24">
      <c r="A12" s="59">
        <v>190</v>
      </c>
      <c r="B12" s="60" t="s">
        <v>67</v>
      </c>
      <c r="C12" s="61">
        <v>43466</v>
      </c>
      <c r="D12" s="62" t="str">
        <f ca="1" t="shared" si="0"/>
        <v>一年以上</v>
      </c>
      <c r="E12" s="66">
        <v>43475</v>
      </c>
      <c r="F12" s="66"/>
      <c r="G12" s="59" t="s">
        <v>68</v>
      </c>
      <c r="H12" s="60" t="s">
        <v>60</v>
      </c>
      <c r="I12" s="63" t="s">
        <v>60</v>
      </c>
      <c r="J12" s="71">
        <v>50000</v>
      </c>
      <c r="K12" s="59" t="s">
        <v>28</v>
      </c>
      <c r="L12" s="59" t="s">
        <v>61</v>
      </c>
      <c r="M12" s="59" t="s">
        <v>30</v>
      </c>
      <c r="N12" s="65"/>
      <c r="O12" s="65">
        <f>J12-N12</f>
        <v>50000</v>
      </c>
      <c r="P12" s="66"/>
      <c r="Q12" s="61">
        <f t="shared" si="2"/>
        <v>0</v>
      </c>
      <c r="R12" s="59" t="s">
        <v>62</v>
      </c>
      <c r="S12" s="72" t="s">
        <v>63</v>
      </c>
      <c r="T12" s="59" t="s">
        <v>49</v>
      </c>
      <c r="U12" s="59" t="str">
        <f>VLOOKUP(T12,[1]区域划分!$A$1:$C$39,3,0)</f>
        <v>龚运谱</v>
      </c>
      <c r="V12" s="59"/>
      <c r="W12" s="59"/>
      <c r="X12" s="59"/>
    </row>
    <row r="13" s="17" customFormat="1" ht="24" hidden="1" spans="1:24">
      <c r="A13" s="59">
        <v>5</v>
      </c>
      <c r="B13" s="60" t="s">
        <v>69</v>
      </c>
      <c r="C13" s="61">
        <v>43101</v>
      </c>
      <c r="D13" s="62" t="str">
        <f ca="1" t="shared" si="0"/>
        <v>一年以上</v>
      </c>
      <c r="E13" s="66">
        <v>43113</v>
      </c>
      <c r="F13" s="66" t="s">
        <v>70</v>
      </c>
      <c r="G13" s="59" t="s">
        <v>71</v>
      </c>
      <c r="H13" s="60" t="s">
        <v>72</v>
      </c>
      <c r="I13" s="63" t="s">
        <v>72</v>
      </c>
      <c r="J13" s="71">
        <v>2000</v>
      </c>
      <c r="K13" s="59"/>
      <c r="L13" s="59" t="s">
        <v>73</v>
      </c>
      <c r="M13" s="59" t="s">
        <v>65</v>
      </c>
      <c r="N13" s="65">
        <v>2000</v>
      </c>
      <c r="O13" s="65">
        <f>J13-N13</f>
        <v>0</v>
      </c>
      <c r="P13" s="66">
        <v>44099</v>
      </c>
      <c r="Q13" s="61">
        <f t="shared" si="2"/>
        <v>44099</v>
      </c>
      <c r="R13" s="66"/>
      <c r="S13" s="59" t="s">
        <v>74</v>
      </c>
      <c r="T13" s="59"/>
      <c r="U13" s="59"/>
      <c r="V13" s="59"/>
      <c r="W13" s="68"/>
      <c r="X13" s="68"/>
    </row>
    <row r="14" s="17" customFormat="1" ht="48" spans="1:24">
      <c r="A14" s="59">
        <v>2</v>
      </c>
      <c r="B14" s="60" t="s">
        <v>75</v>
      </c>
      <c r="C14" s="61">
        <v>43101</v>
      </c>
      <c r="D14" s="62" t="str">
        <f ca="1" t="shared" si="0"/>
        <v>一年以上</v>
      </c>
      <c r="E14" s="66">
        <v>43124</v>
      </c>
      <c r="F14" s="59"/>
      <c r="G14" s="59" t="s">
        <v>76</v>
      </c>
      <c r="H14" s="74" t="s">
        <v>77</v>
      </c>
      <c r="I14" s="63" t="s">
        <v>77</v>
      </c>
      <c r="J14" s="64">
        <v>7000</v>
      </c>
      <c r="K14" s="59" t="s">
        <v>28</v>
      </c>
      <c r="L14" s="59"/>
      <c r="M14" s="59" t="s">
        <v>65</v>
      </c>
      <c r="N14" s="65"/>
      <c r="O14" s="65">
        <v>7000</v>
      </c>
      <c r="P14" s="66"/>
      <c r="Q14" s="61">
        <f t="shared" si="2"/>
        <v>0</v>
      </c>
      <c r="R14" s="60" t="s">
        <v>78</v>
      </c>
      <c r="S14" s="59" t="s">
        <v>79</v>
      </c>
      <c r="T14" s="59" t="s">
        <v>80</v>
      </c>
      <c r="U14" s="59" t="str">
        <f>VLOOKUP(T14,[1]区域划分!$A$1:$C$39,3,0)</f>
        <v>殷坤鹏</v>
      </c>
      <c r="V14" s="59"/>
      <c r="W14" s="68"/>
      <c r="X14" s="68"/>
    </row>
    <row r="15" s="17" customFormat="1" ht="24" hidden="1" spans="1:24">
      <c r="A15" s="59">
        <v>10</v>
      </c>
      <c r="B15" s="60" t="s">
        <v>81</v>
      </c>
      <c r="C15" s="61">
        <v>43252</v>
      </c>
      <c r="D15" s="62" t="str">
        <f ca="1" t="shared" si="0"/>
        <v>一年以上</v>
      </c>
      <c r="E15" s="66">
        <v>43255</v>
      </c>
      <c r="F15" s="66" t="s">
        <v>82</v>
      </c>
      <c r="G15" s="59" t="s">
        <v>83</v>
      </c>
      <c r="H15" s="60" t="s">
        <v>84</v>
      </c>
      <c r="I15" s="63" t="s">
        <v>84</v>
      </c>
      <c r="J15" s="71">
        <v>15000</v>
      </c>
      <c r="K15" s="59" t="s">
        <v>28</v>
      </c>
      <c r="L15" s="59" t="s">
        <v>57</v>
      </c>
      <c r="M15" s="59" t="s">
        <v>65</v>
      </c>
      <c r="N15" s="65">
        <v>15000</v>
      </c>
      <c r="O15" s="65">
        <f t="shared" ref="O15:O78" si="3">J15-N15</f>
        <v>0</v>
      </c>
      <c r="P15" s="66">
        <v>44936</v>
      </c>
      <c r="Q15" s="61">
        <f t="shared" si="2"/>
        <v>44936</v>
      </c>
      <c r="R15" s="59"/>
      <c r="S15" s="59" t="s">
        <v>85</v>
      </c>
      <c r="T15" s="59" t="s">
        <v>86</v>
      </c>
      <c r="U15" s="59" t="s">
        <v>87</v>
      </c>
      <c r="V15" s="59"/>
      <c r="W15" s="68"/>
      <c r="X15" s="68"/>
    </row>
    <row r="16" s="17" customFormat="1" hidden="1" spans="1:24">
      <c r="A16" s="59">
        <v>15</v>
      </c>
      <c r="B16" s="60" t="s">
        <v>88</v>
      </c>
      <c r="C16" s="61">
        <v>43313</v>
      </c>
      <c r="D16" s="62" t="str">
        <f ca="1" t="shared" si="0"/>
        <v>一年以上</v>
      </c>
      <c r="E16" s="66">
        <v>43330</v>
      </c>
      <c r="F16" s="66" t="s">
        <v>70</v>
      </c>
      <c r="G16" s="59" t="s">
        <v>89</v>
      </c>
      <c r="H16" s="60" t="s">
        <v>90</v>
      </c>
      <c r="I16" s="63" t="s">
        <v>90</v>
      </c>
      <c r="J16" s="71">
        <v>2000</v>
      </c>
      <c r="K16" s="59"/>
      <c r="L16" s="59" t="s">
        <v>73</v>
      </c>
      <c r="M16" s="59" t="s">
        <v>65</v>
      </c>
      <c r="N16" s="65">
        <v>2000</v>
      </c>
      <c r="O16" s="65">
        <f t="shared" si="3"/>
        <v>0</v>
      </c>
      <c r="P16" s="66">
        <v>43707</v>
      </c>
      <c r="Q16" s="61">
        <f t="shared" si="2"/>
        <v>43707</v>
      </c>
      <c r="R16" s="66"/>
      <c r="S16" s="59"/>
      <c r="T16" s="59"/>
      <c r="U16" s="59"/>
      <c r="V16" s="59"/>
      <c r="W16" s="68"/>
      <c r="X16" s="68"/>
    </row>
    <row r="17" s="17" customFormat="1" ht="24" hidden="1" spans="1:24">
      <c r="A17" s="59">
        <v>6</v>
      </c>
      <c r="B17" s="60" t="s">
        <v>91</v>
      </c>
      <c r="C17" s="61">
        <v>43374</v>
      </c>
      <c r="D17" s="62" t="str">
        <f ca="1" t="shared" si="0"/>
        <v>一年以上</v>
      </c>
      <c r="E17" s="66">
        <v>43393</v>
      </c>
      <c r="F17" s="66" t="s">
        <v>70</v>
      </c>
      <c r="G17" s="59" t="s">
        <v>92</v>
      </c>
      <c r="H17" s="60" t="s">
        <v>93</v>
      </c>
      <c r="I17" s="63" t="s">
        <v>93</v>
      </c>
      <c r="J17" s="71">
        <v>3000</v>
      </c>
      <c r="K17" s="59"/>
      <c r="L17" s="59" t="s">
        <v>73</v>
      </c>
      <c r="M17" s="59" t="s">
        <v>65</v>
      </c>
      <c r="N17" s="65">
        <v>3000</v>
      </c>
      <c r="O17" s="65">
        <f t="shared" si="3"/>
        <v>0</v>
      </c>
      <c r="P17" s="66">
        <v>44126</v>
      </c>
      <c r="Q17" s="61">
        <f t="shared" si="2"/>
        <v>44126</v>
      </c>
      <c r="R17" s="66"/>
      <c r="S17" s="59" t="s">
        <v>94</v>
      </c>
      <c r="T17" s="59"/>
      <c r="U17" s="59"/>
      <c r="V17" s="59"/>
      <c r="W17" s="68"/>
      <c r="X17" s="68"/>
    </row>
    <row r="18" s="20" customFormat="1" hidden="1" spans="1:24">
      <c r="A18" s="59">
        <v>19</v>
      </c>
      <c r="B18" s="60" t="s">
        <v>95</v>
      </c>
      <c r="C18" s="61">
        <v>43374</v>
      </c>
      <c r="D18" s="62" t="str">
        <f ca="1" t="shared" si="0"/>
        <v>一年以上</v>
      </c>
      <c r="E18" s="66">
        <v>43404</v>
      </c>
      <c r="F18" s="66" t="s">
        <v>70</v>
      </c>
      <c r="G18" s="59" t="s">
        <v>76</v>
      </c>
      <c r="H18" s="60" t="s">
        <v>77</v>
      </c>
      <c r="I18" s="63" t="s">
        <v>77</v>
      </c>
      <c r="J18" s="71">
        <v>7000</v>
      </c>
      <c r="K18" s="59"/>
      <c r="L18" s="59" t="s">
        <v>96</v>
      </c>
      <c r="M18" s="59" t="s">
        <v>65</v>
      </c>
      <c r="N18" s="65">
        <v>7000</v>
      </c>
      <c r="O18" s="65">
        <f t="shared" si="3"/>
        <v>0</v>
      </c>
      <c r="P18" s="66">
        <v>43480</v>
      </c>
      <c r="Q18" s="61">
        <f t="shared" si="2"/>
        <v>43480</v>
      </c>
      <c r="R18" s="66"/>
      <c r="S18" s="59"/>
      <c r="T18" s="59"/>
      <c r="U18" s="59"/>
      <c r="V18" s="59"/>
      <c r="W18" s="59"/>
      <c r="X18" s="59"/>
    </row>
    <row r="19" s="20" customFormat="1" ht="24" hidden="1" spans="1:24">
      <c r="A19" s="59">
        <v>3</v>
      </c>
      <c r="B19" s="60" t="s">
        <v>97</v>
      </c>
      <c r="C19" s="61">
        <v>43405</v>
      </c>
      <c r="D19" s="62" t="str">
        <f ca="1" t="shared" si="0"/>
        <v>一年以上</v>
      </c>
      <c r="E19" s="66">
        <v>43414</v>
      </c>
      <c r="F19" s="66" t="s">
        <v>70</v>
      </c>
      <c r="G19" s="59" t="s">
        <v>76</v>
      </c>
      <c r="H19" s="60" t="s">
        <v>98</v>
      </c>
      <c r="I19" s="63" t="s">
        <v>98</v>
      </c>
      <c r="J19" s="71">
        <f>20000</f>
        <v>20000</v>
      </c>
      <c r="K19" s="59" t="s">
        <v>28</v>
      </c>
      <c r="L19" s="59" t="s">
        <v>73</v>
      </c>
      <c r="M19" s="59" t="s">
        <v>65</v>
      </c>
      <c r="N19" s="65">
        <v>20000</v>
      </c>
      <c r="O19" s="65">
        <f t="shared" si="3"/>
        <v>0</v>
      </c>
      <c r="P19" s="66"/>
      <c r="Q19" s="61">
        <f t="shared" si="2"/>
        <v>0</v>
      </c>
      <c r="R19" s="66"/>
      <c r="S19" s="59" t="s">
        <v>99</v>
      </c>
      <c r="T19" s="59"/>
      <c r="U19" s="59"/>
      <c r="V19" s="59"/>
      <c r="W19" s="59"/>
      <c r="X19" s="59"/>
    </row>
    <row r="20" s="20" customFormat="1" ht="24" hidden="1" spans="1:24">
      <c r="A20" s="59">
        <v>4</v>
      </c>
      <c r="B20" s="60" t="s">
        <v>100</v>
      </c>
      <c r="C20" s="61">
        <v>43435</v>
      </c>
      <c r="D20" s="62" t="str">
        <f ca="1" t="shared" si="0"/>
        <v>一年以上</v>
      </c>
      <c r="E20" s="66">
        <v>43446</v>
      </c>
      <c r="F20" s="66" t="s">
        <v>70</v>
      </c>
      <c r="G20" s="59" t="s">
        <v>101</v>
      </c>
      <c r="H20" s="60" t="s">
        <v>102</v>
      </c>
      <c r="I20" s="63" t="s">
        <v>102</v>
      </c>
      <c r="J20" s="71">
        <v>8000</v>
      </c>
      <c r="K20" s="59"/>
      <c r="L20" s="59" t="s">
        <v>73</v>
      </c>
      <c r="M20" s="59" t="s">
        <v>65</v>
      </c>
      <c r="N20" s="65">
        <v>8000</v>
      </c>
      <c r="O20" s="65">
        <f t="shared" si="3"/>
        <v>0</v>
      </c>
      <c r="P20" s="66">
        <v>43609</v>
      </c>
      <c r="Q20" s="61">
        <f t="shared" si="2"/>
        <v>43609</v>
      </c>
      <c r="R20" s="66"/>
      <c r="S20" s="59"/>
      <c r="T20" s="59"/>
      <c r="U20" s="59"/>
      <c r="V20" s="59"/>
      <c r="W20" s="59"/>
      <c r="X20" s="59"/>
    </row>
    <row r="21" s="20" customFormat="1" ht="24" hidden="1" spans="1:24">
      <c r="A21" s="59">
        <v>12</v>
      </c>
      <c r="B21" s="60" t="s">
        <v>103</v>
      </c>
      <c r="C21" s="61">
        <v>43466</v>
      </c>
      <c r="D21" s="62" t="str">
        <f ca="1" t="shared" si="0"/>
        <v>一年以上</v>
      </c>
      <c r="E21" s="66">
        <v>43493</v>
      </c>
      <c r="F21" s="66" t="s">
        <v>70</v>
      </c>
      <c r="G21" s="59" t="s">
        <v>104</v>
      </c>
      <c r="H21" s="60" t="s">
        <v>105</v>
      </c>
      <c r="I21" s="63" t="s">
        <v>105</v>
      </c>
      <c r="J21" s="71">
        <v>10000</v>
      </c>
      <c r="K21" s="59"/>
      <c r="L21" s="59" t="s">
        <v>73</v>
      </c>
      <c r="M21" s="59" t="s">
        <v>65</v>
      </c>
      <c r="N21" s="65">
        <v>10000</v>
      </c>
      <c r="O21" s="65">
        <f t="shared" si="3"/>
        <v>0</v>
      </c>
      <c r="P21" s="66">
        <v>43664</v>
      </c>
      <c r="Q21" s="61">
        <f t="shared" si="2"/>
        <v>43664</v>
      </c>
      <c r="R21" s="66"/>
      <c r="S21" s="59"/>
      <c r="T21" s="59"/>
      <c r="U21" s="59"/>
      <c r="V21" s="59"/>
      <c r="W21" s="59"/>
      <c r="X21" s="59"/>
    </row>
    <row r="22" s="20" customFormat="1" hidden="1" spans="1:24">
      <c r="A22" s="59">
        <v>11</v>
      </c>
      <c r="B22" s="60" t="s">
        <v>106</v>
      </c>
      <c r="C22" s="61">
        <v>43497</v>
      </c>
      <c r="D22" s="62" t="str">
        <f ca="1" t="shared" si="0"/>
        <v>一年以上</v>
      </c>
      <c r="E22" s="66">
        <v>43511</v>
      </c>
      <c r="F22" s="66" t="s">
        <v>70</v>
      </c>
      <c r="G22" s="59" t="s">
        <v>83</v>
      </c>
      <c r="H22" s="60" t="s">
        <v>107</v>
      </c>
      <c r="I22" s="63" t="s">
        <v>107</v>
      </c>
      <c r="J22" s="71">
        <v>3000</v>
      </c>
      <c r="K22" s="59"/>
      <c r="L22" s="59" t="s">
        <v>73</v>
      </c>
      <c r="M22" s="59" t="s">
        <v>65</v>
      </c>
      <c r="N22" s="65">
        <v>3000</v>
      </c>
      <c r="O22" s="65">
        <f t="shared" si="3"/>
        <v>0</v>
      </c>
      <c r="P22" s="66">
        <v>43646</v>
      </c>
      <c r="Q22" s="61">
        <f t="shared" si="2"/>
        <v>43646</v>
      </c>
      <c r="R22" s="66"/>
      <c r="S22" s="59"/>
      <c r="T22" s="59"/>
      <c r="U22" s="59"/>
      <c r="V22" s="59"/>
      <c r="W22" s="59"/>
      <c r="X22" s="59"/>
    </row>
    <row r="23" s="20" customFormat="1" ht="24" hidden="1" spans="1:24">
      <c r="A23" s="59">
        <v>8</v>
      </c>
      <c r="B23" s="60" t="s">
        <v>108</v>
      </c>
      <c r="C23" s="61">
        <v>43497</v>
      </c>
      <c r="D23" s="62" t="str">
        <f ca="1" t="shared" si="0"/>
        <v>一年以上</v>
      </c>
      <c r="E23" s="66">
        <v>43516</v>
      </c>
      <c r="F23" s="66" t="s">
        <v>70</v>
      </c>
      <c r="G23" s="59" t="s">
        <v>109</v>
      </c>
      <c r="H23" s="60" t="s">
        <v>110</v>
      </c>
      <c r="I23" s="63" t="s">
        <v>110</v>
      </c>
      <c r="J23" s="71">
        <v>1000</v>
      </c>
      <c r="K23" s="59"/>
      <c r="L23" s="59" t="s">
        <v>73</v>
      </c>
      <c r="M23" s="59" t="s">
        <v>65</v>
      </c>
      <c r="N23" s="65">
        <v>1000</v>
      </c>
      <c r="O23" s="65">
        <f t="shared" si="3"/>
        <v>0</v>
      </c>
      <c r="P23" s="66">
        <v>43692</v>
      </c>
      <c r="Q23" s="61">
        <f t="shared" si="2"/>
        <v>43692</v>
      </c>
      <c r="R23" s="66"/>
      <c r="S23" s="59"/>
      <c r="T23" s="59"/>
      <c r="U23" s="59"/>
      <c r="V23" s="59"/>
      <c r="W23" s="59"/>
      <c r="X23" s="59"/>
    </row>
    <row r="24" s="20" customFormat="1" ht="24" hidden="1" spans="1:24">
      <c r="A24" s="59">
        <v>14</v>
      </c>
      <c r="B24" s="60" t="s">
        <v>111</v>
      </c>
      <c r="C24" s="61">
        <v>43525</v>
      </c>
      <c r="D24" s="62" t="str">
        <f ca="1" t="shared" si="0"/>
        <v>一年以上</v>
      </c>
      <c r="E24" s="66">
        <v>43526</v>
      </c>
      <c r="F24" s="66" t="s">
        <v>70</v>
      </c>
      <c r="G24" s="59" t="s">
        <v>112</v>
      </c>
      <c r="H24" s="60" t="s">
        <v>113</v>
      </c>
      <c r="I24" s="63" t="s">
        <v>113</v>
      </c>
      <c r="J24" s="71">
        <v>2000</v>
      </c>
      <c r="K24" s="59"/>
      <c r="L24" s="59" t="s">
        <v>73</v>
      </c>
      <c r="M24" s="59" t="s">
        <v>65</v>
      </c>
      <c r="N24" s="65">
        <v>2000</v>
      </c>
      <c r="O24" s="65">
        <f t="shared" si="3"/>
        <v>0</v>
      </c>
      <c r="P24" s="66">
        <v>43698</v>
      </c>
      <c r="Q24" s="61">
        <f t="shared" si="2"/>
        <v>43698</v>
      </c>
      <c r="R24" s="66"/>
      <c r="S24" s="59"/>
      <c r="T24" s="59"/>
      <c r="U24" s="59"/>
      <c r="V24" s="59"/>
      <c r="W24" s="59"/>
      <c r="X24" s="59"/>
    </row>
    <row r="25" s="20" customFormat="1" ht="24" hidden="1" spans="1:24">
      <c r="A25" s="59">
        <v>13</v>
      </c>
      <c r="B25" s="60" t="s">
        <v>114</v>
      </c>
      <c r="C25" s="61">
        <v>43525</v>
      </c>
      <c r="D25" s="62" t="str">
        <f ca="1" t="shared" si="0"/>
        <v>一年以上</v>
      </c>
      <c r="E25" s="66">
        <v>43530</v>
      </c>
      <c r="F25" s="66" t="s">
        <v>70</v>
      </c>
      <c r="G25" s="59" t="s">
        <v>112</v>
      </c>
      <c r="H25" s="60" t="s">
        <v>115</v>
      </c>
      <c r="I25" s="63" t="s">
        <v>115</v>
      </c>
      <c r="J25" s="71">
        <v>3000</v>
      </c>
      <c r="K25" s="59"/>
      <c r="L25" s="59" t="s">
        <v>73</v>
      </c>
      <c r="M25" s="59" t="s">
        <v>65</v>
      </c>
      <c r="N25" s="65">
        <v>3000</v>
      </c>
      <c r="O25" s="65">
        <f t="shared" si="3"/>
        <v>0</v>
      </c>
      <c r="P25" s="66">
        <v>43700</v>
      </c>
      <c r="Q25" s="61">
        <f t="shared" si="2"/>
        <v>43700</v>
      </c>
      <c r="R25" s="66"/>
      <c r="S25" s="59"/>
      <c r="T25" s="59"/>
      <c r="U25" s="59"/>
      <c r="V25" s="59"/>
      <c r="W25" s="59"/>
      <c r="X25" s="59"/>
    </row>
    <row r="26" s="20" customFormat="1" ht="24" hidden="1" spans="1:24">
      <c r="A26" s="59">
        <v>9</v>
      </c>
      <c r="B26" s="60" t="s">
        <v>116</v>
      </c>
      <c r="C26" s="61">
        <v>43525</v>
      </c>
      <c r="D26" s="62" t="str">
        <f ca="1" t="shared" si="0"/>
        <v>一年以上</v>
      </c>
      <c r="E26" s="66">
        <v>43539</v>
      </c>
      <c r="F26" s="66" t="s">
        <v>70</v>
      </c>
      <c r="G26" s="59" t="s">
        <v>109</v>
      </c>
      <c r="H26" s="60" t="s">
        <v>117</v>
      </c>
      <c r="I26" s="63" t="s">
        <v>117</v>
      </c>
      <c r="J26" s="71">
        <v>10000</v>
      </c>
      <c r="K26" s="59"/>
      <c r="L26" s="59" t="s">
        <v>73</v>
      </c>
      <c r="M26" s="59" t="s">
        <v>65</v>
      </c>
      <c r="N26" s="65">
        <v>10000</v>
      </c>
      <c r="O26" s="65">
        <f t="shared" si="3"/>
        <v>0</v>
      </c>
      <c r="P26" s="66">
        <v>43613</v>
      </c>
      <c r="Q26" s="61">
        <f t="shared" si="2"/>
        <v>43613</v>
      </c>
      <c r="R26" s="66"/>
      <c r="S26" s="59"/>
      <c r="T26" s="59"/>
      <c r="U26" s="59"/>
      <c r="V26" s="59"/>
      <c r="W26" s="59"/>
      <c r="X26" s="59"/>
    </row>
    <row r="27" s="20" customFormat="1" hidden="1" spans="1:24">
      <c r="A27" s="59">
        <v>7</v>
      </c>
      <c r="B27" s="60" t="s">
        <v>118</v>
      </c>
      <c r="C27" s="61">
        <v>43556</v>
      </c>
      <c r="D27" s="62" t="str">
        <f ca="1" t="shared" si="0"/>
        <v>一年以上</v>
      </c>
      <c r="E27" s="66">
        <v>43557</v>
      </c>
      <c r="F27" s="66" t="s">
        <v>70</v>
      </c>
      <c r="G27" s="59" t="s">
        <v>119</v>
      </c>
      <c r="H27" s="60" t="s">
        <v>120</v>
      </c>
      <c r="I27" s="63" t="s">
        <v>120</v>
      </c>
      <c r="J27" s="71">
        <v>5000</v>
      </c>
      <c r="K27" s="59"/>
      <c r="L27" s="59" t="s">
        <v>73</v>
      </c>
      <c r="M27" s="59" t="s">
        <v>65</v>
      </c>
      <c r="N27" s="65">
        <v>5000</v>
      </c>
      <c r="O27" s="65">
        <f t="shared" si="3"/>
        <v>0</v>
      </c>
      <c r="P27" s="66">
        <v>43633</v>
      </c>
      <c r="Q27" s="61">
        <f t="shared" si="2"/>
        <v>43633</v>
      </c>
      <c r="R27" s="66"/>
      <c r="S27" s="59"/>
      <c r="T27" s="59"/>
      <c r="U27" s="59"/>
      <c r="V27" s="59"/>
      <c r="W27" s="59"/>
      <c r="X27" s="59"/>
    </row>
    <row r="28" s="20" customFormat="1" ht="24" hidden="1" spans="1:24">
      <c r="A28" s="59">
        <v>16</v>
      </c>
      <c r="B28" s="60" t="s">
        <v>121</v>
      </c>
      <c r="C28" s="61">
        <v>43556</v>
      </c>
      <c r="D28" s="62" t="str">
        <f ca="1" t="shared" si="0"/>
        <v>一年以上</v>
      </c>
      <c r="E28" s="66">
        <v>43560</v>
      </c>
      <c r="F28" s="66" t="s">
        <v>122</v>
      </c>
      <c r="G28" s="59" t="s">
        <v>68</v>
      </c>
      <c r="H28" s="60" t="s">
        <v>123</v>
      </c>
      <c r="I28" s="63" t="s">
        <v>123</v>
      </c>
      <c r="J28" s="71">
        <v>124500</v>
      </c>
      <c r="K28" s="59" t="s">
        <v>28</v>
      </c>
      <c r="L28" s="59" t="s">
        <v>57</v>
      </c>
      <c r="M28" s="59" t="s">
        <v>65</v>
      </c>
      <c r="N28" s="65">
        <v>124500</v>
      </c>
      <c r="O28" s="65">
        <f t="shared" si="3"/>
        <v>0</v>
      </c>
      <c r="P28" s="66">
        <v>44890</v>
      </c>
      <c r="Q28" s="61">
        <f t="shared" si="2"/>
        <v>44890</v>
      </c>
      <c r="R28" s="59"/>
      <c r="S28" s="59" t="s">
        <v>124</v>
      </c>
      <c r="T28" s="59" t="s">
        <v>49</v>
      </c>
      <c r="U28" s="59" t="s">
        <v>125</v>
      </c>
      <c r="V28" s="59" t="s">
        <v>126</v>
      </c>
      <c r="W28" s="59"/>
      <c r="X28" s="59"/>
    </row>
    <row r="29" s="20" customFormat="1" hidden="1" spans="1:24">
      <c r="A29" s="59">
        <v>194</v>
      </c>
      <c r="B29" s="60" t="s">
        <v>127</v>
      </c>
      <c r="C29" s="61">
        <v>43556</v>
      </c>
      <c r="D29" s="62" t="str">
        <f ca="1" t="shared" si="0"/>
        <v>一年以上</v>
      </c>
      <c r="E29" s="66">
        <v>43570</v>
      </c>
      <c r="F29" s="66"/>
      <c r="G29" s="59" t="s">
        <v>128</v>
      </c>
      <c r="H29" s="60" t="s">
        <v>90</v>
      </c>
      <c r="I29" s="63" t="s">
        <v>90</v>
      </c>
      <c r="J29" s="71">
        <v>10000</v>
      </c>
      <c r="K29" s="59"/>
      <c r="L29" s="59" t="s">
        <v>73</v>
      </c>
      <c r="M29" s="59" t="s">
        <v>30</v>
      </c>
      <c r="N29" s="65">
        <v>10000</v>
      </c>
      <c r="O29" s="65">
        <f t="shared" si="3"/>
        <v>0</v>
      </c>
      <c r="P29" s="66">
        <v>44064</v>
      </c>
      <c r="Q29" s="61">
        <f t="shared" si="2"/>
        <v>44064</v>
      </c>
      <c r="R29" s="59"/>
      <c r="S29" s="75" t="s">
        <v>62</v>
      </c>
      <c r="T29" s="59"/>
      <c r="U29" s="59"/>
      <c r="V29" s="59"/>
      <c r="W29" s="59"/>
      <c r="X29" s="59"/>
    </row>
    <row r="30" s="20" customFormat="1" ht="24" hidden="1" spans="1:24">
      <c r="A30" s="59">
        <v>343</v>
      </c>
      <c r="B30" s="60" t="s">
        <v>129</v>
      </c>
      <c r="C30" s="61">
        <v>43556</v>
      </c>
      <c r="D30" s="62" t="str">
        <f ca="1" t="shared" si="0"/>
        <v>一年以上</v>
      </c>
      <c r="E30" s="66">
        <v>43585</v>
      </c>
      <c r="F30" s="66" t="s">
        <v>130</v>
      </c>
      <c r="G30" s="59" t="s">
        <v>131</v>
      </c>
      <c r="H30" s="60" t="s">
        <v>132</v>
      </c>
      <c r="I30" s="63" t="s">
        <v>132</v>
      </c>
      <c r="J30" s="76">
        <v>10000</v>
      </c>
      <c r="K30" s="59"/>
      <c r="L30" s="59" t="s">
        <v>73</v>
      </c>
      <c r="M30" s="59" t="s">
        <v>133</v>
      </c>
      <c r="N30" s="65">
        <v>10000</v>
      </c>
      <c r="O30" s="65">
        <f t="shared" si="3"/>
        <v>0</v>
      </c>
      <c r="P30" s="66">
        <v>43938</v>
      </c>
      <c r="Q30" s="61">
        <f t="shared" si="2"/>
        <v>43938</v>
      </c>
      <c r="R30" s="59"/>
      <c r="S30" s="59" t="s">
        <v>133</v>
      </c>
      <c r="T30" s="59"/>
      <c r="U30" s="59"/>
      <c r="V30" s="59"/>
      <c r="W30" s="59"/>
      <c r="X30" s="59"/>
    </row>
    <row r="31" s="20" customFormat="1" ht="24" hidden="1" spans="1:24">
      <c r="A31" s="59">
        <v>17</v>
      </c>
      <c r="B31" s="60" t="s">
        <v>134</v>
      </c>
      <c r="C31" s="61">
        <v>43586</v>
      </c>
      <c r="D31" s="62" t="str">
        <f ca="1" t="shared" si="0"/>
        <v>一年以上</v>
      </c>
      <c r="E31" s="66">
        <v>43600</v>
      </c>
      <c r="F31" s="66" t="s">
        <v>70</v>
      </c>
      <c r="G31" s="59" t="s">
        <v>135</v>
      </c>
      <c r="H31" s="60" t="s">
        <v>136</v>
      </c>
      <c r="I31" s="63" t="s">
        <v>136</v>
      </c>
      <c r="J31" s="71">
        <v>3000</v>
      </c>
      <c r="K31" s="59"/>
      <c r="L31" s="59" t="s">
        <v>73</v>
      </c>
      <c r="M31" s="59" t="s">
        <v>65</v>
      </c>
      <c r="N31" s="65">
        <v>3000</v>
      </c>
      <c r="O31" s="65">
        <f t="shared" si="3"/>
        <v>0</v>
      </c>
      <c r="P31" s="66">
        <v>43824</v>
      </c>
      <c r="Q31" s="61">
        <f t="shared" si="2"/>
        <v>43824</v>
      </c>
      <c r="R31" s="66"/>
      <c r="S31" s="59"/>
      <c r="T31" s="59"/>
      <c r="U31" s="59"/>
      <c r="V31" s="59"/>
      <c r="W31" s="59"/>
      <c r="X31" s="59"/>
    </row>
    <row r="32" s="20" customFormat="1" ht="24" hidden="1" spans="1:24">
      <c r="A32" s="59">
        <v>18</v>
      </c>
      <c r="B32" s="60" t="s">
        <v>137</v>
      </c>
      <c r="C32" s="61">
        <v>43586</v>
      </c>
      <c r="D32" s="62" t="str">
        <f ca="1" t="shared" si="0"/>
        <v>一年以上</v>
      </c>
      <c r="E32" s="66">
        <v>43601</v>
      </c>
      <c r="F32" s="66" t="s">
        <v>70</v>
      </c>
      <c r="G32" s="59" t="s">
        <v>104</v>
      </c>
      <c r="H32" s="60" t="s">
        <v>138</v>
      </c>
      <c r="I32" s="63" t="s">
        <v>138</v>
      </c>
      <c r="J32" s="71">
        <v>3000</v>
      </c>
      <c r="K32" s="59"/>
      <c r="L32" s="59" t="s">
        <v>73</v>
      </c>
      <c r="M32" s="59" t="s">
        <v>65</v>
      </c>
      <c r="N32" s="65">
        <v>3000</v>
      </c>
      <c r="O32" s="65">
        <f t="shared" si="3"/>
        <v>0</v>
      </c>
      <c r="P32" s="66">
        <v>44484</v>
      </c>
      <c r="Q32" s="61">
        <f t="shared" si="2"/>
        <v>44484</v>
      </c>
      <c r="R32" s="66"/>
      <c r="S32" s="59"/>
      <c r="T32" s="59"/>
      <c r="U32" s="59"/>
      <c r="V32" s="59"/>
      <c r="W32" s="59"/>
      <c r="X32" s="59"/>
    </row>
    <row r="33" s="20" customFormat="1" hidden="1" spans="1:24">
      <c r="A33" s="59">
        <v>20</v>
      </c>
      <c r="B33" s="60" t="s">
        <v>139</v>
      </c>
      <c r="C33" s="61">
        <v>43586</v>
      </c>
      <c r="D33" s="62" t="str">
        <f ca="1" t="shared" si="0"/>
        <v>一年以上</v>
      </c>
      <c r="E33" s="66">
        <v>43601</v>
      </c>
      <c r="F33" s="66" t="s">
        <v>70</v>
      </c>
      <c r="G33" s="59" t="s">
        <v>140</v>
      </c>
      <c r="H33" s="60" t="s">
        <v>141</v>
      </c>
      <c r="I33" s="63" t="s">
        <v>141</v>
      </c>
      <c r="J33" s="71">
        <v>10000</v>
      </c>
      <c r="K33" s="59"/>
      <c r="L33" s="59" t="s">
        <v>73</v>
      </c>
      <c r="M33" s="59" t="s">
        <v>65</v>
      </c>
      <c r="N33" s="65">
        <v>10000</v>
      </c>
      <c r="O33" s="65">
        <f t="shared" si="3"/>
        <v>0</v>
      </c>
      <c r="P33" s="66">
        <v>43973</v>
      </c>
      <c r="Q33" s="61">
        <f t="shared" si="2"/>
        <v>43973</v>
      </c>
      <c r="R33" s="66"/>
      <c r="S33" s="59"/>
      <c r="T33" s="59"/>
      <c r="U33" s="59"/>
      <c r="V33" s="59"/>
      <c r="W33" s="59"/>
      <c r="X33" s="59"/>
    </row>
    <row r="34" s="20" customFormat="1" hidden="1" spans="1:24">
      <c r="A34" s="59">
        <v>21</v>
      </c>
      <c r="B34" s="60" t="s">
        <v>142</v>
      </c>
      <c r="C34" s="61">
        <v>43617</v>
      </c>
      <c r="D34" s="62" t="str">
        <f ca="1" t="shared" si="0"/>
        <v>一年以上</v>
      </c>
      <c r="E34" s="66">
        <v>43621</v>
      </c>
      <c r="F34" s="66" t="s">
        <v>70</v>
      </c>
      <c r="G34" s="59" t="s">
        <v>143</v>
      </c>
      <c r="H34" s="60" t="s">
        <v>144</v>
      </c>
      <c r="I34" s="63" t="s">
        <v>144</v>
      </c>
      <c r="J34" s="71">
        <v>2000</v>
      </c>
      <c r="K34" s="59"/>
      <c r="L34" s="59" t="s">
        <v>96</v>
      </c>
      <c r="M34" s="59" t="s">
        <v>65</v>
      </c>
      <c r="N34" s="65">
        <v>2000</v>
      </c>
      <c r="O34" s="65">
        <f t="shared" si="3"/>
        <v>0</v>
      </c>
      <c r="P34" s="66">
        <v>43676</v>
      </c>
      <c r="Q34" s="61">
        <f t="shared" si="2"/>
        <v>43676</v>
      </c>
      <c r="R34" s="66"/>
      <c r="S34" s="59"/>
      <c r="T34" s="59"/>
      <c r="U34" s="59"/>
      <c r="V34" s="59"/>
      <c r="W34" s="59"/>
      <c r="X34" s="59"/>
    </row>
    <row r="35" s="20" customFormat="1" hidden="1" spans="1:24">
      <c r="A35" s="59">
        <v>22</v>
      </c>
      <c r="B35" s="60" t="s">
        <v>145</v>
      </c>
      <c r="C35" s="61">
        <v>43617</v>
      </c>
      <c r="D35" s="62" t="str">
        <f ca="1" t="shared" si="0"/>
        <v>一年以上</v>
      </c>
      <c r="E35" s="66">
        <v>43628</v>
      </c>
      <c r="F35" s="66" t="s">
        <v>70</v>
      </c>
      <c r="G35" s="59" t="s">
        <v>146</v>
      </c>
      <c r="H35" s="60" t="s">
        <v>147</v>
      </c>
      <c r="I35" s="63" t="s">
        <v>147</v>
      </c>
      <c r="J35" s="71">
        <v>5000</v>
      </c>
      <c r="K35" s="59"/>
      <c r="L35" s="59" t="s">
        <v>73</v>
      </c>
      <c r="M35" s="59" t="s">
        <v>65</v>
      </c>
      <c r="N35" s="65">
        <v>5000</v>
      </c>
      <c r="O35" s="65">
        <f t="shared" si="3"/>
        <v>0</v>
      </c>
      <c r="P35" s="66">
        <v>43641</v>
      </c>
      <c r="Q35" s="61">
        <f t="shared" si="2"/>
        <v>43641</v>
      </c>
      <c r="R35" s="66"/>
      <c r="S35" s="59"/>
      <c r="T35" s="59"/>
      <c r="U35" s="59"/>
      <c r="V35" s="59"/>
      <c r="W35" s="59"/>
      <c r="X35" s="59"/>
    </row>
    <row r="36" s="20" customFormat="1" ht="24" hidden="1" spans="1:24">
      <c r="A36" s="59">
        <v>23</v>
      </c>
      <c r="B36" s="60" t="s">
        <v>148</v>
      </c>
      <c r="C36" s="61">
        <v>43617</v>
      </c>
      <c r="D36" s="62" t="str">
        <f ca="1" t="shared" si="0"/>
        <v>一年以上</v>
      </c>
      <c r="E36" s="66">
        <v>43635</v>
      </c>
      <c r="F36" s="66" t="s">
        <v>70</v>
      </c>
      <c r="G36" s="59" t="s">
        <v>149</v>
      </c>
      <c r="H36" s="60" t="s">
        <v>150</v>
      </c>
      <c r="I36" s="63" t="s">
        <v>150</v>
      </c>
      <c r="J36" s="71">
        <v>2000</v>
      </c>
      <c r="K36" s="59"/>
      <c r="L36" s="59" t="s">
        <v>73</v>
      </c>
      <c r="M36" s="59" t="s">
        <v>65</v>
      </c>
      <c r="N36" s="65">
        <v>2000</v>
      </c>
      <c r="O36" s="65">
        <f t="shared" si="3"/>
        <v>0</v>
      </c>
      <c r="P36" s="66">
        <v>43644</v>
      </c>
      <c r="Q36" s="61">
        <f t="shared" si="2"/>
        <v>43644</v>
      </c>
      <c r="R36" s="66"/>
      <c r="S36" s="59"/>
      <c r="T36" s="59"/>
      <c r="U36" s="59"/>
      <c r="V36" s="59"/>
      <c r="W36" s="59"/>
      <c r="X36" s="59"/>
    </row>
    <row r="37" s="20" customFormat="1" ht="24" hidden="1" spans="1:24">
      <c r="A37" s="59">
        <v>24</v>
      </c>
      <c r="B37" s="60" t="s">
        <v>151</v>
      </c>
      <c r="C37" s="61">
        <v>43617</v>
      </c>
      <c r="D37" s="62" t="str">
        <f ca="1" t="shared" si="0"/>
        <v>一年以上</v>
      </c>
      <c r="E37" s="66">
        <v>43644</v>
      </c>
      <c r="F37" s="66" t="s">
        <v>70</v>
      </c>
      <c r="G37" s="59" t="s">
        <v>135</v>
      </c>
      <c r="H37" s="60" t="s">
        <v>152</v>
      </c>
      <c r="I37" s="63" t="s">
        <v>152</v>
      </c>
      <c r="J37" s="71">
        <v>10000</v>
      </c>
      <c r="K37" s="59"/>
      <c r="L37" s="59" t="s">
        <v>73</v>
      </c>
      <c r="M37" s="59" t="s">
        <v>65</v>
      </c>
      <c r="N37" s="65">
        <v>10000</v>
      </c>
      <c r="O37" s="65">
        <f t="shared" si="3"/>
        <v>0</v>
      </c>
      <c r="P37" s="66">
        <v>43703</v>
      </c>
      <c r="Q37" s="61">
        <f t="shared" si="2"/>
        <v>43703</v>
      </c>
      <c r="R37" s="66"/>
      <c r="S37" s="59"/>
      <c r="T37" s="59"/>
      <c r="U37" s="59"/>
      <c r="V37" s="59"/>
      <c r="W37" s="59"/>
      <c r="X37" s="59"/>
    </row>
    <row r="38" s="20" customFormat="1" hidden="1" spans="1:24">
      <c r="A38" s="59">
        <v>25</v>
      </c>
      <c r="B38" s="60" t="s">
        <v>153</v>
      </c>
      <c r="C38" s="61">
        <v>43647</v>
      </c>
      <c r="D38" s="62" t="str">
        <f ca="1" t="shared" si="0"/>
        <v>一年以上</v>
      </c>
      <c r="E38" s="66">
        <v>43657</v>
      </c>
      <c r="F38" s="66" t="s">
        <v>70</v>
      </c>
      <c r="G38" s="59" t="s">
        <v>104</v>
      </c>
      <c r="H38" s="60" t="s">
        <v>154</v>
      </c>
      <c r="I38" s="63" t="s">
        <v>154</v>
      </c>
      <c r="J38" s="71">
        <v>3000</v>
      </c>
      <c r="K38" s="59"/>
      <c r="L38" s="59" t="s">
        <v>73</v>
      </c>
      <c r="M38" s="59" t="s">
        <v>65</v>
      </c>
      <c r="N38" s="65">
        <v>3000</v>
      </c>
      <c r="O38" s="65">
        <f t="shared" si="3"/>
        <v>0</v>
      </c>
      <c r="P38" s="66">
        <v>43703</v>
      </c>
      <c r="Q38" s="61">
        <f t="shared" si="2"/>
        <v>43703</v>
      </c>
      <c r="R38" s="66"/>
      <c r="S38" s="59"/>
      <c r="T38" s="59"/>
      <c r="U38" s="59"/>
      <c r="V38" s="59"/>
      <c r="W38" s="59"/>
      <c r="X38" s="59"/>
    </row>
    <row r="39" s="20" customFormat="1" hidden="1" spans="1:24">
      <c r="A39" s="59">
        <v>27</v>
      </c>
      <c r="B39" s="60" t="s">
        <v>155</v>
      </c>
      <c r="C39" s="61">
        <v>43647</v>
      </c>
      <c r="D39" s="62" t="str">
        <f ca="1" t="shared" si="0"/>
        <v>一年以上</v>
      </c>
      <c r="E39" s="66">
        <v>43657</v>
      </c>
      <c r="F39" s="66" t="s">
        <v>70</v>
      </c>
      <c r="G39" s="59" t="s">
        <v>156</v>
      </c>
      <c r="H39" s="60" t="s">
        <v>157</v>
      </c>
      <c r="I39" s="63" t="s">
        <v>157</v>
      </c>
      <c r="J39" s="71">
        <v>1000</v>
      </c>
      <c r="K39" s="59"/>
      <c r="L39" s="59" t="s">
        <v>96</v>
      </c>
      <c r="M39" s="59" t="s">
        <v>65</v>
      </c>
      <c r="N39" s="65">
        <v>1000</v>
      </c>
      <c r="O39" s="65">
        <f t="shared" si="3"/>
        <v>0</v>
      </c>
      <c r="P39" s="66">
        <v>43661</v>
      </c>
      <c r="Q39" s="61">
        <f t="shared" si="2"/>
        <v>43661</v>
      </c>
      <c r="R39" s="66"/>
      <c r="S39" s="59"/>
      <c r="T39" s="59"/>
      <c r="U39" s="59"/>
      <c r="V39" s="59"/>
      <c r="W39" s="59"/>
      <c r="X39" s="59"/>
    </row>
    <row r="40" s="20" customFormat="1" ht="24" hidden="1" spans="1:24">
      <c r="A40" s="59">
        <v>26</v>
      </c>
      <c r="B40" s="60" t="s">
        <v>158</v>
      </c>
      <c r="C40" s="61">
        <v>43647</v>
      </c>
      <c r="D40" s="62" t="str">
        <f ca="1" t="shared" si="0"/>
        <v>一年以上</v>
      </c>
      <c r="E40" s="66">
        <v>43664</v>
      </c>
      <c r="F40" s="66" t="s">
        <v>70</v>
      </c>
      <c r="G40" s="59" t="s">
        <v>104</v>
      </c>
      <c r="H40" s="60" t="s">
        <v>159</v>
      </c>
      <c r="I40" s="63" t="s">
        <v>159</v>
      </c>
      <c r="J40" s="71">
        <v>3000</v>
      </c>
      <c r="K40" s="59"/>
      <c r="L40" s="59" t="s">
        <v>73</v>
      </c>
      <c r="M40" s="59" t="s">
        <v>65</v>
      </c>
      <c r="N40" s="65">
        <v>3000</v>
      </c>
      <c r="O40" s="65">
        <f t="shared" si="3"/>
        <v>0</v>
      </c>
      <c r="P40" s="66">
        <v>43794</v>
      </c>
      <c r="Q40" s="61">
        <f t="shared" si="2"/>
        <v>43794</v>
      </c>
      <c r="R40" s="66"/>
      <c r="S40" s="59"/>
      <c r="T40" s="59" t="s">
        <v>160</v>
      </c>
      <c r="U40" s="59"/>
      <c r="V40" s="59"/>
      <c r="W40" s="59"/>
      <c r="X40" s="59"/>
    </row>
    <row r="41" s="20" customFormat="1" ht="24" hidden="1" spans="1:24">
      <c r="A41" s="59">
        <v>28</v>
      </c>
      <c r="B41" s="60" t="s">
        <v>161</v>
      </c>
      <c r="C41" s="61">
        <v>43678</v>
      </c>
      <c r="D41" s="62" t="str">
        <f ca="1" t="shared" si="0"/>
        <v>一年以上</v>
      </c>
      <c r="E41" s="66">
        <v>43678</v>
      </c>
      <c r="F41" s="66" t="s">
        <v>70</v>
      </c>
      <c r="G41" s="59" t="s">
        <v>140</v>
      </c>
      <c r="H41" s="60" t="s">
        <v>162</v>
      </c>
      <c r="I41" s="63" t="s">
        <v>162</v>
      </c>
      <c r="J41" s="71">
        <v>2000</v>
      </c>
      <c r="K41" s="59"/>
      <c r="L41" s="59" t="s">
        <v>73</v>
      </c>
      <c r="M41" s="59" t="s">
        <v>65</v>
      </c>
      <c r="N41" s="65">
        <v>2000</v>
      </c>
      <c r="O41" s="65">
        <f t="shared" si="3"/>
        <v>0</v>
      </c>
      <c r="P41" s="66">
        <v>43700</v>
      </c>
      <c r="Q41" s="61">
        <f t="shared" si="2"/>
        <v>43700</v>
      </c>
      <c r="R41" s="66"/>
      <c r="S41" s="59"/>
      <c r="T41" s="59"/>
      <c r="U41" s="59"/>
      <c r="V41" s="59"/>
      <c r="W41" s="59"/>
      <c r="X41" s="59"/>
    </row>
    <row r="42" s="20" customFormat="1" hidden="1" spans="1:24">
      <c r="A42" s="59">
        <v>29</v>
      </c>
      <c r="B42" s="60" t="s">
        <v>163</v>
      </c>
      <c r="C42" s="61">
        <v>43678</v>
      </c>
      <c r="D42" s="62" t="str">
        <f ca="1" t="shared" si="0"/>
        <v>一年以上</v>
      </c>
      <c r="E42" s="66">
        <v>43685</v>
      </c>
      <c r="F42" s="66" t="s">
        <v>130</v>
      </c>
      <c r="G42" s="59" t="s">
        <v>54</v>
      </c>
      <c r="H42" s="60" t="s">
        <v>164</v>
      </c>
      <c r="I42" s="63" t="s">
        <v>164</v>
      </c>
      <c r="J42" s="71">
        <v>10000</v>
      </c>
      <c r="K42" s="59"/>
      <c r="L42" s="59" t="s">
        <v>73</v>
      </c>
      <c r="M42" s="59" t="s">
        <v>65</v>
      </c>
      <c r="N42" s="65">
        <v>10000</v>
      </c>
      <c r="O42" s="65">
        <f t="shared" si="3"/>
        <v>0</v>
      </c>
      <c r="P42" s="66">
        <v>44403</v>
      </c>
      <c r="Q42" s="61">
        <f t="shared" si="2"/>
        <v>44403</v>
      </c>
      <c r="R42" s="66"/>
      <c r="S42" s="59"/>
      <c r="T42" s="59"/>
      <c r="U42" s="59"/>
      <c r="V42" s="59"/>
      <c r="W42" s="59"/>
      <c r="X42" s="59"/>
    </row>
    <row r="43" s="20" customFormat="1" ht="24" hidden="1" spans="1:24">
      <c r="A43" s="59">
        <v>30</v>
      </c>
      <c r="B43" s="60" t="s">
        <v>165</v>
      </c>
      <c r="C43" s="61">
        <v>43678</v>
      </c>
      <c r="D43" s="62" t="str">
        <f ca="1" t="shared" si="0"/>
        <v>一年以上</v>
      </c>
      <c r="E43" s="66">
        <v>43692</v>
      </c>
      <c r="F43" s="66" t="s">
        <v>70</v>
      </c>
      <c r="G43" s="59" t="s">
        <v>166</v>
      </c>
      <c r="H43" s="60" t="s">
        <v>167</v>
      </c>
      <c r="I43" s="63" t="s">
        <v>167</v>
      </c>
      <c r="J43" s="71">
        <v>10000</v>
      </c>
      <c r="K43" s="59"/>
      <c r="L43" s="59" t="s">
        <v>73</v>
      </c>
      <c r="M43" s="59" t="s">
        <v>65</v>
      </c>
      <c r="N43" s="65">
        <v>10000</v>
      </c>
      <c r="O43" s="65">
        <f t="shared" si="3"/>
        <v>0</v>
      </c>
      <c r="P43" s="66">
        <v>43701</v>
      </c>
      <c r="Q43" s="61">
        <f t="shared" si="2"/>
        <v>43701</v>
      </c>
      <c r="R43" s="66"/>
      <c r="S43" s="59"/>
      <c r="T43" s="59"/>
      <c r="U43" s="59"/>
      <c r="V43" s="59"/>
      <c r="W43" s="59"/>
      <c r="X43" s="59"/>
    </row>
    <row r="44" s="20" customFormat="1" ht="24" hidden="1" spans="1:24">
      <c r="A44" s="59">
        <v>31</v>
      </c>
      <c r="B44" s="60" t="s">
        <v>168</v>
      </c>
      <c r="C44" s="61">
        <v>43678</v>
      </c>
      <c r="D44" s="62" t="str">
        <f ca="1" t="shared" si="0"/>
        <v>一年以上</v>
      </c>
      <c r="E44" s="66">
        <v>43696</v>
      </c>
      <c r="F44" s="66" t="s">
        <v>70</v>
      </c>
      <c r="G44" s="59" t="s">
        <v>89</v>
      </c>
      <c r="H44" s="60" t="s">
        <v>169</v>
      </c>
      <c r="I44" s="63" t="s">
        <v>169</v>
      </c>
      <c r="J44" s="71">
        <v>2000</v>
      </c>
      <c r="K44" s="59" t="s">
        <v>28</v>
      </c>
      <c r="L44" s="59" t="s">
        <v>57</v>
      </c>
      <c r="M44" s="59" t="s">
        <v>65</v>
      </c>
      <c r="N44" s="65">
        <v>2000</v>
      </c>
      <c r="O44" s="65">
        <f t="shared" si="3"/>
        <v>0</v>
      </c>
      <c r="P44" s="66">
        <v>45012</v>
      </c>
      <c r="Q44" s="61">
        <f t="shared" si="2"/>
        <v>45012</v>
      </c>
      <c r="R44" s="77"/>
      <c r="S44" s="59" t="s">
        <v>170</v>
      </c>
      <c r="T44" s="59" t="s">
        <v>171</v>
      </c>
      <c r="U44" s="59" t="s">
        <v>172</v>
      </c>
      <c r="V44" s="59"/>
      <c r="W44" s="59"/>
      <c r="X44" s="59"/>
    </row>
    <row r="45" s="20" customFormat="1" ht="24" hidden="1" spans="1:24">
      <c r="A45" s="59">
        <v>342</v>
      </c>
      <c r="B45" s="60" t="s">
        <v>173</v>
      </c>
      <c r="C45" s="61">
        <v>43678</v>
      </c>
      <c r="D45" s="62" t="str">
        <f ca="1" t="shared" si="0"/>
        <v>一年以上</v>
      </c>
      <c r="E45" s="66">
        <v>43696</v>
      </c>
      <c r="F45" s="66" t="s">
        <v>130</v>
      </c>
      <c r="G45" s="59" t="s">
        <v>54</v>
      </c>
      <c r="H45" s="60" t="s">
        <v>174</v>
      </c>
      <c r="I45" s="63" t="s">
        <v>174</v>
      </c>
      <c r="J45" s="76">
        <v>20000</v>
      </c>
      <c r="K45" s="59"/>
      <c r="L45" s="59" t="s">
        <v>73</v>
      </c>
      <c r="M45" s="59" t="s">
        <v>133</v>
      </c>
      <c r="N45" s="65">
        <v>20000</v>
      </c>
      <c r="O45" s="65">
        <f t="shared" si="3"/>
        <v>0</v>
      </c>
      <c r="P45" s="66">
        <v>44673</v>
      </c>
      <c r="Q45" s="61">
        <f t="shared" si="2"/>
        <v>44673</v>
      </c>
      <c r="R45" s="59"/>
      <c r="S45" s="59" t="s">
        <v>175</v>
      </c>
      <c r="T45" s="59"/>
      <c r="U45" s="59"/>
      <c r="V45" s="59"/>
      <c r="W45" s="59"/>
      <c r="X45" s="59"/>
    </row>
    <row r="46" s="20" customFormat="1" ht="24" hidden="1" spans="1:24">
      <c r="A46" s="59">
        <v>32</v>
      </c>
      <c r="B46" s="60" t="s">
        <v>176</v>
      </c>
      <c r="C46" s="61">
        <v>43678</v>
      </c>
      <c r="D46" s="62" t="str">
        <f ca="1" t="shared" si="0"/>
        <v>一年以上</v>
      </c>
      <c r="E46" s="66">
        <v>43698</v>
      </c>
      <c r="F46" s="66" t="s">
        <v>70</v>
      </c>
      <c r="G46" s="59" t="s">
        <v>135</v>
      </c>
      <c r="H46" s="60" t="s">
        <v>177</v>
      </c>
      <c r="I46" s="63" t="s">
        <v>177</v>
      </c>
      <c r="J46" s="71">
        <v>2000</v>
      </c>
      <c r="K46" s="59"/>
      <c r="L46" s="59" t="s">
        <v>73</v>
      </c>
      <c r="M46" s="59" t="s">
        <v>65</v>
      </c>
      <c r="N46" s="65">
        <v>2000</v>
      </c>
      <c r="O46" s="65">
        <f t="shared" si="3"/>
        <v>0</v>
      </c>
      <c r="P46" s="66">
        <v>43829</v>
      </c>
      <c r="Q46" s="61">
        <f t="shared" si="2"/>
        <v>43829</v>
      </c>
      <c r="R46" s="66"/>
      <c r="S46" s="59"/>
      <c r="T46" s="59"/>
      <c r="U46" s="59"/>
      <c r="V46" s="59"/>
      <c r="W46" s="59"/>
      <c r="X46" s="59"/>
    </row>
    <row r="47" s="20" customFormat="1" hidden="1" spans="1:24">
      <c r="A47" s="59">
        <v>33</v>
      </c>
      <c r="B47" s="60" t="s">
        <v>178</v>
      </c>
      <c r="C47" s="61">
        <v>43678</v>
      </c>
      <c r="D47" s="62" t="str">
        <f ca="1" t="shared" si="0"/>
        <v>一年以上</v>
      </c>
      <c r="E47" s="66">
        <v>43700</v>
      </c>
      <c r="F47" s="66" t="s">
        <v>70</v>
      </c>
      <c r="G47" s="59" t="s">
        <v>149</v>
      </c>
      <c r="H47" s="60" t="s">
        <v>179</v>
      </c>
      <c r="I47" s="63" t="s">
        <v>179</v>
      </c>
      <c r="J47" s="71">
        <v>1000</v>
      </c>
      <c r="K47" s="59"/>
      <c r="L47" s="59" t="s">
        <v>96</v>
      </c>
      <c r="M47" s="59" t="s">
        <v>65</v>
      </c>
      <c r="N47" s="65">
        <v>1000</v>
      </c>
      <c r="O47" s="65">
        <f t="shared" si="3"/>
        <v>0</v>
      </c>
      <c r="P47" s="66">
        <v>43718</v>
      </c>
      <c r="Q47" s="61">
        <f t="shared" si="2"/>
        <v>43718</v>
      </c>
      <c r="R47" s="66"/>
      <c r="S47" s="59"/>
      <c r="T47" s="59"/>
      <c r="U47" s="59"/>
      <c r="V47" s="59"/>
      <c r="W47" s="59"/>
      <c r="X47" s="59"/>
    </row>
    <row r="48" s="20" customFormat="1" hidden="1" spans="1:24">
      <c r="A48" s="59">
        <v>34</v>
      </c>
      <c r="B48" s="60" t="s">
        <v>180</v>
      </c>
      <c r="C48" s="61">
        <v>43709</v>
      </c>
      <c r="D48" s="62" t="str">
        <f ca="1" t="shared" si="0"/>
        <v>一年以上</v>
      </c>
      <c r="E48" s="66">
        <v>43710</v>
      </c>
      <c r="F48" s="66" t="s">
        <v>130</v>
      </c>
      <c r="G48" s="59" t="s">
        <v>54</v>
      </c>
      <c r="H48" s="60" t="s">
        <v>174</v>
      </c>
      <c r="I48" s="63" t="s">
        <v>174</v>
      </c>
      <c r="J48" s="71">
        <v>25350</v>
      </c>
      <c r="K48" s="59" t="s">
        <v>28</v>
      </c>
      <c r="L48" s="59" t="s">
        <v>57</v>
      </c>
      <c r="M48" s="59" t="s">
        <v>65</v>
      </c>
      <c r="N48" s="65">
        <v>25350</v>
      </c>
      <c r="O48" s="65">
        <f t="shared" si="3"/>
        <v>0</v>
      </c>
      <c r="P48" s="66">
        <v>44673</v>
      </c>
      <c r="Q48" s="61">
        <f t="shared" si="2"/>
        <v>44673</v>
      </c>
      <c r="R48" s="59"/>
      <c r="S48" s="59" t="s">
        <v>181</v>
      </c>
      <c r="T48" s="59" t="s">
        <v>182</v>
      </c>
      <c r="U48" s="59" t="s">
        <v>125</v>
      </c>
      <c r="V48" s="59"/>
      <c r="W48" s="59"/>
      <c r="X48" s="59"/>
    </row>
    <row r="49" s="20" customFormat="1" ht="24" hidden="1" spans="1:24">
      <c r="A49" s="59">
        <v>35</v>
      </c>
      <c r="B49" s="60" t="s">
        <v>183</v>
      </c>
      <c r="C49" s="61">
        <v>43709</v>
      </c>
      <c r="D49" s="62" t="str">
        <f ca="1" t="shared" si="0"/>
        <v>一年以上</v>
      </c>
      <c r="E49" s="66">
        <v>43719</v>
      </c>
      <c r="F49" s="66" t="s">
        <v>70</v>
      </c>
      <c r="G49" s="59" t="s">
        <v>135</v>
      </c>
      <c r="H49" s="60" t="s">
        <v>184</v>
      </c>
      <c r="I49" s="63" t="s">
        <v>184</v>
      </c>
      <c r="J49" s="71">
        <v>4000</v>
      </c>
      <c r="K49" s="59"/>
      <c r="L49" s="59" t="s">
        <v>73</v>
      </c>
      <c r="M49" s="59" t="s">
        <v>65</v>
      </c>
      <c r="N49" s="65">
        <v>4000</v>
      </c>
      <c r="O49" s="65">
        <f t="shared" si="3"/>
        <v>0</v>
      </c>
      <c r="P49" s="66">
        <v>43723</v>
      </c>
      <c r="Q49" s="61">
        <f t="shared" si="2"/>
        <v>43723</v>
      </c>
      <c r="R49" s="66"/>
      <c r="S49" s="59"/>
      <c r="T49" s="59"/>
      <c r="U49" s="59"/>
      <c r="V49" s="59"/>
      <c r="W49" s="59"/>
      <c r="X49" s="59"/>
    </row>
    <row r="50" s="20" customFormat="1" ht="24" hidden="1" spans="1:24">
      <c r="A50" s="59">
        <v>36</v>
      </c>
      <c r="B50" s="60" t="s">
        <v>185</v>
      </c>
      <c r="C50" s="61">
        <v>43709</v>
      </c>
      <c r="D50" s="62" t="str">
        <f ca="1" t="shared" si="0"/>
        <v>一年以上</v>
      </c>
      <c r="E50" s="66">
        <v>43727</v>
      </c>
      <c r="F50" s="66" t="s">
        <v>70</v>
      </c>
      <c r="G50" s="59" t="s">
        <v>104</v>
      </c>
      <c r="H50" s="60" t="s">
        <v>186</v>
      </c>
      <c r="I50" s="63" t="s">
        <v>186</v>
      </c>
      <c r="J50" s="71">
        <v>3000</v>
      </c>
      <c r="K50" s="59"/>
      <c r="L50" s="59" t="s">
        <v>96</v>
      </c>
      <c r="M50" s="59" t="s">
        <v>65</v>
      </c>
      <c r="N50" s="65">
        <v>3000</v>
      </c>
      <c r="O50" s="65">
        <f t="shared" si="3"/>
        <v>0</v>
      </c>
      <c r="P50" s="66">
        <v>43761</v>
      </c>
      <c r="Q50" s="61">
        <f t="shared" si="2"/>
        <v>43761</v>
      </c>
      <c r="R50" s="66"/>
      <c r="S50" s="59"/>
      <c r="T50" s="59"/>
      <c r="U50" s="59"/>
      <c r="V50" s="59"/>
      <c r="W50" s="59"/>
      <c r="X50" s="59"/>
    </row>
    <row r="51" s="20" customFormat="1" ht="24" hidden="1" spans="1:24">
      <c r="A51" s="59">
        <v>37</v>
      </c>
      <c r="B51" s="60" t="s">
        <v>187</v>
      </c>
      <c r="C51" s="61">
        <v>43709</v>
      </c>
      <c r="D51" s="62" t="str">
        <f ca="1" t="shared" si="0"/>
        <v>一年以上</v>
      </c>
      <c r="E51" s="66">
        <v>43731</v>
      </c>
      <c r="F51" s="66" t="s">
        <v>70</v>
      </c>
      <c r="G51" s="59" t="s">
        <v>83</v>
      </c>
      <c r="H51" s="60" t="s">
        <v>188</v>
      </c>
      <c r="I51" s="63" t="s">
        <v>188</v>
      </c>
      <c r="J51" s="71">
        <v>2000</v>
      </c>
      <c r="K51" s="59"/>
      <c r="L51" s="59" t="s">
        <v>73</v>
      </c>
      <c r="M51" s="59" t="s">
        <v>65</v>
      </c>
      <c r="N51" s="65">
        <v>2000</v>
      </c>
      <c r="O51" s="65">
        <f t="shared" si="3"/>
        <v>0</v>
      </c>
      <c r="P51" s="66">
        <v>43829</v>
      </c>
      <c r="Q51" s="61">
        <f t="shared" si="2"/>
        <v>43829</v>
      </c>
      <c r="R51" s="66"/>
      <c r="S51" s="59"/>
      <c r="T51" s="59"/>
      <c r="U51" s="59"/>
      <c r="V51" s="59"/>
      <c r="W51" s="59"/>
      <c r="X51" s="59"/>
    </row>
    <row r="52" s="20" customFormat="1" ht="24" hidden="1" spans="1:24">
      <c r="A52" s="59">
        <v>38</v>
      </c>
      <c r="B52" s="60" t="s">
        <v>189</v>
      </c>
      <c r="C52" s="61">
        <v>43709</v>
      </c>
      <c r="D52" s="62" t="str">
        <f ca="1" t="shared" si="0"/>
        <v>一年以上</v>
      </c>
      <c r="E52" s="66">
        <v>43731</v>
      </c>
      <c r="F52" s="66" t="s">
        <v>70</v>
      </c>
      <c r="G52" s="59" t="s">
        <v>190</v>
      </c>
      <c r="H52" s="60" t="s">
        <v>191</v>
      </c>
      <c r="I52" s="63" t="s">
        <v>191</v>
      </c>
      <c r="J52" s="71">
        <v>7160</v>
      </c>
      <c r="K52" s="59"/>
      <c r="L52" s="59" t="s">
        <v>73</v>
      </c>
      <c r="M52" s="59" t="s">
        <v>65</v>
      </c>
      <c r="N52" s="65">
        <v>7160</v>
      </c>
      <c r="O52" s="65">
        <f t="shared" si="3"/>
        <v>0</v>
      </c>
      <c r="P52" s="66">
        <v>43847</v>
      </c>
      <c r="Q52" s="61">
        <f t="shared" si="2"/>
        <v>43847</v>
      </c>
      <c r="R52" s="66"/>
      <c r="S52" s="59"/>
      <c r="T52" s="59"/>
      <c r="U52" s="59"/>
      <c r="V52" s="59"/>
      <c r="W52" s="59"/>
      <c r="X52" s="59"/>
    </row>
    <row r="53" s="20" customFormat="1" ht="24" hidden="1" spans="1:24">
      <c r="A53" s="59">
        <v>39</v>
      </c>
      <c r="B53" s="60" t="s">
        <v>192</v>
      </c>
      <c r="C53" s="61">
        <v>43709</v>
      </c>
      <c r="D53" s="62" t="str">
        <f ca="1" t="shared" si="0"/>
        <v>一年以上</v>
      </c>
      <c r="E53" s="66">
        <v>43733</v>
      </c>
      <c r="F53" s="66" t="s">
        <v>70</v>
      </c>
      <c r="G53" s="59" t="s">
        <v>109</v>
      </c>
      <c r="H53" s="60" t="s">
        <v>193</v>
      </c>
      <c r="I53" s="63" t="s">
        <v>193</v>
      </c>
      <c r="J53" s="71">
        <v>2000</v>
      </c>
      <c r="K53" s="59"/>
      <c r="L53" s="59" t="s">
        <v>96</v>
      </c>
      <c r="M53" s="59" t="s">
        <v>65</v>
      </c>
      <c r="N53" s="65">
        <v>2000</v>
      </c>
      <c r="O53" s="65">
        <f t="shared" si="3"/>
        <v>0</v>
      </c>
      <c r="P53" s="66">
        <v>43755</v>
      </c>
      <c r="Q53" s="61">
        <f t="shared" si="2"/>
        <v>43755</v>
      </c>
      <c r="R53" s="66"/>
      <c r="S53" s="59"/>
      <c r="T53" s="59"/>
      <c r="U53" s="59"/>
      <c r="V53" s="59"/>
      <c r="W53" s="59"/>
      <c r="X53" s="59"/>
    </row>
    <row r="54" s="20" customFormat="1" ht="24" hidden="1" spans="1:24">
      <c r="A54" s="59">
        <v>40</v>
      </c>
      <c r="B54" s="60" t="s">
        <v>194</v>
      </c>
      <c r="C54" s="61">
        <v>43739</v>
      </c>
      <c r="D54" s="62" t="str">
        <f ca="1" t="shared" si="0"/>
        <v>一年以上</v>
      </c>
      <c r="E54" s="66">
        <v>43749</v>
      </c>
      <c r="F54" s="66" t="s">
        <v>70</v>
      </c>
      <c r="G54" s="59" t="s">
        <v>195</v>
      </c>
      <c r="H54" s="78" t="s">
        <v>36</v>
      </c>
      <c r="I54" s="63" t="s">
        <v>36</v>
      </c>
      <c r="J54" s="71">
        <v>2600</v>
      </c>
      <c r="K54" s="59"/>
      <c r="L54" s="59" t="s">
        <v>73</v>
      </c>
      <c r="M54" s="59" t="s">
        <v>65</v>
      </c>
      <c r="N54" s="65">
        <v>2600</v>
      </c>
      <c r="O54" s="65">
        <f t="shared" si="3"/>
        <v>0</v>
      </c>
      <c r="P54" s="66">
        <v>43776</v>
      </c>
      <c r="Q54" s="61">
        <f t="shared" si="2"/>
        <v>43776</v>
      </c>
      <c r="R54" s="66"/>
      <c r="S54" s="59"/>
      <c r="T54" s="59"/>
      <c r="U54" s="59"/>
      <c r="V54" s="59"/>
      <c r="W54" s="59"/>
      <c r="X54" s="59"/>
    </row>
    <row r="55" s="20" customFormat="1" hidden="1" spans="1:24">
      <c r="A55" s="59">
        <v>41</v>
      </c>
      <c r="B55" s="60" t="s">
        <v>196</v>
      </c>
      <c r="C55" s="61">
        <v>43739</v>
      </c>
      <c r="D55" s="62" t="str">
        <f ca="1" t="shared" si="0"/>
        <v>一年以上</v>
      </c>
      <c r="E55" s="66">
        <v>43749</v>
      </c>
      <c r="F55" s="66" t="s">
        <v>70</v>
      </c>
      <c r="G55" s="59" t="s">
        <v>197</v>
      </c>
      <c r="H55" s="60" t="s">
        <v>157</v>
      </c>
      <c r="I55" s="63" t="s">
        <v>157</v>
      </c>
      <c r="J55" s="71">
        <v>1000</v>
      </c>
      <c r="K55" s="59"/>
      <c r="L55" s="59" t="s">
        <v>96</v>
      </c>
      <c r="M55" s="59" t="s">
        <v>65</v>
      </c>
      <c r="N55" s="65">
        <v>1000</v>
      </c>
      <c r="O55" s="65">
        <f t="shared" si="3"/>
        <v>0</v>
      </c>
      <c r="P55" s="66">
        <v>43725</v>
      </c>
      <c r="Q55" s="61">
        <f t="shared" si="2"/>
        <v>43725</v>
      </c>
      <c r="R55" s="66"/>
      <c r="S55" s="59"/>
      <c r="T55" s="59"/>
      <c r="U55" s="59"/>
      <c r="V55" s="59"/>
      <c r="W55" s="59"/>
      <c r="X55" s="59"/>
    </row>
    <row r="56" s="20" customFormat="1" ht="24" hidden="1" spans="1:24">
      <c r="A56" s="59">
        <v>43</v>
      </c>
      <c r="B56" s="60" t="s">
        <v>198</v>
      </c>
      <c r="C56" s="61">
        <v>43739</v>
      </c>
      <c r="D56" s="62" t="str">
        <f ca="1" t="shared" si="0"/>
        <v>一年以上</v>
      </c>
      <c r="E56" s="66">
        <v>43759</v>
      </c>
      <c r="F56" s="66" t="s">
        <v>70</v>
      </c>
      <c r="G56" s="59" t="s">
        <v>149</v>
      </c>
      <c r="H56" s="60" t="s">
        <v>199</v>
      </c>
      <c r="I56" s="63" t="s">
        <v>199</v>
      </c>
      <c r="J56" s="71">
        <v>3000</v>
      </c>
      <c r="K56" s="59"/>
      <c r="L56" s="59" t="s">
        <v>96</v>
      </c>
      <c r="M56" s="59" t="s">
        <v>65</v>
      </c>
      <c r="N56" s="65">
        <v>3000</v>
      </c>
      <c r="O56" s="65">
        <f t="shared" si="3"/>
        <v>0</v>
      </c>
      <c r="P56" s="66">
        <v>43789</v>
      </c>
      <c r="Q56" s="61">
        <f t="shared" si="2"/>
        <v>43789</v>
      </c>
      <c r="R56" s="66"/>
      <c r="S56" s="59"/>
      <c r="T56" s="59"/>
      <c r="U56" s="59"/>
      <c r="V56" s="59"/>
      <c r="W56" s="59"/>
      <c r="X56" s="59"/>
    </row>
    <row r="57" s="20" customFormat="1" ht="24" hidden="1" spans="1:24">
      <c r="A57" s="59">
        <v>44</v>
      </c>
      <c r="B57" s="60" t="s">
        <v>200</v>
      </c>
      <c r="C57" s="61">
        <v>43739</v>
      </c>
      <c r="D57" s="62" t="str">
        <f ca="1" t="shared" si="0"/>
        <v>一年以上</v>
      </c>
      <c r="E57" s="66">
        <v>43761</v>
      </c>
      <c r="F57" s="66" t="s">
        <v>70</v>
      </c>
      <c r="G57" s="59" t="s">
        <v>104</v>
      </c>
      <c r="H57" s="60" t="s">
        <v>201</v>
      </c>
      <c r="I57" s="63" t="s">
        <v>201</v>
      </c>
      <c r="J57" s="71">
        <v>3000</v>
      </c>
      <c r="K57" s="59"/>
      <c r="L57" s="59" t="s">
        <v>96</v>
      </c>
      <c r="M57" s="59" t="s">
        <v>65</v>
      </c>
      <c r="N57" s="65">
        <v>3000</v>
      </c>
      <c r="O57" s="65">
        <f t="shared" si="3"/>
        <v>0</v>
      </c>
      <c r="P57" s="66">
        <v>43768</v>
      </c>
      <c r="Q57" s="61">
        <f t="shared" si="2"/>
        <v>43768</v>
      </c>
      <c r="R57" s="66"/>
      <c r="S57" s="59"/>
      <c r="T57" s="59"/>
      <c r="U57" s="59"/>
      <c r="V57" s="59"/>
      <c r="W57" s="59"/>
      <c r="X57" s="59"/>
    </row>
    <row r="58" s="20" customFormat="1" ht="24" hidden="1" spans="1:24">
      <c r="A58" s="59">
        <v>42</v>
      </c>
      <c r="B58" s="60" t="s">
        <v>202</v>
      </c>
      <c r="C58" s="61">
        <v>43739</v>
      </c>
      <c r="D58" s="62" t="str">
        <f ca="1" t="shared" si="0"/>
        <v>一年以上</v>
      </c>
      <c r="E58" s="66">
        <v>43766</v>
      </c>
      <c r="F58" s="66" t="s">
        <v>70</v>
      </c>
      <c r="G58" s="59" t="s">
        <v>92</v>
      </c>
      <c r="H58" s="78" t="s">
        <v>203</v>
      </c>
      <c r="I58" s="63" t="s">
        <v>203</v>
      </c>
      <c r="J58" s="71">
        <v>4000</v>
      </c>
      <c r="K58" s="59"/>
      <c r="L58" s="59" t="s">
        <v>73</v>
      </c>
      <c r="M58" s="59" t="s">
        <v>65</v>
      </c>
      <c r="N58" s="65">
        <v>4000</v>
      </c>
      <c r="O58" s="65">
        <f t="shared" si="3"/>
        <v>0</v>
      </c>
      <c r="P58" s="66">
        <v>44465</v>
      </c>
      <c r="Q58" s="61">
        <f t="shared" si="2"/>
        <v>44465</v>
      </c>
      <c r="R58" s="66"/>
      <c r="S58" s="59"/>
      <c r="T58" s="59"/>
      <c r="U58" s="59"/>
      <c r="V58" s="59"/>
      <c r="W58" s="59"/>
      <c r="X58" s="59"/>
    </row>
    <row r="59" s="20" customFormat="1" ht="24" hidden="1" spans="1:24">
      <c r="A59" s="59">
        <v>45</v>
      </c>
      <c r="B59" s="60" t="s">
        <v>204</v>
      </c>
      <c r="C59" s="61">
        <v>43770</v>
      </c>
      <c r="D59" s="62" t="str">
        <f ca="1" t="shared" si="0"/>
        <v>一年以上</v>
      </c>
      <c r="E59" s="66">
        <v>43774</v>
      </c>
      <c r="F59" s="66" t="s">
        <v>70</v>
      </c>
      <c r="G59" s="59" t="s">
        <v>205</v>
      </c>
      <c r="H59" s="60" t="s">
        <v>206</v>
      </c>
      <c r="I59" s="63" t="s">
        <v>206</v>
      </c>
      <c r="J59" s="71">
        <v>10000</v>
      </c>
      <c r="K59" s="59"/>
      <c r="L59" s="59" t="s">
        <v>73</v>
      </c>
      <c r="M59" s="59" t="s">
        <v>65</v>
      </c>
      <c r="N59" s="65">
        <v>10000</v>
      </c>
      <c r="O59" s="65">
        <f t="shared" si="3"/>
        <v>0</v>
      </c>
      <c r="P59" s="66">
        <v>43976</v>
      </c>
      <c r="Q59" s="61">
        <f t="shared" si="2"/>
        <v>43976</v>
      </c>
      <c r="R59" s="66"/>
      <c r="S59" s="59"/>
      <c r="T59" s="59"/>
      <c r="U59" s="59"/>
      <c r="V59" s="59"/>
      <c r="W59" s="59"/>
      <c r="X59" s="59"/>
    </row>
    <row r="60" s="20" customFormat="1" ht="36" hidden="1" spans="1:24">
      <c r="A60" s="59">
        <v>191</v>
      </c>
      <c r="B60" s="60" t="s">
        <v>207</v>
      </c>
      <c r="C60" s="61">
        <v>43770</v>
      </c>
      <c r="D60" s="62" t="str">
        <f ca="1" t="shared" si="0"/>
        <v>一年以上</v>
      </c>
      <c r="E60" s="66">
        <v>43774</v>
      </c>
      <c r="F60" s="66"/>
      <c r="G60" s="59" t="s">
        <v>208</v>
      </c>
      <c r="H60" s="60" t="s">
        <v>209</v>
      </c>
      <c r="I60" s="63" t="s">
        <v>209</v>
      </c>
      <c r="J60" s="71">
        <v>50000</v>
      </c>
      <c r="K60" s="59" t="s">
        <v>28</v>
      </c>
      <c r="L60" s="59" t="s">
        <v>73</v>
      </c>
      <c r="M60" s="59" t="s">
        <v>30</v>
      </c>
      <c r="N60" s="65">
        <v>50000</v>
      </c>
      <c r="O60" s="65">
        <f t="shared" si="3"/>
        <v>0</v>
      </c>
      <c r="P60" s="66">
        <v>44908</v>
      </c>
      <c r="Q60" s="61">
        <f t="shared" si="2"/>
        <v>44908</v>
      </c>
      <c r="R60" s="59" t="s">
        <v>210</v>
      </c>
      <c r="S60" s="75" t="s">
        <v>211</v>
      </c>
      <c r="T60" s="59"/>
      <c r="U60" s="59"/>
      <c r="V60" s="59"/>
      <c r="W60" s="59"/>
      <c r="X60" s="59"/>
    </row>
    <row r="61" s="20" customFormat="1" ht="24" hidden="1" spans="1:24">
      <c r="A61" s="59">
        <v>46</v>
      </c>
      <c r="B61" s="60" t="s">
        <v>212</v>
      </c>
      <c r="C61" s="61">
        <v>43770</v>
      </c>
      <c r="D61" s="62" t="str">
        <f ca="1" t="shared" si="0"/>
        <v>一年以上</v>
      </c>
      <c r="E61" s="66">
        <v>43775</v>
      </c>
      <c r="F61" s="66" t="s">
        <v>70</v>
      </c>
      <c r="G61" s="59" t="s">
        <v>190</v>
      </c>
      <c r="H61" s="60" t="s">
        <v>201</v>
      </c>
      <c r="I61" s="63" t="s">
        <v>201</v>
      </c>
      <c r="J61" s="71">
        <v>2000</v>
      </c>
      <c r="K61" s="59"/>
      <c r="L61" s="59" t="s">
        <v>96</v>
      </c>
      <c r="M61" s="59" t="s">
        <v>65</v>
      </c>
      <c r="N61" s="65">
        <v>2000</v>
      </c>
      <c r="O61" s="65">
        <f t="shared" si="3"/>
        <v>0</v>
      </c>
      <c r="P61" s="66">
        <v>43787</v>
      </c>
      <c r="Q61" s="61">
        <f t="shared" si="2"/>
        <v>43787</v>
      </c>
      <c r="R61" s="66"/>
      <c r="S61" s="59"/>
      <c r="T61" s="59"/>
      <c r="U61" s="59"/>
      <c r="V61" s="59"/>
      <c r="W61" s="59"/>
      <c r="X61" s="59"/>
    </row>
    <row r="62" s="21" customFormat="1" ht="24" hidden="1" spans="1:24">
      <c r="A62" s="59">
        <v>47</v>
      </c>
      <c r="B62" s="60" t="s">
        <v>213</v>
      </c>
      <c r="C62" s="61">
        <v>43770</v>
      </c>
      <c r="D62" s="62" t="str">
        <f ca="1" t="shared" si="0"/>
        <v>一年以上</v>
      </c>
      <c r="E62" s="66">
        <v>43796</v>
      </c>
      <c r="F62" s="66" t="s">
        <v>70</v>
      </c>
      <c r="G62" s="59" t="s">
        <v>149</v>
      </c>
      <c r="H62" s="60" t="s">
        <v>186</v>
      </c>
      <c r="I62" s="63" t="s">
        <v>186</v>
      </c>
      <c r="J62" s="71">
        <v>2000</v>
      </c>
      <c r="K62" s="59"/>
      <c r="L62" s="59" t="s">
        <v>96</v>
      </c>
      <c r="M62" s="59" t="s">
        <v>65</v>
      </c>
      <c r="N62" s="65">
        <v>2000</v>
      </c>
      <c r="O62" s="65">
        <f t="shared" si="3"/>
        <v>0</v>
      </c>
      <c r="P62" s="66">
        <v>43801</v>
      </c>
      <c r="Q62" s="61">
        <f t="shared" si="2"/>
        <v>43801</v>
      </c>
      <c r="R62" s="66"/>
      <c r="S62" s="59"/>
      <c r="T62" s="59"/>
      <c r="U62" s="59"/>
      <c r="V62" s="59"/>
      <c r="W62" s="79"/>
      <c r="X62" s="79"/>
    </row>
    <row r="63" s="20" customFormat="1" hidden="1" spans="1:24">
      <c r="A63" s="59">
        <v>193</v>
      </c>
      <c r="B63" s="60" t="s">
        <v>214</v>
      </c>
      <c r="C63" s="61">
        <v>43800</v>
      </c>
      <c r="D63" s="62" t="str">
        <f ca="1" t="shared" si="0"/>
        <v>一年以上</v>
      </c>
      <c r="E63" s="66">
        <v>43804</v>
      </c>
      <c r="F63" s="66"/>
      <c r="G63" s="59" t="s">
        <v>125</v>
      </c>
      <c r="H63" s="60" t="s">
        <v>215</v>
      </c>
      <c r="I63" s="63" t="s">
        <v>215</v>
      </c>
      <c r="J63" s="71">
        <v>10000</v>
      </c>
      <c r="K63" s="59"/>
      <c r="L63" s="59" t="s">
        <v>73</v>
      </c>
      <c r="M63" s="59" t="s">
        <v>30</v>
      </c>
      <c r="N63" s="65">
        <v>10000</v>
      </c>
      <c r="O63" s="65">
        <f t="shared" si="3"/>
        <v>0</v>
      </c>
      <c r="P63" s="66">
        <v>44018</v>
      </c>
      <c r="Q63" s="61">
        <f t="shared" si="2"/>
        <v>44018</v>
      </c>
      <c r="R63" s="59"/>
      <c r="S63" s="75"/>
      <c r="T63" s="59"/>
      <c r="U63" s="59"/>
      <c r="V63" s="59"/>
      <c r="W63" s="59"/>
      <c r="X63" s="59"/>
    </row>
    <row r="64" s="20" customFormat="1" ht="24" hidden="1" spans="1:24">
      <c r="A64" s="59">
        <v>48</v>
      </c>
      <c r="B64" s="60" t="s">
        <v>216</v>
      </c>
      <c r="C64" s="61">
        <v>43800</v>
      </c>
      <c r="D64" s="62" t="str">
        <f ca="1" t="shared" si="0"/>
        <v>一年以上</v>
      </c>
      <c r="E64" s="66">
        <v>43805</v>
      </c>
      <c r="F64" s="66" t="s">
        <v>70</v>
      </c>
      <c r="G64" s="59" t="s">
        <v>190</v>
      </c>
      <c r="H64" s="60" t="s">
        <v>115</v>
      </c>
      <c r="I64" s="63" t="s">
        <v>115</v>
      </c>
      <c r="J64" s="71">
        <v>2700</v>
      </c>
      <c r="K64" s="59"/>
      <c r="L64" s="59" t="s">
        <v>73</v>
      </c>
      <c r="M64" s="59" t="s">
        <v>65</v>
      </c>
      <c r="N64" s="65">
        <v>2700</v>
      </c>
      <c r="O64" s="65">
        <f t="shared" si="3"/>
        <v>0</v>
      </c>
      <c r="P64" s="66">
        <v>43985</v>
      </c>
      <c r="Q64" s="61">
        <f t="shared" si="2"/>
        <v>43985</v>
      </c>
      <c r="R64" s="66"/>
      <c r="S64" s="59"/>
      <c r="T64" s="59"/>
      <c r="U64" s="59"/>
      <c r="V64" s="59"/>
      <c r="W64" s="59"/>
      <c r="X64" s="59"/>
    </row>
    <row r="65" s="22" customFormat="1" hidden="1" spans="1:24">
      <c r="A65" s="59">
        <v>50</v>
      </c>
      <c r="B65" s="60" t="s">
        <v>217</v>
      </c>
      <c r="C65" s="61">
        <v>43800</v>
      </c>
      <c r="D65" s="62" t="str">
        <f ca="1" t="shared" si="0"/>
        <v>一年以上</v>
      </c>
      <c r="E65" s="66">
        <v>43808</v>
      </c>
      <c r="F65" s="66" t="s">
        <v>70</v>
      </c>
      <c r="G65" s="59" t="s">
        <v>104</v>
      </c>
      <c r="H65" s="60" t="s">
        <v>179</v>
      </c>
      <c r="I65" s="63" t="s">
        <v>179</v>
      </c>
      <c r="J65" s="71">
        <v>2000</v>
      </c>
      <c r="K65" s="59"/>
      <c r="L65" s="59" t="s">
        <v>96</v>
      </c>
      <c r="M65" s="59" t="s">
        <v>65</v>
      </c>
      <c r="N65" s="65">
        <v>2000</v>
      </c>
      <c r="O65" s="65">
        <f t="shared" si="3"/>
        <v>0</v>
      </c>
      <c r="P65" s="66">
        <v>43819</v>
      </c>
      <c r="Q65" s="61">
        <f t="shared" si="2"/>
        <v>43819</v>
      </c>
      <c r="R65" s="66"/>
      <c r="S65" s="59"/>
      <c r="T65" s="59"/>
      <c r="U65" s="59"/>
      <c r="V65" s="59"/>
      <c r="W65" s="80"/>
      <c r="X65" s="80"/>
    </row>
    <row r="66" s="20" customFormat="1" ht="24" hidden="1" spans="1:24">
      <c r="A66" s="59">
        <v>49</v>
      </c>
      <c r="B66" s="60" t="s">
        <v>218</v>
      </c>
      <c r="C66" s="61">
        <v>43800</v>
      </c>
      <c r="D66" s="62" t="str">
        <f ca="1" t="shared" si="0"/>
        <v>一年以上</v>
      </c>
      <c r="E66" s="66">
        <v>43812</v>
      </c>
      <c r="F66" s="66" t="s">
        <v>70</v>
      </c>
      <c r="G66" s="59" t="s">
        <v>219</v>
      </c>
      <c r="H66" s="78" t="s">
        <v>220</v>
      </c>
      <c r="I66" s="63" t="s">
        <v>220</v>
      </c>
      <c r="J66" s="71">
        <v>3000</v>
      </c>
      <c r="K66" s="59"/>
      <c r="L66" s="59" t="s">
        <v>73</v>
      </c>
      <c r="M66" s="59" t="s">
        <v>65</v>
      </c>
      <c r="N66" s="65">
        <v>3000</v>
      </c>
      <c r="O66" s="65">
        <f t="shared" si="3"/>
        <v>0</v>
      </c>
      <c r="P66" s="66">
        <v>44189</v>
      </c>
      <c r="Q66" s="61">
        <f t="shared" si="2"/>
        <v>44189</v>
      </c>
      <c r="R66" s="66"/>
      <c r="S66" s="59"/>
      <c r="T66" s="59"/>
      <c r="U66" s="59"/>
      <c r="V66" s="59"/>
      <c r="W66" s="59"/>
      <c r="X66" s="59"/>
    </row>
    <row r="67" s="20" customFormat="1" ht="24" hidden="1" spans="1:24">
      <c r="A67" s="59">
        <v>51</v>
      </c>
      <c r="B67" s="60" t="s">
        <v>221</v>
      </c>
      <c r="C67" s="61">
        <v>43800</v>
      </c>
      <c r="D67" s="62" t="str">
        <f ca="1" t="shared" ref="D67:D130" si="4">IF(TODAY()-E67&lt;60,"2个月内",IF(TODAY()-E67&lt;180,"3-6个月",IF(TODAY()-E67&lt;360,"6个月-1年","一年以上")))</f>
        <v>一年以上</v>
      </c>
      <c r="E67" s="66">
        <v>43823</v>
      </c>
      <c r="F67" s="66" t="s">
        <v>70</v>
      </c>
      <c r="G67" s="59" t="s">
        <v>104</v>
      </c>
      <c r="H67" s="60" t="s">
        <v>222</v>
      </c>
      <c r="I67" s="63" t="s">
        <v>222</v>
      </c>
      <c r="J67" s="71">
        <v>2000</v>
      </c>
      <c r="K67" s="59"/>
      <c r="L67" s="59" t="s">
        <v>96</v>
      </c>
      <c r="M67" s="59" t="s">
        <v>65</v>
      </c>
      <c r="N67" s="65">
        <v>2000</v>
      </c>
      <c r="O67" s="65">
        <f t="shared" si="3"/>
        <v>0</v>
      </c>
      <c r="P67" s="66">
        <v>43834</v>
      </c>
      <c r="Q67" s="61">
        <f t="shared" ref="Q67:Q130" si="5">P67</f>
        <v>43834</v>
      </c>
      <c r="R67" s="66"/>
      <c r="S67" s="59"/>
      <c r="T67" s="59"/>
      <c r="U67" s="59"/>
      <c r="V67" s="59"/>
      <c r="W67" s="59"/>
      <c r="X67" s="59"/>
    </row>
    <row r="68" s="20" customFormat="1" ht="24" hidden="1" spans="1:24">
      <c r="A68" s="59">
        <v>52</v>
      </c>
      <c r="B68" s="60" t="s">
        <v>223</v>
      </c>
      <c r="C68" s="61">
        <v>43800</v>
      </c>
      <c r="D68" s="62" t="str">
        <f ca="1" t="shared" si="4"/>
        <v>一年以上</v>
      </c>
      <c r="E68" s="66">
        <v>43825</v>
      </c>
      <c r="F68" s="66" t="s">
        <v>70</v>
      </c>
      <c r="G68" s="59" t="s">
        <v>224</v>
      </c>
      <c r="H68" s="60" t="s">
        <v>225</v>
      </c>
      <c r="I68" s="63" t="s">
        <v>225</v>
      </c>
      <c r="J68" s="71">
        <v>5000</v>
      </c>
      <c r="K68" s="59"/>
      <c r="L68" s="59" t="s">
        <v>73</v>
      </c>
      <c r="M68" s="59" t="s">
        <v>65</v>
      </c>
      <c r="N68" s="65">
        <v>5000</v>
      </c>
      <c r="O68" s="65">
        <f t="shared" si="3"/>
        <v>0</v>
      </c>
      <c r="P68" s="66">
        <v>44099</v>
      </c>
      <c r="Q68" s="61">
        <f t="shared" si="5"/>
        <v>44099</v>
      </c>
      <c r="R68" s="66"/>
      <c r="S68" s="59"/>
      <c r="T68" s="59"/>
      <c r="U68" s="59"/>
      <c r="V68" s="59"/>
      <c r="W68" s="59"/>
      <c r="X68" s="59"/>
    </row>
    <row r="69" s="20" customFormat="1" spans="1:24">
      <c r="A69" s="59">
        <v>73</v>
      </c>
      <c r="B69" s="60" t="s">
        <v>226</v>
      </c>
      <c r="C69" s="61">
        <v>43800</v>
      </c>
      <c r="D69" s="62" t="str">
        <f ca="1" t="shared" si="4"/>
        <v>一年以上</v>
      </c>
      <c r="E69" s="66">
        <v>43830</v>
      </c>
      <c r="F69" s="66" t="s">
        <v>130</v>
      </c>
      <c r="G69" s="59" t="s">
        <v>125</v>
      </c>
      <c r="H69" s="60" t="s">
        <v>60</v>
      </c>
      <c r="I69" s="63" t="s">
        <v>60</v>
      </c>
      <c r="J69" s="64">
        <v>900</v>
      </c>
      <c r="K69" s="59" t="s">
        <v>28</v>
      </c>
      <c r="L69" s="59" t="s">
        <v>96</v>
      </c>
      <c r="M69" s="59" t="s">
        <v>65</v>
      </c>
      <c r="N69" s="65"/>
      <c r="O69" s="65">
        <f t="shared" si="3"/>
        <v>900</v>
      </c>
      <c r="P69" s="66"/>
      <c r="Q69" s="61">
        <f t="shared" si="5"/>
        <v>0</v>
      </c>
      <c r="R69" s="77" t="s">
        <v>227</v>
      </c>
      <c r="S69" s="59" t="s">
        <v>228</v>
      </c>
      <c r="T69" s="59" t="s">
        <v>49</v>
      </c>
      <c r="U69" s="59" t="str">
        <f>VLOOKUP(T69,[1]区域划分!$A$1:$C$39,3,0)</f>
        <v>龚运谱</v>
      </c>
      <c r="V69" s="59"/>
      <c r="W69" s="59"/>
      <c r="X69" s="59"/>
    </row>
    <row r="70" s="20" customFormat="1" ht="24" hidden="1" spans="1:24">
      <c r="A70" s="59">
        <v>53</v>
      </c>
      <c r="B70" s="60" t="s">
        <v>229</v>
      </c>
      <c r="C70" s="61">
        <v>43831</v>
      </c>
      <c r="D70" s="62" t="str">
        <f ca="1" t="shared" si="4"/>
        <v>一年以上</v>
      </c>
      <c r="E70" s="66">
        <v>43840</v>
      </c>
      <c r="F70" s="66" t="s">
        <v>70</v>
      </c>
      <c r="G70" s="59" t="s">
        <v>230</v>
      </c>
      <c r="H70" s="60" t="s">
        <v>231</v>
      </c>
      <c r="I70" s="63" t="s">
        <v>231</v>
      </c>
      <c r="J70" s="71">
        <v>3000</v>
      </c>
      <c r="K70" s="59"/>
      <c r="L70" s="59" t="s">
        <v>96</v>
      </c>
      <c r="M70" s="59" t="s">
        <v>65</v>
      </c>
      <c r="N70" s="65">
        <v>3000</v>
      </c>
      <c r="O70" s="65">
        <f t="shared" si="3"/>
        <v>0</v>
      </c>
      <c r="P70" s="66">
        <v>43920</v>
      </c>
      <c r="Q70" s="61">
        <f t="shared" si="5"/>
        <v>43920</v>
      </c>
      <c r="R70" s="66"/>
      <c r="S70" s="59"/>
      <c r="T70" s="59"/>
      <c r="U70" s="59"/>
      <c r="V70" s="59"/>
      <c r="W70" s="59"/>
      <c r="X70" s="59"/>
    </row>
    <row r="71" s="20" customFormat="1" ht="24" hidden="1" spans="1:24">
      <c r="A71" s="59">
        <v>54</v>
      </c>
      <c r="B71" s="60" t="s">
        <v>232</v>
      </c>
      <c r="C71" s="81">
        <v>43831</v>
      </c>
      <c r="D71" s="82" t="str">
        <f ca="1" t="shared" si="4"/>
        <v>一年以上</v>
      </c>
      <c r="E71" s="83">
        <v>43840</v>
      </c>
      <c r="F71" s="83" t="s">
        <v>70</v>
      </c>
      <c r="G71" s="79" t="s">
        <v>233</v>
      </c>
      <c r="H71" s="84" t="s">
        <v>234</v>
      </c>
      <c r="I71" s="63" t="s">
        <v>234</v>
      </c>
      <c r="J71" s="85">
        <v>2000</v>
      </c>
      <c r="K71" s="79" t="s">
        <v>28</v>
      </c>
      <c r="L71" s="79" t="s">
        <v>57</v>
      </c>
      <c r="M71" s="79" t="s">
        <v>65</v>
      </c>
      <c r="N71" s="86">
        <v>2000</v>
      </c>
      <c r="O71" s="86">
        <f t="shared" si="3"/>
        <v>0</v>
      </c>
      <c r="P71" s="83">
        <v>45035</v>
      </c>
      <c r="Q71" s="61">
        <f t="shared" si="5"/>
        <v>45035</v>
      </c>
      <c r="R71" s="83" t="s">
        <v>235</v>
      </c>
      <c r="S71" s="79" t="s">
        <v>236</v>
      </c>
      <c r="T71" s="79" t="s">
        <v>182</v>
      </c>
      <c r="U71" s="79" t="s">
        <v>125</v>
      </c>
      <c r="V71" s="79" t="s">
        <v>237</v>
      </c>
      <c r="W71" s="59"/>
      <c r="X71" s="59"/>
    </row>
    <row r="72" s="20" customFormat="1" ht="24" hidden="1" spans="1:24">
      <c r="A72" s="59">
        <v>195</v>
      </c>
      <c r="B72" s="60" t="s">
        <v>238</v>
      </c>
      <c r="C72" s="61">
        <v>43831</v>
      </c>
      <c r="D72" s="62" t="str">
        <f ca="1" t="shared" si="4"/>
        <v>一年以上</v>
      </c>
      <c r="E72" s="66">
        <v>43840</v>
      </c>
      <c r="F72" s="66"/>
      <c r="G72" s="59" t="s">
        <v>239</v>
      </c>
      <c r="H72" s="60" t="s">
        <v>240</v>
      </c>
      <c r="I72" s="63" t="s">
        <v>240</v>
      </c>
      <c r="J72" s="71">
        <v>10000</v>
      </c>
      <c r="K72" s="59"/>
      <c r="L72" s="59" t="s">
        <v>73</v>
      </c>
      <c r="M72" s="59" t="s">
        <v>30</v>
      </c>
      <c r="N72" s="65">
        <v>10000</v>
      </c>
      <c r="O72" s="65">
        <f t="shared" si="3"/>
        <v>0</v>
      </c>
      <c r="P72" s="66">
        <v>43913</v>
      </c>
      <c r="Q72" s="61">
        <f t="shared" si="5"/>
        <v>43913</v>
      </c>
      <c r="R72" s="59"/>
      <c r="S72" s="75" t="s">
        <v>62</v>
      </c>
      <c r="T72" s="59"/>
      <c r="U72" s="59"/>
      <c r="V72" s="59"/>
      <c r="W72" s="59"/>
      <c r="X72" s="59"/>
    </row>
    <row r="73" s="20" customFormat="1" ht="24" spans="1:24">
      <c r="A73" s="59">
        <v>55</v>
      </c>
      <c r="B73" s="60" t="s">
        <v>241</v>
      </c>
      <c r="C73" s="61">
        <v>43831</v>
      </c>
      <c r="D73" s="62" t="str">
        <f ca="1" t="shared" si="4"/>
        <v>一年以上</v>
      </c>
      <c r="E73" s="66">
        <v>43843</v>
      </c>
      <c r="F73" s="66" t="s">
        <v>70</v>
      </c>
      <c r="G73" s="59" t="s">
        <v>146</v>
      </c>
      <c r="H73" s="60" t="s">
        <v>220</v>
      </c>
      <c r="I73" s="63" t="s">
        <v>220</v>
      </c>
      <c r="J73" s="71">
        <v>3000</v>
      </c>
      <c r="K73" s="59" t="s">
        <v>28</v>
      </c>
      <c r="L73" s="59" t="s">
        <v>73</v>
      </c>
      <c r="M73" s="59" t="s">
        <v>65</v>
      </c>
      <c r="N73" s="65">
        <v>2900</v>
      </c>
      <c r="O73" s="65">
        <f t="shared" si="3"/>
        <v>100</v>
      </c>
      <c r="P73" s="66"/>
      <c r="Q73" s="61">
        <f t="shared" si="5"/>
        <v>0</v>
      </c>
      <c r="R73" s="59" t="s">
        <v>2654</v>
      </c>
      <c r="S73" s="59"/>
      <c r="T73" s="59" t="s">
        <v>80</v>
      </c>
      <c r="U73" s="59" t="str">
        <f>VLOOKUP(T73,[1]区域划分!$A$1:$C$39,3,0)</f>
        <v>殷坤鹏</v>
      </c>
      <c r="V73" s="59"/>
      <c r="W73" s="59"/>
      <c r="X73" s="59"/>
    </row>
    <row r="74" s="20" customFormat="1" ht="24" hidden="1" spans="1:24">
      <c r="A74" s="59">
        <v>344</v>
      </c>
      <c r="B74" s="60" t="s">
        <v>243</v>
      </c>
      <c r="C74" s="61">
        <v>43831</v>
      </c>
      <c r="D74" s="62" t="str">
        <f ca="1" t="shared" si="4"/>
        <v>一年以上</v>
      </c>
      <c r="E74" s="66">
        <v>43843</v>
      </c>
      <c r="F74" s="66" t="s">
        <v>130</v>
      </c>
      <c r="G74" s="59" t="s">
        <v>128</v>
      </c>
      <c r="H74" s="60" t="s">
        <v>244</v>
      </c>
      <c r="I74" s="63" t="s">
        <v>244</v>
      </c>
      <c r="J74" s="76">
        <v>24000</v>
      </c>
      <c r="K74" s="59"/>
      <c r="L74" s="59" t="s">
        <v>73</v>
      </c>
      <c r="M74" s="59" t="s">
        <v>133</v>
      </c>
      <c r="N74" s="65">
        <v>24000</v>
      </c>
      <c r="O74" s="65">
        <f t="shared" si="3"/>
        <v>0</v>
      </c>
      <c r="P74" s="66">
        <v>44193</v>
      </c>
      <c r="Q74" s="61">
        <f t="shared" si="5"/>
        <v>44193</v>
      </c>
      <c r="R74" s="59"/>
      <c r="S74" s="59" t="s">
        <v>133</v>
      </c>
      <c r="T74" s="59"/>
      <c r="U74" s="59"/>
      <c r="V74" s="59"/>
      <c r="W74" s="59"/>
      <c r="X74" s="59"/>
    </row>
    <row r="75" s="20" customFormat="1" ht="24" hidden="1" spans="1:24">
      <c r="A75" s="59">
        <v>56</v>
      </c>
      <c r="B75" s="60" t="s">
        <v>245</v>
      </c>
      <c r="C75" s="61">
        <v>43891</v>
      </c>
      <c r="D75" s="62" t="str">
        <f ca="1" t="shared" si="4"/>
        <v>一年以上</v>
      </c>
      <c r="E75" s="66">
        <v>43920</v>
      </c>
      <c r="F75" s="66" t="s">
        <v>70</v>
      </c>
      <c r="G75" s="59" t="s">
        <v>246</v>
      </c>
      <c r="H75" s="87" t="s">
        <v>247</v>
      </c>
      <c r="I75" s="63" t="s">
        <v>247</v>
      </c>
      <c r="J75" s="71">
        <v>5000</v>
      </c>
      <c r="K75" s="59"/>
      <c r="L75" s="59" t="s">
        <v>96</v>
      </c>
      <c r="M75" s="59" t="s">
        <v>65</v>
      </c>
      <c r="N75" s="65">
        <v>5000</v>
      </c>
      <c r="O75" s="65">
        <f t="shared" si="3"/>
        <v>0</v>
      </c>
      <c r="P75" s="66">
        <v>44039</v>
      </c>
      <c r="Q75" s="61">
        <f t="shared" si="5"/>
        <v>44039</v>
      </c>
      <c r="R75" s="66"/>
      <c r="S75" s="59"/>
      <c r="T75" s="59"/>
      <c r="U75" s="59"/>
      <c r="V75" s="59"/>
      <c r="W75" s="59"/>
      <c r="X75" s="59"/>
    </row>
    <row r="76" s="20" customFormat="1" ht="60" spans="1:24">
      <c r="A76" s="59">
        <v>57</v>
      </c>
      <c r="B76" s="60" t="s">
        <v>248</v>
      </c>
      <c r="C76" s="61">
        <v>43922</v>
      </c>
      <c r="D76" s="62" t="str">
        <f ca="1" t="shared" si="4"/>
        <v>一年以上</v>
      </c>
      <c r="E76" s="66">
        <v>43923</v>
      </c>
      <c r="F76" s="66" t="s">
        <v>70</v>
      </c>
      <c r="G76" s="59" t="s">
        <v>205</v>
      </c>
      <c r="H76" s="60" t="s">
        <v>167</v>
      </c>
      <c r="I76" s="63" t="s">
        <v>167</v>
      </c>
      <c r="J76" s="71">
        <v>10000</v>
      </c>
      <c r="K76" s="59" t="s">
        <v>28</v>
      </c>
      <c r="L76" s="59" t="s">
        <v>57</v>
      </c>
      <c r="M76" s="59" t="s">
        <v>65</v>
      </c>
      <c r="N76" s="65"/>
      <c r="O76" s="88">
        <f t="shared" si="3"/>
        <v>10000</v>
      </c>
      <c r="P76" s="66"/>
      <c r="Q76" s="61">
        <f t="shared" si="5"/>
        <v>0</v>
      </c>
      <c r="R76" s="66" t="s">
        <v>249</v>
      </c>
      <c r="S76" s="59" t="s">
        <v>250</v>
      </c>
      <c r="T76" s="59" t="s">
        <v>251</v>
      </c>
      <c r="U76" s="59" t="str">
        <f>VLOOKUP(T76,[1]区域划分!$A$1:$C$39,3,0)</f>
        <v>曾江利</v>
      </c>
      <c r="V76" s="59"/>
      <c r="W76" s="59"/>
      <c r="X76" s="59"/>
    </row>
    <row r="77" s="20" customFormat="1" hidden="1" spans="1:24">
      <c r="A77" s="59">
        <v>196</v>
      </c>
      <c r="B77" s="60" t="s">
        <v>252</v>
      </c>
      <c r="C77" s="61">
        <v>43922</v>
      </c>
      <c r="D77" s="62" t="str">
        <f ca="1" t="shared" si="4"/>
        <v>一年以上</v>
      </c>
      <c r="E77" s="66">
        <v>43936</v>
      </c>
      <c r="F77" s="66"/>
      <c r="G77" s="59" t="s">
        <v>54</v>
      </c>
      <c r="H77" s="60" t="s">
        <v>253</v>
      </c>
      <c r="I77" s="63" t="s">
        <v>253</v>
      </c>
      <c r="J77" s="71">
        <v>10000</v>
      </c>
      <c r="K77" s="59"/>
      <c r="L77" s="59" t="s">
        <v>73</v>
      </c>
      <c r="M77" s="59" t="s">
        <v>30</v>
      </c>
      <c r="N77" s="65">
        <v>10000</v>
      </c>
      <c r="O77" s="65">
        <f t="shared" si="3"/>
        <v>0</v>
      </c>
      <c r="P77" s="66">
        <v>44155</v>
      </c>
      <c r="Q77" s="61">
        <f t="shared" si="5"/>
        <v>44155</v>
      </c>
      <c r="R77" s="59"/>
      <c r="S77" s="59" t="s">
        <v>30</v>
      </c>
      <c r="T77" s="59"/>
      <c r="U77" s="59"/>
      <c r="V77" s="59"/>
      <c r="W77" s="59"/>
      <c r="X77" s="59"/>
    </row>
    <row r="78" s="20" customFormat="1" ht="24" hidden="1" spans="1:24">
      <c r="A78" s="59">
        <v>58</v>
      </c>
      <c r="B78" s="60" t="s">
        <v>254</v>
      </c>
      <c r="C78" s="61">
        <v>43952</v>
      </c>
      <c r="D78" s="62" t="str">
        <f ca="1" t="shared" si="4"/>
        <v>一年以上</v>
      </c>
      <c r="E78" s="66">
        <v>43967</v>
      </c>
      <c r="F78" s="66" t="s">
        <v>70</v>
      </c>
      <c r="G78" s="59" t="s">
        <v>255</v>
      </c>
      <c r="H78" s="60" t="s">
        <v>150</v>
      </c>
      <c r="I78" s="63" t="s">
        <v>150</v>
      </c>
      <c r="J78" s="71">
        <v>5000</v>
      </c>
      <c r="K78" s="59"/>
      <c r="L78" s="59" t="s">
        <v>73</v>
      </c>
      <c r="M78" s="59" t="s">
        <v>65</v>
      </c>
      <c r="N78" s="65">
        <v>5000</v>
      </c>
      <c r="O78" s="65">
        <f t="shared" si="3"/>
        <v>0</v>
      </c>
      <c r="P78" s="66">
        <v>44463</v>
      </c>
      <c r="Q78" s="61">
        <f t="shared" si="5"/>
        <v>44463</v>
      </c>
      <c r="R78" s="66"/>
      <c r="S78" s="59"/>
      <c r="T78" s="59"/>
      <c r="U78" s="59"/>
      <c r="V78" s="59"/>
      <c r="W78" s="59"/>
      <c r="X78" s="59"/>
    </row>
    <row r="79" s="20" customFormat="1" hidden="1" spans="1:24">
      <c r="A79" s="59">
        <v>59</v>
      </c>
      <c r="B79" s="60" t="s">
        <v>256</v>
      </c>
      <c r="C79" s="61">
        <v>43952</v>
      </c>
      <c r="D79" s="62" t="str">
        <f ca="1" t="shared" si="4"/>
        <v>一年以上</v>
      </c>
      <c r="E79" s="66">
        <v>43969</v>
      </c>
      <c r="F79" s="66" t="s">
        <v>70</v>
      </c>
      <c r="G79" s="59" t="s">
        <v>83</v>
      </c>
      <c r="H79" s="60" t="s">
        <v>257</v>
      </c>
      <c r="I79" s="63" t="s">
        <v>257</v>
      </c>
      <c r="J79" s="71">
        <v>2000</v>
      </c>
      <c r="K79" s="59"/>
      <c r="L79" s="59" t="s">
        <v>96</v>
      </c>
      <c r="M79" s="59" t="s">
        <v>65</v>
      </c>
      <c r="N79" s="65">
        <v>2000</v>
      </c>
      <c r="O79" s="65">
        <f t="shared" ref="O79:O142" si="6">J79-N79</f>
        <v>0</v>
      </c>
      <c r="P79" s="66">
        <v>44034</v>
      </c>
      <c r="Q79" s="61">
        <f t="shared" si="5"/>
        <v>44034</v>
      </c>
      <c r="R79" s="66"/>
      <c r="S79" s="59"/>
      <c r="T79" s="59"/>
      <c r="U79" s="59"/>
      <c r="V79" s="59"/>
      <c r="W79" s="59"/>
      <c r="X79" s="59"/>
    </row>
    <row r="80" s="20" customFormat="1" ht="24" hidden="1" spans="1:24">
      <c r="A80" s="59">
        <v>60</v>
      </c>
      <c r="B80" s="60" t="s">
        <v>258</v>
      </c>
      <c r="C80" s="61">
        <v>43952</v>
      </c>
      <c r="D80" s="62" t="str">
        <f ca="1" t="shared" si="4"/>
        <v>一年以上</v>
      </c>
      <c r="E80" s="66">
        <v>43969</v>
      </c>
      <c r="F80" s="66" t="s">
        <v>70</v>
      </c>
      <c r="G80" s="59" t="s">
        <v>259</v>
      </c>
      <c r="H80" s="60" t="s">
        <v>136</v>
      </c>
      <c r="I80" s="63" t="s">
        <v>136</v>
      </c>
      <c r="J80" s="64">
        <v>3000</v>
      </c>
      <c r="K80" s="59"/>
      <c r="L80" s="59" t="s">
        <v>73</v>
      </c>
      <c r="M80" s="59" t="s">
        <v>65</v>
      </c>
      <c r="N80" s="65">
        <v>3000</v>
      </c>
      <c r="O80" s="65">
        <f t="shared" si="6"/>
        <v>0</v>
      </c>
      <c r="P80" s="66">
        <v>44035</v>
      </c>
      <c r="Q80" s="61">
        <f t="shared" si="5"/>
        <v>44035</v>
      </c>
      <c r="R80" s="66"/>
      <c r="S80" s="59"/>
      <c r="T80" s="59"/>
      <c r="U80" s="59"/>
      <c r="V80" s="59"/>
      <c r="W80" s="59"/>
      <c r="X80" s="59"/>
    </row>
    <row r="81" s="20" customFormat="1" ht="24" hidden="1" spans="1:24">
      <c r="A81" s="59">
        <v>61</v>
      </c>
      <c r="B81" s="60" t="s">
        <v>260</v>
      </c>
      <c r="C81" s="61">
        <v>43952</v>
      </c>
      <c r="D81" s="62" t="str">
        <f ca="1" t="shared" si="4"/>
        <v>一年以上</v>
      </c>
      <c r="E81" s="66">
        <v>43977</v>
      </c>
      <c r="F81" s="66" t="s">
        <v>70</v>
      </c>
      <c r="G81" s="59" t="s">
        <v>224</v>
      </c>
      <c r="H81" s="60" t="s">
        <v>105</v>
      </c>
      <c r="I81" s="63" t="s">
        <v>105</v>
      </c>
      <c r="J81" s="64">
        <v>5000</v>
      </c>
      <c r="K81" s="59"/>
      <c r="L81" s="59" t="s">
        <v>73</v>
      </c>
      <c r="M81" s="59" t="s">
        <v>65</v>
      </c>
      <c r="N81" s="65">
        <v>5000</v>
      </c>
      <c r="O81" s="65">
        <f t="shared" si="6"/>
        <v>0</v>
      </c>
      <c r="P81" s="66">
        <v>44491</v>
      </c>
      <c r="Q81" s="61">
        <f t="shared" si="5"/>
        <v>44491</v>
      </c>
      <c r="R81" s="66"/>
      <c r="S81" s="59"/>
      <c r="T81" s="59"/>
      <c r="U81" s="59"/>
      <c r="V81" s="59"/>
      <c r="W81" s="59"/>
      <c r="X81" s="59"/>
    </row>
    <row r="82" s="20" customFormat="1" ht="24" hidden="1" spans="1:24">
      <c r="A82" s="59">
        <v>62</v>
      </c>
      <c r="B82" s="60" t="s">
        <v>261</v>
      </c>
      <c r="C82" s="61">
        <v>43983</v>
      </c>
      <c r="D82" s="62" t="str">
        <f ca="1" t="shared" si="4"/>
        <v>一年以上</v>
      </c>
      <c r="E82" s="66">
        <v>43992</v>
      </c>
      <c r="F82" s="66" t="s">
        <v>70</v>
      </c>
      <c r="G82" s="59" t="s">
        <v>255</v>
      </c>
      <c r="H82" s="60" t="s">
        <v>115</v>
      </c>
      <c r="I82" s="63" t="s">
        <v>115</v>
      </c>
      <c r="J82" s="64">
        <v>2000</v>
      </c>
      <c r="K82" s="59"/>
      <c r="L82" s="59" t="s">
        <v>73</v>
      </c>
      <c r="M82" s="59" t="s">
        <v>65</v>
      </c>
      <c r="N82" s="65">
        <v>2000</v>
      </c>
      <c r="O82" s="65">
        <f t="shared" si="6"/>
        <v>0</v>
      </c>
      <c r="P82" s="66">
        <v>44083</v>
      </c>
      <c r="Q82" s="61">
        <f t="shared" si="5"/>
        <v>44083</v>
      </c>
      <c r="R82" s="66"/>
      <c r="S82" s="59"/>
      <c r="T82" s="59"/>
      <c r="U82" s="59"/>
      <c r="V82" s="59"/>
      <c r="W82" s="59"/>
      <c r="X82" s="59"/>
    </row>
    <row r="83" s="20" customFormat="1" ht="24" hidden="1" spans="1:24">
      <c r="A83" s="59">
        <v>63</v>
      </c>
      <c r="B83" s="60" t="s">
        <v>262</v>
      </c>
      <c r="C83" s="61">
        <v>43983</v>
      </c>
      <c r="D83" s="62" t="str">
        <f ca="1" t="shared" si="4"/>
        <v>一年以上</v>
      </c>
      <c r="E83" s="66">
        <v>44010</v>
      </c>
      <c r="F83" s="66" t="s">
        <v>70</v>
      </c>
      <c r="G83" s="59" t="s">
        <v>233</v>
      </c>
      <c r="H83" s="60" t="s">
        <v>263</v>
      </c>
      <c r="I83" s="63" t="s">
        <v>263</v>
      </c>
      <c r="J83" s="64">
        <v>1500</v>
      </c>
      <c r="K83" s="59"/>
      <c r="L83" s="59" t="s">
        <v>73</v>
      </c>
      <c r="M83" s="59" t="s">
        <v>65</v>
      </c>
      <c r="N83" s="65">
        <v>1500</v>
      </c>
      <c r="O83" s="65">
        <f t="shared" si="6"/>
        <v>0</v>
      </c>
      <c r="P83" s="66">
        <v>44130</v>
      </c>
      <c r="Q83" s="61">
        <f t="shared" si="5"/>
        <v>44130</v>
      </c>
      <c r="R83" s="66"/>
      <c r="S83" s="59"/>
      <c r="T83" s="59"/>
      <c r="U83" s="59"/>
      <c r="V83" s="59"/>
      <c r="W83" s="59"/>
      <c r="X83" s="59"/>
    </row>
    <row r="84" s="20" customFormat="1" ht="24" spans="1:24">
      <c r="A84" s="59">
        <v>197</v>
      </c>
      <c r="B84" s="60" t="s">
        <v>264</v>
      </c>
      <c r="C84" s="61">
        <v>43983</v>
      </c>
      <c r="D84" s="62" t="str">
        <f ca="1" t="shared" si="4"/>
        <v>一年以上</v>
      </c>
      <c r="E84" s="66">
        <v>44011</v>
      </c>
      <c r="F84" s="66"/>
      <c r="G84" s="59" t="s">
        <v>128</v>
      </c>
      <c r="H84" s="60" t="s">
        <v>265</v>
      </c>
      <c r="I84" s="63" t="s">
        <v>90</v>
      </c>
      <c r="J84" s="71">
        <v>50000</v>
      </c>
      <c r="K84" s="59" t="s">
        <v>28</v>
      </c>
      <c r="L84" s="59" t="s">
        <v>73</v>
      </c>
      <c r="M84" s="59" t="s">
        <v>30</v>
      </c>
      <c r="N84" s="65"/>
      <c r="O84" s="88">
        <f t="shared" si="6"/>
        <v>50000</v>
      </c>
      <c r="P84" s="66"/>
      <c r="Q84" s="61">
        <f t="shared" si="5"/>
        <v>0</v>
      </c>
      <c r="R84" s="59" t="s">
        <v>310</v>
      </c>
      <c r="S84" s="75" t="s">
        <v>266</v>
      </c>
      <c r="T84" s="59" t="s">
        <v>267</v>
      </c>
      <c r="U84" s="59" t="str">
        <f>VLOOKUP(T84,[1]区域划分!$A$1:$C$39,3,0)</f>
        <v>牛国庆</v>
      </c>
      <c r="V84" s="59"/>
      <c r="W84" s="59"/>
      <c r="X84" s="59"/>
    </row>
    <row r="85" s="20" customFormat="1" ht="24" hidden="1" spans="1:24">
      <c r="A85" s="59">
        <v>64</v>
      </c>
      <c r="B85" s="60" t="s">
        <v>268</v>
      </c>
      <c r="C85" s="61">
        <v>43983</v>
      </c>
      <c r="D85" s="62" t="str">
        <f ca="1" t="shared" si="4"/>
        <v>一年以上</v>
      </c>
      <c r="E85" s="66">
        <v>44012</v>
      </c>
      <c r="F85" s="66" t="s">
        <v>130</v>
      </c>
      <c r="G85" s="59" t="s">
        <v>125</v>
      </c>
      <c r="H85" s="60" t="s">
        <v>269</v>
      </c>
      <c r="I85" s="63" t="s">
        <v>269</v>
      </c>
      <c r="J85" s="64">
        <v>3000</v>
      </c>
      <c r="K85" s="59"/>
      <c r="L85" s="59" t="s">
        <v>96</v>
      </c>
      <c r="M85" s="59" t="s">
        <v>65</v>
      </c>
      <c r="N85" s="65">
        <v>3000</v>
      </c>
      <c r="O85" s="65">
        <f t="shared" si="6"/>
        <v>0</v>
      </c>
      <c r="P85" s="66">
        <v>44196</v>
      </c>
      <c r="Q85" s="61">
        <f t="shared" si="5"/>
        <v>44196</v>
      </c>
      <c r="R85" s="66"/>
      <c r="S85" s="59"/>
      <c r="T85" s="59"/>
      <c r="U85" s="59"/>
      <c r="V85" s="59"/>
      <c r="W85" s="59"/>
      <c r="X85" s="59"/>
    </row>
    <row r="86" s="20" customFormat="1" ht="24" hidden="1" spans="1:24">
      <c r="A86" s="59">
        <v>65</v>
      </c>
      <c r="B86" s="60" t="s">
        <v>270</v>
      </c>
      <c r="C86" s="61">
        <v>44013</v>
      </c>
      <c r="D86" s="62" t="str">
        <f ca="1" t="shared" si="4"/>
        <v>一年以上</v>
      </c>
      <c r="E86" s="66">
        <v>44018</v>
      </c>
      <c r="F86" s="66" t="s">
        <v>70</v>
      </c>
      <c r="G86" s="59" t="s">
        <v>230</v>
      </c>
      <c r="H86" s="60" t="s">
        <v>115</v>
      </c>
      <c r="I86" s="63" t="s">
        <v>115</v>
      </c>
      <c r="J86" s="64">
        <v>2000</v>
      </c>
      <c r="K86" s="59"/>
      <c r="L86" s="59" t="s">
        <v>73</v>
      </c>
      <c r="M86" s="59" t="s">
        <v>65</v>
      </c>
      <c r="N86" s="65">
        <v>2000</v>
      </c>
      <c r="O86" s="65">
        <f t="shared" si="6"/>
        <v>0</v>
      </c>
      <c r="P86" s="66">
        <v>44083</v>
      </c>
      <c r="Q86" s="61">
        <f t="shared" si="5"/>
        <v>44083</v>
      </c>
      <c r="R86" s="66"/>
      <c r="S86" s="59"/>
      <c r="T86" s="59"/>
      <c r="U86" s="59"/>
      <c r="V86" s="59"/>
      <c r="W86" s="59"/>
      <c r="X86" s="59"/>
    </row>
    <row r="87" s="20" customFormat="1" ht="24" hidden="1" spans="1:24">
      <c r="A87" s="59">
        <v>66</v>
      </c>
      <c r="B87" s="60" t="s">
        <v>271</v>
      </c>
      <c r="C87" s="61">
        <v>44013</v>
      </c>
      <c r="D87" s="62" t="str">
        <f ca="1" t="shared" si="4"/>
        <v>一年以上</v>
      </c>
      <c r="E87" s="66">
        <v>44021</v>
      </c>
      <c r="F87" s="66" t="s">
        <v>70</v>
      </c>
      <c r="G87" s="59" t="s">
        <v>146</v>
      </c>
      <c r="H87" s="60" t="s">
        <v>272</v>
      </c>
      <c r="I87" s="63" t="s">
        <v>272</v>
      </c>
      <c r="J87" s="64">
        <v>1000</v>
      </c>
      <c r="K87" s="59"/>
      <c r="L87" s="59" t="s">
        <v>73</v>
      </c>
      <c r="M87" s="59" t="s">
        <v>65</v>
      </c>
      <c r="N87" s="65">
        <v>1000</v>
      </c>
      <c r="O87" s="65">
        <f t="shared" si="6"/>
        <v>0</v>
      </c>
      <c r="P87" s="66">
        <v>44069</v>
      </c>
      <c r="Q87" s="61">
        <f t="shared" si="5"/>
        <v>44069</v>
      </c>
      <c r="R87" s="66"/>
      <c r="S87" s="59" t="s">
        <v>273</v>
      </c>
      <c r="T87" s="59"/>
      <c r="U87" s="59"/>
      <c r="V87" s="59"/>
      <c r="W87" s="59"/>
      <c r="X87" s="59"/>
    </row>
    <row r="88" s="20" customFormat="1" ht="24" hidden="1" spans="1:24">
      <c r="A88" s="59">
        <v>68</v>
      </c>
      <c r="B88" s="60" t="s">
        <v>274</v>
      </c>
      <c r="C88" s="61">
        <v>44013</v>
      </c>
      <c r="D88" s="62" t="str">
        <f ca="1" t="shared" si="4"/>
        <v>一年以上</v>
      </c>
      <c r="E88" s="66">
        <v>44025</v>
      </c>
      <c r="F88" s="66" t="s">
        <v>70</v>
      </c>
      <c r="G88" s="59" t="s">
        <v>149</v>
      </c>
      <c r="H88" s="60" t="s">
        <v>275</v>
      </c>
      <c r="I88" s="63" t="s">
        <v>275</v>
      </c>
      <c r="J88" s="64">
        <v>2000</v>
      </c>
      <c r="K88" s="59"/>
      <c r="L88" s="59" t="s">
        <v>73</v>
      </c>
      <c r="M88" s="59" t="s">
        <v>65</v>
      </c>
      <c r="N88" s="65">
        <v>2000</v>
      </c>
      <c r="O88" s="65">
        <f t="shared" si="6"/>
        <v>0</v>
      </c>
      <c r="P88" s="66">
        <v>44223</v>
      </c>
      <c r="Q88" s="61">
        <f t="shared" si="5"/>
        <v>44223</v>
      </c>
      <c r="R88" s="66"/>
      <c r="S88" s="89" t="s">
        <v>276</v>
      </c>
      <c r="T88" s="59"/>
      <c r="U88" s="59"/>
      <c r="V88" s="59"/>
      <c r="W88" s="59"/>
      <c r="X88" s="59"/>
    </row>
    <row r="89" s="20" customFormat="1" ht="24" hidden="1" spans="1:24">
      <c r="A89" s="59">
        <v>67</v>
      </c>
      <c r="B89" s="60" t="s">
        <v>277</v>
      </c>
      <c r="C89" s="61">
        <v>44013</v>
      </c>
      <c r="D89" s="62" t="str">
        <f ca="1" t="shared" si="4"/>
        <v>一年以上</v>
      </c>
      <c r="E89" s="66">
        <v>44027</v>
      </c>
      <c r="F89" s="66" t="s">
        <v>70</v>
      </c>
      <c r="G89" s="59" t="s">
        <v>146</v>
      </c>
      <c r="H89" s="60" t="s">
        <v>278</v>
      </c>
      <c r="I89" s="63" t="s">
        <v>278</v>
      </c>
      <c r="J89" s="64">
        <v>1000</v>
      </c>
      <c r="K89" s="59"/>
      <c r="L89" s="59" t="s">
        <v>73</v>
      </c>
      <c r="M89" s="59" t="s">
        <v>65</v>
      </c>
      <c r="N89" s="65">
        <v>1000</v>
      </c>
      <c r="O89" s="65">
        <f t="shared" si="6"/>
        <v>0</v>
      </c>
      <c r="P89" s="66">
        <v>44547</v>
      </c>
      <c r="Q89" s="61">
        <f t="shared" si="5"/>
        <v>44547</v>
      </c>
      <c r="R89" s="59"/>
      <c r="S89" s="59"/>
      <c r="T89" s="59"/>
      <c r="U89" s="59"/>
      <c r="V89" s="59"/>
      <c r="W89" s="59"/>
      <c r="X89" s="59"/>
    </row>
    <row r="90" s="20" customFormat="1" ht="24" hidden="1" spans="1:24">
      <c r="A90" s="59">
        <v>69</v>
      </c>
      <c r="B90" s="60" t="s">
        <v>279</v>
      </c>
      <c r="C90" s="61">
        <v>44013</v>
      </c>
      <c r="D90" s="62" t="str">
        <f ca="1" t="shared" si="4"/>
        <v>一年以上</v>
      </c>
      <c r="E90" s="66">
        <v>44034</v>
      </c>
      <c r="F90" s="66" t="s">
        <v>70</v>
      </c>
      <c r="G90" s="59" t="s">
        <v>149</v>
      </c>
      <c r="H90" s="60" t="s">
        <v>120</v>
      </c>
      <c r="I90" s="63" t="s">
        <v>120</v>
      </c>
      <c r="J90" s="64">
        <v>3000</v>
      </c>
      <c r="K90" s="59"/>
      <c r="L90" s="59" t="s">
        <v>73</v>
      </c>
      <c r="M90" s="59" t="s">
        <v>65</v>
      </c>
      <c r="N90" s="65">
        <v>3000</v>
      </c>
      <c r="O90" s="65">
        <f t="shared" si="6"/>
        <v>0</v>
      </c>
      <c r="P90" s="66">
        <v>44071</v>
      </c>
      <c r="Q90" s="61">
        <f t="shared" si="5"/>
        <v>44071</v>
      </c>
      <c r="R90" s="66"/>
      <c r="S90" s="90" t="s">
        <v>280</v>
      </c>
      <c r="T90" s="59"/>
      <c r="U90" s="59"/>
      <c r="V90" s="59"/>
      <c r="W90" s="59"/>
      <c r="X90" s="59"/>
    </row>
    <row r="91" s="20" customFormat="1" hidden="1" spans="1:24">
      <c r="A91" s="59">
        <v>70</v>
      </c>
      <c r="B91" s="60" t="s">
        <v>281</v>
      </c>
      <c r="C91" s="61">
        <v>44013</v>
      </c>
      <c r="D91" s="62" t="str">
        <f ca="1" t="shared" si="4"/>
        <v>一年以上</v>
      </c>
      <c r="E91" s="66">
        <v>44034</v>
      </c>
      <c r="F91" s="66" t="s">
        <v>282</v>
      </c>
      <c r="G91" s="59" t="s">
        <v>233</v>
      </c>
      <c r="H91" s="60" t="s">
        <v>283</v>
      </c>
      <c r="I91" s="63" t="s">
        <v>283</v>
      </c>
      <c r="J91" s="64">
        <v>3200</v>
      </c>
      <c r="K91" s="59" t="s">
        <v>28</v>
      </c>
      <c r="L91" s="59" t="s">
        <v>57</v>
      </c>
      <c r="M91" s="59" t="s">
        <v>65</v>
      </c>
      <c r="N91" s="65">
        <v>3200</v>
      </c>
      <c r="O91" s="65">
        <f t="shared" si="6"/>
        <v>0</v>
      </c>
      <c r="P91" s="66">
        <v>44678</v>
      </c>
      <c r="Q91" s="61">
        <f t="shared" si="5"/>
        <v>44678</v>
      </c>
      <c r="R91" s="59"/>
      <c r="S91" s="59" t="s">
        <v>65</v>
      </c>
      <c r="T91" s="59" t="s">
        <v>182</v>
      </c>
      <c r="U91" s="59" t="s">
        <v>125</v>
      </c>
      <c r="V91" s="59" t="s">
        <v>284</v>
      </c>
      <c r="W91" s="59"/>
      <c r="X91" s="59"/>
    </row>
    <row r="92" s="20" customFormat="1" ht="24" hidden="1" spans="1:24">
      <c r="A92" s="59">
        <v>71</v>
      </c>
      <c r="B92" s="60" t="s">
        <v>285</v>
      </c>
      <c r="C92" s="61">
        <v>44013</v>
      </c>
      <c r="D92" s="62" t="str">
        <f ca="1" t="shared" si="4"/>
        <v>一年以上</v>
      </c>
      <c r="E92" s="66">
        <v>44034</v>
      </c>
      <c r="F92" s="66" t="s">
        <v>70</v>
      </c>
      <c r="G92" s="59" t="s">
        <v>83</v>
      </c>
      <c r="H92" s="60" t="s">
        <v>286</v>
      </c>
      <c r="I92" s="63" t="s">
        <v>286</v>
      </c>
      <c r="J92" s="64">
        <v>3000</v>
      </c>
      <c r="K92" s="59"/>
      <c r="L92" s="59" t="s">
        <v>73</v>
      </c>
      <c r="M92" s="59" t="s">
        <v>65</v>
      </c>
      <c r="N92" s="65">
        <v>3000</v>
      </c>
      <c r="O92" s="65">
        <f t="shared" si="6"/>
        <v>0</v>
      </c>
      <c r="P92" s="66">
        <v>44221</v>
      </c>
      <c r="Q92" s="61">
        <f t="shared" si="5"/>
        <v>44221</v>
      </c>
      <c r="R92" s="66"/>
      <c r="S92" s="90" t="s">
        <v>287</v>
      </c>
      <c r="T92" s="59"/>
      <c r="U92" s="59"/>
      <c r="V92" s="59"/>
      <c r="W92" s="59"/>
      <c r="X92" s="59"/>
    </row>
    <row r="93" s="20" customFormat="1" ht="24" hidden="1" spans="1:24">
      <c r="A93" s="59">
        <v>72</v>
      </c>
      <c r="B93" s="60" t="s">
        <v>288</v>
      </c>
      <c r="C93" s="61">
        <v>44013</v>
      </c>
      <c r="D93" s="62" t="str">
        <f ca="1" t="shared" si="4"/>
        <v>一年以上</v>
      </c>
      <c r="E93" s="66">
        <v>44038</v>
      </c>
      <c r="F93" s="66" t="s">
        <v>70</v>
      </c>
      <c r="G93" s="59" t="s">
        <v>149</v>
      </c>
      <c r="H93" s="60" t="s">
        <v>98</v>
      </c>
      <c r="I93" s="63" t="s">
        <v>98</v>
      </c>
      <c r="J93" s="64">
        <v>10000</v>
      </c>
      <c r="K93" s="59"/>
      <c r="L93" s="59" t="s">
        <v>73</v>
      </c>
      <c r="M93" s="59" t="s">
        <v>65</v>
      </c>
      <c r="N93" s="65">
        <v>10000</v>
      </c>
      <c r="O93" s="65">
        <f t="shared" si="6"/>
        <v>0</v>
      </c>
      <c r="P93" s="66">
        <v>44073</v>
      </c>
      <c r="Q93" s="61">
        <f t="shared" si="5"/>
        <v>44073</v>
      </c>
      <c r="R93" s="66"/>
      <c r="S93" s="90" t="s">
        <v>289</v>
      </c>
      <c r="T93" s="59"/>
      <c r="U93" s="59"/>
      <c r="V93" s="59"/>
      <c r="W93" s="59"/>
      <c r="X93" s="59"/>
    </row>
    <row r="94" s="20" customFormat="1" ht="36" hidden="1" spans="1:24">
      <c r="A94" s="59">
        <v>74</v>
      </c>
      <c r="B94" s="60" t="s">
        <v>290</v>
      </c>
      <c r="C94" s="61">
        <v>44044</v>
      </c>
      <c r="D94" s="62" t="str">
        <f ca="1" t="shared" si="4"/>
        <v>一年以上</v>
      </c>
      <c r="E94" s="66">
        <v>44048</v>
      </c>
      <c r="F94" s="66" t="s">
        <v>130</v>
      </c>
      <c r="G94" s="59" t="s">
        <v>128</v>
      </c>
      <c r="H94" s="60" t="s">
        <v>291</v>
      </c>
      <c r="I94" s="63" t="s">
        <v>291</v>
      </c>
      <c r="J94" s="64">
        <v>2000</v>
      </c>
      <c r="K94" s="59" t="s">
        <v>28</v>
      </c>
      <c r="L94" s="59" t="s">
        <v>57</v>
      </c>
      <c r="M94" s="59" t="s">
        <v>65</v>
      </c>
      <c r="N94" s="65">
        <v>2000</v>
      </c>
      <c r="O94" s="65">
        <f t="shared" si="6"/>
        <v>0</v>
      </c>
      <c r="P94" s="66">
        <v>44707</v>
      </c>
      <c r="Q94" s="61">
        <f t="shared" si="5"/>
        <v>44707</v>
      </c>
      <c r="R94" s="59" t="s">
        <v>292</v>
      </c>
      <c r="S94" s="59" t="s">
        <v>65</v>
      </c>
      <c r="T94" s="59" t="s">
        <v>293</v>
      </c>
      <c r="U94" s="59" t="s">
        <v>294</v>
      </c>
      <c r="V94" s="59" t="s">
        <v>295</v>
      </c>
      <c r="W94" s="59"/>
      <c r="X94" s="59"/>
    </row>
    <row r="95" s="20" customFormat="1" ht="48" hidden="1" spans="1:24">
      <c r="A95" s="59">
        <v>75</v>
      </c>
      <c r="B95" s="60" t="s">
        <v>296</v>
      </c>
      <c r="C95" s="61">
        <v>44044</v>
      </c>
      <c r="D95" s="62" t="str">
        <f ca="1" t="shared" si="4"/>
        <v>一年以上</v>
      </c>
      <c r="E95" s="66">
        <v>44050</v>
      </c>
      <c r="F95" s="66" t="s">
        <v>130</v>
      </c>
      <c r="G95" s="59" t="s">
        <v>297</v>
      </c>
      <c r="H95" s="60" t="s">
        <v>298</v>
      </c>
      <c r="I95" s="63" t="s">
        <v>298</v>
      </c>
      <c r="J95" s="64">
        <v>10000</v>
      </c>
      <c r="K95" s="59" t="s">
        <v>28</v>
      </c>
      <c r="L95" s="59" t="s">
        <v>73</v>
      </c>
      <c r="M95" s="59" t="s">
        <v>65</v>
      </c>
      <c r="N95" s="65">
        <v>10000</v>
      </c>
      <c r="O95" s="65">
        <f t="shared" si="6"/>
        <v>0</v>
      </c>
      <c r="P95" s="66">
        <v>45070</v>
      </c>
      <c r="Q95" s="61">
        <f t="shared" si="5"/>
        <v>45070</v>
      </c>
      <c r="R95" s="59" t="s">
        <v>299</v>
      </c>
      <c r="S95" s="59" t="s">
        <v>65</v>
      </c>
      <c r="T95" s="59" t="s">
        <v>300</v>
      </c>
      <c r="U95" s="59" t="s">
        <v>301</v>
      </c>
      <c r="V95" s="59"/>
      <c r="W95" s="59"/>
      <c r="X95" s="59"/>
    </row>
    <row r="96" s="20" customFormat="1" ht="24" hidden="1" spans="1:24">
      <c r="A96" s="59">
        <v>76</v>
      </c>
      <c r="B96" s="60" t="s">
        <v>302</v>
      </c>
      <c r="C96" s="61">
        <v>44044</v>
      </c>
      <c r="D96" s="62" t="str">
        <f ca="1" t="shared" si="4"/>
        <v>一年以上</v>
      </c>
      <c r="E96" s="66">
        <v>44053</v>
      </c>
      <c r="F96" s="66" t="s">
        <v>130</v>
      </c>
      <c r="G96" s="59" t="s">
        <v>128</v>
      </c>
      <c r="H96" s="60" t="s">
        <v>303</v>
      </c>
      <c r="I96" s="63" t="s">
        <v>303</v>
      </c>
      <c r="J96" s="64">
        <v>3000</v>
      </c>
      <c r="K96" s="59"/>
      <c r="L96" s="59" t="s">
        <v>73</v>
      </c>
      <c r="M96" s="59" t="s">
        <v>65</v>
      </c>
      <c r="N96" s="65">
        <v>3000</v>
      </c>
      <c r="O96" s="65">
        <f t="shared" si="6"/>
        <v>0</v>
      </c>
      <c r="P96" s="66">
        <v>44094</v>
      </c>
      <c r="Q96" s="61">
        <f t="shared" si="5"/>
        <v>44094</v>
      </c>
      <c r="R96" s="66"/>
      <c r="S96" s="59"/>
      <c r="T96" s="59"/>
      <c r="U96" s="59"/>
      <c r="V96" s="59"/>
      <c r="W96" s="59"/>
      <c r="X96" s="59"/>
    </row>
    <row r="97" s="20" customFormat="1" ht="24" hidden="1" spans="1:24">
      <c r="A97" s="59">
        <v>77</v>
      </c>
      <c r="B97" s="60" t="s">
        <v>304</v>
      </c>
      <c r="C97" s="61">
        <v>44044</v>
      </c>
      <c r="D97" s="62" t="str">
        <f ca="1" t="shared" si="4"/>
        <v>一年以上</v>
      </c>
      <c r="E97" s="66">
        <v>44057</v>
      </c>
      <c r="F97" s="66" t="s">
        <v>130</v>
      </c>
      <c r="G97" s="59" t="s">
        <v>128</v>
      </c>
      <c r="H97" s="60" t="s">
        <v>305</v>
      </c>
      <c r="I97" s="63" t="s">
        <v>305</v>
      </c>
      <c r="J97" s="64">
        <v>3000</v>
      </c>
      <c r="K97" s="59"/>
      <c r="L97" s="59" t="s">
        <v>73</v>
      </c>
      <c r="M97" s="59" t="s">
        <v>65</v>
      </c>
      <c r="N97" s="65">
        <v>3000</v>
      </c>
      <c r="O97" s="65">
        <f t="shared" si="6"/>
        <v>0</v>
      </c>
      <c r="P97" s="66">
        <v>44335</v>
      </c>
      <c r="Q97" s="61">
        <f t="shared" si="5"/>
        <v>44335</v>
      </c>
      <c r="R97" s="66"/>
      <c r="S97" s="59"/>
      <c r="T97" s="59"/>
      <c r="U97" s="59"/>
      <c r="V97" s="59"/>
      <c r="W97" s="59"/>
      <c r="X97" s="59"/>
    </row>
    <row r="98" s="20" customFormat="1" ht="24" hidden="1" spans="1:24">
      <c r="A98" s="59">
        <v>78</v>
      </c>
      <c r="B98" s="60" t="s">
        <v>306</v>
      </c>
      <c r="C98" s="61">
        <v>44044</v>
      </c>
      <c r="D98" s="62" t="str">
        <f ca="1" t="shared" si="4"/>
        <v>一年以上</v>
      </c>
      <c r="E98" s="66">
        <v>44063</v>
      </c>
      <c r="F98" s="66" t="s">
        <v>130</v>
      </c>
      <c r="G98" s="59" t="s">
        <v>307</v>
      </c>
      <c r="H98" s="78" t="s">
        <v>308</v>
      </c>
      <c r="I98" s="63" t="s">
        <v>308</v>
      </c>
      <c r="J98" s="64">
        <v>5000</v>
      </c>
      <c r="K98" s="59"/>
      <c r="L98" s="59" t="s">
        <v>96</v>
      </c>
      <c r="M98" s="59" t="s">
        <v>65</v>
      </c>
      <c r="N98" s="65">
        <v>5000</v>
      </c>
      <c r="O98" s="65">
        <f t="shared" si="6"/>
        <v>0</v>
      </c>
      <c r="P98" s="66">
        <v>44068</v>
      </c>
      <c r="Q98" s="61">
        <f t="shared" si="5"/>
        <v>44068</v>
      </c>
      <c r="R98" s="66"/>
      <c r="S98" s="59"/>
      <c r="T98" s="59"/>
      <c r="U98" s="59"/>
      <c r="V98" s="59"/>
      <c r="W98" s="59"/>
      <c r="X98" s="59"/>
    </row>
    <row r="99" s="22" customFormat="1" hidden="1" spans="1:24">
      <c r="A99" s="59">
        <v>198</v>
      </c>
      <c r="B99" s="60" t="s">
        <v>309</v>
      </c>
      <c r="C99" s="61">
        <v>44075</v>
      </c>
      <c r="D99" s="62" t="str">
        <f ca="1" t="shared" si="4"/>
        <v>一年以上</v>
      </c>
      <c r="E99" s="66">
        <v>44078</v>
      </c>
      <c r="F99" s="66"/>
      <c r="G99" s="59" t="s">
        <v>307</v>
      </c>
      <c r="H99" s="60" t="s">
        <v>34</v>
      </c>
      <c r="I99" s="63" t="s">
        <v>34</v>
      </c>
      <c r="J99" s="71">
        <v>50000</v>
      </c>
      <c r="K99" s="59" t="s">
        <v>28</v>
      </c>
      <c r="L99" s="59" t="s">
        <v>73</v>
      </c>
      <c r="M99" s="59" t="s">
        <v>30</v>
      </c>
      <c r="N99" s="65">
        <v>50000</v>
      </c>
      <c r="O99" s="65">
        <f t="shared" si="6"/>
        <v>0</v>
      </c>
      <c r="P99" s="66">
        <v>45257</v>
      </c>
      <c r="Q99" s="61">
        <f t="shared" si="5"/>
        <v>45257</v>
      </c>
      <c r="R99" s="59" t="s">
        <v>310</v>
      </c>
      <c r="S99" s="75" t="s">
        <v>62</v>
      </c>
      <c r="T99" s="59" t="s">
        <v>311</v>
      </c>
      <c r="U99" s="59" t="str">
        <f>VLOOKUP(T99,[1]区域划分!$A$1:$C$39,3,0)</f>
        <v>牛国庆</v>
      </c>
      <c r="V99" s="59"/>
      <c r="W99" s="80"/>
      <c r="X99" s="80"/>
    </row>
    <row r="100" s="20" customFormat="1" hidden="1" spans="1:24">
      <c r="A100" s="59">
        <v>199</v>
      </c>
      <c r="B100" s="60" t="s">
        <v>312</v>
      </c>
      <c r="C100" s="61">
        <v>44075</v>
      </c>
      <c r="D100" s="62" t="str">
        <f ca="1" t="shared" si="4"/>
        <v>一年以上</v>
      </c>
      <c r="E100" s="66">
        <v>44085</v>
      </c>
      <c r="F100" s="66"/>
      <c r="G100" s="59" t="s">
        <v>54</v>
      </c>
      <c r="H100" s="60" t="s">
        <v>313</v>
      </c>
      <c r="I100" s="63" t="s">
        <v>313</v>
      </c>
      <c r="J100" s="71">
        <v>2000</v>
      </c>
      <c r="K100" s="59"/>
      <c r="L100" s="59" t="s">
        <v>73</v>
      </c>
      <c r="M100" s="59" t="s">
        <v>30</v>
      </c>
      <c r="N100" s="65">
        <v>2000</v>
      </c>
      <c r="O100" s="65">
        <f t="shared" si="6"/>
        <v>0</v>
      </c>
      <c r="P100" s="66">
        <v>44559</v>
      </c>
      <c r="Q100" s="61">
        <f t="shared" si="5"/>
        <v>44559</v>
      </c>
      <c r="R100" s="59"/>
      <c r="S100" s="59" t="s">
        <v>30</v>
      </c>
      <c r="T100" s="59"/>
      <c r="U100" s="59"/>
      <c r="V100" s="59"/>
      <c r="W100" s="59"/>
      <c r="X100" s="59"/>
    </row>
    <row r="101" s="20" customFormat="1" ht="24" hidden="1" spans="1:24">
      <c r="A101" s="59">
        <v>200</v>
      </c>
      <c r="B101" s="60" t="s">
        <v>314</v>
      </c>
      <c r="C101" s="61">
        <v>44075</v>
      </c>
      <c r="D101" s="62" t="str">
        <f ca="1" t="shared" si="4"/>
        <v>一年以上</v>
      </c>
      <c r="E101" s="66">
        <v>44092</v>
      </c>
      <c r="F101" s="66"/>
      <c r="G101" s="59" t="s">
        <v>297</v>
      </c>
      <c r="H101" s="78" t="s">
        <v>315</v>
      </c>
      <c r="I101" s="63" t="s">
        <v>315</v>
      </c>
      <c r="J101" s="71">
        <v>100000</v>
      </c>
      <c r="K101" s="59"/>
      <c r="L101" s="59" t="s">
        <v>73</v>
      </c>
      <c r="M101" s="59" t="s">
        <v>30</v>
      </c>
      <c r="N101" s="65">
        <v>100000</v>
      </c>
      <c r="O101" s="65">
        <f t="shared" si="6"/>
        <v>0</v>
      </c>
      <c r="P101" s="66">
        <v>44208</v>
      </c>
      <c r="Q101" s="61">
        <f t="shared" si="5"/>
        <v>44208</v>
      </c>
      <c r="R101" s="59"/>
      <c r="S101" s="59" t="s">
        <v>30</v>
      </c>
      <c r="T101" s="59"/>
      <c r="U101" s="59"/>
      <c r="V101" s="59"/>
      <c r="W101" s="59"/>
      <c r="X101" s="59"/>
    </row>
    <row r="102" s="22" customFormat="1" ht="24" hidden="1" spans="1:24">
      <c r="A102" s="59">
        <v>201</v>
      </c>
      <c r="B102" s="60" t="s">
        <v>316</v>
      </c>
      <c r="C102" s="61">
        <v>44105</v>
      </c>
      <c r="D102" s="62" t="str">
        <f ca="1" t="shared" si="4"/>
        <v>一年以上</v>
      </c>
      <c r="E102" s="66">
        <v>44113</v>
      </c>
      <c r="F102" s="66"/>
      <c r="G102" s="59" t="s">
        <v>301</v>
      </c>
      <c r="H102" s="60" t="s">
        <v>317</v>
      </c>
      <c r="I102" s="63" t="s">
        <v>317</v>
      </c>
      <c r="J102" s="71">
        <v>3000</v>
      </c>
      <c r="K102" s="59"/>
      <c r="L102" s="59" t="s">
        <v>73</v>
      </c>
      <c r="M102" s="59" t="s">
        <v>30</v>
      </c>
      <c r="N102" s="65">
        <v>3000</v>
      </c>
      <c r="O102" s="65">
        <f t="shared" si="6"/>
        <v>0</v>
      </c>
      <c r="P102" s="66">
        <v>44162</v>
      </c>
      <c r="Q102" s="61">
        <f t="shared" si="5"/>
        <v>44162</v>
      </c>
      <c r="R102" s="59"/>
      <c r="S102" s="59" t="s">
        <v>318</v>
      </c>
      <c r="T102" s="59"/>
      <c r="U102" s="59"/>
      <c r="V102" s="59"/>
      <c r="W102" s="80"/>
      <c r="X102" s="80"/>
    </row>
    <row r="103" s="20" customFormat="1" ht="24" hidden="1" spans="1:24">
      <c r="A103" s="59">
        <v>202</v>
      </c>
      <c r="B103" s="60" t="s">
        <v>319</v>
      </c>
      <c r="C103" s="61">
        <v>44105</v>
      </c>
      <c r="D103" s="62" t="str">
        <f ca="1" t="shared" si="4"/>
        <v>一年以上</v>
      </c>
      <c r="E103" s="66">
        <v>44123</v>
      </c>
      <c r="F103" s="66"/>
      <c r="G103" s="59" t="s">
        <v>54</v>
      </c>
      <c r="H103" s="91" t="s">
        <v>320</v>
      </c>
      <c r="I103" s="63" t="s">
        <v>320</v>
      </c>
      <c r="J103" s="71">
        <v>20000</v>
      </c>
      <c r="K103" s="59"/>
      <c r="L103" s="59" t="s">
        <v>73</v>
      </c>
      <c r="M103" s="59" t="s">
        <v>30</v>
      </c>
      <c r="N103" s="65">
        <v>20000</v>
      </c>
      <c r="O103" s="65">
        <f t="shared" si="6"/>
        <v>0</v>
      </c>
      <c r="P103" s="66">
        <v>44209</v>
      </c>
      <c r="Q103" s="61">
        <f t="shared" si="5"/>
        <v>44209</v>
      </c>
      <c r="R103" s="59"/>
      <c r="S103" s="59"/>
      <c r="T103" s="59"/>
      <c r="U103" s="59"/>
      <c r="V103" s="59"/>
      <c r="W103" s="59"/>
      <c r="X103" s="59"/>
    </row>
    <row r="104" s="20" customFormat="1" ht="24" hidden="1" spans="1:24">
      <c r="A104" s="59">
        <v>203</v>
      </c>
      <c r="B104" s="60" t="s">
        <v>321</v>
      </c>
      <c r="C104" s="61">
        <v>44105</v>
      </c>
      <c r="D104" s="62" t="str">
        <f ca="1" t="shared" si="4"/>
        <v>一年以上</v>
      </c>
      <c r="E104" s="66">
        <v>44130</v>
      </c>
      <c r="F104" s="66"/>
      <c r="G104" s="59" t="s">
        <v>322</v>
      </c>
      <c r="H104" s="91" t="s">
        <v>323</v>
      </c>
      <c r="I104" s="63" t="s">
        <v>323</v>
      </c>
      <c r="J104" s="71">
        <v>20000</v>
      </c>
      <c r="K104" s="59"/>
      <c r="L104" s="59" t="s">
        <v>73</v>
      </c>
      <c r="M104" s="59" t="s">
        <v>30</v>
      </c>
      <c r="N104" s="65">
        <v>20000</v>
      </c>
      <c r="O104" s="65">
        <f t="shared" si="6"/>
        <v>0</v>
      </c>
      <c r="P104" s="66">
        <v>44186</v>
      </c>
      <c r="Q104" s="61">
        <f t="shared" si="5"/>
        <v>44186</v>
      </c>
      <c r="R104" s="59"/>
      <c r="S104" s="59"/>
      <c r="T104" s="59"/>
      <c r="U104" s="59"/>
      <c r="V104" s="59"/>
      <c r="W104" s="59"/>
      <c r="X104" s="59"/>
    </row>
    <row r="105" s="22" customFormat="1" ht="24" hidden="1" spans="1:24">
      <c r="A105" s="59">
        <v>204</v>
      </c>
      <c r="B105" s="60" t="s">
        <v>324</v>
      </c>
      <c r="C105" s="61">
        <v>44105</v>
      </c>
      <c r="D105" s="62" t="str">
        <f ca="1" t="shared" si="4"/>
        <v>一年以上</v>
      </c>
      <c r="E105" s="66">
        <v>44132</v>
      </c>
      <c r="F105" s="66"/>
      <c r="G105" s="59" t="s">
        <v>54</v>
      </c>
      <c r="H105" s="91" t="s">
        <v>325</v>
      </c>
      <c r="I105" s="63" t="s">
        <v>325</v>
      </c>
      <c r="J105" s="71">
        <v>2000</v>
      </c>
      <c r="K105" s="59"/>
      <c r="L105" s="59" t="s">
        <v>73</v>
      </c>
      <c r="M105" s="59" t="s">
        <v>30</v>
      </c>
      <c r="N105" s="65">
        <v>2000</v>
      </c>
      <c r="O105" s="65">
        <f t="shared" si="6"/>
        <v>0</v>
      </c>
      <c r="P105" s="66">
        <v>44217</v>
      </c>
      <c r="Q105" s="61">
        <f t="shared" si="5"/>
        <v>44217</v>
      </c>
      <c r="R105" s="59"/>
      <c r="S105" s="59"/>
      <c r="T105" s="59"/>
      <c r="U105" s="59"/>
      <c r="V105" s="59"/>
      <c r="W105" s="80"/>
      <c r="X105" s="80"/>
    </row>
    <row r="106" s="20" customFormat="1" ht="24" spans="1:24">
      <c r="A106" s="59">
        <v>205</v>
      </c>
      <c r="B106" s="60" t="s">
        <v>326</v>
      </c>
      <c r="C106" s="61">
        <v>44136</v>
      </c>
      <c r="D106" s="62" t="str">
        <f ca="1" t="shared" si="4"/>
        <v>一年以上</v>
      </c>
      <c r="E106" s="66">
        <v>44141</v>
      </c>
      <c r="F106" s="66"/>
      <c r="G106" s="59" t="s">
        <v>294</v>
      </c>
      <c r="H106" s="91" t="s">
        <v>327</v>
      </c>
      <c r="I106" s="63" t="s">
        <v>327</v>
      </c>
      <c r="J106" s="71">
        <v>20000</v>
      </c>
      <c r="K106" s="59" t="s">
        <v>28</v>
      </c>
      <c r="L106" s="59" t="s">
        <v>73</v>
      </c>
      <c r="M106" s="59" t="s">
        <v>30</v>
      </c>
      <c r="N106" s="65"/>
      <c r="O106" s="65">
        <f t="shared" si="6"/>
        <v>20000</v>
      </c>
      <c r="P106" s="66"/>
      <c r="Q106" s="61">
        <f t="shared" si="5"/>
        <v>0</v>
      </c>
      <c r="R106" s="92" t="s">
        <v>328</v>
      </c>
      <c r="S106" s="75" t="s">
        <v>329</v>
      </c>
      <c r="T106" s="59" t="s">
        <v>330</v>
      </c>
      <c r="U106" s="59" t="str">
        <f>VLOOKUP(T106,[1]区域划分!$A$1:$C$39,3,0)</f>
        <v>伍平</v>
      </c>
      <c r="V106" s="59"/>
      <c r="W106" s="59"/>
      <c r="X106" s="59"/>
    </row>
    <row r="107" s="20" customFormat="1" ht="24" hidden="1" spans="1:24">
      <c r="A107" s="59">
        <v>79</v>
      </c>
      <c r="B107" s="60" t="s">
        <v>331</v>
      </c>
      <c r="C107" s="61">
        <v>44136</v>
      </c>
      <c r="D107" s="62" t="str">
        <f ca="1" t="shared" si="4"/>
        <v>一年以上</v>
      </c>
      <c r="E107" s="66">
        <v>44148</v>
      </c>
      <c r="F107" s="66" t="s">
        <v>70</v>
      </c>
      <c r="G107" s="59" t="s">
        <v>190</v>
      </c>
      <c r="H107" s="60" t="s">
        <v>332</v>
      </c>
      <c r="I107" s="63" t="s">
        <v>332</v>
      </c>
      <c r="J107" s="64">
        <v>6000</v>
      </c>
      <c r="K107" s="59"/>
      <c r="L107" s="59" t="s">
        <v>73</v>
      </c>
      <c r="M107" s="59" t="s">
        <v>65</v>
      </c>
      <c r="N107" s="65">
        <v>6000</v>
      </c>
      <c r="O107" s="65">
        <f t="shared" si="6"/>
        <v>0</v>
      </c>
      <c r="P107" s="66">
        <v>44181</v>
      </c>
      <c r="Q107" s="61">
        <f t="shared" si="5"/>
        <v>44181</v>
      </c>
      <c r="R107" s="66"/>
      <c r="S107" s="59" t="s">
        <v>333</v>
      </c>
      <c r="T107" s="59"/>
      <c r="U107" s="59"/>
      <c r="V107" s="59"/>
      <c r="W107" s="59"/>
      <c r="X107" s="59"/>
    </row>
    <row r="108" s="20" customFormat="1" ht="24" hidden="1" spans="1:24">
      <c r="A108" s="59">
        <v>80</v>
      </c>
      <c r="B108" s="60" t="s">
        <v>334</v>
      </c>
      <c r="C108" s="61">
        <v>44136</v>
      </c>
      <c r="D108" s="62" t="str">
        <f ca="1" t="shared" si="4"/>
        <v>一年以上</v>
      </c>
      <c r="E108" s="66">
        <v>44148</v>
      </c>
      <c r="F108" s="66" t="s">
        <v>70</v>
      </c>
      <c r="G108" s="59" t="s">
        <v>335</v>
      </c>
      <c r="H108" s="60" t="s">
        <v>98</v>
      </c>
      <c r="I108" s="63" t="s">
        <v>98</v>
      </c>
      <c r="J108" s="64">
        <v>10000</v>
      </c>
      <c r="K108" s="59"/>
      <c r="L108" s="59" t="s">
        <v>73</v>
      </c>
      <c r="M108" s="59" t="s">
        <v>65</v>
      </c>
      <c r="N108" s="65">
        <v>10000</v>
      </c>
      <c r="O108" s="65">
        <f t="shared" si="6"/>
        <v>0</v>
      </c>
      <c r="P108" s="66">
        <v>44491</v>
      </c>
      <c r="Q108" s="61">
        <f t="shared" si="5"/>
        <v>44491</v>
      </c>
      <c r="R108" s="66"/>
      <c r="S108" s="59"/>
      <c r="T108" s="59"/>
      <c r="U108" s="59"/>
      <c r="V108" s="59"/>
      <c r="W108" s="59"/>
      <c r="X108" s="59"/>
    </row>
    <row r="109" s="20" customFormat="1" ht="24" hidden="1" spans="1:24">
      <c r="A109" s="59">
        <v>81</v>
      </c>
      <c r="B109" s="60" t="s">
        <v>336</v>
      </c>
      <c r="C109" s="61">
        <v>44136</v>
      </c>
      <c r="D109" s="62" t="str">
        <f ca="1" t="shared" si="4"/>
        <v>一年以上</v>
      </c>
      <c r="E109" s="66">
        <v>44162</v>
      </c>
      <c r="F109" s="66" t="s">
        <v>70</v>
      </c>
      <c r="G109" s="59" t="s">
        <v>259</v>
      </c>
      <c r="H109" s="60" t="s">
        <v>222</v>
      </c>
      <c r="I109" s="63" t="s">
        <v>222</v>
      </c>
      <c r="J109" s="64">
        <v>3000</v>
      </c>
      <c r="K109" s="59"/>
      <c r="L109" s="59" t="s">
        <v>73</v>
      </c>
      <c r="M109" s="59" t="s">
        <v>65</v>
      </c>
      <c r="N109" s="65">
        <v>3000</v>
      </c>
      <c r="O109" s="65">
        <f t="shared" si="6"/>
        <v>0</v>
      </c>
      <c r="P109" s="66">
        <v>44555</v>
      </c>
      <c r="Q109" s="61">
        <f t="shared" si="5"/>
        <v>44555</v>
      </c>
      <c r="R109" s="59"/>
      <c r="S109" s="59"/>
      <c r="T109" s="59"/>
      <c r="U109" s="59"/>
      <c r="V109" s="59"/>
      <c r="W109" s="59"/>
      <c r="X109" s="59"/>
    </row>
    <row r="110" s="20" customFormat="1" hidden="1" spans="1:24">
      <c r="A110" s="59">
        <v>192</v>
      </c>
      <c r="B110" s="60" t="s">
        <v>337</v>
      </c>
      <c r="C110" s="61">
        <v>44136</v>
      </c>
      <c r="D110" s="62" t="str">
        <f ca="1" t="shared" si="4"/>
        <v>一年以上</v>
      </c>
      <c r="E110" s="66">
        <v>44165</v>
      </c>
      <c r="F110" s="66"/>
      <c r="G110" s="59"/>
      <c r="H110" s="60" t="s">
        <v>209</v>
      </c>
      <c r="I110" s="63" t="s">
        <v>209</v>
      </c>
      <c r="J110" s="71">
        <v>50000</v>
      </c>
      <c r="K110" s="59" t="s">
        <v>338</v>
      </c>
      <c r="L110" s="59" t="s">
        <v>73</v>
      </c>
      <c r="M110" s="59" t="s">
        <v>30</v>
      </c>
      <c r="N110" s="65">
        <v>50000</v>
      </c>
      <c r="O110" s="65">
        <f t="shared" si="6"/>
        <v>0</v>
      </c>
      <c r="P110" s="66">
        <v>44943</v>
      </c>
      <c r="Q110" s="61">
        <f t="shared" si="5"/>
        <v>44943</v>
      </c>
      <c r="R110" s="59"/>
      <c r="S110" s="75"/>
      <c r="T110" s="59"/>
      <c r="U110" s="59"/>
      <c r="V110" s="59"/>
      <c r="W110" s="59"/>
      <c r="X110" s="59"/>
    </row>
    <row r="111" s="20" customFormat="1" hidden="1" spans="1:24">
      <c r="A111" s="59">
        <v>82</v>
      </c>
      <c r="B111" s="60" t="s">
        <v>339</v>
      </c>
      <c r="C111" s="61">
        <v>44166</v>
      </c>
      <c r="D111" s="62" t="str">
        <f ca="1" t="shared" si="4"/>
        <v>一年以上</v>
      </c>
      <c r="E111" s="66">
        <v>44172</v>
      </c>
      <c r="F111" s="66" t="s">
        <v>70</v>
      </c>
      <c r="G111" s="59" t="s">
        <v>340</v>
      </c>
      <c r="H111" s="60" t="s">
        <v>341</v>
      </c>
      <c r="I111" s="63" t="s">
        <v>341</v>
      </c>
      <c r="J111" s="64">
        <v>2000</v>
      </c>
      <c r="K111" s="59"/>
      <c r="L111" s="59" t="s">
        <v>73</v>
      </c>
      <c r="M111" s="59" t="s">
        <v>65</v>
      </c>
      <c r="N111" s="65">
        <v>2000</v>
      </c>
      <c r="O111" s="65">
        <f t="shared" si="6"/>
        <v>0</v>
      </c>
      <c r="P111" s="66">
        <v>44532</v>
      </c>
      <c r="Q111" s="61">
        <f t="shared" si="5"/>
        <v>44532</v>
      </c>
      <c r="R111" s="66"/>
      <c r="S111" s="59"/>
      <c r="T111" s="59"/>
      <c r="U111" s="59"/>
      <c r="V111" s="59"/>
      <c r="W111" s="59"/>
      <c r="X111" s="59"/>
    </row>
    <row r="112" s="20" customFormat="1" ht="24" hidden="1" spans="1:24">
      <c r="A112" s="59">
        <v>83</v>
      </c>
      <c r="B112" s="60" t="s">
        <v>342</v>
      </c>
      <c r="C112" s="61">
        <v>44166</v>
      </c>
      <c r="D112" s="62" t="str">
        <f ca="1" t="shared" si="4"/>
        <v>一年以上</v>
      </c>
      <c r="E112" s="66">
        <v>44172</v>
      </c>
      <c r="F112" s="66" t="s">
        <v>70</v>
      </c>
      <c r="G112" s="59" t="s">
        <v>149</v>
      </c>
      <c r="H112" s="60" t="s">
        <v>343</v>
      </c>
      <c r="I112" s="63" t="s">
        <v>343</v>
      </c>
      <c r="J112" s="64">
        <v>2000</v>
      </c>
      <c r="K112" s="59"/>
      <c r="L112" s="59" t="s">
        <v>96</v>
      </c>
      <c r="M112" s="59" t="s">
        <v>65</v>
      </c>
      <c r="N112" s="65">
        <v>2000</v>
      </c>
      <c r="O112" s="65">
        <f t="shared" si="6"/>
        <v>0</v>
      </c>
      <c r="P112" s="93">
        <v>44330</v>
      </c>
      <c r="Q112" s="61">
        <f t="shared" si="5"/>
        <v>44330</v>
      </c>
      <c r="R112" s="93"/>
      <c r="S112" s="89" t="s">
        <v>344</v>
      </c>
      <c r="T112" s="59"/>
      <c r="U112" s="59"/>
      <c r="V112" s="59"/>
      <c r="W112" s="59"/>
      <c r="X112" s="59"/>
    </row>
    <row r="113" s="20" customFormat="1" ht="24" hidden="1" spans="1:24">
      <c r="A113" s="59">
        <v>345</v>
      </c>
      <c r="B113" s="60" t="s">
        <v>345</v>
      </c>
      <c r="C113" s="61">
        <v>44166</v>
      </c>
      <c r="D113" s="62" t="str">
        <f ca="1" t="shared" si="4"/>
        <v>一年以上</v>
      </c>
      <c r="E113" s="66">
        <v>44176</v>
      </c>
      <c r="F113" s="66" t="s">
        <v>130</v>
      </c>
      <c r="G113" s="59" t="s">
        <v>125</v>
      </c>
      <c r="H113" s="91" t="s">
        <v>346</v>
      </c>
      <c r="I113" s="63" t="s">
        <v>346</v>
      </c>
      <c r="J113" s="76">
        <v>10800</v>
      </c>
      <c r="K113" s="59"/>
      <c r="L113" s="59" t="s">
        <v>73</v>
      </c>
      <c r="M113" s="59" t="s">
        <v>133</v>
      </c>
      <c r="N113" s="65">
        <v>10800</v>
      </c>
      <c r="O113" s="65">
        <f t="shared" si="6"/>
        <v>0</v>
      </c>
      <c r="P113" s="66">
        <v>44250</v>
      </c>
      <c r="Q113" s="61">
        <f t="shared" si="5"/>
        <v>44250</v>
      </c>
      <c r="R113" s="59"/>
      <c r="S113" s="59" t="s">
        <v>133</v>
      </c>
      <c r="T113" s="59"/>
      <c r="U113" s="59"/>
      <c r="V113" s="59"/>
      <c r="W113" s="59"/>
      <c r="X113" s="59"/>
    </row>
    <row r="114" s="20" customFormat="1" ht="36" spans="1:24">
      <c r="A114" s="59">
        <v>84</v>
      </c>
      <c r="B114" s="60" t="s">
        <v>347</v>
      </c>
      <c r="C114" s="61">
        <v>44166</v>
      </c>
      <c r="D114" s="62" t="str">
        <f ca="1" t="shared" si="4"/>
        <v>一年以上</v>
      </c>
      <c r="E114" s="66">
        <v>44179</v>
      </c>
      <c r="F114" s="66" t="s">
        <v>70</v>
      </c>
      <c r="G114" s="59" t="s">
        <v>340</v>
      </c>
      <c r="H114" s="60" t="s">
        <v>348</v>
      </c>
      <c r="I114" s="63" t="s">
        <v>348</v>
      </c>
      <c r="J114" s="64">
        <v>10000</v>
      </c>
      <c r="K114" s="59" t="s">
        <v>28</v>
      </c>
      <c r="L114" s="59" t="s">
        <v>73</v>
      </c>
      <c r="M114" s="59" t="s">
        <v>65</v>
      </c>
      <c r="N114" s="65">
        <v>9800</v>
      </c>
      <c r="O114" s="65">
        <f t="shared" si="6"/>
        <v>200</v>
      </c>
      <c r="P114" s="66">
        <v>44249</v>
      </c>
      <c r="Q114" s="61">
        <f t="shared" si="5"/>
        <v>44249</v>
      </c>
      <c r="R114" s="59" t="s">
        <v>349</v>
      </c>
      <c r="S114" s="59"/>
      <c r="T114" s="59" t="s">
        <v>300</v>
      </c>
      <c r="U114" s="59" t="str">
        <f>VLOOKUP(T114,[1]区域划分!$A$1:$C$39,3,0)</f>
        <v>林维</v>
      </c>
      <c r="V114" s="59"/>
      <c r="W114" s="59"/>
      <c r="X114" s="59"/>
    </row>
    <row r="115" s="20" customFormat="1" ht="24" hidden="1" spans="1:24">
      <c r="A115" s="59">
        <v>85</v>
      </c>
      <c r="B115" s="60" t="s">
        <v>350</v>
      </c>
      <c r="C115" s="61">
        <v>44166</v>
      </c>
      <c r="D115" s="62" t="str">
        <f ca="1" t="shared" si="4"/>
        <v>一年以上</v>
      </c>
      <c r="E115" s="66">
        <v>44181</v>
      </c>
      <c r="F115" s="66" t="s">
        <v>70</v>
      </c>
      <c r="G115" s="59" t="s">
        <v>119</v>
      </c>
      <c r="H115" s="60" t="s">
        <v>269</v>
      </c>
      <c r="I115" s="63" t="s">
        <v>269</v>
      </c>
      <c r="J115" s="64">
        <v>3000</v>
      </c>
      <c r="K115" s="59"/>
      <c r="L115" s="59" t="s">
        <v>96</v>
      </c>
      <c r="M115" s="59" t="s">
        <v>65</v>
      </c>
      <c r="N115" s="65">
        <v>3000</v>
      </c>
      <c r="O115" s="65">
        <f t="shared" si="6"/>
        <v>0</v>
      </c>
      <c r="P115" s="66">
        <v>44227</v>
      </c>
      <c r="Q115" s="61">
        <f t="shared" si="5"/>
        <v>44227</v>
      </c>
      <c r="R115" s="66"/>
      <c r="S115" s="59"/>
      <c r="T115" s="59"/>
      <c r="U115" s="59"/>
      <c r="V115" s="59"/>
      <c r="W115" s="59"/>
      <c r="X115" s="59"/>
    </row>
    <row r="116" s="20" customFormat="1" ht="24" hidden="1" spans="1:24">
      <c r="A116" s="59">
        <v>206</v>
      </c>
      <c r="B116" s="60" t="s">
        <v>351</v>
      </c>
      <c r="C116" s="61">
        <v>44166</v>
      </c>
      <c r="D116" s="62" t="str">
        <f ca="1" t="shared" si="4"/>
        <v>一年以上</v>
      </c>
      <c r="E116" s="66">
        <v>44181</v>
      </c>
      <c r="F116" s="66"/>
      <c r="G116" s="59" t="s">
        <v>297</v>
      </c>
      <c r="H116" s="91" t="s">
        <v>352</v>
      </c>
      <c r="I116" s="63" t="s">
        <v>352</v>
      </c>
      <c r="J116" s="71">
        <v>10000</v>
      </c>
      <c r="K116" s="59"/>
      <c r="L116" s="59" t="s">
        <v>73</v>
      </c>
      <c r="M116" s="59" t="s">
        <v>30</v>
      </c>
      <c r="N116" s="65">
        <v>10000</v>
      </c>
      <c r="O116" s="65">
        <f t="shared" si="6"/>
        <v>0</v>
      </c>
      <c r="P116" s="66">
        <v>44216</v>
      </c>
      <c r="Q116" s="61">
        <f t="shared" si="5"/>
        <v>44216</v>
      </c>
      <c r="R116" s="59"/>
      <c r="S116" s="59"/>
      <c r="T116" s="59"/>
      <c r="U116" s="59"/>
      <c r="V116" s="59"/>
      <c r="W116" s="59"/>
      <c r="X116" s="59"/>
    </row>
    <row r="117" s="20" customFormat="1" hidden="1" spans="1:24">
      <c r="A117" s="59">
        <v>86</v>
      </c>
      <c r="B117" s="60" t="s">
        <v>353</v>
      </c>
      <c r="C117" s="61">
        <v>44166</v>
      </c>
      <c r="D117" s="62" t="str">
        <f ca="1" t="shared" si="4"/>
        <v>一年以上</v>
      </c>
      <c r="E117" s="66">
        <v>44182</v>
      </c>
      <c r="F117" s="66" t="s">
        <v>70</v>
      </c>
      <c r="G117" s="59" t="s">
        <v>219</v>
      </c>
      <c r="H117" s="60" t="s">
        <v>179</v>
      </c>
      <c r="I117" s="63" t="s">
        <v>179</v>
      </c>
      <c r="J117" s="64">
        <f>5000</f>
        <v>5000</v>
      </c>
      <c r="K117" s="59"/>
      <c r="L117" s="59" t="s">
        <v>96</v>
      </c>
      <c r="M117" s="59" t="s">
        <v>65</v>
      </c>
      <c r="N117" s="65">
        <v>5000</v>
      </c>
      <c r="O117" s="65">
        <f t="shared" si="6"/>
        <v>0</v>
      </c>
      <c r="P117" s="66">
        <v>44211</v>
      </c>
      <c r="Q117" s="61">
        <f t="shared" si="5"/>
        <v>44211</v>
      </c>
      <c r="R117" s="66"/>
      <c r="S117" s="59" t="s">
        <v>354</v>
      </c>
      <c r="T117" s="59"/>
      <c r="U117" s="59"/>
      <c r="V117" s="59"/>
      <c r="W117" s="59"/>
      <c r="X117" s="59"/>
    </row>
    <row r="118" s="17" customFormat="1" hidden="1" spans="1:24">
      <c r="A118" s="59">
        <v>113</v>
      </c>
      <c r="B118" s="60" t="s">
        <v>355</v>
      </c>
      <c r="C118" s="61"/>
      <c r="D118" s="62" t="str">
        <f ca="1" t="shared" si="4"/>
        <v>一年以上</v>
      </c>
      <c r="E118" s="66">
        <v>44182</v>
      </c>
      <c r="F118" s="66" t="s">
        <v>70</v>
      </c>
      <c r="G118" s="59" t="s">
        <v>119</v>
      </c>
      <c r="H118" s="60" t="s">
        <v>179</v>
      </c>
      <c r="I118" s="63" t="s">
        <v>179</v>
      </c>
      <c r="J118" s="64">
        <v>1500</v>
      </c>
      <c r="K118" s="59" t="s">
        <v>356</v>
      </c>
      <c r="L118" s="59" t="s">
        <v>357</v>
      </c>
      <c r="M118" s="59" t="s">
        <v>65</v>
      </c>
      <c r="N118" s="65">
        <v>1500</v>
      </c>
      <c r="O118" s="65">
        <f t="shared" si="6"/>
        <v>0</v>
      </c>
      <c r="P118" s="66">
        <v>44237</v>
      </c>
      <c r="Q118" s="61">
        <f t="shared" si="5"/>
        <v>44237</v>
      </c>
      <c r="R118" s="59"/>
      <c r="S118" s="59"/>
      <c r="T118" s="59"/>
      <c r="U118" s="59"/>
      <c r="V118" s="59"/>
      <c r="W118" s="68"/>
      <c r="X118" s="68"/>
    </row>
    <row r="119" s="20" customFormat="1" ht="24" hidden="1" spans="1:24">
      <c r="A119" s="59">
        <v>207</v>
      </c>
      <c r="B119" s="60" t="s">
        <v>358</v>
      </c>
      <c r="C119" s="61">
        <v>44166</v>
      </c>
      <c r="D119" s="62" t="str">
        <f ca="1" t="shared" si="4"/>
        <v>一年以上</v>
      </c>
      <c r="E119" s="66">
        <v>44186</v>
      </c>
      <c r="F119" s="66"/>
      <c r="G119" s="59" t="s">
        <v>54</v>
      </c>
      <c r="H119" s="91" t="s">
        <v>325</v>
      </c>
      <c r="I119" s="63" t="s">
        <v>325</v>
      </c>
      <c r="J119" s="71">
        <v>5000</v>
      </c>
      <c r="K119" s="59"/>
      <c r="L119" s="59" t="s">
        <v>73</v>
      </c>
      <c r="M119" s="59" t="s">
        <v>30</v>
      </c>
      <c r="N119" s="65">
        <v>5000</v>
      </c>
      <c r="O119" s="65">
        <f t="shared" si="6"/>
        <v>0</v>
      </c>
      <c r="P119" s="66">
        <v>44217</v>
      </c>
      <c r="Q119" s="61">
        <f t="shared" si="5"/>
        <v>44217</v>
      </c>
      <c r="R119" s="59"/>
      <c r="S119" s="59"/>
      <c r="T119" s="59"/>
      <c r="U119" s="59"/>
      <c r="V119" s="59"/>
      <c r="W119" s="59"/>
      <c r="X119" s="59"/>
    </row>
    <row r="120" s="20" customFormat="1" ht="36" hidden="1" spans="1:24">
      <c r="A120" s="59">
        <v>208</v>
      </c>
      <c r="B120" s="60" t="s">
        <v>359</v>
      </c>
      <c r="C120" s="61">
        <v>44166</v>
      </c>
      <c r="D120" s="62" t="str">
        <f ca="1" t="shared" si="4"/>
        <v>一年以上</v>
      </c>
      <c r="E120" s="66">
        <v>44186</v>
      </c>
      <c r="F120" s="66"/>
      <c r="G120" s="59" t="s">
        <v>54</v>
      </c>
      <c r="H120" s="91" t="s">
        <v>360</v>
      </c>
      <c r="I120" s="63" t="s">
        <v>360</v>
      </c>
      <c r="J120" s="71">
        <v>10000</v>
      </c>
      <c r="K120" s="59"/>
      <c r="L120" s="59" t="s">
        <v>73</v>
      </c>
      <c r="M120" s="59" t="s">
        <v>30</v>
      </c>
      <c r="N120" s="65">
        <v>10000</v>
      </c>
      <c r="O120" s="65">
        <f t="shared" si="6"/>
        <v>0</v>
      </c>
      <c r="P120" s="66">
        <v>44251</v>
      </c>
      <c r="Q120" s="61">
        <f t="shared" si="5"/>
        <v>44251</v>
      </c>
      <c r="R120" s="59"/>
      <c r="S120" s="59"/>
      <c r="T120" s="59"/>
      <c r="U120" s="59"/>
      <c r="V120" s="59"/>
      <c r="W120" s="59"/>
      <c r="X120" s="59"/>
    </row>
    <row r="121" s="20" customFormat="1" ht="24" hidden="1" spans="1:24">
      <c r="A121" s="59">
        <v>209</v>
      </c>
      <c r="B121" s="60" t="s">
        <v>361</v>
      </c>
      <c r="C121" s="61">
        <v>44166</v>
      </c>
      <c r="D121" s="62" t="str">
        <f ca="1" t="shared" si="4"/>
        <v>一年以上</v>
      </c>
      <c r="E121" s="66">
        <v>44188</v>
      </c>
      <c r="F121" s="66"/>
      <c r="G121" s="59" t="s">
        <v>239</v>
      </c>
      <c r="H121" s="91" t="s">
        <v>362</v>
      </c>
      <c r="I121" s="63" t="s">
        <v>362</v>
      </c>
      <c r="J121" s="71">
        <v>3000</v>
      </c>
      <c r="K121" s="59"/>
      <c r="L121" s="59" t="s">
        <v>96</v>
      </c>
      <c r="M121" s="59" t="s">
        <v>30</v>
      </c>
      <c r="N121" s="65">
        <v>3000</v>
      </c>
      <c r="O121" s="65">
        <f t="shared" si="6"/>
        <v>0</v>
      </c>
      <c r="P121" s="66">
        <v>44201</v>
      </c>
      <c r="Q121" s="61">
        <f t="shared" si="5"/>
        <v>44201</v>
      </c>
      <c r="R121" s="59"/>
      <c r="S121" s="59"/>
      <c r="T121" s="59"/>
      <c r="U121" s="59"/>
      <c r="V121" s="59"/>
      <c r="W121" s="59"/>
      <c r="X121" s="59"/>
    </row>
    <row r="122" s="20" customFormat="1" ht="24" hidden="1" spans="1:24">
      <c r="A122" s="59">
        <v>87</v>
      </c>
      <c r="B122" s="60" t="s">
        <v>363</v>
      </c>
      <c r="C122" s="61">
        <v>44166</v>
      </c>
      <c r="D122" s="62" t="str">
        <f ca="1" t="shared" si="4"/>
        <v>一年以上</v>
      </c>
      <c r="E122" s="66">
        <v>44190</v>
      </c>
      <c r="F122" s="66" t="s">
        <v>70</v>
      </c>
      <c r="G122" s="59" t="s">
        <v>149</v>
      </c>
      <c r="H122" s="60" t="s">
        <v>152</v>
      </c>
      <c r="I122" s="63" t="s">
        <v>152</v>
      </c>
      <c r="J122" s="64">
        <v>10000</v>
      </c>
      <c r="K122" s="59"/>
      <c r="L122" s="59" t="s">
        <v>73</v>
      </c>
      <c r="M122" s="59" t="s">
        <v>65</v>
      </c>
      <c r="N122" s="65">
        <v>10000</v>
      </c>
      <c r="O122" s="65">
        <f t="shared" si="6"/>
        <v>0</v>
      </c>
      <c r="P122" s="66">
        <v>44233</v>
      </c>
      <c r="Q122" s="61">
        <f t="shared" si="5"/>
        <v>44233</v>
      </c>
      <c r="R122" s="66"/>
      <c r="S122" s="89" t="s">
        <v>364</v>
      </c>
      <c r="T122" s="59"/>
      <c r="U122" s="59"/>
      <c r="V122" s="59"/>
      <c r="W122" s="59"/>
      <c r="X122" s="59"/>
    </row>
    <row r="123" s="20" customFormat="1" ht="24" hidden="1" spans="1:24">
      <c r="A123" s="59">
        <v>88</v>
      </c>
      <c r="B123" s="60" t="s">
        <v>365</v>
      </c>
      <c r="C123" s="61">
        <v>44166</v>
      </c>
      <c r="D123" s="62" t="str">
        <f ca="1" t="shared" si="4"/>
        <v>一年以上</v>
      </c>
      <c r="E123" s="66">
        <v>44193</v>
      </c>
      <c r="F123" s="66" t="s">
        <v>82</v>
      </c>
      <c r="G123" s="59" t="s">
        <v>119</v>
      </c>
      <c r="H123" s="60" t="s">
        <v>366</v>
      </c>
      <c r="I123" s="63" t="s">
        <v>366</v>
      </c>
      <c r="J123" s="64">
        <v>2000</v>
      </c>
      <c r="K123" s="59" t="s">
        <v>28</v>
      </c>
      <c r="L123" s="59" t="s">
        <v>57</v>
      </c>
      <c r="M123" s="59" t="s">
        <v>65</v>
      </c>
      <c r="N123" s="65">
        <v>2000</v>
      </c>
      <c r="O123" s="65">
        <f t="shared" si="6"/>
        <v>0</v>
      </c>
      <c r="P123" s="66">
        <v>45069</v>
      </c>
      <c r="Q123" s="61">
        <f t="shared" si="5"/>
        <v>45069</v>
      </c>
      <c r="R123" s="59"/>
      <c r="S123" s="59" t="s">
        <v>367</v>
      </c>
      <c r="T123" s="59" t="s">
        <v>182</v>
      </c>
      <c r="U123" s="59" t="s">
        <v>125</v>
      </c>
      <c r="V123" s="59"/>
      <c r="W123" s="59"/>
      <c r="X123" s="59"/>
    </row>
    <row r="124" s="20" customFormat="1" hidden="1" spans="1:24">
      <c r="A124" s="59">
        <v>210</v>
      </c>
      <c r="B124" s="60" t="s">
        <v>368</v>
      </c>
      <c r="C124" s="61">
        <v>44166</v>
      </c>
      <c r="D124" s="62" t="str">
        <f ca="1" t="shared" si="4"/>
        <v>一年以上</v>
      </c>
      <c r="E124" s="66">
        <v>44195</v>
      </c>
      <c r="F124" s="66"/>
      <c r="G124" s="59" t="s">
        <v>54</v>
      </c>
      <c r="H124" s="60" t="s">
        <v>313</v>
      </c>
      <c r="I124" s="63" t="s">
        <v>313</v>
      </c>
      <c r="J124" s="71">
        <v>3000</v>
      </c>
      <c r="K124" s="59"/>
      <c r="L124" s="59" t="s">
        <v>73</v>
      </c>
      <c r="M124" s="59" t="s">
        <v>30</v>
      </c>
      <c r="N124" s="65">
        <v>3000</v>
      </c>
      <c r="O124" s="65">
        <f t="shared" si="6"/>
        <v>0</v>
      </c>
      <c r="P124" s="66">
        <v>44280</v>
      </c>
      <c r="Q124" s="61">
        <f t="shared" si="5"/>
        <v>44280</v>
      </c>
      <c r="R124" s="59"/>
      <c r="S124" s="59"/>
      <c r="T124" s="59"/>
      <c r="U124" s="59"/>
      <c r="V124" s="59"/>
      <c r="W124" s="59"/>
      <c r="X124" s="59"/>
    </row>
    <row r="125" s="22" customFormat="1" ht="24" hidden="1" spans="1:24">
      <c r="A125" s="59">
        <v>89</v>
      </c>
      <c r="B125" s="60" t="s">
        <v>369</v>
      </c>
      <c r="C125" s="61">
        <v>44197</v>
      </c>
      <c r="D125" s="62" t="str">
        <f ca="1" t="shared" si="4"/>
        <v>一年以上</v>
      </c>
      <c r="E125" s="66">
        <v>44200</v>
      </c>
      <c r="F125" s="66" t="s">
        <v>70</v>
      </c>
      <c r="G125" s="59" t="s">
        <v>146</v>
      </c>
      <c r="H125" s="60" t="s">
        <v>231</v>
      </c>
      <c r="I125" s="63" t="s">
        <v>231</v>
      </c>
      <c r="J125" s="64">
        <v>5920</v>
      </c>
      <c r="K125" s="59"/>
      <c r="L125" s="59" t="s">
        <v>73</v>
      </c>
      <c r="M125" s="59" t="s">
        <v>65</v>
      </c>
      <c r="N125" s="65">
        <v>5920</v>
      </c>
      <c r="O125" s="65">
        <f t="shared" si="6"/>
        <v>0</v>
      </c>
      <c r="P125" s="66">
        <v>44614</v>
      </c>
      <c r="Q125" s="61">
        <f t="shared" si="5"/>
        <v>44614</v>
      </c>
      <c r="R125" s="66"/>
      <c r="S125" s="59" t="s">
        <v>370</v>
      </c>
      <c r="T125" s="59" t="s">
        <v>32</v>
      </c>
      <c r="U125" s="59" t="s">
        <v>371</v>
      </c>
      <c r="V125" s="59"/>
      <c r="W125" s="80"/>
      <c r="X125" s="80"/>
    </row>
    <row r="126" s="20" customFormat="1" hidden="1" spans="1:24">
      <c r="A126" s="59">
        <v>90</v>
      </c>
      <c r="B126" s="60" t="s">
        <v>372</v>
      </c>
      <c r="C126" s="61">
        <v>44197</v>
      </c>
      <c r="D126" s="62" t="str">
        <f ca="1" t="shared" si="4"/>
        <v>一年以上</v>
      </c>
      <c r="E126" s="66">
        <v>44202</v>
      </c>
      <c r="F126" s="66" t="s">
        <v>82</v>
      </c>
      <c r="G126" s="59" t="s">
        <v>340</v>
      </c>
      <c r="H126" s="60" t="s">
        <v>144</v>
      </c>
      <c r="I126" s="63" t="s">
        <v>144</v>
      </c>
      <c r="J126" s="64">
        <v>4000</v>
      </c>
      <c r="K126" s="59" t="s">
        <v>28</v>
      </c>
      <c r="L126" s="59" t="s">
        <v>57</v>
      </c>
      <c r="M126" s="59" t="s">
        <v>65</v>
      </c>
      <c r="N126" s="86">
        <v>4000</v>
      </c>
      <c r="O126" s="65">
        <f t="shared" si="6"/>
        <v>0</v>
      </c>
      <c r="P126" s="66">
        <v>45181</v>
      </c>
      <c r="Q126" s="61">
        <f t="shared" si="5"/>
        <v>45181</v>
      </c>
      <c r="R126" s="59"/>
      <c r="S126" s="59" t="s">
        <v>373</v>
      </c>
      <c r="T126" s="59" t="s">
        <v>86</v>
      </c>
      <c r="U126" s="59" t="s">
        <v>87</v>
      </c>
      <c r="V126" s="59"/>
      <c r="W126" s="59"/>
      <c r="X126" s="59"/>
    </row>
    <row r="127" s="20" customFormat="1" hidden="1" spans="1:24">
      <c r="A127" s="59">
        <v>211</v>
      </c>
      <c r="B127" s="60" t="s">
        <v>374</v>
      </c>
      <c r="C127" s="61">
        <v>44197</v>
      </c>
      <c r="D127" s="62" t="str">
        <f ca="1" t="shared" si="4"/>
        <v>一年以上</v>
      </c>
      <c r="E127" s="66">
        <v>44202</v>
      </c>
      <c r="F127" s="66"/>
      <c r="G127" s="59" t="s">
        <v>375</v>
      </c>
      <c r="H127" s="60" t="s">
        <v>376</v>
      </c>
      <c r="I127" s="63" t="s">
        <v>376</v>
      </c>
      <c r="J127" s="71">
        <v>36000</v>
      </c>
      <c r="K127" s="59"/>
      <c r="L127" s="59" t="s">
        <v>73</v>
      </c>
      <c r="M127" s="59" t="s">
        <v>30</v>
      </c>
      <c r="N127" s="65">
        <v>36000</v>
      </c>
      <c r="O127" s="65">
        <f t="shared" si="6"/>
        <v>0</v>
      </c>
      <c r="P127" s="66">
        <v>44223</v>
      </c>
      <c r="Q127" s="61">
        <f t="shared" si="5"/>
        <v>44223</v>
      </c>
      <c r="R127" s="59"/>
      <c r="S127" s="59"/>
      <c r="T127" s="59"/>
      <c r="U127" s="59"/>
      <c r="V127" s="59"/>
      <c r="W127" s="59"/>
      <c r="X127" s="59"/>
    </row>
    <row r="128" s="20" customFormat="1" ht="36" spans="1:24">
      <c r="A128" s="59">
        <v>91</v>
      </c>
      <c r="B128" s="60" t="s">
        <v>377</v>
      </c>
      <c r="C128" s="61">
        <v>44197</v>
      </c>
      <c r="D128" s="62" t="str">
        <f ca="1" t="shared" si="4"/>
        <v>一年以上</v>
      </c>
      <c r="E128" s="66">
        <v>44210</v>
      </c>
      <c r="F128" s="66" t="s">
        <v>282</v>
      </c>
      <c r="G128" s="59" t="s">
        <v>378</v>
      </c>
      <c r="H128" s="60" t="s">
        <v>379</v>
      </c>
      <c r="I128" s="63" t="s">
        <v>379</v>
      </c>
      <c r="J128" s="64">
        <v>500</v>
      </c>
      <c r="K128" s="59" t="s">
        <v>28</v>
      </c>
      <c r="L128" s="59" t="s">
        <v>73</v>
      </c>
      <c r="M128" s="59" t="s">
        <v>65</v>
      </c>
      <c r="N128" s="65"/>
      <c r="O128" s="65">
        <f t="shared" si="6"/>
        <v>500</v>
      </c>
      <c r="P128" s="66"/>
      <c r="Q128" s="61">
        <f t="shared" si="5"/>
        <v>0</v>
      </c>
      <c r="R128" s="59" t="s">
        <v>380</v>
      </c>
      <c r="S128" s="59"/>
      <c r="T128" s="59" t="s">
        <v>381</v>
      </c>
      <c r="U128" s="59" t="str">
        <f>VLOOKUP(T128,[1]区域划分!$A$1:$C$39,3,0)</f>
        <v>林维</v>
      </c>
      <c r="V128" s="59"/>
      <c r="W128" s="59"/>
      <c r="X128" s="59"/>
    </row>
    <row r="129" s="20" customFormat="1" ht="24" hidden="1" spans="1:24">
      <c r="A129" s="59">
        <v>92</v>
      </c>
      <c r="B129" s="60" t="s">
        <v>382</v>
      </c>
      <c r="C129" s="61">
        <v>44197</v>
      </c>
      <c r="D129" s="62" t="str">
        <f ca="1" t="shared" si="4"/>
        <v>一年以上</v>
      </c>
      <c r="E129" s="66">
        <v>44214</v>
      </c>
      <c r="F129" s="66" t="s">
        <v>70</v>
      </c>
      <c r="G129" s="59" t="s">
        <v>219</v>
      </c>
      <c r="H129" s="60" t="s">
        <v>383</v>
      </c>
      <c r="I129" s="63" t="s">
        <v>383</v>
      </c>
      <c r="J129" s="64">
        <v>2000</v>
      </c>
      <c r="K129" s="59"/>
      <c r="L129" s="59" t="s">
        <v>73</v>
      </c>
      <c r="M129" s="59" t="s">
        <v>65</v>
      </c>
      <c r="N129" s="65">
        <v>2000</v>
      </c>
      <c r="O129" s="65">
        <f t="shared" si="6"/>
        <v>0</v>
      </c>
      <c r="P129" s="66">
        <v>44433</v>
      </c>
      <c r="Q129" s="61">
        <f t="shared" si="5"/>
        <v>44433</v>
      </c>
      <c r="R129" s="66"/>
      <c r="S129" s="59"/>
      <c r="T129" s="59"/>
      <c r="U129" s="59"/>
      <c r="V129" s="59"/>
      <c r="W129" s="59"/>
      <c r="X129" s="59"/>
    </row>
    <row r="130" s="20" customFormat="1" ht="36" spans="1:24">
      <c r="A130" s="59">
        <v>212</v>
      </c>
      <c r="B130" s="60" t="s">
        <v>2655</v>
      </c>
      <c r="C130" s="61">
        <v>44197</v>
      </c>
      <c r="D130" s="62" t="str">
        <f ca="1" t="shared" si="4"/>
        <v>一年以上</v>
      </c>
      <c r="E130" s="66">
        <v>44216</v>
      </c>
      <c r="F130" s="66"/>
      <c r="G130" s="59" t="s">
        <v>239</v>
      </c>
      <c r="H130" s="60" t="s">
        <v>384</v>
      </c>
      <c r="I130" s="87" t="s">
        <v>385</v>
      </c>
      <c r="J130" s="71">
        <v>5000</v>
      </c>
      <c r="K130" s="59" t="s">
        <v>28</v>
      </c>
      <c r="L130" s="59" t="s">
        <v>73</v>
      </c>
      <c r="M130" s="59" t="s">
        <v>30</v>
      </c>
      <c r="N130" s="65"/>
      <c r="O130" s="88">
        <f t="shared" si="6"/>
        <v>5000</v>
      </c>
      <c r="P130" s="66"/>
      <c r="Q130" s="61">
        <f t="shared" si="5"/>
        <v>0</v>
      </c>
      <c r="R130" s="59" t="s">
        <v>386</v>
      </c>
      <c r="S130" s="59" t="s">
        <v>2656</v>
      </c>
      <c r="T130" s="59" t="s">
        <v>388</v>
      </c>
      <c r="U130" s="59" t="str">
        <f>VLOOKUP(T130,[1]区域划分!$A$1:$C$39,3,0)</f>
        <v>林维</v>
      </c>
      <c r="V130" s="59"/>
      <c r="W130" s="59"/>
      <c r="X130" s="59"/>
    </row>
    <row r="131" s="20" customFormat="1" hidden="1" spans="1:24">
      <c r="A131" s="59">
        <v>93</v>
      </c>
      <c r="B131" s="60" t="s">
        <v>389</v>
      </c>
      <c r="C131" s="61">
        <v>44197</v>
      </c>
      <c r="D131" s="62" t="str">
        <f ca="1" t="shared" ref="D131:D194" si="7">IF(TODAY()-E131&lt;60,"2个月内",IF(TODAY()-E131&lt;180,"3-6个月",IF(TODAY()-E131&lt;360,"6个月-1年","一年以上")))</f>
        <v>一年以上</v>
      </c>
      <c r="E131" s="66">
        <v>44218</v>
      </c>
      <c r="F131" s="66" t="s">
        <v>70</v>
      </c>
      <c r="G131" s="59" t="s">
        <v>119</v>
      </c>
      <c r="H131" s="60" t="s">
        <v>179</v>
      </c>
      <c r="I131" s="63" t="s">
        <v>179</v>
      </c>
      <c r="J131" s="64">
        <v>3000</v>
      </c>
      <c r="K131" s="59"/>
      <c r="L131" s="59" t="s">
        <v>96</v>
      </c>
      <c r="M131" s="59" t="s">
        <v>65</v>
      </c>
      <c r="N131" s="65">
        <v>3000</v>
      </c>
      <c r="O131" s="65">
        <f t="shared" si="6"/>
        <v>0</v>
      </c>
      <c r="P131" s="66">
        <v>44277</v>
      </c>
      <c r="Q131" s="61">
        <f t="shared" ref="Q131:Q194" si="8">P131</f>
        <v>44277</v>
      </c>
      <c r="R131" s="66"/>
      <c r="S131" s="59"/>
      <c r="T131" s="59"/>
      <c r="U131" s="59"/>
      <c r="V131" s="59"/>
      <c r="W131" s="59"/>
      <c r="X131" s="59"/>
    </row>
    <row r="132" s="20" customFormat="1" ht="24" hidden="1" spans="1:24">
      <c r="A132" s="59">
        <v>346</v>
      </c>
      <c r="B132" s="60" t="s">
        <v>390</v>
      </c>
      <c r="C132" s="61">
        <v>44197</v>
      </c>
      <c r="D132" s="62" t="str">
        <f ca="1" t="shared" si="7"/>
        <v>一年以上</v>
      </c>
      <c r="E132" s="66">
        <v>44221</v>
      </c>
      <c r="F132" s="66" t="s">
        <v>130</v>
      </c>
      <c r="G132" s="59" t="s">
        <v>125</v>
      </c>
      <c r="H132" s="60" t="s">
        <v>132</v>
      </c>
      <c r="I132" s="63" t="s">
        <v>132</v>
      </c>
      <c r="J132" s="76">
        <v>11800</v>
      </c>
      <c r="K132" s="59"/>
      <c r="L132" s="59" t="s">
        <v>73</v>
      </c>
      <c r="M132" s="59" t="s">
        <v>133</v>
      </c>
      <c r="N132" s="65">
        <v>11800</v>
      </c>
      <c r="O132" s="65">
        <f t="shared" si="6"/>
        <v>0</v>
      </c>
      <c r="P132" s="66">
        <v>44405</v>
      </c>
      <c r="Q132" s="61">
        <f t="shared" si="8"/>
        <v>44405</v>
      </c>
      <c r="R132" s="59"/>
      <c r="S132" s="59" t="s">
        <v>133</v>
      </c>
      <c r="T132" s="59"/>
      <c r="U132" s="59"/>
      <c r="V132" s="59"/>
      <c r="W132" s="59"/>
      <c r="X132" s="59"/>
    </row>
    <row r="133" s="20" customFormat="1" ht="60" hidden="1" spans="1:24">
      <c r="A133" s="59">
        <v>94</v>
      </c>
      <c r="B133" s="60" t="s">
        <v>391</v>
      </c>
      <c r="C133" s="61">
        <v>44197</v>
      </c>
      <c r="D133" s="62" t="str">
        <f ca="1" t="shared" si="7"/>
        <v>一年以上</v>
      </c>
      <c r="E133" s="66">
        <v>44223</v>
      </c>
      <c r="F133" s="66" t="s">
        <v>82</v>
      </c>
      <c r="G133" s="59" t="s">
        <v>392</v>
      </c>
      <c r="H133" s="60" t="s">
        <v>393</v>
      </c>
      <c r="I133" s="63" t="s">
        <v>393</v>
      </c>
      <c r="J133" s="64">
        <v>2000</v>
      </c>
      <c r="K133" s="59" t="s">
        <v>28</v>
      </c>
      <c r="L133" s="59" t="s">
        <v>57</v>
      </c>
      <c r="M133" s="59" t="s">
        <v>65</v>
      </c>
      <c r="N133" s="65">
        <v>2000</v>
      </c>
      <c r="O133" s="65">
        <f t="shared" si="6"/>
        <v>0</v>
      </c>
      <c r="P133" s="66">
        <v>45257</v>
      </c>
      <c r="Q133" s="61">
        <f t="shared" si="8"/>
        <v>45257</v>
      </c>
      <c r="R133" s="60" t="s">
        <v>394</v>
      </c>
      <c r="S133" s="59" t="s">
        <v>395</v>
      </c>
      <c r="T133" s="94" t="s">
        <v>396</v>
      </c>
      <c r="U133" s="59" t="str">
        <f>VLOOKUP(T133,[1]区域划分!$A$1:$C$39,3,0)</f>
        <v>牛国庆</v>
      </c>
      <c r="V133" s="59"/>
      <c r="W133" s="59"/>
      <c r="X133" s="59"/>
    </row>
    <row r="134" s="20" customFormat="1" ht="36" hidden="1" spans="1:24">
      <c r="A134" s="59">
        <v>95</v>
      </c>
      <c r="B134" s="60" t="s">
        <v>397</v>
      </c>
      <c r="C134" s="61">
        <v>44197</v>
      </c>
      <c r="D134" s="62" t="str">
        <f ca="1" t="shared" si="7"/>
        <v>一年以上</v>
      </c>
      <c r="E134" s="66">
        <v>44225</v>
      </c>
      <c r="F134" s="66" t="s">
        <v>82</v>
      </c>
      <c r="G134" s="59" t="s">
        <v>224</v>
      </c>
      <c r="H134" s="60" t="s">
        <v>398</v>
      </c>
      <c r="I134" s="60" t="s">
        <v>399</v>
      </c>
      <c r="J134" s="64">
        <v>2000</v>
      </c>
      <c r="K134" s="59"/>
      <c r="L134" s="59" t="s">
        <v>73</v>
      </c>
      <c r="M134" s="59" t="s">
        <v>65</v>
      </c>
      <c r="N134" s="65">
        <v>2000</v>
      </c>
      <c r="O134" s="65">
        <f t="shared" si="6"/>
        <v>0</v>
      </c>
      <c r="P134" s="66">
        <v>44718</v>
      </c>
      <c r="Q134" s="61">
        <f t="shared" si="8"/>
        <v>44718</v>
      </c>
      <c r="R134" s="59" t="s">
        <v>400</v>
      </c>
      <c r="S134" s="59"/>
      <c r="T134" s="59" t="s">
        <v>49</v>
      </c>
      <c r="U134" s="59" t="s">
        <v>401</v>
      </c>
      <c r="V134" s="59"/>
      <c r="W134" s="59"/>
      <c r="X134" s="59"/>
    </row>
    <row r="135" s="20" customFormat="1" ht="24" hidden="1" spans="1:24">
      <c r="A135" s="59">
        <v>96</v>
      </c>
      <c r="B135" s="60" t="s">
        <v>402</v>
      </c>
      <c r="C135" s="61">
        <v>44228</v>
      </c>
      <c r="D135" s="62" t="str">
        <f ca="1" t="shared" si="7"/>
        <v>一年以上</v>
      </c>
      <c r="E135" s="66">
        <v>44228</v>
      </c>
      <c r="F135" s="66" t="s">
        <v>70</v>
      </c>
      <c r="G135" s="59" t="s">
        <v>403</v>
      </c>
      <c r="H135" s="60" t="s">
        <v>404</v>
      </c>
      <c r="I135" s="60" t="s">
        <v>404</v>
      </c>
      <c r="J135" s="64">
        <v>10000</v>
      </c>
      <c r="K135" s="59"/>
      <c r="L135" s="59" t="s">
        <v>73</v>
      </c>
      <c r="M135" s="59" t="s">
        <v>65</v>
      </c>
      <c r="N135" s="65">
        <v>10000</v>
      </c>
      <c r="O135" s="65">
        <f t="shared" si="6"/>
        <v>0</v>
      </c>
      <c r="P135" s="66">
        <v>44330</v>
      </c>
      <c r="Q135" s="61">
        <f t="shared" si="8"/>
        <v>44330</v>
      </c>
      <c r="R135" s="66"/>
      <c r="S135" s="59"/>
      <c r="T135" s="59"/>
      <c r="U135" s="59"/>
      <c r="V135" s="59"/>
      <c r="W135" s="59"/>
      <c r="X135" s="59"/>
    </row>
    <row r="136" s="20" customFormat="1" hidden="1" spans="1:24">
      <c r="A136" s="59">
        <v>213</v>
      </c>
      <c r="B136" s="60" t="s">
        <v>405</v>
      </c>
      <c r="C136" s="61">
        <v>44228</v>
      </c>
      <c r="D136" s="62" t="str">
        <f ca="1" t="shared" si="7"/>
        <v>一年以上</v>
      </c>
      <c r="E136" s="66">
        <v>44228</v>
      </c>
      <c r="F136" s="66"/>
      <c r="G136" s="59" t="s">
        <v>401</v>
      </c>
      <c r="H136" s="91" t="s">
        <v>406</v>
      </c>
      <c r="I136" s="60" t="s">
        <v>406</v>
      </c>
      <c r="J136" s="71">
        <v>40000</v>
      </c>
      <c r="K136" s="59"/>
      <c r="L136" s="59" t="s">
        <v>73</v>
      </c>
      <c r="M136" s="59" t="s">
        <v>30</v>
      </c>
      <c r="N136" s="65">
        <v>40000</v>
      </c>
      <c r="O136" s="65">
        <f t="shared" si="6"/>
        <v>0</v>
      </c>
      <c r="P136" s="66">
        <v>44739</v>
      </c>
      <c r="Q136" s="61">
        <f t="shared" si="8"/>
        <v>44739</v>
      </c>
      <c r="R136" s="59" t="s">
        <v>310</v>
      </c>
      <c r="S136" s="59" t="s">
        <v>407</v>
      </c>
      <c r="T136" s="59"/>
      <c r="U136" s="59"/>
      <c r="V136" s="59"/>
      <c r="W136" s="59"/>
      <c r="X136" s="59"/>
    </row>
    <row r="137" s="20" customFormat="1" ht="24" hidden="1" spans="1:24">
      <c r="A137" s="59">
        <v>103</v>
      </c>
      <c r="B137" s="60" t="s">
        <v>408</v>
      </c>
      <c r="C137" s="61">
        <v>44228</v>
      </c>
      <c r="D137" s="62" t="str">
        <f ca="1" t="shared" si="7"/>
        <v>一年以上</v>
      </c>
      <c r="E137" s="66">
        <v>44245</v>
      </c>
      <c r="F137" s="66" t="s">
        <v>409</v>
      </c>
      <c r="G137" s="59" t="s">
        <v>410</v>
      </c>
      <c r="H137" s="60" t="s">
        <v>269</v>
      </c>
      <c r="I137" s="60" t="s">
        <v>269</v>
      </c>
      <c r="J137" s="64">
        <v>3000</v>
      </c>
      <c r="K137" s="59"/>
      <c r="L137" s="59" t="s">
        <v>96</v>
      </c>
      <c r="M137" s="59" t="s">
        <v>65</v>
      </c>
      <c r="N137" s="65">
        <v>3000</v>
      </c>
      <c r="O137" s="65">
        <f t="shared" si="6"/>
        <v>0</v>
      </c>
      <c r="P137" s="66">
        <f>E137</f>
        <v>44245</v>
      </c>
      <c r="Q137" s="61">
        <f t="shared" si="8"/>
        <v>44245</v>
      </c>
      <c r="R137" s="59"/>
      <c r="S137" s="59"/>
      <c r="T137" s="59"/>
      <c r="U137" s="59"/>
      <c r="V137" s="59"/>
      <c r="W137" s="59"/>
      <c r="X137" s="59"/>
    </row>
    <row r="138" s="20" customFormat="1" ht="24" hidden="1" spans="1:24">
      <c r="A138" s="59">
        <v>97</v>
      </c>
      <c r="B138" s="60" t="s">
        <v>411</v>
      </c>
      <c r="C138" s="61">
        <v>44228</v>
      </c>
      <c r="D138" s="62" t="str">
        <f ca="1" t="shared" si="7"/>
        <v>一年以上</v>
      </c>
      <c r="E138" s="66">
        <v>44246</v>
      </c>
      <c r="F138" s="66" t="s">
        <v>82</v>
      </c>
      <c r="G138" s="59" t="s">
        <v>412</v>
      </c>
      <c r="H138" s="60" t="s">
        <v>413</v>
      </c>
      <c r="I138" s="60" t="s">
        <v>413</v>
      </c>
      <c r="J138" s="64">
        <v>1000</v>
      </c>
      <c r="K138" s="59" t="s">
        <v>28</v>
      </c>
      <c r="L138" s="59" t="s">
        <v>57</v>
      </c>
      <c r="M138" s="59" t="s">
        <v>65</v>
      </c>
      <c r="N138" s="88">
        <v>1000</v>
      </c>
      <c r="O138" s="65">
        <f t="shared" si="6"/>
        <v>0</v>
      </c>
      <c r="P138" s="66">
        <v>45285</v>
      </c>
      <c r="Q138" s="61">
        <f t="shared" si="8"/>
        <v>45285</v>
      </c>
      <c r="R138" s="59" t="s">
        <v>414</v>
      </c>
      <c r="S138" s="59" t="s">
        <v>415</v>
      </c>
      <c r="T138" s="59" t="s">
        <v>267</v>
      </c>
      <c r="U138" s="59" t="str">
        <f>VLOOKUP(T138,[1]区域划分!$A$1:$C$39,3,0)</f>
        <v>牛国庆</v>
      </c>
      <c r="V138" s="59" t="s">
        <v>416</v>
      </c>
      <c r="W138" s="59"/>
      <c r="X138" s="59"/>
    </row>
    <row r="139" s="20" customFormat="1" ht="24" hidden="1" spans="1:24">
      <c r="A139" s="59">
        <v>98</v>
      </c>
      <c r="B139" s="60" t="s">
        <v>417</v>
      </c>
      <c r="C139" s="61">
        <v>44228</v>
      </c>
      <c r="D139" s="62" t="str">
        <f ca="1" t="shared" si="7"/>
        <v>一年以上</v>
      </c>
      <c r="E139" s="66">
        <v>44246</v>
      </c>
      <c r="F139" s="66" t="s">
        <v>70</v>
      </c>
      <c r="G139" s="59" t="s">
        <v>224</v>
      </c>
      <c r="H139" s="60" t="s">
        <v>332</v>
      </c>
      <c r="I139" s="60" t="s">
        <v>332</v>
      </c>
      <c r="J139" s="64">
        <v>11800</v>
      </c>
      <c r="K139" s="59"/>
      <c r="L139" s="59" t="s">
        <v>73</v>
      </c>
      <c r="M139" s="59" t="s">
        <v>65</v>
      </c>
      <c r="N139" s="65">
        <v>11800</v>
      </c>
      <c r="O139" s="65">
        <f t="shared" si="6"/>
        <v>0</v>
      </c>
      <c r="P139" s="66">
        <v>44306</v>
      </c>
      <c r="Q139" s="61">
        <f t="shared" si="8"/>
        <v>44306</v>
      </c>
      <c r="R139" s="66"/>
      <c r="S139" s="59"/>
      <c r="T139" s="59"/>
      <c r="U139" s="59"/>
      <c r="V139" s="59"/>
      <c r="W139" s="59"/>
      <c r="X139" s="59"/>
    </row>
    <row r="140" s="20" customFormat="1" ht="24" hidden="1" spans="1:24">
      <c r="A140" s="59">
        <v>99</v>
      </c>
      <c r="B140" s="60" t="s">
        <v>418</v>
      </c>
      <c r="C140" s="61">
        <v>44228</v>
      </c>
      <c r="D140" s="62" t="str">
        <f ca="1" t="shared" si="7"/>
        <v>一年以上</v>
      </c>
      <c r="E140" s="66">
        <v>44246</v>
      </c>
      <c r="F140" s="66" t="s">
        <v>82</v>
      </c>
      <c r="G140" s="59" t="s">
        <v>340</v>
      </c>
      <c r="H140" s="60" t="s">
        <v>419</v>
      </c>
      <c r="I140" s="60" t="s">
        <v>419</v>
      </c>
      <c r="J140" s="64">
        <v>2500</v>
      </c>
      <c r="K140" s="59" t="s">
        <v>28</v>
      </c>
      <c r="L140" s="59" t="s">
        <v>57</v>
      </c>
      <c r="M140" s="59" t="s">
        <v>65</v>
      </c>
      <c r="N140" s="65">
        <v>2500</v>
      </c>
      <c r="O140" s="65">
        <f t="shared" si="6"/>
        <v>0</v>
      </c>
      <c r="P140" s="66">
        <v>44850</v>
      </c>
      <c r="Q140" s="61">
        <f t="shared" si="8"/>
        <v>44850</v>
      </c>
      <c r="R140" s="59" t="s">
        <v>420</v>
      </c>
      <c r="S140" s="59" t="s">
        <v>415</v>
      </c>
      <c r="T140" s="59" t="s">
        <v>171</v>
      </c>
      <c r="U140" s="59" t="s">
        <v>172</v>
      </c>
      <c r="V140" s="59"/>
      <c r="W140" s="59"/>
      <c r="X140" s="59"/>
    </row>
    <row r="141" s="20" customFormat="1" ht="24" hidden="1" spans="1:24">
      <c r="A141" s="59">
        <v>214</v>
      </c>
      <c r="B141" s="60" t="s">
        <v>421</v>
      </c>
      <c r="C141" s="61">
        <v>44228</v>
      </c>
      <c r="D141" s="62" t="str">
        <f ca="1" t="shared" si="7"/>
        <v>一年以上</v>
      </c>
      <c r="E141" s="66">
        <v>44246</v>
      </c>
      <c r="F141" s="66"/>
      <c r="G141" s="59" t="s">
        <v>125</v>
      </c>
      <c r="H141" s="60" t="s">
        <v>422</v>
      </c>
      <c r="I141" s="60" t="s">
        <v>422</v>
      </c>
      <c r="J141" s="71">
        <v>1500</v>
      </c>
      <c r="K141" s="59"/>
      <c r="L141" s="59" t="s">
        <v>73</v>
      </c>
      <c r="M141" s="59" t="s">
        <v>30</v>
      </c>
      <c r="N141" s="65">
        <v>1500</v>
      </c>
      <c r="O141" s="65">
        <f t="shared" si="6"/>
        <v>0</v>
      </c>
      <c r="P141" s="66">
        <v>44496</v>
      </c>
      <c r="Q141" s="61">
        <f t="shared" si="8"/>
        <v>44496</v>
      </c>
      <c r="R141" s="59"/>
      <c r="S141" s="59"/>
      <c r="T141" s="59"/>
      <c r="U141" s="59"/>
      <c r="V141" s="59"/>
      <c r="W141" s="59"/>
      <c r="X141" s="59"/>
    </row>
    <row r="142" s="20" customFormat="1" ht="24" hidden="1" spans="1:24">
      <c r="A142" s="59">
        <v>100</v>
      </c>
      <c r="B142" s="60" t="s">
        <v>423</v>
      </c>
      <c r="C142" s="61">
        <v>44228</v>
      </c>
      <c r="D142" s="62" t="str">
        <f ca="1" t="shared" si="7"/>
        <v>一年以上</v>
      </c>
      <c r="E142" s="66">
        <v>44251</v>
      </c>
      <c r="F142" s="66" t="s">
        <v>82</v>
      </c>
      <c r="G142" s="59" t="s">
        <v>340</v>
      </c>
      <c r="H142" s="60" t="s">
        <v>424</v>
      </c>
      <c r="I142" s="60" t="s">
        <v>424</v>
      </c>
      <c r="J142" s="64">
        <v>2500</v>
      </c>
      <c r="K142" s="59" t="s">
        <v>28</v>
      </c>
      <c r="L142" s="59" t="s">
        <v>57</v>
      </c>
      <c r="M142" s="59" t="s">
        <v>65</v>
      </c>
      <c r="N142" s="65">
        <v>2500</v>
      </c>
      <c r="O142" s="65">
        <f t="shared" si="6"/>
        <v>0</v>
      </c>
      <c r="P142" s="66">
        <v>44711</v>
      </c>
      <c r="Q142" s="61">
        <f t="shared" si="8"/>
        <v>44711</v>
      </c>
      <c r="R142" s="59"/>
      <c r="S142" s="59" t="s">
        <v>425</v>
      </c>
      <c r="T142" s="59" t="s">
        <v>171</v>
      </c>
      <c r="U142" s="59" t="s">
        <v>172</v>
      </c>
      <c r="V142" s="59"/>
      <c r="W142" s="59"/>
      <c r="X142" s="59"/>
    </row>
    <row r="143" s="20" customFormat="1" ht="24" hidden="1" spans="1:24">
      <c r="A143" s="59">
        <v>101</v>
      </c>
      <c r="B143" s="60" t="s">
        <v>426</v>
      </c>
      <c r="C143" s="61">
        <v>44228</v>
      </c>
      <c r="D143" s="62" t="str">
        <f ca="1" t="shared" si="7"/>
        <v>一年以上</v>
      </c>
      <c r="E143" s="66">
        <v>44251</v>
      </c>
      <c r="F143" s="66" t="s">
        <v>70</v>
      </c>
      <c r="G143" s="59" t="s">
        <v>259</v>
      </c>
      <c r="H143" s="60" t="s">
        <v>115</v>
      </c>
      <c r="I143" s="60" t="s">
        <v>115</v>
      </c>
      <c r="J143" s="64">
        <v>2000</v>
      </c>
      <c r="K143" s="59"/>
      <c r="L143" s="59" t="s">
        <v>73</v>
      </c>
      <c r="M143" s="59" t="s">
        <v>65</v>
      </c>
      <c r="N143" s="65">
        <v>2000</v>
      </c>
      <c r="O143" s="65">
        <f t="shared" ref="O143:O206" si="9">J143-N143</f>
        <v>0</v>
      </c>
      <c r="P143" s="66">
        <v>44487</v>
      </c>
      <c r="Q143" s="61">
        <f t="shared" si="8"/>
        <v>44487</v>
      </c>
      <c r="R143" s="66"/>
      <c r="S143" s="59"/>
      <c r="T143" s="59"/>
      <c r="U143" s="59"/>
      <c r="V143" s="59"/>
      <c r="W143" s="59"/>
      <c r="X143" s="59"/>
    </row>
    <row r="144" s="20" customFormat="1" ht="24" hidden="1" spans="1:24">
      <c r="A144" s="59">
        <v>102</v>
      </c>
      <c r="B144" s="60" t="s">
        <v>427</v>
      </c>
      <c r="C144" s="61">
        <v>44228</v>
      </c>
      <c r="D144" s="62" t="str">
        <f ca="1" t="shared" si="7"/>
        <v>一年以上</v>
      </c>
      <c r="E144" s="66">
        <v>44252</v>
      </c>
      <c r="F144" s="66" t="s">
        <v>70</v>
      </c>
      <c r="G144" s="59" t="s">
        <v>92</v>
      </c>
      <c r="H144" s="60" t="s">
        <v>428</v>
      </c>
      <c r="I144" s="60" t="s">
        <v>428</v>
      </c>
      <c r="J144" s="64">
        <v>10000</v>
      </c>
      <c r="K144" s="59"/>
      <c r="L144" s="59" t="s">
        <v>73</v>
      </c>
      <c r="M144" s="59" t="s">
        <v>65</v>
      </c>
      <c r="N144" s="65">
        <v>10000</v>
      </c>
      <c r="O144" s="65">
        <f t="shared" si="9"/>
        <v>0</v>
      </c>
      <c r="P144" s="66">
        <v>44449</v>
      </c>
      <c r="Q144" s="61">
        <f t="shared" si="8"/>
        <v>44449</v>
      </c>
      <c r="R144" s="66"/>
      <c r="S144" s="59"/>
      <c r="T144" s="59"/>
      <c r="U144" s="59"/>
      <c r="V144" s="59"/>
      <c r="W144" s="59"/>
      <c r="X144" s="59"/>
    </row>
    <row r="145" s="20" customFormat="1" ht="24" hidden="1" spans="1:24">
      <c r="A145" s="59">
        <v>347</v>
      </c>
      <c r="B145" s="60" t="s">
        <v>429</v>
      </c>
      <c r="C145" s="61">
        <v>44228</v>
      </c>
      <c r="D145" s="62" t="str">
        <f ca="1" t="shared" si="7"/>
        <v>一年以上</v>
      </c>
      <c r="E145" s="66">
        <v>44252</v>
      </c>
      <c r="F145" s="66" t="s">
        <v>130</v>
      </c>
      <c r="G145" s="59" t="s">
        <v>401</v>
      </c>
      <c r="H145" s="60" t="s">
        <v>430</v>
      </c>
      <c r="I145" s="60" t="s">
        <v>430</v>
      </c>
      <c r="J145" s="71">
        <v>4400</v>
      </c>
      <c r="K145" s="59"/>
      <c r="L145" s="59" t="s">
        <v>73</v>
      </c>
      <c r="M145" s="59" t="s">
        <v>133</v>
      </c>
      <c r="N145" s="65">
        <v>4400</v>
      </c>
      <c r="O145" s="65">
        <f t="shared" si="9"/>
        <v>0</v>
      </c>
      <c r="P145" s="66">
        <v>44539</v>
      </c>
      <c r="Q145" s="61">
        <f t="shared" si="8"/>
        <v>44539</v>
      </c>
      <c r="R145" s="59"/>
      <c r="S145" s="59" t="s">
        <v>431</v>
      </c>
      <c r="T145" s="59"/>
      <c r="U145" s="59"/>
      <c r="V145" s="59"/>
      <c r="W145" s="59"/>
      <c r="X145" s="59"/>
    </row>
    <row r="146" s="17" customFormat="1" hidden="1" spans="1:24">
      <c r="A146" s="59">
        <v>112</v>
      </c>
      <c r="B146" s="60" t="s">
        <v>432</v>
      </c>
      <c r="C146" s="61"/>
      <c r="D146" s="62" t="str">
        <f ca="1" t="shared" si="7"/>
        <v>一年以上</v>
      </c>
      <c r="E146" s="66">
        <v>44255</v>
      </c>
      <c r="F146" s="66" t="s">
        <v>70</v>
      </c>
      <c r="G146" s="59" t="s">
        <v>119</v>
      </c>
      <c r="H146" s="60" t="s">
        <v>179</v>
      </c>
      <c r="I146" s="63" t="s">
        <v>179</v>
      </c>
      <c r="J146" s="64">
        <v>1500</v>
      </c>
      <c r="K146" s="59" t="s">
        <v>356</v>
      </c>
      <c r="L146" s="59" t="s">
        <v>357</v>
      </c>
      <c r="M146" s="59" t="s">
        <v>65</v>
      </c>
      <c r="N146" s="65">
        <v>1500</v>
      </c>
      <c r="O146" s="65">
        <f t="shared" si="9"/>
        <v>0</v>
      </c>
      <c r="P146" s="66">
        <v>44267</v>
      </c>
      <c r="Q146" s="61">
        <f t="shared" si="8"/>
        <v>44267</v>
      </c>
      <c r="R146" s="59"/>
      <c r="S146" s="59"/>
      <c r="T146" s="59"/>
      <c r="U146" s="59"/>
      <c r="V146" s="59"/>
      <c r="W146" s="68"/>
      <c r="X146" s="68"/>
    </row>
    <row r="147" s="20" customFormat="1" ht="24" hidden="1" spans="1:24">
      <c r="A147" s="59">
        <v>104</v>
      </c>
      <c r="B147" s="60" t="s">
        <v>433</v>
      </c>
      <c r="C147" s="61">
        <v>44256</v>
      </c>
      <c r="D147" s="62" t="str">
        <f ca="1" t="shared" si="7"/>
        <v>一年以上</v>
      </c>
      <c r="E147" s="66">
        <v>44256</v>
      </c>
      <c r="F147" s="66" t="s">
        <v>70</v>
      </c>
      <c r="G147" s="59" t="s">
        <v>434</v>
      </c>
      <c r="H147" s="60" t="s">
        <v>435</v>
      </c>
      <c r="I147" s="63" t="s">
        <v>435</v>
      </c>
      <c r="J147" s="64">
        <v>5000</v>
      </c>
      <c r="K147" s="59"/>
      <c r="L147" s="59" t="s">
        <v>73</v>
      </c>
      <c r="M147" s="59" t="s">
        <v>65</v>
      </c>
      <c r="N147" s="65">
        <v>5000</v>
      </c>
      <c r="O147" s="65">
        <f t="shared" si="9"/>
        <v>0</v>
      </c>
      <c r="P147" s="66">
        <v>44341</v>
      </c>
      <c r="Q147" s="61">
        <f t="shared" si="8"/>
        <v>44341</v>
      </c>
      <c r="R147" s="66"/>
      <c r="S147" s="59"/>
      <c r="T147" s="59"/>
      <c r="U147" s="59"/>
      <c r="V147" s="59"/>
      <c r="W147" s="59"/>
      <c r="X147" s="59"/>
    </row>
    <row r="148" s="20" customFormat="1" ht="24" hidden="1" spans="1:24">
      <c r="A148" s="59">
        <v>105</v>
      </c>
      <c r="B148" s="60" t="s">
        <v>436</v>
      </c>
      <c r="C148" s="61">
        <v>44256</v>
      </c>
      <c r="D148" s="62" t="str">
        <f ca="1" t="shared" si="7"/>
        <v>一年以上</v>
      </c>
      <c r="E148" s="66">
        <v>44258</v>
      </c>
      <c r="F148" s="66" t="s">
        <v>70</v>
      </c>
      <c r="G148" s="59" t="s">
        <v>143</v>
      </c>
      <c r="H148" s="60" t="s">
        <v>136</v>
      </c>
      <c r="I148" s="63" t="s">
        <v>136</v>
      </c>
      <c r="J148" s="64">
        <v>3000</v>
      </c>
      <c r="K148" s="59"/>
      <c r="L148" s="59" t="s">
        <v>73</v>
      </c>
      <c r="M148" s="59" t="s">
        <v>65</v>
      </c>
      <c r="N148" s="65">
        <v>3000</v>
      </c>
      <c r="O148" s="65">
        <f t="shared" si="9"/>
        <v>0</v>
      </c>
      <c r="P148" s="66">
        <v>44466</v>
      </c>
      <c r="Q148" s="61">
        <f t="shared" si="8"/>
        <v>44466</v>
      </c>
      <c r="R148" s="66"/>
      <c r="S148" s="59"/>
      <c r="T148" s="59"/>
      <c r="U148" s="59"/>
      <c r="V148" s="59"/>
      <c r="W148" s="59"/>
      <c r="X148" s="59"/>
    </row>
    <row r="149" s="20" customFormat="1" ht="24" hidden="1" spans="1:24">
      <c r="A149" s="59">
        <v>106</v>
      </c>
      <c r="B149" s="60" t="s">
        <v>437</v>
      </c>
      <c r="C149" s="61">
        <v>44256</v>
      </c>
      <c r="D149" s="62" t="str">
        <f ca="1" t="shared" si="7"/>
        <v>一年以上</v>
      </c>
      <c r="E149" s="66">
        <v>44259</v>
      </c>
      <c r="F149" s="66" t="s">
        <v>130</v>
      </c>
      <c r="G149" s="59" t="s">
        <v>239</v>
      </c>
      <c r="H149" s="60" t="s">
        <v>438</v>
      </c>
      <c r="I149" s="63" t="s">
        <v>438</v>
      </c>
      <c r="J149" s="64">
        <v>2000</v>
      </c>
      <c r="K149" s="59"/>
      <c r="L149" s="59" t="s">
        <v>73</v>
      </c>
      <c r="M149" s="59" t="s">
        <v>65</v>
      </c>
      <c r="N149" s="65">
        <v>2000</v>
      </c>
      <c r="O149" s="65">
        <f t="shared" si="9"/>
        <v>0</v>
      </c>
      <c r="P149" s="66">
        <v>44336</v>
      </c>
      <c r="Q149" s="61">
        <f t="shared" si="8"/>
        <v>44336</v>
      </c>
      <c r="R149" s="66"/>
      <c r="S149" s="59"/>
      <c r="T149" s="59"/>
      <c r="U149" s="59"/>
      <c r="V149" s="59"/>
      <c r="W149" s="59"/>
      <c r="X149" s="59"/>
    </row>
    <row r="150" s="20" customFormat="1" ht="36" hidden="1" spans="1:24">
      <c r="A150" s="59">
        <v>107</v>
      </c>
      <c r="B150" s="60" t="s">
        <v>439</v>
      </c>
      <c r="C150" s="61">
        <v>44256</v>
      </c>
      <c r="D150" s="62" t="str">
        <f ca="1" t="shared" si="7"/>
        <v>一年以上</v>
      </c>
      <c r="E150" s="66">
        <v>44265</v>
      </c>
      <c r="F150" s="66" t="s">
        <v>82</v>
      </c>
      <c r="G150" s="59" t="s">
        <v>412</v>
      </c>
      <c r="H150" s="60" t="s">
        <v>313</v>
      </c>
      <c r="I150" s="63" t="s">
        <v>313</v>
      </c>
      <c r="J150" s="64">
        <v>2000</v>
      </c>
      <c r="K150" s="59" t="s">
        <v>28</v>
      </c>
      <c r="L150" s="59" t="s">
        <v>57</v>
      </c>
      <c r="M150" s="59" t="s">
        <v>65</v>
      </c>
      <c r="N150" s="65">
        <v>2000</v>
      </c>
      <c r="O150" s="65">
        <f t="shared" si="9"/>
        <v>0</v>
      </c>
      <c r="P150" s="66">
        <v>45006</v>
      </c>
      <c r="Q150" s="61">
        <f t="shared" si="8"/>
        <v>45006</v>
      </c>
      <c r="R150" s="59" t="s">
        <v>440</v>
      </c>
      <c r="S150" s="59" t="s">
        <v>441</v>
      </c>
      <c r="T150" s="59" t="s">
        <v>182</v>
      </c>
      <c r="U150" s="59" t="s">
        <v>125</v>
      </c>
      <c r="V150" s="59"/>
      <c r="W150" s="59"/>
      <c r="X150" s="59"/>
    </row>
    <row r="151" s="22" customFormat="1" ht="24" hidden="1" spans="1:24">
      <c r="A151" s="59">
        <v>108</v>
      </c>
      <c r="B151" s="60" t="s">
        <v>442</v>
      </c>
      <c r="C151" s="61">
        <v>44256</v>
      </c>
      <c r="D151" s="62" t="str">
        <f ca="1" t="shared" si="7"/>
        <v>一年以上</v>
      </c>
      <c r="E151" s="66">
        <v>44270</v>
      </c>
      <c r="F151" s="66" t="s">
        <v>70</v>
      </c>
      <c r="G151" s="59" t="s">
        <v>146</v>
      </c>
      <c r="H151" s="60" t="s">
        <v>443</v>
      </c>
      <c r="I151" s="63" t="s">
        <v>443</v>
      </c>
      <c r="J151" s="64">
        <v>1000</v>
      </c>
      <c r="K151" s="59"/>
      <c r="L151" s="59" t="s">
        <v>96</v>
      </c>
      <c r="M151" s="59" t="s">
        <v>65</v>
      </c>
      <c r="N151" s="65">
        <v>1000</v>
      </c>
      <c r="O151" s="65">
        <f t="shared" si="9"/>
        <v>0</v>
      </c>
      <c r="P151" s="66">
        <v>44490</v>
      </c>
      <c r="Q151" s="61">
        <f t="shared" si="8"/>
        <v>44490</v>
      </c>
      <c r="R151" s="66"/>
      <c r="S151" s="59"/>
      <c r="T151" s="59"/>
      <c r="U151" s="59"/>
      <c r="V151" s="59"/>
      <c r="W151" s="80"/>
      <c r="X151" s="80"/>
    </row>
    <row r="152" s="20" customFormat="1" ht="24" hidden="1" spans="1:24">
      <c r="A152" s="59">
        <v>109</v>
      </c>
      <c r="B152" s="60" t="s">
        <v>444</v>
      </c>
      <c r="C152" s="61">
        <v>44256</v>
      </c>
      <c r="D152" s="62" t="str">
        <f ca="1" t="shared" si="7"/>
        <v>一年以上</v>
      </c>
      <c r="E152" s="66">
        <v>44270</v>
      </c>
      <c r="F152" s="66" t="s">
        <v>282</v>
      </c>
      <c r="G152" s="59" t="s">
        <v>434</v>
      </c>
      <c r="H152" s="60" t="s">
        <v>177</v>
      </c>
      <c r="I152" s="63" t="s">
        <v>177</v>
      </c>
      <c r="J152" s="64">
        <v>5000</v>
      </c>
      <c r="K152" s="59" t="s">
        <v>28</v>
      </c>
      <c r="L152" s="59" t="s">
        <v>57</v>
      </c>
      <c r="M152" s="59" t="s">
        <v>65</v>
      </c>
      <c r="N152" s="65">
        <v>5000</v>
      </c>
      <c r="O152" s="65">
        <f t="shared" si="9"/>
        <v>0</v>
      </c>
      <c r="P152" s="66">
        <v>45008</v>
      </c>
      <c r="Q152" s="61">
        <f t="shared" si="8"/>
        <v>45008</v>
      </c>
      <c r="R152" s="59"/>
      <c r="S152" s="59" t="s">
        <v>445</v>
      </c>
      <c r="T152" s="59" t="s">
        <v>293</v>
      </c>
      <c r="U152" s="59" t="s">
        <v>294</v>
      </c>
      <c r="V152" s="59"/>
      <c r="W152" s="59"/>
      <c r="X152" s="59"/>
    </row>
    <row r="153" s="20" customFormat="1" hidden="1" spans="1:24">
      <c r="A153" s="59">
        <v>110</v>
      </c>
      <c r="B153" s="60" t="s">
        <v>446</v>
      </c>
      <c r="C153" s="61">
        <v>44256</v>
      </c>
      <c r="D153" s="62" t="str">
        <f ca="1" t="shared" si="7"/>
        <v>一年以上</v>
      </c>
      <c r="E153" s="66">
        <v>44271</v>
      </c>
      <c r="F153" s="66" t="s">
        <v>70</v>
      </c>
      <c r="G153" s="59" t="s">
        <v>434</v>
      </c>
      <c r="H153" s="60" t="s">
        <v>275</v>
      </c>
      <c r="I153" s="63" t="s">
        <v>275</v>
      </c>
      <c r="J153" s="64">
        <v>2000</v>
      </c>
      <c r="K153" s="59"/>
      <c r="L153" s="59" t="s">
        <v>73</v>
      </c>
      <c r="M153" s="59" t="s">
        <v>65</v>
      </c>
      <c r="N153" s="65">
        <v>2000</v>
      </c>
      <c r="O153" s="65">
        <f t="shared" si="9"/>
        <v>0</v>
      </c>
      <c r="P153" s="66">
        <v>44342</v>
      </c>
      <c r="Q153" s="61">
        <f t="shared" si="8"/>
        <v>44342</v>
      </c>
      <c r="R153" s="66"/>
      <c r="S153" s="59"/>
      <c r="T153" s="59"/>
      <c r="U153" s="59"/>
      <c r="V153" s="59"/>
      <c r="W153" s="59"/>
      <c r="X153" s="59"/>
    </row>
    <row r="154" s="20" customFormat="1" hidden="1" spans="1:24">
      <c r="A154" s="59">
        <v>111</v>
      </c>
      <c r="B154" s="60" t="s">
        <v>447</v>
      </c>
      <c r="C154" s="61">
        <v>44256</v>
      </c>
      <c r="D154" s="62" t="str">
        <f ca="1" t="shared" si="7"/>
        <v>一年以上</v>
      </c>
      <c r="E154" s="66">
        <v>44280</v>
      </c>
      <c r="F154" s="66" t="s">
        <v>70</v>
      </c>
      <c r="G154" s="59" t="s">
        <v>233</v>
      </c>
      <c r="H154" s="60" t="s">
        <v>448</v>
      </c>
      <c r="I154" s="63" t="s">
        <v>448</v>
      </c>
      <c r="J154" s="64">
        <v>10000</v>
      </c>
      <c r="K154" s="59"/>
      <c r="L154" s="59" t="s">
        <v>73</v>
      </c>
      <c r="M154" s="59" t="s">
        <v>65</v>
      </c>
      <c r="N154" s="65">
        <v>10000</v>
      </c>
      <c r="O154" s="65">
        <f t="shared" si="9"/>
        <v>0</v>
      </c>
      <c r="P154" s="66">
        <v>44316</v>
      </c>
      <c r="Q154" s="61">
        <f t="shared" si="8"/>
        <v>44316</v>
      </c>
      <c r="R154" s="66"/>
      <c r="S154" s="59"/>
      <c r="T154" s="59"/>
      <c r="U154" s="59"/>
      <c r="V154" s="59"/>
      <c r="W154" s="59"/>
      <c r="X154" s="59"/>
    </row>
    <row r="155" s="20" customFormat="1" ht="24" hidden="1" spans="1:24">
      <c r="A155" s="59">
        <v>215</v>
      </c>
      <c r="B155" s="60" t="s">
        <v>449</v>
      </c>
      <c r="C155" s="61">
        <v>44256</v>
      </c>
      <c r="D155" s="62" t="str">
        <f ca="1" t="shared" si="7"/>
        <v>一年以上</v>
      </c>
      <c r="E155" s="66">
        <v>44283</v>
      </c>
      <c r="F155" s="66"/>
      <c r="G155" s="59" t="s">
        <v>450</v>
      </c>
      <c r="H155" s="60" t="s">
        <v>430</v>
      </c>
      <c r="I155" s="63" t="s">
        <v>430</v>
      </c>
      <c r="J155" s="71">
        <v>7100</v>
      </c>
      <c r="K155" s="59"/>
      <c r="L155" s="59" t="s">
        <v>73</v>
      </c>
      <c r="M155" s="59" t="s">
        <v>30</v>
      </c>
      <c r="N155" s="65">
        <v>7100</v>
      </c>
      <c r="O155" s="65">
        <f t="shared" si="9"/>
        <v>0</v>
      </c>
      <c r="P155" s="66">
        <v>44539</v>
      </c>
      <c r="Q155" s="61">
        <f t="shared" si="8"/>
        <v>44539</v>
      </c>
      <c r="R155" s="59"/>
      <c r="S155" s="59"/>
      <c r="T155" s="59"/>
      <c r="U155" s="59"/>
      <c r="V155" s="59"/>
      <c r="W155" s="59"/>
      <c r="X155" s="59"/>
    </row>
    <row r="156" s="22" customFormat="1" ht="24" hidden="1" spans="1:24">
      <c r="A156" s="59">
        <v>114</v>
      </c>
      <c r="B156" s="60" t="s">
        <v>451</v>
      </c>
      <c r="C156" s="61">
        <v>44287</v>
      </c>
      <c r="D156" s="62" t="str">
        <f ca="1" t="shared" si="7"/>
        <v>一年以上</v>
      </c>
      <c r="E156" s="66">
        <v>44300</v>
      </c>
      <c r="F156" s="66" t="s">
        <v>70</v>
      </c>
      <c r="G156" s="59" t="s">
        <v>452</v>
      </c>
      <c r="H156" s="87" t="s">
        <v>247</v>
      </c>
      <c r="I156" s="63" t="s">
        <v>247</v>
      </c>
      <c r="J156" s="64">
        <v>2000</v>
      </c>
      <c r="K156" s="59"/>
      <c r="L156" s="59" t="s">
        <v>96</v>
      </c>
      <c r="M156" s="59" t="s">
        <v>65</v>
      </c>
      <c r="N156" s="65">
        <v>2000</v>
      </c>
      <c r="O156" s="65">
        <f t="shared" si="9"/>
        <v>0</v>
      </c>
      <c r="P156" s="66">
        <v>44476</v>
      </c>
      <c r="Q156" s="61">
        <f t="shared" si="8"/>
        <v>44476</v>
      </c>
      <c r="R156" s="66"/>
      <c r="S156" s="59"/>
      <c r="T156" s="59"/>
      <c r="U156" s="59"/>
      <c r="V156" s="59"/>
      <c r="W156" s="80"/>
      <c r="X156" s="80"/>
    </row>
    <row r="157" s="22" customFormat="1" hidden="1" spans="1:24">
      <c r="A157" s="59">
        <v>115</v>
      </c>
      <c r="B157" s="60" t="s">
        <v>453</v>
      </c>
      <c r="C157" s="61">
        <v>44287</v>
      </c>
      <c r="D157" s="62" t="str">
        <f ca="1" t="shared" si="7"/>
        <v>一年以上</v>
      </c>
      <c r="E157" s="66">
        <v>44301</v>
      </c>
      <c r="F157" s="66" t="s">
        <v>70</v>
      </c>
      <c r="G157" s="59" t="s">
        <v>104</v>
      </c>
      <c r="H157" s="60" t="s">
        <v>454</v>
      </c>
      <c r="I157" s="63" t="s">
        <v>454</v>
      </c>
      <c r="J157" s="64">
        <v>5000</v>
      </c>
      <c r="K157" s="59"/>
      <c r="L157" s="59" t="s">
        <v>96</v>
      </c>
      <c r="M157" s="59" t="s">
        <v>65</v>
      </c>
      <c r="N157" s="65">
        <v>5000</v>
      </c>
      <c r="O157" s="65">
        <f t="shared" si="9"/>
        <v>0</v>
      </c>
      <c r="P157" s="66">
        <v>44315</v>
      </c>
      <c r="Q157" s="61">
        <f t="shared" si="8"/>
        <v>44315</v>
      </c>
      <c r="R157" s="66"/>
      <c r="S157" s="59"/>
      <c r="T157" s="59"/>
      <c r="U157" s="59"/>
      <c r="V157" s="59"/>
      <c r="W157" s="80"/>
      <c r="X157" s="80"/>
    </row>
    <row r="158" s="20" customFormat="1" ht="24" hidden="1" spans="1:24">
      <c r="A158" s="59">
        <v>348</v>
      </c>
      <c r="B158" s="60" t="s">
        <v>455</v>
      </c>
      <c r="C158" s="61">
        <v>44287</v>
      </c>
      <c r="D158" s="62" t="str">
        <f ca="1" t="shared" si="7"/>
        <v>一年以上</v>
      </c>
      <c r="E158" s="66">
        <v>44314</v>
      </c>
      <c r="F158" s="66" t="s">
        <v>130</v>
      </c>
      <c r="G158" s="59" t="s">
        <v>456</v>
      </c>
      <c r="H158" s="60" t="s">
        <v>457</v>
      </c>
      <c r="I158" s="63" t="s">
        <v>457</v>
      </c>
      <c r="J158" s="76">
        <v>14400</v>
      </c>
      <c r="K158" s="59" t="s">
        <v>356</v>
      </c>
      <c r="L158" s="59" t="s">
        <v>458</v>
      </c>
      <c r="M158" s="59" t="s">
        <v>133</v>
      </c>
      <c r="N158" s="65">
        <v>14400</v>
      </c>
      <c r="O158" s="65">
        <f t="shared" si="9"/>
        <v>0</v>
      </c>
      <c r="P158" s="66">
        <v>44575</v>
      </c>
      <c r="Q158" s="61">
        <f t="shared" si="8"/>
        <v>44575</v>
      </c>
      <c r="R158" s="59"/>
      <c r="S158" s="59" t="s">
        <v>133</v>
      </c>
      <c r="T158" s="59"/>
      <c r="U158" s="59"/>
      <c r="V158" s="59"/>
      <c r="W158" s="59"/>
      <c r="X158" s="59"/>
    </row>
    <row r="159" s="20" customFormat="1" spans="1:24">
      <c r="A159" s="59">
        <v>116</v>
      </c>
      <c r="B159" s="60" t="s">
        <v>459</v>
      </c>
      <c r="C159" s="61">
        <v>44317</v>
      </c>
      <c r="D159" s="62" t="str">
        <f ca="1" t="shared" si="7"/>
        <v>一年以上</v>
      </c>
      <c r="E159" s="66">
        <v>44326</v>
      </c>
      <c r="F159" s="66" t="s">
        <v>282</v>
      </c>
      <c r="G159" s="59" t="s">
        <v>460</v>
      </c>
      <c r="H159" s="91" t="s">
        <v>406</v>
      </c>
      <c r="I159" s="63" t="s">
        <v>406</v>
      </c>
      <c r="J159" s="64">
        <v>15000</v>
      </c>
      <c r="K159" s="59" t="s">
        <v>28</v>
      </c>
      <c r="L159" s="59" t="s">
        <v>461</v>
      </c>
      <c r="M159" s="59" t="s">
        <v>65</v>
      </c>
      <c r="N159" s="65">
        <v>14000</v>
      </c>
      <c r="O159" s="65">
        <f t="shared" si="9"/>
        <v>1000</v>
      </c>
      <c r="P159" s="95">
        <v>45439</v>
      </c>
      <c r="Q159" s="61">
        <f t="shared" si="8"/>
        <v>45439</v>
      </c>
      <c r="R159" s="66" t="s">
        <v>462</v>
      </c>
      <c r="S159" s="59"/>
      <c r="T159" s="59" t="s">
        <v>38</v>
      </c>
      <c r="U159" s="59" t="str">
        <f>VLOOKUP(T159,[1]区域划分!$A$1:$C$39,3,0)</f>
        <v>方渊</v>
      </c>
      <c r="V159" s="59"/>
      <c r="W159" s="59"/>
      <c r="X159" s="59"/>
    </row>
    <row r="160" s="20" customFormat="1" hidden="1" spans="1:24">
      <c r="A160" s="59">
        <v>117</v>
      </c>
      <c r="B160" s="60" t="s">
        <v>463</v>
      </c>
      <c r="C160" s="61">
        <v>44317</v>
      </c>
      <c r="D160" s="62" t="str">
        <f ca="1" t="shared" si="7"/>
        <v>一年以上</v>
      </c>
      <c r="E160" s="66">
        <v>44333</v>
      </c>
      <c r="F160" s="66" t="s">
        <v>70</v>
      </c>
      <c r="G160" s="59" t="s">
        <v>149</v>
      </c>
      <c r="H160" s="60" t="s">
        <v>275</v>
      </c>
      <c r="I160" s="63" t="s">
        <v>275</v>
      </c>
      <c r="J160" s="76">
        <v>2000</v>
      </c>
      <c r="K160" s="59" t="s">
        <v>28</v>
      </c>
      <c r="L160" s="59" t="s">
        <v>461</v>
      </c>
      <c r="M160" s="59" t="s">
        <v>65</v>
      </c>
      <c r="N160" s="65">
        <v>2000</v>
      </c>
      <c r="O160" s="65">
        <f t="shared" si="9"/>
        <v>0</v>
      </c>
      <c r="P160" s="66">
        <v>44449</v>
      </c>
      <c r="Q160" s="61">
        <f t="shared" si="8"/>
        <v>44449</v>
      </c>
      <c r="R160" s="66"/>
      <c r="S160" s="59"/>
      <c r="T160" s="59"/>
      <c r="U160" s="59"/>
      <c r="V160" s="59"/>
      <c r="W160" s="59"/>
      <c r="X160" s="59"/>
    </row>
    <row r="161" s="20" customFormat="1" ht="24" hidden="1" spans="1:24">
      <c r="A161" s="59">
        <v>118</v>
      </c>
      <c r="B161" s="60" t="s">
        <v>464</v>
      </c>
      <c r="C161" s="61">
        <v>44317</v>
      </c>
      <c r="D161" s="62" t="str">
        <f ca="1" t="shared" si="7"/>
        <v>一年以上</v>
      </c>
      <c r="E161" s="66">
        <v>44335</v>
      </c>
      <c r="F161" s="66" t="s">
        <v>70</v>
      </c>
      <c r="G161" s="59" t="s">
        <v>190</v>
      </c>
      <c r="H161" s="60" t="s">
        <v>138</v>
      </c>
      <c r="I161" s="63" t="s">
        <v>138</v>
      </c>
      <c r="J161" s="76">
        <v>5400</v>
      </c>
      <c r="K161" s="59" t="s">
        <v>28</v>
      </c>
      <c r="L161" s="59" t="s">
        <v>461</v>
      </c>
      <c r="M161" s="59" t="s">
        <v>65</v>
      </c>
      <c r="N161" s="65">
        <v>5400</v>
      </c>
      <c r="O161" s="65">
        <f t="shared" si="9"/>
        <v>0</v>
      </c>
      <c r="P161" s="66">
        <v>44484</v>
      </c>
      <c r="Q161" s="61">
        <f t="shared" si="8"/>
        <v>44484</v>
      </c>
      <c r="R161" s="66"/>
      <c r="S161" s="59"/>
      <c r="T161" s="59"/>
      <c r="U161" s="59"/>
      <c r="V161" s="59"/>
      <c r="W161" s="59"/>
      <c r="X161" s="59"/>
    </row>
    <row r="162" s="20" customFormat="1" hidden="1" spans="1:24">
      <c r="A162" s="59">
        <v>216</v>
      </c>
      <c r="B162" s="60" t="s">
        <v>465</v>
      </c>
      <c r="C162" s="61">
        <v>44317</v>
      </c>
      <c r="D162" s="62" t="str">
        <f ca="1" t="shared" si="7"/>
        <v>一年以上</v>
      </c>
      <c r="E162" s="66">
        <v>44340</v>
      </c>
      <c r="F162" s="66"/>
      <c r="G162" s="59" t="s">
        <v>450</v>
      </c>
      <c r="H162" s="60" t="s">
        <v>215</v>
      </c>
      <c r="I162" s="63" t="s">
        <v>215</v>
      </c>
      <c r="J162" s="76">
        <v>10000</v>
      </c>
      <c r="K162" s="59" t="s">
        <v>28</v>
      </c>
      <c r="L162" s="59" t="s">
        <v>466</v>
      </c>
      <c r="M162" s="59" t="s">
        <v>30</v>
      </c>
      <c r="N162" s="65">
        <v>10000</v>
      </c>
      <c r="O162" s="65">
        <f t="shared" si="9"/>
        <v>0</v>
      </c>
      <c r="P162" s="66">
        <v>41250</v>
      </c>
      <c r="Q162" s="61">
        <f t="shared" si="8"/>
        <v>41250</v>
      </c>
      <c r="R162" s="59"/>
      <c r="S162" s="59"/>
      <c r="T162" s="59"/>
      <c r="U162" s="59"/>
      <c r="V162" s="59"/>
      <c r="W162" s="59"/>
      <c r="X162" s="59"/>
    </row>
    <row r="163" s="20" customFormat="1" ht="24" hidden="1" spans="1:24">
      <c r="A163" s="59">
        <v>217</v>
      </c>
      <c r="B163" s="60" t="s">
        <v>467</v>
      </c>
      <c r="C163" s="61">
        <v>44348</v>
      </c>
      <c r="D163" s="62" t="str">
        <f ca="1" t="shared" si="7"/>
        <v>一年以上</v>
      </c>
      <c r="E163" s="66">
        <v>44357</v>
      </c>
      <c r="F163" s="66"/>
      <c r="G163" s="59" t="s">
        <v>239</v>
      </c>
      <c r="H163" s="60" t="s">
        <v>325</v>
      </c>
      <c r="I163" s="63" t="s">
        <v>325</v>
      </c>
      <c r="J163" s="76">
        <v>2000</v>
      </c>
      <c r="K163" s="59" t="s">
        <v>356</v>
      </c>
      <c r="L163" s="59" t="s">
        <v>468</v>
      </c>
      <c r="M163" s="59" t="s">
        <v>30</v>
      </c>
      <c r="N163" s="65">
        <v>2000</v>
      </c>
      <c r="O163" s="65">
        <f t="shared" si="9"/>
        <v>0</v>
      </c>
      <c r="P163" s="66">
        <v>44897</v>
      </c>
      <c r="Q163" s="61">
        <f t="shared" si="8"/>
        <v>44897</v>
      </c>
      <c r="R163" s="59"/>
      <c r="S163" s="59"/>
      <c r="T163" s="59"/>
      <c r="U163" s="59"/>
      <c r="V163" s="59"/>
      <c r="W163" s="59"/>
      <c r="X163" s="59"/>
    </row>
    <row r="164" s="20" customFormat="1" ht="24" hidden="1" spans="1:24">
      <c r="A164" s="59">
        <v>119</v>
      </c>
      <c r="B164" s="60" t="s">
        <v>469</v>
      </c>
      <c r="C164" s="61">
        <v>44348</v>
      </c>
      <c r="D164" s="62" t="str">
        <f ca="1" t="shared" si="7"/>
        <v>一年以上</v>
      </c>
      <c r="E164" s="66">
        <v>44365</v>
      </c>
      <c r="F164" s="66" t="s">
        <v>70</v>
      </c>
      <c r="G164" s="59" t="s">
        <v>146</v>
      </c>
      <c r="H164" s="60" t="s">
        <v>470</v>
      </c>
      <c r="I164" s="63" t="s">
        <v>470</v>
      </c>
      <c r="J164" s="76">
        <v>10000</v>
      </c>
      <c r="K164" s="59" t="s">
        <v>28</v>
      </c>
      <c r="L164" s="59" t="s">
        <v>461</v>
      </c>
      <c r="M164" s="59" t="s">
        <v>65</v>
      </c>
      <c r="N164" s="65">
        <v>10000</v>
      </c>
      <c r="O164" s="65">
        <f t="shared" si="9"/>
        <v>0</v>
      </c>
      <c r="P164" s="66">
        <v>44497</v>
      </c>
      <c r="Q164" s="61">
        <f t="shared" si="8"/>
        <v>44497</v>
      </c>
      <c r="R164" s="66"/>
      <c r="S164" s="59"/>
      <c r="T164" s="59"/>
      <c r="U164" s="59"/>
      <c r="V164" s="59"/>
      <c r="W164" s="59"/>
      <c r="X164" s="59"/>
    </row>
    <row r="165" s="20" customFormat="1" hidden="1" spans="1:24">
      <c r="A165" s="59">
        <v>120</v>
      </c>
      <c r="B165" s="60" t="s">
        <v>471</v>
      </c>
      <c r="C165" s="61">
        <v>44348</v>
      </c>
      <c r="D165" s="62" t="str">
        <f ca="1" t="shared" si="7"/>
        <v>一年以上</v>
      </c>
      <c r="E165" s="66">
        <v>44375</v>
      </c>
      <c r="F165" s="66" t="s">
        <v>70</v>
      </c>
      <c r="G165" s="59" t="s">
        <v>104</v>
      </c>
      <c r="H165" s="60" t="s">
        <v>472</v>
      </c>
      <c r="I165" s="63" t="s">
        <v>472</v>
      </c>
      <c r="J165" s="76">
        <v>5000</v>
      </c>
      <c r="K165" s="59"/>
      <c r="L165" s="59" t="s">
        <v>96</v>
      </c>
      <c r="M165" s="59" t="s">
        <v>65</v>
      </c>
      <c r="N165" s="65">
        <v>5000</v>
      </c>
      <c r="O165" s="65">
        <f t="shared" si="9"/>
        <v>0</v>
      </c>
      <c r="P165" s="66">
        <v>44483</v>
      </c>
      <c r="Q165" s="61">
        <f t="shared" si="8"/>
        <v>44483</v>
      </c>
      <c r="R165" s="66"/>
      <c r="S165" s="59"/>
      <c r="T165" s="59"/>
      <c r="U165" s="59"/>
      <c r="V165" s="59"/>
      <c r="W165" s="59"/>
      <c r="X165" s="59"/>
    </row>
    <row r="166" s="20" customFormat="1" ht="24" hidden="1" spans="1:24">
      <c r="A166" s="59">
        <v>218</v>
      </c>
      <c r="B166" s="60" t="s">
        <v>473</v>
      </c>
      <c r="C166" s="61">
        <v>44348</v>
      </c>
      <c r="D166" s="62" t="str">
        <f ca="1" t="shared" si="7"/>
        <v>一年以上</v>
      </c>
      <c r="E166" s="66">
        <v>44375</v>
      </c>
      <c r="F166" s="66"/>
      <c r="G166" s="59" t="s">
        <v>54</v>
      </c>
      <c r="H166" s="60" t="s">
        <v>366</v>
      </c>
      <c r="I166" s="63" t="s">
        <v>366</v>
      </c>
      <c r="J166" s="76">
        <v>5000</v>
      </c>
      <c r="K166" s="59" t="s">
        <v>356</v>
      </c>
      <c r="L166" s="59" t="s">
        <v>474</v>
      </c>
      <c r="M166" s="59" t="s">
        <v>30</v>
      </c>
      <c r="N166" s="65">
        <v>5000</v>
      </c>
      <c r="O166" s="65">
        <f t="shared" si="9"/>
        <v>0</v>
      </c>
      <c r="P166" s="66">
        <v>44454</v>
      </c>
      <c r="Q166" s="61">
        <f t="shared" si="8"/>
        <v>44454</v>
      </c>
      <c r="R166" s="59"/>
      <c r="S166" s="59" t="s">
        <v>62</v>
      </c>
      <c r="T166" s="59"/>
      <c r="U166" s="59"/>
      <c r="V166" s="59"/>
      <c r="W166" s="59"/>
      <c r="X166" s="59"/>
    </row>
    <row r="167" s="20" customFormat="1" ht="24" hidden="1" spans="1:24">
      <c r="A167" s="59">
        <v>219</v>
      </c>
      <c r="B167" s="60" t="s">
        <v>475</v>
      </c>
      <c r="C167" s="61">
        <v>44378</v>
      </c>
      <c r="D167" s="62" t="str">
        <f ca="1" t="shared" si="7"/>
        <v>一年以上</v>
      </c>
      <c r="E167" s="66">
        <v>44384</v>
      </c>
      <c r="F167" s="66"/>
      <c r="G167" s="59" t="s">
        <v>239</v>
      </c>
      <c r="H167" s="60" t="s">
        <v>476</v>
      </c>
      <c r="I167" s="63" t="s">
        <v>476</v>
      </c>
      <c r="J167" s="76">
        <v>4000</v>
      </c>
      <c r="K167" s="59" t="s">
        <v>28</v>
      </c>
      <c r="L167" s="59" t="s">
        <v>461</v>
      </c>
      <c r="M167" s="59" t="s">
        <v>30</v>
      </c>
      <c r="N167" s="65">
        <v>4000</v>
      </c>
      <c r="O167" s="65">
        <f t="shared" si="9"/>
        <v>0</v>
      </c>
      <c r="P167" s="66">
        <v>44432</v>
      </c>
      <c r="Q167" s="61">
        <f t="shared" si="8"/>
        <v>44432</v>
      </c>
      <c r="R167" s="59"/>
      <c r="S167" s="59" t="s">
        <v>62</v>
      </c>
      <c r="T167" s="59"/>
      <c r="U167" s="59"/>
      <c r="V167" s="59"/>
      <c r="W167" s="59"/>
      <c r="X167" s="59"/>
    </row>
    <row r="168" s="20" customFormat="1" ht="24" hidden="1" spans="1:24">
      <c r="A168" s="59">
        <v>121</v>
      </c>
      <c r="B168" s="60" t="s">
        <v>477</v>
      </c>
      <c r="C168" s="61">
        <v>44378</v>
      </c>
      <c r="D168" s="62" t="str">
        <f ca="1" t="shared" si="7"/>
        <v>一年以上</v>
      </c>
      <c r="E168" s="66">
        <v>44391</v>
      </c>
      <c r="F168" s="66" t="s">
        <v>70</v>
      </c>
      <c r="G168" s="59" t="s">
        <v>340</v>
      </c>
      <c r="H168" s="60" t="s">
        <v>188</v>
      </c>
      <c r="I168" s="63" t="s">
        <v>188</v>
      </c>
      <c r="J168" s="76">
        <v>7500</v>
      </c>
      <c r="K168" s="59" t="s">
        <v>28</v>
      </c>
      <c r="L168" s="59" t="s">
        <v>461</v>
      </c>
      <c r="M168" s="59" t="s">
        <v>65</v>
      </c>
      <c r="N168" s="65">
        <v>7500</v>
      </c>
      <c r="O168" s="65">
        <f t="shared" si="9"/>
        <v>0</v>
      </c>
      <c r="P168" s="66">
        <v>44424</v>
      </c>
      <c r="Q168" s="61">
        <f t="shared" si="8"/>
        <v>44424</v>
      </c>
      <c r="R168" s="66"/>
      <c r="S168" s="59"/>
      <c r="T168" s="59"/>
      <c r="U168" s="59"/>
      <c r="V168" s="59"/>
      <c r="W168" s="59"/>
      <c r="X168" s="59"/>
    </row>
    <row r="169" s="20" customFormat="1" ht="96" hidden="1" spans="1:24">
      <c r="A169" s="59">
        <v>220</v>
      </c>
      <c r="B169" s="60" t="s">
        <v>478</v>
      </c>
      <c r="C169" s="61">
        <v>44378</v>
      </c>
      <c r="D169" s="62" t="str">
        <f ca="1" t="shared" si="7"/>
        <v>一年以上</v>
      </c>
      <c r="E169" s="66">
        <v>44400</v>
      </c>
      <c r="F169" s="66"/>
      <c r="G169" s="59" t="s">
        <v>479</v>
      </c>
      <c r="H169" s="63" t="s">
        <v>40</v>
      </c>
      <c r="I169" s="63" t="s">
        <v>40</v>
      </c>
      <c r="J169" s="76">
        <v>2000</v>
      </c>
      <c r="K169" s="59" t="s">
        <v>28</v>
      </c>
      <c r="L169" s="59" t="s">
        <v>466</v>
      </c>
      <c r="M169" s="59" t="s">
        <v>30</v>
      </c>
      <c r="N169" s="65">
        <v>2000</v>
      </c>
      <c r="O169" s="65">
        <f t="shared" si="9"/>
        <v>0</v>
      </c>
      <c r="P169" s="66">
        <v>44732</v>
      </c>
      <c r="Q169" s="61">
        <f t="shared" si="8"/>
        <v>44732</v>
      </c>
      <c r="R169" s="59" t="s">
        <v>480</v>
      </c>
      <c r="S169" s="59" t="s">
        <v>481</v>
      </c>
      <c r="T169" s="59"/>
      <c r="U169" s="59"/>
      <c r="V169" s="59"/>
      <c r="W169" s="59"/>
      <c r="X169" s="59"/>
    </row>
    <row r="170" s="20" customFormat="1" ht="48" hidden="1" spans="1:24">
      <c r="A170" s="59">
        <v>122</v>
      </c>
      <c r="B170" s="60" t="s">
        <v>482</v>
      </c>
      <c r="C170" s="61">
        <v>44378</v>
      </c>
      <c r="D170" s="62" t="str">
        <f ca="1" t="shared" si="7"/>
        <v>一年以上</v>
      </c>
      <c r="E170" s="66">
        <v>44403</v>
      </c>
      <c r="F170" s="66" t="s">
        <v>82</v>
      </c>
      <c r="G170" s="59" t="s">
        <v>146</v>
      </c>
      <c r="H170" s="60" t="s">
        <v>483</v>
      </c>
      <c r="I170" s="63" t="s">
        <v>483</v>
      </c>
      <c r="J170" s="96">
        <v>10000</v>
      </c>
      <c r="K170" s="97" t="s">
        <v>356</v>
      </c>
      <c r="L170" s="97" t="s">
        <v>458</v>
      </c>
      <c r="M170" s="59" t="s">
        <v>65</v>
      </c>
      <c r="N170" s="65">
        <v>10000</v>
      </c>
      <c r="O170" s="65">
        <f t="shared" si="9"/>
        <v>0</v>
      </c>
      <c r="P170" s="66">
        <v>45071</v>
      </c>
      <c r="Q170" s="61">
        <f t="shared" si="8"/>
        <v>45071</v>
      </c>
      <c r="R170" s="66" t="s">
        <v>484</v>
      </c>
      <c r="S170" s="59" t="s">
        <v>485</v>
      </c>
      <c r="T170" s="59" t="s">
        <v>182</v>
      </c>
      <c r="U170" s="59" t="s">
        <v>371</v>
      </c>
      <c r="V170" s="59"/>
      <c r="W170" s="59"/>
      <c r="X170" s="59"/>
    </row>
    <row r="171" s="20" customFormat="1" ht="24" hidden="1" spans="1:24">
      <c r="A171" s="59">
        <v>123</v>
      </c>
      <c r="B171" s="60" t="s">
        <v>486</v>
      </c>
      <c r="C171" s="61">
        <v>44378</v>
      </c>
      <c r="D171" s="62" t="str">
        <f ca="1" t="shared" si="7"/>
        <v>一年以上</v>
      </c>
      <c r="E171" s="66">
        <v>44406</v>
      </c>
      <c r="F171" s="66" t="s">
        <v>70</v>
      </c>
      <c r="G171" s="59" t="s">
        <v>487</v>
      </c>
      <c r="H171" s="60" t="s">
        <v>428</v>
      </c>
      <c r="I171" s="63" t="s">
        <v>428</v>
      </c>
      <c r="J171" s="76">
        <v>10000</v>
      </c>
      <c r="K171" s="59"/>
      <c r="L171" s="59" t="s">
        <v>488</v>
      </c>
      <c r="M171" s="59" t="s">
        <v>65</v>
      </c>
      <c r="N171" s="65">
        <v>10000</v>
      </c>
      <c r="O171" s="65">
        <f t="shared" si="9"/>
        <v>0</v>
      </c>
      <c r="P171" s="66">
        <v>44449</v>
      </c>
      <c r="Q171" s="61">
        <f t="shared" si="8"/>
        <v>44449</v>
      </c>
      <c r="R171" s="66"/>
      <c r="S171" s="59"/>
      <c r="T171" s="59"/>
      <c r="U171" s="59"/>
      <c r="V171" s="59"/>
      <c r="W171" s="59"/>
      <c r="X171" s="59"/>
    </row>
    <row r="172" s="20" customFormat="1" ht="24" hidden="1" spans="1:24">
      <c r="A172" s="59">
        <v>221</v>
      </c>
      <c r="B172" s="60" t="s">
        <v>489</v>
      </c>
      <c r="C172" s="61">
        <v>44409</v>
      </c>
      <c r="D172" s="62" t="str">
        <f ca="1" t="shared" si="7"/>
        <v>一年以上</v>
      </c>
      <c r="E172" s="66">
        <v>44417</v>
      </c>
      <c r="F172" s="66"/>
      <c r="G172" s="59" t="s">
        <v>301</v>
      </c>
      <c r="H172" s="60" t="s">
        <v>490</v>
      </c>
      <c r="I172" s="63" t="s">
        <v>490</v>
      </c>
      <c r="J172" s="76">
        <v>1000</v>
      </c>
      <c r="K172" s="98" t="s">
        <v>28</v>
      </c>
      <c r="L172" s="98" t="s">
        <v>466</v>
      </c>
      <c r="M172" s="59" t="s">
        <v>30</v>
      </c>
      <c r="N172" s="65">
        <v>1000</v>
      </c>
      <c r="O172" s="65">
        <f t="shared" si="9"/>
        <v>0</v>
      </c>
      <c r="P172" s="66">
        <v>44453</v>
      </c>
      <c r="Q172" s="61">
        <f t="shared" si="8"/>
        <v>44453</v>
      </c>
      <c r="R172" s="59"/>
      <c r="S172" s="59" t="s">
        <v>491</v>
      </c>
      <c r="T172" s="59"/>
      <c r="U172" s="59"/>
      <c r="V172" s="59"/>
      <c r="W172" s="59"/>
      <c r="X172" s="59"/>
    </row>
    <row r="173" s="20" customFormat="1" ht="24" hidden="1" spans="1:24">
      <c r="A173" s="59">
        <v>349</v>
      </c>
      <c r="B173" s="60" t="s">
        <v>492</v>
      </c>
      <c r="C173" s="61">
        <v>44409</v>
      </c>
      <c r="D173" s="62" t="str">
        <f ca="1" t="shared" si="7"/>
        <v>一年以上</v>
      </c>
      <c r="E173" s="66">
        <v>44417</v>
      </c>
      <c r="F173" s="66" t="s">
        <v>130</v>
      </c>
      <c r="G173" s="59" t="s">
        <v>301</v>
      </c>
      <c r="H173" s="60" t="s">
        <v>490</v>
      </c>
      <c r="I173" s="63" t="s">
        <v>490</v>
      </c>
      <c r="J173" s="76">
        <v>1000</v>
      </c>
      <c r="K173" s="98" t="s">
        <v>28</v>
      </c>
      <c r="L173" s="98" t="s">
        <v>466</v>
      </c>
      <c r="M173" s="59" t="s">
        <v>133</v>
      </c>
      <c r="N173" s="65">
        <v>1000</v>
      </c>
      <c r="O173" s="65">
        <f t="shared" si="9"/>
        <v>0</v>
      </c>
      <c r="P173" s="66">
        <v>44453</v>
      </c>
      <c r="Q173" s="61">
        <f t="shared" si="8"/>
        <v>44453</v>
      </c>
      <c r="R173" s="59"/>
      <c r="S173" s="59" t="s">
        <v>493</v>
      </c>
      <c r="T173" s="59"/>
      <c r="U173" s="59"/>
      <c r="V173" s="59"/>
      <c r="W173" s="59"/>
      <c r="X173" s="59"/>
    </row>
    <row r="174" s="20" customFormat="1" ht="36" hidden="1" spans="1:24">
      <c r="A174" s="59">
        <v>124</v>
      </c>
      <c r="B174" s="60" t="s">
        <v>494</v>
      </c>
      <c r="C174" s="61">
        <v>44409</v>
      </c>
      <c r="D174" s="99" t="str">
        <f ca="1" t="shared" si="7"/>
        <v>一年以上</v>
      </c>
      <c r="E174" s="66">
        <v>44419</v>
      </c>
      <c r="F174" s="66" t="s">
        <v>82</v>
      </c>
      <c r="G174" s="59" t="s">
        <v>146</v>
      </c>
      <c r="H174" s="100" t="s">
        <v>495</v>
      </c>
      <c r="I174" s="63" t="s">
        <v>495</v>
      </c>
      <c r="J174" s="96">
        <v>2000</v>
      </c>
      <c r="K174" s="59" t="s">
        <v>28</v>
      </c>
      <c r="L174" s="59" t="s">
        <v>496</v>
      </c>
      <c r="M174" s="59" t="s">
        <v>65</v>
      </c>
      <c r="N174" s="65">
        <v>2000</v>
      </c>
      <c r="O174" s="65">
        <f t="shared" si="9"/>
        <v>0</v>
      </c>
      <c r="P174" s="66">
        <v>45281</v>
      </c>
      <c r="Q174" s="61">
        <f t="shared" si="8"/>
        <v>45281</v>
      </c>
      <c r="R174" s="66" t="s">
        <v>497</v>
      </c>
      <c r="S174" s="59" t="s">
        <v>498</v>
      </c>
      <c r="T174" s="59" t="s">
        <v>182</v>
      </c>
      <c r="U174" s="59" t="str">
        <f>VLOOKUP(T174,[1]区域划分!$A$1:$C$39,3,0)</f>
        <v>汪瑞青</v>
      </c>
      <c r="V174" s="59"/>
      <c r="W174" s="59"/>
      <c r="X174" s="59"/>
    </row>
    <row r="175" s="20" customFormat="1" ht="24" hidden="1" spans="1:24">
      <c r="A175" s="59">
        <v>222</v>
      </c>
      <c r="B175" s="60" t="s">
        <v>499</v>
      </c>
      <c r="C175" s="61">
        <v>44409</v>
      </c>
      <c r="D175" s="62" t="str">
        <f ca="1" t="shared" si="7"/>
        <v>一年以上</v>
      </c>
      <c r="E175" s="66">
        <v>44419</v>
      </c>
      <c r="F175" s="66"/>
      <c r="G175" s="59" t="s">
        <v>301</v>
      </c>
      <c r="H175" s="60" t="s">
        <v>490</v>
      </c>
      <c r="I175" s="63" t="s">
        <v>490</v>
      </c>
      <c r="J175" s="76">
        <v>1000</v>
      </c>
      <c r="K175" s="59"/>
      <c r="L175" s="59" t="s">
        <v>488</v>
      </c>
      <c r="M175" s="59" t="s">
        <v>30</v>
      </c>
      <c r="N175" s="65">
        <v>1000</v>
      </c>
      <c r="O175" s="65">
        <f t="shared" si="9"/>
        <v>0</v>
      </c>
      <c r="P175" s="66">
        <v>44428</v>
      </c>
      <c r="Q175" s="61">
        <f t="shared" si="8"/>
        <v>44428</v>
      </c>
      <c r="R175" s="59"/>
      <c r="S175" s="59" t="s">
        <v>500</v>
      </c>
      <c r="T175" s="59"/>
      <c r="U175" s="59"/>
      <c r="V175" s="59"/>
      <c r="W175" s="59"/>
      <c r="X175" s="59"/>
    </row>
    <row r="176" s="20" customFormat="1" ht="24" hidden="1" spans="1:24">
      <c r="A176" s="59">
        <v>223</v>
      </c>
      <c r="B176" s="60" t="s">
        <v>501</v>
      </c>
      <c r="C176" s="61">
        <v>44409</v>
      </c>
      <c r="D176" s="62" t="str">
        <f ca="1" t="shared" si="7"/>
        <v>一年以上</v>
      </c>
      <c r="E176" s="66">
        <v>44419</v>
      </c>
      <c r="F176" s="66"/>
      <c r="G176" s="59" t="s">
        <v>301</v>
      </c>
      <c r="H176" s="60" t="s">
        <v>490</v>
      </c>
      <c r="I176" s="63" t="s">
        <v>490</v>
      </c>
      <c r="J176" s="76">
        <v>1000</v>
      </c>
      <c r="K176" s="59"/>
      <c r="L176" s="59" t="s">
        <v>488</v>
      </c>
      <c r="M176" s="59" t="s">
        <v>30</v>
      </c>
      <c r="N176" s="65">
        <v>1000</v>
      </c>
      <c r="O176" s="65">
        <f t="shared" si="9"/>
        <v>0</v>
      </c>
      <c r="P176" s="66">
        <v>44428</v>
      </c>
      <c r="Q176" s="61">
        <f t="shared" si="8"/>
        <v>44428</v>
      </c>
      <c r="R176" s="59"/>
      <c r="S176" s="59" t="s">
        <v>500</v>
      </c>
      <c r="T176" s="59"/>
      <c r="U176" s="59"/>
      <c r="V176" s="59"/>
      <c r="W176" s="59"/>
      <c r="X176" s="59"/>
    </row>
    <row r="177" s="20" customFormat="1" ht="24" hidden="1" spans="1:24">
      <c r="A177" s="59">
        <v>224</v>
      </c>
      <c r="B177" s="60" t="s">
        <v>502</v>
      </c>
      <c r="C177" s="61">
        <v>44409</v>
      </c>
      <c r="D177" s="62" t="str">
        <f ca="1" t="shared" si="7"/>
        <v>一年以上</v>
      </c>
      <c r="E177" s="66">
        <v>44424</v>
      </c>
      <c r="F177" s="66"/>
      <c r="G177" s="59" t="s">
        <v>54</v>
      </c>
      <c r="H177" s="60" t="s">
        <v>366</v>
      </c>
      <c r="I177" s="63" t="s">
        <v>366</v>
      </c>
      <c r="J177" s="76">
        <v>5000</v>
      </c>
      <c r="K177" s="59" t="s">
        <v>356</v>
      </c>
      <c r="L177" s="59" t="s">
        <v>503</v>
      </c>
      <c r="M177" s="59" t="s">
        <v>30</v>
      </c>
      <c r="N177" s="65">
        <v>5000</v>
      </c>
      <c r="O177" s="65">
        <f t="shared" si="9"/>
        <v>0</v>
      </c>
      <c r="P177" s="66">
        <v>44581</v>
      </c>
      <c r="Q177" s="61">
        <f t="shared" si="8"/>
        <v>44581</v>
      </c>
      <c r="R177" s="59"/>
      <c r="S177" s="59" t="s">
        <v>30</v>
      </c>
      <c r="T177" s="59"/>
      <c r="U177" s="59"/>
      <c r="V177" s="59"/>
      <c r="W177" s="59"/>
      <c r="X177" s="59"/>
    </row>
    <row r="178" s="20" customFormat="1" ht="24" hidden="1" spans="1:24">
      <c r="A178" s="59">
        <v>125</v>
      </c>
      <c r="B178" s="60" t="s">
        <v>504</v>
      </c>
      <c r="C178" s="61">
        <v>44409</v>
      </c>
      <c r="D178" s="62" t="str">
        <f ca="1" t="shared" si="7"/>
        <v>一年以上</v>
      </c>
      <c r="E178" s="66">
        <v>44428</v>
      </c>
      <c r="F178" s="66" t="s">
        <v>82</v>
      </c>
      <c r="G178" s="59" t="s">
        <v>452</v>
      </c>
      <c r="H178" s="60" t="s">
        <v>505</v>
      </c>
      <c r="I178" s="63" t="s">
        <v>505</v>
      </c>
      <c r="J178" s="76">
        <v>2000</v>
      </c>
      <c r="K178" s="59" t="s">
        <v>356</v>
      </c>
      <c r="L178" s="59" t="s">
        <v>96</v>
      </c>
      <c r="M178" s="59" t="s">
        <v>65</v>
      </c>
      <c r="N178" s="65">
        <v>2000</v>
      </c>
      <c r="O178" s="65">
        <f t="shared" si="9"/>
        <v>0</v>
      </c>
      <c r="P178" s="66">
        <v>44826</v>
      </c>
      <c r="Q178" s="61">
        <f t="shared" si="8"/>
        <v>44826</v>
      </c>
      <c r="R178" s="66"/>
      <c r="S178" s="59" t="s">
        <v>65</v>
      </c>
      <c r="T178" s="59" t="s">
        <v>44</v>
      </c>
      <c r="U178" s="59" t="s">
        <v>506</v>
      </c>
      <c r="V178" s="59"/>
      <c r="W178" s="59"/>
      <c r="X178" s="59"/>
    </row>
    <row r="179" s="20" customFormat="1" ht="24" hidden="1" spans="1:24">
      <c r="A179" s="59">
        <v>350</v>
      </c>
      <c r="B179" s="60" t="s">
        <v>507</v>
      </c>
      <c r="C179" s="61">
        <v>44409</v>
      </c>
      <c r="D179" s="62" t="str">
        <f ca="1" t="shared" si="7"/>
        <v>一年以上</v>
      </c>
      <c r="E179" s="66">
        <v>44428</v>
      </c>
      <c r="F179" s="66" t="s">
        <v>130</v>
      </c>
      <c r="G179" s="59" t="s">
        <v>125</v>
      </c>
      <c r="H179" s="60" t="s">
        <v>132</v>
      </c>
      <c r="I179" s="63" t="s">
        <v>132</v>
      </c>
      <c r="J179" s="76">
        <v>13000</v>
      </c>
      <c r="K179" s="59" t="s">
        <v>28</v>
      </c>
      <c r="L179" s="59" t="s">
        <v>461</v>
      </c>
      <c r="M179" s="59" t="s">
        <v>133</v>
      </c>
      <c r="N179" s="65">
        <v>13000</v>
      </c>
      <c r="O179" s="65">
        <f t="shared" si="9"/>
        <v>0</v>
      </c>
      <c r="P179" s="66">
        <v>44490</v>
      </c>
      <c r="Q179" s="61">
        <f t="shared" si="8"/>
        <v>44490</v>
      </c>
      <c r="R179" s="59"/>
      <c r="S179" s="59" t="s">
        <v>133</v>
      </c>
      <c r="T179" s="59"/>
      <c r="U179" s="59"/>
      <c r="V179" s="59"/>
      <c r="W179" s="59"/>
      <c r="X179" s="59"/>
    </row>
    <row r="180" s="20" customFormat="1" hidden="1" spans="1:24">
      <c r="A180" s="59">
        <v>225</v>
      </c>
      <c r="B180" s="60" t="s">
        <v>508</v>
      </c>
      <c r="C180" s="61">
        <v>44409</v>
      </c>
      <c r="D180" s="62" t="str">
        <f ca="1" t="shared" si="7"/>
        <v>一年以上</v>
      </c>
      <c r="E180" s="66">
        <v>44433</v>
      </c>
      <c r="F180" s="66"/>
      <c r="G180" s="59" t="s">
        <v>301</v>
      </c>
      <c r="H180" s="60" t="s">
        <v>509</v>
      </c>
      <c r="I180" s="63" t="s">
        <v>509</v>
      </c>
      <c r="J180" s="76">
        <v>1000</v>
      </c>
      <c r="K180" s="98" t="s">
        <v>28</v>
      </c>
      <c r="L180" s="98" t="s">
        <v>461</v>
      </c>
      <c r="M180" s="59" t="s">
        <v>30</v>
      </c>
      <c r="N180" s="65">
        <v>1000</v>
      </c>
      <c r="O180" s="65">
        <f t="shared" si="9"/>
        <v>0</v>
      </c>
      <c r="P180" s="66">
        <v>44439</v>
      </c>
      <c r="Q180" s="61">
        <f t="shared" si="8"/>
        <v>44439</v>
      </c>
      <c r="R180" s="59"/>
      <c r="S180" s="59" t="s">
        <v>510</v>
      </c>
      <c r="T180" s="59"/>
      <c r="U180" s="59"/>
      <c r="V180" s="59"/>
      <c r="W180" s="59"/>
      <c r="X180" s="59"/>
    </row>
    <row r="181" s="20" customFormat="1" ht="24" hidden="1" spans="1:24">
      <c r="A181" s="59">
        <v>126</v>
      </c>
      <c r="B181" s="60" t="s">
        <v>511</v>
      </c>
      <c r="C181" s="61">
        <v>44409</v>
      </c>
      <c r="D181" s="62" t="str">
        <f ca="1" t="shared" si="7"/>
        <v>一年以上</v>
      </c>
      <c r="E181" s="66">
        <v>44434</v>
      </c>
      <c r="F181" s="66" t="s">
        <v>70</v>
      </c>
      <c r="G181" s="59" t="s">
        <v>119</v>
      </c>
      <c r="H181" s="60" t="s">
        <v>113</v>
      </c>
      <c r="I181" s="63" t="s">
        <v>113</v>
      </c>
      <c r="J181" s="76">
        <v>2000</v>
      </c>
      <c r="K181" s="59" t="s">
        <v>28</v>
      </c>
      <c r="L181" s="59" t="s">
        <v>461</v>
      </c>
      <c r="M181" s="59" t="s">
        <v>65</v>
      </c>
      <c r="N181" s="65">
        <v>2000</v>
      </c>
      <c r="O181" s="65">
        <f t="shared" si="9"/>
        <v>0</v>
      </c>
      <c r="P181" s="66">
        <v>44453</v>
      </c>
      <c r="Q181" s="61">
        <f t="shared" si="8"/>
        <v>44453</v>
      </c>
      <c r="R181" s="66"/>
      <c r="S181" s="59"/>
      <c r="T181" s="59"/>
      <c r="U181" s="59"/>
      <c r="V181" s="59"/>
      <c r="W181" s="59"/>
      <c r="X181" s="59"/>
    </row>
    <row r="182" s="20" customFormat="1" hidden="1" spans="1:24">
      <c r="A182" s="59">
        <v>361</v>
      </c>
      <c r="B182" s="60" t="s">
        <v>512</v>
      </c>
      <c r="C182" s="61">
        <v>44409</v>
      </c>
      <c r="D182" s="62" t="str">
        <f ca="1" t="shared" si="7"/>
        <v>一年以上</v>
      </c>
      <c r="E182" s="66">
        <v>44434</v>
      </c>
      <c r="F182" s="66"/>
      <c r="G182" s="59" t="s">
        <v>513</v>
      </c>
      <c r="H182" s="60" t="s">
        <v>514</v>
      </c>
      <c r="I182" s="63" t="s">
        <v>514</v>
      </c>
      <c r="J182" s="76">
        <v>100</v>
      </c>
      <c r="K182" s="59" t="s">
        <v>28</v>
      </c>
      <c r="L182" s="59" t="s">
        <v>461</v>
      </c>
      <c r="M182" s="59" t="s">
        <v>515</v>
      </c>
      <c r="N182" s="65">
        <v>100</v>
      </c>
      <c r="O182" s="65">
        <f t="shared" si="9"/>
        <v>0</v>
      </c>
      <c r="P182" s="66">
        <f>E182</f>
        <v>44434</v>
      </c>
      <c r="Q182" s="61">
        <f t="shared" si="8"/>
        <v>44434</v>
      </c>
      <c r="R182" s="59"/>
      <c r="S182" s="59" t="s">
        <v>515</v>
      </c>
      <c r="T182" s="59"/>
      <c r="U182" s="59"/>
      <c r="V182" s="59"/>
      <c r="W182" s="59"/>
      <c r="X182" s="59"/>
    </row>
    <row r="183" s="20" customFormat="1" ht="24" hidden="1" spans="1:24">
      <c r="A183" s="59">
        <v>127</v>
      </c>
      <c r="B183" s="60" t="s">
        <v>516</v>
      </c>
      <c r="C183" s="61">
        <v>44409</v>
      </c>
      <c r="D183" s="62" t="str">
        <f ca="1" t="shared" si="7"/>
        <v>一年以上</v>
      </c>
      <c r="E183" s="66">
        <v>44438</v>
      </c>
      <c r="F183" s="66" t="s">
        <v>70</v>
      </c>
      <c r="G183" s="59" t="s">
        <v>233</v>
      </c>
      <c r="H183" s="60" t="s">
        <v>517</v>
      </c>
      <c r="I183" s="63" t="s">
        <v>517</v>
      </c>
      <c r="J183" s="76">
        <v>2000</v>
      </c>
      <c r="K183" s="59"/>
      <c r="L183" s="59" t="s">
        <v>96</v>
      </c>
      <c r="M183" s="59" t="s">
        <v>65</v>
      </c>
      <c r="N183" s="65">
        <v>2000</v>
      </c>
      <c r="O183" s="65">
        <f t="shared" si="9"/>
        <v>0</v>
      </c>
      <c r="P183" s="66">
        <v>44441</v>
      </c>
      <c r="Q183" s="61">
        <f t="shared" si="8"/>
        <v>44441</v>
      </c>
      <c r="R183" s="66"/>
      <c r="S183" s="50"/>
      <c r="T183" s="59"/>
      <c r="U183" s="59"/>
      <c r="V183" s="59"/>
      <c r="W183" s="59"/>
      <c r="X183" s="59"/>
    </row>
    <row r="184" s="20" customFormat="1" ht="36" hidden="1" spans="1:24">
      <c r="A184" s="59">
        <v>226</v>
      </c>
      <c r="B184" s="60" t="s">
        <v>518</v>
      </c>
      <c r="C184" s="61">
        <v>44440</v>
      </c>
      <c r="D184" s="62" t="str">
        <f ca="1" t="shared" si="7"/>
        <v>一年以上</v>
      </c>
      <c r="E184" s="66">
        <v>44440</v>
      </c>
      <c r="F184" s="66"/>
      <c r="G184" s="59" t="s">
        <v>519</v>
      </c>
      <c r="H184" s="60" t="s">
        <v>520</v>
      </c>
      <c r="I184" s="63" t="s">
        <v>520</v>
      </c>
      <c r="J184" s="76">
        <v>5000</v>
      </c>
      <c r="K184" s="59" t="s">
        <v>356</v>
      </c>
      <c r="L184" s="59" t="s">
        <v>521</v>
      </c>
      <c r="M184" s="59" t="s">
        <v>30</v>
      </c>
      <c r="N184" s="65">
        <v>5000</v>
      </c>
      <c r="O184" s="65">
        <f t="shared" si="9"/>
        <v>0</v>
      </c>
      <c r="P184" s="66">
        <v>44614</v>
      </c>
      <c r="Q184" s="61">
        <f t="shared" si="8"/>
        <v>44614</v>
      </c>
      <c r="R184" s="59" t="s">
        <v>522</v>
      </c>
      <c r="S184" s="59" t="s">
        <v>523</v>
      </c>
      <c r="T184" s="59"/>
      <c r="U184" s="59"/>
      <c r="V184" s="59"/>
      <c r="W184" s="59"/>
      <c r="X184" s="59"/>
    </row>
    <row r="185" s="20" customFormat="1" ht="24" hidden="1" spans="1:24">
      <c r="A185" s="59">
        <v>128</v>
      </c>
      <c r="B185" s="60" t="s">
        <v>524</v>
      </c>
      <c r="C185" s="61">
        <v>44440</v>
      </c>
      <c r="D185" s="62" t="str">
        <f ca="1" t="shared" si="7"/>
        <v>一年以上</v>
      </c>
      <c r="E185" s="66">
        <v>44448</v>
      </c>
      <c r="F185" s="66" t="s">
        <v>282</v>
      </c>
      <c r="G185" s="59" t="s">
        <v>525</v>
      </c>
      <c r="H185" s="60" t="s">
        <v>490</v>
      </c>
      <c r="I185" s="63" t="s">
        <v>490</v>
      </c>
      <c r="J185" s="76">
        <v>10000</v>
      </c>
      <c r="K185" s="59" t="s">
        <v>28</v>
      </c>
      <c r="L185" s="59" t="s">
        <v>461</v>
      </c>
      <c r="M185" s="59" t="s">
        <v>65</v>
      </c>
      <c r="N185" s="65">
        <v>10000</v>
      </c>
      <c r="O185" s="65">
        <f t="shared" si="9"/>
        <v>0</v>
      </c>
      <c r="P185" s="66">
        <v>44638</v>
      </c>
      <c r="Q185" s="61">
        <f t="shared" si="8"/>
        <v>44638</v>
      </c>
      <c r="R185" s="66"/>
      <c r="S185" s="59" t="s">
        <v>65</v>
      </c>
      <c r="T185" s="59" t="s">
        <v>32</v>
      </c>
      <c r="U185" s="59" t="s">
        <v>301</v>
      </c>
      <c r="V185" s="59"/>
      <c r="W185" s="59"/>
      <c r="X185" s="59"/>
    </row>
    <row r="186" s="20" customFormat="1" hidden="1" spans="1:24">
      <c r="A186" s="59">
        <v>129</v>
      </c>
      <c r="B186" s="60" t="s">
        <v>526</v>
      </c>
      <c r="C186" s="61">
        <v>44440</v>
      </c>
      <c r="D186" s="62" t="str">
        <f ca="1" t="shared" si="7"/>
        <v>一年以上</v>
      </c>
      <c r="E186" s="66">
        <v>44449</v>
      </c>
      <c r="F186" s="66" t="s">
        <v>70</v>
      </c>
      <c r="G186" s="59" t="s">
        <v>224</v>
      </c>
      <c r="H186" s="60" t="s">
        <v>154</v>
      </c>
      <c r="I186" s="63" t="s">
        <v>154</v>
      </c>
      <c r="J186" s="76">
        <v>2000</v>
      </c>
      <c r="K186" s="59" t="s">
        <v>28</v>
      </c>
      <c r="L186" s="59" t="s">
        <v>461</v>
      </c>
      <c r="M186" s="59" t="s">
        <v>65</v>
      </c>
      <c r="N186" s="65">
        <v>2000</v>
      </c>
      <c r="O186" s="65">
        <f t="shared" si="9"/>
        <v>0</v>
      </c>
      <c r="P186" s="66">
        <v>44496</v>
      </c>
      <c r="Q186" s="61">
        <f t="shared" si="8"/>
        <v>44496</v>
      </c>
      <c r="R186" s="66"/>
      <c r="S186" s="59"/>
      <c r="T186" s="59"/>
      <c r="U186" s="59"/>
      <c r="V186" s="59"/>
      <c r="W186" s="59"/>
      <c r="X186" s="59"/>
    </row>
    <row r="187" s="20" customFormat="1" hidden="1" spans="1:24">
      <c r="A187" s="59">
        <v>227</v>
      </c>
      <c r="B187" s="60" t="s">
        <v>527</v>
      </c>
      <c r="C187" s="61">
        <v>44440</v>
      </c>
      <c r="D187" s="62" t="str">
        <f ca="1" t="shared" si="7"/>
        <v>一年以上</v>
      </c>
      <c r="E187" s="66">
        <v>44454</v>
      </c>
      <c r="F187" s="66"/>
      <c r="G187" s="59" t="s">
        <v>301</v>
      </c>
      <c r="H187" s="60" t="s">
        <v>509</v>
      </c>
      <c r="I187" s="63" t="s">
        <v>509</v>
      </c>
      <c r="J187" s="76">
        <v>12000</v>
      </c>
      <c r="K187" s="59" t="s">
        <v>28</v>
      </c>
      <c r="L187" s="59" t="s">
        <v>461</v>
      </c>
      <c r="M187" s="59" t="s">
        <v>30</v>
      </c>
      <c r="N187" s="65">
        <v>12000</v>
      </c>
      <c r="O187" s="65">
        <f t="shared" si="9"/>
        <v>0</v>
      </c>
      <c r="P187" s="66">
        <v>44512</v>
      </c>
      <c r="Q187" s="61">
        <f t="shared" si="8"/>
        <v>44512</v>
      </c>
      <c r="R187" s="59"/>
      <c r="S187" s="59" t="s">
        <v>510</v>
      </c>
      <c r="T187" s="59"/>
      <c r="U187" s="59"/>
      <c r="V187" s="59"/>
      <c r="W187" s="59"/>
      <c r="X187" s="59"/>
    </row>
    <row r="188" s="20" customFormat="1" hidden="1" spans="1:24">
      <c r="A188" s="59">
        <v>362</v>
      </c>
      <c r="B188" s="60" t="s">
        <v>528</v>
      </c>
      <c r="C188" s="61">
        <v>44440</v>
      </c>
      <c r="D188" s="62" t="str">
        <f ca="1" t="shared" si="7"/>
        <v>一年以上</v>
      </c>
      <c r="E188" s="66">
        <v>44455</v>
      </c>
      <c r="F188" s="66"/>
      <c r="G188" s="59" t="s">
        <v>54</v>
      </c>
      <c r="H188" s="60" t="s">
        <v>60</v>
      </c>
      <c r="I188" s="63" t="s">
        <v>60</v>
      </c>
      <c r="J188" s="76">
        <v>300</v>
      </c>
      <c r="K188" s="59" t="s">
        <v>28</v>
      </c>
      <c r="L188" s="59" t="s">
        <v>461</v>
      </c>
      <c r="M188" s="59" t="s">
        <v>515</v>
      </c>
      <c r="N188" s="65">
        <v>300</v>
      </c>
      <c r="O188" s="65">
        <f t="shared" si="9"/>
        <v>0</v>
      </c>
      <c r="P188" s="66">
        <f>E188</f>
        <v>44455</v>
      </c>
      <c r="Q188" s="61">
        <f t="shared" si="8"/>
        <v>44455</v>
      </c>
      <c r="R188" s="59"/>
      <c r="S188" s="59" t="s">
        <v>529</v>
      </c>
      <c r="T188" s="59"/>
      <c r="U188" s="59"/>
      <c r="V188" s="59"/>
      <c r="W188" s="59"/>
      <c r="X188" s="59"/>
    </row>
    <row r="189" s="20" customFormat="1" ht="24" hidden="1" spans="1:24">
      <c r="A189" s="59">
        <v>228</v>
      </c>
      <c r="B189" s="60" t="s">
        <v>530</v>
      </c>
      <c r="C189" s="61">
        <v>44440</v>
      </c>
      <c r="D189" s="62" t="str">
        <f ca="1" t="shared" si="7"/>
        <v>一年以上</v>
      </c>
      <c r="E189" s="66">
        <v>44456</v>
      </c>
      <c r="F189" s="66"/>
      <c r="G189" s="59" t="s">
        <v>54</v>
      </c>
      <c r="H189" s="60" t="s">
        <v>193</v>
      </c>
      <c r="I189" s="63" t="s">
        <v>193</v>
      </c>
      <c r="J189" s="76">
        <v>15000</v>
      </c>
      <c r="K189" s="59" t="s">
        <v>28</v>
      </c>
      <c r="L189" s="59" t="s">
        <v>461</v>
      </c>
      <c r="M189" s="59" t="s">
        <v>30</v>
      </c>
      <c r="N189" s="65">
        <v>15000</v>
      </c>
      <c r="O189" s="65">
        <f t="shared" si="9"/>
        <v>0</v>
      </c>
      <c r="P189" s="66">
        <v>44627</v>
      </c>
      <c r="Q189" s="61">
        <f t="shared" si="8"/>
        <v>44627</v>
      </c>
      <c r="R189" s="59"/>
      <c r="S189" s="59" t="s">
        <v>531</v>
      </c>
      <c r="T189" s="59"/>
      <c r="U189" s="59"/>
      <c r="V189" s="59"/>
      <c r="W189" s="59"/>
      <c r="X189" s="59"/>
    </row>
    <row r="190" s="20" customFormat="1" ht="24" spans="1:24">
      <c r="A190" s="59">
        <v>229</v>
      </c>
      <c r="B190" s="60" t="s">
        <v>532</v>
      </c>
      <c r="C190" s="61">
        <v>44440</v>
      </c>
      <c r="D190" s="62" t="str">
        <f ca="1" t="shared" si="7"/>
        <v>一年以上</v>
      </c>
      <c r="E190" s="66">
        <v>44456</v>
      </c>
      <c r="F190" s="66"/>
      <c r="G190" s="59" t="s">
        <v>294</v>
      </c>
      <c r="H190" s="60" t="s">
        <v>265</v>
      </c>
      <c r="I190" s="63" t="s">
        <v>90</v>
      </c>
      <c r="J190" s="76">
        <v>50000</v>
      </c>
      <c r="K190" s="59" t="s">
        <v>28</v>
      </c>
      <c r="L190" s="59" t="s">
        <v>461</v>
      </c>
      <c r="M190" s="59" t="s">
        <v>30</v>
      </c>
      <c r="N190" s="65"/>
      <c r="O190" s="88">
        <f t="shared" si="9"/>
        <v>50000</v>
      </c>
      <c r="P190" s="66"/>
      <c r="Q190" s="61">
        <f t="shared" si="8"/>
        <v>0</v>
      </c>
      <c r="R190" s="59" t="s">
        <v>62</v>
      </c>
      <c r="S190" s="59" t="s">
        <v>62</v>
      </c>
      <c r="T190" s="59" t="s">
        <v>267</v>
      </c>
      <c r="U190" s="59" t="str">
        <f>VLOOKUP(T190,[1]区域划分!$A$1:$C$39,3,0)</f>
        <v>牛国庆</v>
      </c>
      <c r="V190" s="59"/>
      <c r="W190" s="59"/>
      <c r="X190" s="59"/>
    </row>
    <row r="191" s="20" customFormat="1" hidden="1" spans="1:24">
      <c r="A191" s="59">
        <v>230</v>
      </c>
      <c r="B191" s="60" t="s">
        <v>533</v>
      </c>
      <c r="C191" s="61">
        <v>44440</v>
      </c>
      <c r="D191" s="62" t="str">
        <f ca="1" t="shared" si="7"/>
        <v>一年以上</v>
      </c>
      <c r="E191" s="66">
        <v>44457</v>
      </c>
      <c r="F191" s="66"/>
      <c r="G191" s="59" t="s">
        <v>534</v>
      </c>
      <c r="H191" s="60" t="s">
        <v>34</v>
      </c>
      <c r="I191" s="63" t="s">
        <v>34</v>
      </c>
      <c r="J191" s="76">
        <v>50000</v>
      </c>
      <c r="K191" s="59" t="s">
        <v>28</v>
      </c>
      <c r="L191" s="59" t="s">
        <v>461</v>
      </c>
      <c r="M191" s="59" t="s">
        <v>30</v>
      </c>
      <c r="N191" s="65">
        <v>50000</v>
      </c>
      <c r="O191" s="65">
        <f t="shared" si="9"/>
        <v>0</v>
      </c>
      <c r="P191" s="66">
        <v>44523</v>
      </c>
      <c r="Q191" s="61">
        <f t="shared" si="8"/>
        <v>44523</v>
      </c>
      <c r="R191" s="59"/>
      <c r="S191" s="59"/>
      <c r="T191" s="59"/>
      <c r="U191" s="59"/>
      <c r="V191" s="59"/>
      <c r="W191" s="59"/>
      <c r="X191" s="59"/>
    </row>
    <row r="192" s="20" customFormat="1" hidden="1" spans="1:24">
      <c r="A192" s="59">
        <v>231</v>
      </c>
      <c r="B192" s="60" t="s">
        <v>535</v>
      </c>
      <c r="C192" s="61">
        <v>44440</v>
      </c>
      <c r="D192" s="62" t="str">
        <f ca="1" t="shared" si="7"/>
        <v>一年以上</v>
      </c>
      <c r="E192" s="66">
        <v>44457</v>
      </c>
      <c r="F192" s="66"/>
      <c r="G192" s="59" t="s">
        <v>534</v>
      </c>
      <c r="H192" s="60" t="s">
        <v>34</v>
      </c>
      <c r="I192" s="63" t="s">
        <v>34</v>
      </c>
      <c r="J192" s="76">
        <v>50000</v>
      </c>
      <c r="K192" s="59" t="s">
        <v>28</v>
      </c>
      <c r="L192" s="59" t="s">
        <v>461</v>
      </c>
      <c r="M192" s="59" t="s">
        <v>30</v>
      </c>
      <c r="N192" s="65">
        <v>50000</v>
      </c>
      <c r="O192" s="65">
        <f t="shared" si="9"/>
        <v>0</v>
      </c>
      <c r="P192" s="66">
        <v>44523</v>
      </c>
      <c r="Q192" s="61">
        <f t="shared" si="8"/>
        <v>44523</v>
      </c>
      <c r="R192" s="59"/>
      <c r="S192" s="59"/>
      <c r="T192" s="59"/>
      <c r="U192" s="59"/>
      <c r="V192" s="59"/>
      <c r="W192" s="59"/>
      <c r="X192" s="59"/>
    </row>
    <row r="193" s="20" customFormat="1" hidden="1" spans="1:24">
      <c r="A193" s="59">
        <v>232</v>
      </c>
      <c r="B193" s="60" t="s">
        <v>536</v>
      </c>
      <c r="C193" s="61">
        <v>44440</v>
      </c>
      <c r="D193" s="62" t="str">
        <f ca="1" t="shared" si="7"/>
        <v>一年以上</v>
      </c>
      <c r="E193" s="66">
        <v>44457</v>
      </c>
      <c r="F193" s="66"/>
      <c r="G193" s="59" t="s">
        <v>537</v>
      </c>
      <c r="H193" s="60" t="s">
        <v>34</v>
      </c>
      <c r="I193" s="63" t="s">
        <v>34</v>
      </c>
      <c r="J193" s="76">
        <v>50000</v>
      </c>
      <c r="K193" s="59" t="s">
        <v>338</v>
      </c>
      <c r="L193" s="59" t="s">
        <v>538</v>
      </c>
      <c r="M193" s="59" t="s">
        <v>30</v>
      </c>
      <c r="N193" s="65">
        <v>50000</v>
      </c>
      <c r="O193" s="65">
        <f t="shared" si="9"/>
        <v>0</v>
      </c>
      <c r="P193" s="66">
        <v>44895</v>
      </c>
      <c r="Q193" s="61">
        <f t="shared" si="8"/>
        <v>44895</v>
      </c>
      <c r="R193" s="59" t="s">
        <v>310</v>
      </c>
      <c r="S193" s="59" t="s">
        <v>62</v>
      </c>
      <c r="T193" s="59"/>
      <c r="U193" s="59"/>
      <c r="V193" s="59"/>
      <c r="W193" s="59"/>
      <c r="X193" s="59"/>
    </row>
    <row r="194" s="20" customFormat="1" hidden="1" spans="1:24">
      <c r="A194" s="59">
        <v>233</v>
      </c>
      <c r="B194" s="60" t="s">
        <v>539</v>
      </c>
      <c r="C194" s="61">
        <v>44440</v>
      </c>
      <c r="D194" s="62" t="str">
        <f ca="1" t="shared" si="7"/>
        <v>一年以上</v>
      </c>
      <c r="E194" s="66">
        <v>44461</v>
      </c>
      <c r="F194" s="66"/>
      <c r="G194" s="59" t="s">
        <v>537</v>
      </c>
      <c r="H194" s="60" t="s">
        <v>540</v>
      </c>
      <c r="I194" s="63" t="s">
        <v>540</v>
      </c>
      <c r="J194" s="76">
        <v>50000</v>
      </c>
      <c r="K194" s="59" t="s">
        <v>338</v>
      </c>
      <c r="L194" s="59" t="s">
        <v>538</v>
      </c>
      <c r="M194" s="59" t="s">
        <v>30</v>
      </c>
      <c r="N194" s="65">
        <v>50000</v>
      </c>
      <c r="O194" s="65">
        <f t="shared" si="9"/>
        <v>0</v>
      </c>
      <c r="P194" s="66">
        <v>44517</v>
      </c>
      <c r="Q194" s="61">
        <f t="shared" si="8"/>
        <v>44517</v>
      </c>
      <c r="R194" s="59"/>
      <c r="S194" s="59" t="s">
        <v>541</v>
      </c>
      <c r="T194" s="59"/>
      <c r="U194" s="59"/>
      <c r="V194" s="59"/>
      <c r="W194" s="59"/>
      <c r="X194" s="59"/>
    </row>
    <row r="195" s="18" customFormat="1" hidden="1" spans="1:24">
      <c r="A195" s="59">
        <v>363</v>
      </c>
      <c r="B195" s="60" t="s">
        <v>542</v>
      </c>
      <c r="C195" s="61">
        <v>44440</v>
      </c>
      <c r="D195" s="62" t="str">
        <f ca="1" t="shared" ref="D195:D258" si="10">IF(TODAY()-E195&lt;60,"2个月内",IF(TODAY()-E195&lt;180,"3-6个月",IF(TODAY()-E195&lt;360,"6个月-1年","一年以上")))</f>
        <v>一年以上</v>
      </c>
      <c r="E195" s="66">
        <v>44461</v>
      </c>
      <c r="F195" s="66"/>
      <c r="G195" s="59" t="s">
        <v>537</v>
      </c>
      <c r="H195" s="60" t="s">
        <v>543</v>
      </c>
      <c r="I195" s="63" t="s">
        <v>543</v>
      </c>
      <c r="J195" s="76">
        <v>500</v>
      </c>
      <c r="K195" s="59" t="s">
        <v>338</v>
      </c>
      <c r="L195" s="59" t="s">
        <v>538</v>
      </c>
      <c r="M195" s="59" t="s">
        <v>515</v>
      </c>
      <c r="N195" s="65">
        <v>500</v>
      </c>
      <c r="O195" s="65">
        <f t="shared" si="9"/>
        <v>0</v>
      </c>
      <c r="P195" s="66">
        <f>E195</f>
        <v>44461</v>
      </c>
      <c r="Q195" s="61">
        <f t="shared" ref="Q195:Q258" si="11">P195</f>
        <v>44461</v>
      </c>
      <c r="R195" s="59"/>
      <c r="S195" s="59" t="s">
        <v>544</v>
      </c>
      <c r="T195" s="59"/>
      <c r="U195" s="59"/>
      <c r="V195" s="59"/>
      <c r="W195" s="50"/>
      <c r="X195" s="50"/>
    </row>
    <row r="196" s="20" customFormat="1" hidden="1" spans="1:24">
      <c r="A196" s="59">
        <v>364</v>
      </c>
      <c r="B196" s="60" t="s">
        <v>545</v>
      </c>
      <c r="C196" s="61">
        <v>44440</v>
      </c>
      <c r="D196" s="62" t="str">
        <f ca="1" t="shared" si="10"/>
        <v>一年以上</v>
      </c>
      <c r="E196" s="66">
        <v>44466</v>
      </c>
      <c r="F196" s="66"/>
      <c r="G196" s="59" t="s">
        <v>87</v>
      </c>
      <c r="H196" s="60" t="s">
        <v>546</v>
      </c>
      <c r="I196" s="63" t="s">
        <v>546</v>
      </c>
      <c r="J196" s="76">
        <v>300</v>
      </c>
      <c r="K196" s="59" t="s">
        <v>28</v>
      </c>
      <c r="L196" s="59" t="s">
        <v>461</v>
      </c>
      <c r="M196" s="59" t="s">
        <v>515</v>
      </c>
      <c r="N196" s="65">
        <v>300</v>
      </c>
      <c r="O196" s="65">
        <f t="shared" si="9"/>
        <v>0</v>
      </c>
      <c r="P196" s="66">
        <f>E196</f>
        <v>44466</v>
      </c>
      <c r="Q196" s="61">
        <f t="shared" si="11"/>
        <v>44466</v>
      </c>
      <c r="R196" s="59"/>
      <c r="S196" s="59" t="s">
        <v>547</v>
      </c>
      <c r="T196" s="59"/>
      <c r="U196" s="59"/>
      <c r="V196" s="59"/>
      <c r="W196" s="59"/>
      <c r="X196" s="59"/>
    </row>
    <row r="197" s="20" customFormat="1" hidden="1" spans="1:24">
      <c r="A197" s="59">
        <v>365</v>
      </c>
      <c r="B197" s="60" t="s">
        <v>548</v>
      </c>
      <c r="C197" s="61">
        <v>44440</v>
      </c>
      <c r="D197" s="62" t="str">
        <f ca="1" t="shared" si="10"/>
        <v>一年以上</v>
      </c>
      <c r="E197" s="66">
        <v>44466</v>
      </c>
      <c r="F197" s="66"/>
      <c r="G197" s="59" t="s">
        <v>537</v>
      </c>
      <c r="H197" s="60" t="s">
        <v>546</v>
      </c>
      <c r="I197" s="63" t="s">
        <v>546</v>
      </c>
      <c r="J197" s="76">
        <v>300</v>
      </c>
      <c r="K197" s="59" t="s">
        <v>338</v>
      </c>
      <c r="L197" s="59" t="s">
        <v>538</v>
      </c>
      <c r="M197" s="59" t="s">
        <v>515</v>
      </c>
      <c r="N197" s="65">
        <v>300</v>
      </c>
      <c r="O197" s="65">
        <f t="shared" si="9"/>
        <v>0</v>
      </c>
      <c r="P197" s="66">
        <f>E197</f>
        <v>44466</v>
      </c>
      <c r="Q197" s="61">
        <f t="shared" si="11"/>
        <v>44466</v>
      </c>
      <c r="R197" s="59"/>
      <c r="S197" s="59" t="s">
        <v>547</v>
      </c>
      <c r="T197" s="59"/>
      <c r="U197" s="59"/>
      <c r="V197" s="59"/>
      <c r="W197" s="59"/>
      <c r="X197" s="59"/>
    </row>
    <row r="198" s="20" customFormat="1" ht="24" hidden="1" spans="1:24">
      <c r="A198" s="59">
        <v>130</v>
      </c>
      <c r="B198" s="60" t="s">
        <v>549</v>
      </c>
      <c r="C198" s="61">
        <v>44440</v>
      </c>
      <c r="D198" s="62" t="str">
        <f ca="1" t="shared" si="10"/>
        <v>一年以上</v>
      </c>
      <c r="E198" s="66">
        <v>44467</v>
      </c>
      <c r="F198" s="66" t="s">
        <v>70</v>
      </c>
      <c r="G198" s="59" t="s">
        <v>119</v>
      </c>
      <c r="H198" s="60" t="s">
        <v>113</v>
      </c>
      <c r="I198" s="63" t="s">
        <v>113</v>
      </c>
      <c r="J198" s="76">
        <v>3000</v>
      </c>
      <c r="K198" s="59" t="s">
        <v>356</v>
      </c>
      <c r="L198" s="59" t="s">
        <v>503</v>
      </c>
      <c r="M198" s="59" t="s">
        <v>65</v>
      </c>
      <c r="N198" s="65">
        <v>3000</v>
      </c>
      <c r="O198" s="65">
        <f t="shared" si="9"/>
        <v>0</v>
      </c>
      <c r="P198" s="66">
        <v>44495</v>
      </c>
      <c r="Q198" s="61">
        <f t="shared" si="11"/>
        <v>44495</v>
      </c>
      <c r="R198" s="66"/>
      <c r="S198" s="59" t="s">
        <v>65</v>
      </c>
      <c r="T198" s="59"/>
      <c r="U198" s="59"/>
      <c r="V198" s="59"/>
      <c r="W198" s="59"/>
      <c r="X198" s="59"/>
    </row>
    <row r="199" s="20" customFormat="1" hidden="1" spans="1:24">
      <c r="A199" s="59">
        <v>366</v>
      </c>
      <c r="B199" s="60" t="s">
        <v>550</v>
      </c>
      <c r="C199" s="61">
        <v>44440</v>
      </c>
      <c r="D199" s="62" t="str">
        <f ca="1" t="shared" si="10"/>
        <v>一年以上</v>
      </c>
      <c r="E199" s="66">
        <v>44467</v>
      </c>
      <c r="F199" s="66"/>
      <c r="G199" s="59" t="s">
        <v>87</v>
      </c>
      <c r="H199" s="60" t="s">
        <v>546</v>
      </c>
      <c r="I199" s="63" t="s">
        <v>546</v>
      </c>
      <c r="J199" s="76">
        <v>300</v>
      </c>
      <c r="K199" s="59" t="s">
        <v>28</v>
      </c>
      <c r="L199" s="59" t="s">
        <v>461</v>
      </c>
      <c r="M199" s="59" t="s">
        <v>515</v>
      </c>
      <c r="N199" s="65">
        <v>300</v>
      </c>
      <c r="O199" s="65">
        <f t="shared" si="9"/>
        <v>0</v>
      </c>
      <c r="P199" s="66">
        <f>E199</f>
        <v>44467</v>
      </c>
      <c r="Q199" s="61">
        <f t="shared" si="11"/>
        <v>44467</v>
      </c>
      <c r="R199" s="59"/>
      <c r="S199" s="59" t="s">
        <v>547</v>
      </c>
      <c r="T199" s="59"/>
      <c r="U199" s="59"/>
      <c r="V199" s="59"/>
      <c r="W199" s="59"/>
      <c r="X199" s="59"/>
    </row>
    <row r="200" s="20" customFormat="1" hidden="1" spans="1:24">
      <c r="A200" s="59">
        <v>367</v>
      </c>
      <c r="B200" s="60" t="s">
        <v>551</v>
      </c>
      <c r="C200" s="61">
        <v>44440</v>
      </c>
      <c r="D200" s="62" t="str">
        <f ca="1" t="shared" si="10"/>
        <v>一年以上</v>
      </c>
      <c r="E200" s="66">
        <v>44467</v>
      </c>
      <c r="F200" s="66"/>
      <c r="G200" s="59" t="s">
        <v>537</v>
      </c>
      <c r="H200" s="60" t="s">
        <v>546</v>
      </c>
      <c r="I200" s="63" t="s">
        <v>546</v>
      </c>
      <c r="J200" s="76">
        <v>300</v>
      </c>
      <c r="K200" s="59" t="s">
        <v>338</v>
      </c>
      <c r="L200" s="59" t="s">
        <v>538</v>
      </c>
      <c r="M200" s="59" t="s">
        <v>515</v>
      </c>
      <c r="N200" s="65">
        <v>300</v>
      </c>
      <c r="O200" s="65">
        <f t="shared" si="9"/>
        <v>0</v>
      </c>
      <c r="P200" s="66">
        <f>E200</f>
        <v>44467</v>
      </c>
      <c r="Q200" s="61">
        <f t="shared" si="11"/>
        <v>44467</v>
      </c>
      <c r="R200" s="59"/>
      <c r="S200" s="59" t="s">
        <v>547</v>
      </c>
      <c r="T200" s="59"/>
      <c r="U200" s="59"/>
      <c r="V200" s="59"/>
      <c r="W200" s="59"/>
      <c r="X200" s="59"/>
    </row>
    <row r="201" s="20" customFormat="1" ht="48" hidden="1" spans="1:24">
      <c r="A201" s="59">
        <v>234</v>
      </c>
      <c r="B201" s="60" t="s">
        <v>552</v>
      </c>
      <c r="C201" s="61">
        <v>44440</v>
      </c>
      <c r="D201" s="62" t="str">
        <f ca="1" t="shared" si="10"/>
        <v>一年以上</v>
      </c>
      <c r="E201" s="66">
        <v>44469</v>
      </c>
      <c r="F201" s="66"/>
      <c r="G201" s="59" t="s">
        <v>172</v>
      </c>
      <c r="H201" s="60" t="s">
        <v>209</v>
      </c>
      <c r="I201" s="63" t="s">
        <v>209</v>
      </c>
      <c r="J201" s="76">
        <v>100000</v>
      </c>
      <c r="K201" s="59" t="s">
        <v>28</v>
      </c>
      <c r="L201" s="59" t="s">
        <v>466</v>
      </c>
      <c r="M201" s="59" t="s">
        <v>30</v>
      </c>
      <c r="N201" s="65">
        <v>100000</v>
      </c>
      <c r="O201" s="65">
        <f t="shared" si="9"/>
        <v>0</v>
      </c>
      <c r="P201" s="66">
        <v>44943</v>
      </c>
      <c r="Q201" s="61">
        <f t="shared" si="11"/>
        <v>44943</v>
      </c>
      <c r="R201" s="59" t="s">
        <v>553</v>
      </c>
      <c r="S201" s="59" t="s">
        <v>62</v>
      </c>
      <c r="T201" s="59" t="s">
        <v>171</v>
      </c>
      <c r="U201" s="59"/>
      <c r="V201" s="59"/>
      <c r="W201" s="59"/>
      <c r="X201" s="59"/>
    </row>
    <row r="202" s="20" customFormat="1" ht="24" hidden="1" spans="1:24">
      <c r="A202" s="59">
        <v>235</v>
      </c>
      <c r="B202" s="60" t="s">
        <v>554</v>
      </c>
      <c r="C202" s="61">
        <v>44440</v>
      </c>
      <c r="D202" s="62" t="str">
        <f ca="1" t="shared" si="10"/>
        <v>一年以上</v>
      </c>
      <c r="E202" s="66">
        <v>44469</v>
      </c>
      <c r="F202" s="66"/>
      <c r="G202" s="59" t="s">
        <v>87</v>
      </c>
      <c r="H202" s="60" t="s">
        <v>555</v>
      </c>
      <c r="I202" s="63" t="s">
        <v>555</v>
      </c>
      <c r="J202" s="76">
        <v>3400</v>
      </c>
      <c r="K202" s="59" t="s">
        <v>28</v>
      </c>
      <c r="L202" s="59" t="s">
        <v>466</v>
      </c>
      <c r="M202" s="59" t="s">
        <v>30</v>
      </c>
      <c r="N202" s="65">
        <v>3400</v>
      </c>
      <c r="O202" s="65">
        <f t="shared" si="9"/>
        <v>0</v>
      </c>
      <c r="P202" s="66">
        <v>44512</v>
      </c>
      <c r="Q202" s="61">
        <f t="shared" si="11"/>
        <v>44512</v>
      </c>
      <c r="R202" s="59"/>
      <c r="S202" s="59" t="s">
        <v>556</v>
      </c>
      <c r="T202" s="59"/>
      <c r="U202" s="59"/>
      <c r="V202" s="59"/>
      <c r="W202" s="59"/>
      <c r="X202" s="59"/>
    </row>
    <row r="203" s="20" customFormat="1" hidden="1" spans="1:24">
      <c r="A203" s="59">
        <v>368</v>
      </c>
      <c r="B203" s="60" t="s">
        <v>557</v>
      </c>
      <c r="C203" s="61">
        <v>44440</v>
      </c>
      <c r="D203" s="62" t="str">
        <f ca="1" t="shared" si="10"/>
        <v>一年以上</v>
      </c>
      <c r="E203" s="66">
        <v>44469</v>
      </c>
      <c r="F203" s="66"/>
      <c r="G203" s="59" t="s">
        <v>537</v>
      </c>
      <c r="H203" s="60" t="s">
        <v>209</v>
      </c>
      <c r="I203" s="63" t="s">
        <v>209</v>
      </c>
      <c r="J203" s="76">
        <v>1000</v>
      </c>
      <c r="K203" s="59" t="s">
        <v>338</v>
      </c>
      <c r="L203" s="59" t="s">
        <v>538</v>
      </c>
      <c r="M203" s="59" t="s">
        <v>515</v>
      </c>
      <c r="N203" s="65">
        <v>1000</v>
      </c>
      <c r="O203" s="65">
        <f t="shared" si="9"/>
        <v>0</v>
      </c>
      <c r="P203" s="66">
        <f>E203</f>
        <v>44469</v>
      </c>
      <c r="Q203" s="61">
        <f t="shared" si="11"/>
        <v>44469</v>
      </c>
      <c r="R203" s="59"/>
      <c r="S203" s="59" t="s">
        <v>515</v>
      </c>
      <c r="T203" s="59"/>
      <c r="U203" s="59"/>
      <c r="V203" s="59"/>
      <c r="W203" s="59"/>
      <c r="X203" s="59"/>
    </row>
    <row r="204" s="20" customFormat="1" hidden="1" spans="1:24">
      <c r="A204" s="59">
        <v>369</v>
      </c>
      <c r="B204" s="60" t="s">
        <v>558</v>
      </c>
      <c r="C204" s="61">
        <v>44440</v>
      </c>
      <c r="D204" s="62" t="str">
        <f ca="1" t="shared" si="10"/>
        <v>一年以上</v>
      </c>
      <c r="E204" s="66">
        <v>44469</v>
      </c>
      <c r="F204" s="66"/>
      <c r="G204" s="59" t="s">
        <v>172</v>
      </c>
      <c r="H204" s="60" t="s">
        <v>209</v>
      </c>
      <c r="I204" s="63" t="s">
        <v>209</v>
      </c>
      <c r="J204" s="76">
        <v>1000</v>
      </c>
      <c r="K204" s="59" t="s">
        <v>28</v>
      </c>
      <c r="L204" s="59" t="s">
        <v>466</v>
      </c>
      <c r="M204" s="59" t="s">
        <v>515</v>
      </c>
      <c r="N204" s="65">
        <v>1000</v>
      </c>
      <c r="O204" s="65">
        <f t="shared" si="9"/>
        <v>0</v>
      </c>
      <c r="P204" s="66">
        <f>E204</f>
        <v>44469</v>
      </c>
      <c r="Q204" s="61">
        <f t="shared" si="11"/>
        <v>44469</v>
      </c>
      <c r="R204" s="59"/>
      <c r="S204" s="59" t="s">
        <v>515</v>
      </c>
      <c r="T204" s="59"/>
      <c r="U204" s="59"/>
      <c r="V204" s="59"/>
      <c r="W204" s="59"/>
      <c r="X204" s="59"/>
    </row>
    <row r="205" s="20" customFormat="1" hidden="1" spans="1:24">
      <c r="A205" s="59">
        <v>370</v>
      </c>
      <c r="B205" s="60" t="s">
        <v>559</v>
      </c>
      <c r="C205" s="61">
        <v>44440</v>
      </c>
      <c r="D205" s="62" t="str">
        <f ca="1" t="shared" si="10"/>
        <v>一年以上</v>
      </c>
      <c r="E205" s="66">
        <v>44469</v>
      </c>
      <c r="F205" s="66"/>
      <c r="G205" s="59" t="s">
        <v>172</v>
      </c>
      <c r="H205" s="60" t="s">
        <v>209</v>
      </c>
      <c r="I205" s="63" t="s">
        <v>209</v>
      </c>
      <c r="J205" s="76">
        <v>1000</v>
      </c>
      <c r="K205" s="59" t="s">
        <v>28</v>
      </c>
      <c r="L205" s="59" t="s">
        <v>466</v>
      </c>
      <c r="M205" s="59" t="s">
        <v>515</v>
      </c>
      <c r="N205" s="65">
        <v>1000</v>
      </c>
      <c r="O205" s="65">
        <f t="shared" si="9"/>
        <v>0</v>
      </c>
      <c r="P205" s="66">
        <f>E205</f>
        <v>44469</v>
      </c>
      <c r="Q205" s="61">
        <f t="shared" si="11"/>
        <v>44469</v>
      </c>
      <c r="R205" s="59"/>
      <c r="S205" s="59" t="s">
        <v>515</v>
      </c>
      <c r="T205" s="59"/>
      <c r="U205" s="59"/>
      <c r="V205" s="59"/>
      <c r="W205" s="59"/>
      <c r="X205" s="59"/>
    </row>
    <row r="206" s="20" customFormat="1" ht="36" hidden="1" spans="1:24">
      <c r="A206" s="59">
        <v>237</v>
      </c>
      <c r="B206" s="60" t="s">
        <v>560</v>
      </c>
      <c r="C206" s="61">
        <v>44470</v>
      </c>
      <c r="D206" s="62" t="str">
        <f ca="1" t="shared" si="10"/>
        <v>一年以上</v>
      </c>
      <c r="E206" s="66">
        <v>44480</v>
      </c>
      <c r="F206" s="66"/>
      <c r="G206" s="59" t="s">
        <v>537</v>
      </c>
      <c r="H206" s="60" t="s">
        <v>40</v>
      </c>
      <c r="I206" s="63" t="s">
        <v>40</v>
      </c>
      <c r="J206" s="76">
        <v>10000</v>
      </c>
      <c r="K206" s="59" t="s">
        <v>338</v>
      </c>
      <c r="L206" s="59" t="s">
        <v>538</v>
      </c>
      <c r="M206" s="59" t="s">
        <v>30</v>
      </c>
      <c r="N206" s="65">
        <v>10000</v>
      </c>
      <c r="O206" s="65">
        <f t="shared" si="9"/>
        <v>0</v>
      </c>
      <c r="P206" s="66">
        <v>44735</v>
      </c>
      <c r="Q206" s="61">
        <f t="shared" si="11"/>
        <v>44735</v>
      </c>
      <c r="R206" s="59" t="s">
        <v>481</v>
      </c>
      <c r="S206" s="59" t="s">
        <v>561</v>
      </c>
      <c r="T206" s="59"/>
      <c r="U206" s="59"/>
      <c r="V206" s="59"/>
      <c r="W206" s="59"/>
      <c r="X206" s="59"/>
    </row>
    <row r="207" s="20" customFormat="1" ht="36" hidden="1" spans="1:24">
      <c r="A207" s="59">
        <v>371</v>
      </c>
      <c r="B207" s="60" t="s">
        <v>562</v>
      </c>
      <c r="C207" s="61">
        <v>44470</v>
      </c>
      <c r="D207" s="62" t="str">
        <f ca="1" t="shared" si="10"/>
        <v>一年以上</v>
      </c>
      <c r="E207" s="66">
        <v>44480</v>
      </c>
      <c r="F207" s="66"/>
      <c r="G207" s="59" t="s">
        <v>537</v>
      </c>
      <c r="H207" s="60" t="s">
        <v>40</v>
      </c>
      <c r="I207" s="63" t="s">
        <v>40</v>
      </c>
      <c r="J207" s="76">
        <v>100</v>
      </c>
      <c r="K207" s="59" t="s">
        <v>338</v>
      </c>
      <c r="L207" s="59" t="s">
        <v>538</v>
      </c>
      <c r="M207" s="59" t="s">
        <v>515</v>
      </c>
      <c r="N207" s="65">
        <v>100</v>
      </c>
      <c r="O207" s="65">
        <f t="shared" ref="O207:O270" si="12">J207-N207</f>
        <v>0</v>
      </c>
      <c r="P207" s="66">
        <f>E207</f>
        <v>44480</v>
      </c>
      <c r="Q207" s="61">
        <f t="shared" si="11"/>
        <v>44480</v>
      </c>
      <c r="R207" s="59"/>
      <c r="S207" s="59" t="s">
        <v>515</v>
      </c>
      <c r="T207" s="59"/>
      <c r="U207" s="59"/>
      <c r="V207" s="59"/>
      <c r="W207" s="59"/>
      <c r="X207" s="59"/>
    </row>
    <row r="208" s="20" customFormat="1" ht="24" hidden="1" spans="1:24">
      <c r="A208" s="59">
        <v>236</v>
      </c>
      <c r="B208" s="60" t="s">
        <v>563</v>
      </c>
      <c r="C208" s="61">
        <v>44470</v>
      </c>
      <c r="D208" s="62" t="str">
        <f ca="1" t="shared" si="10"/>
        <v>一年以上</v>
      </c>
      <c r="E208" s="66">
        <v>44481</v>
      </c>
      <c r="F208" s="66"/>
      <c r="G208" s="59" t="s">
        <v>54</v>
      </c>
      <c r="H208" s="60" t="s">
        <v>564</v>
      </c>
      <c r="I208" s="63" t="s">
        <v>564</v>
      </c>
      <c r="J208" s="76">
        <v>7400</v>
      </c>
      <c r="K208" s="59" t="s">
        <v>356</v>
      </c>
      <c r="L208" s="59" t="s">
        <v>565</v>
      </c>
      <c r="M208" s="59" t="s">
        <v>30</v>
      </c>
      <c r="N208" s="65">
        <v>7400</v>
      </c>
      <c r="O208" s="65">
        <f t="shared" si="12"/>
        <v>0</v>
      </c>
      <c r="P208" s="66">
        <v>44735</v>
      </c>
      <c r="Q208" s="61">
        <f t="shared" si="11"/>
        <v>44735</v>
      </c>
      <c r="R208" s="59"/>
      <c r="S208" s="59"/>
      <c r="T208" s="59"/>
      <c r="U208" s="59"/>
      <c r="V208" s="59"/>
      <c r="W208" s="59"/>
      <c r="X208" s="59"/>
    </row>
    <row r="209" s="20" customFormat="1" ht="24" hidden="1" spans="1:24">
      <c r="A209" s="59">
        <v>131</v>
      </c>
      <c r="B209" s="60" t="s">
        <v>566</v>
      </c>
      <c r="C209" s="61">
        <v>44470</v>
      </c>
      <c r="D209" s="62" t="str">
        <f ca="1" t="shared" si="10"/>
        <v>一年以上</v>
      </c>
      <c r="E209" s="66">
        <v>44487</v>
      </c>
      <c r="F209" s="66" t="s">
        <v>70</v>
      </c>
      <c r="G209" s="59" t="s">
        <v>487</v>
      </c>
      <c r="H209" s="60" t="s">
        <v>517</v>
      </c>
      <c r="I209" s="63" t="s">
        <v>517</v>
      </c>
      <c r="J209" s="76">
        <v>2000</v>
      </c>
      <c r="K209" s="59"/>
      <c r="L209" s="59" t="s">
        <v>96</v>
      </c>
      <c r="M209" s="59" t="s">
        <v>65</v>
      </c>
      <c r="N209" s="65">
        <v>2000</v>
      </c>
      <c r="O209" s="65">
        <f t="shared" si="12"/>
        <v>0</v>
      </c>
      <c r="P209" s="66">
        <f>E209</f>
        <v>44487</v>
      </c>
      <c r="Q209" s="61">
        <f t="shared" si="11"/>
        <v>44487</v>
      </c>
      <c r="R209" s="66"/>
      <c r="S209" s="59" t="s">
        <v>65</v>
      </c>
      <c r="T209" s="59" t="s">
        <v>567</v>
      </c>
      <c r="U209" s="59" t="s">
        <v>506</v>
      </c>
      <c r="V209" s="59"/>
      <c r="W209" s="59"/>
      <c r="X209" s="59"/>
    </row>
    <row r="210" s="20" customFormat="1" hidden="1" spans="1:24">
      <c r="A210" s="59">
        <v>238</v>
      </c>
      <c r="B210" s="60" t="s">
        <v>568</v>
      </c>
      <c r="C210" s="61">
        <v>44470</v>
      </c>
      <c r="D210" s="62" t="str">
        <f ca="1" t="shared" si="10"/>
        <v>一年以上</v>
      </c>
      <c r="E210" s="66">
        <v>44487</v>
      </c>
      <c r="F210" s="66"/>
      <c r="G210" s="59" t="s">
        <v>569</v>
      </c>
      <c r="H210" s="60" t="s">
        <v>570</v>
      </c>
      <c r="I210" s="63" t="s">
        <v>570</v>
      </c>
      <c r="J210" s="76">
        <v>2000</v>
      </c>
      <c r="K210" s="59" t="s">
        <v>28</v>
      </c>
      <c r="L210" s="59" t="s">
        <v>466</v>
      </c>
      <c r="M210" s="59" t="s">
        <v>30</v>
      </c>
      <c r="N210" s="65">
        <v>2000</v>
      </c>
      <c r="O210" s="65">
        <f t="shared" si="12"/>
        <v>0</v>
      </c>
      <c r="P210" s="66">
        <v>44589</v>
      </c>
      <c r="Q210" s="61">
        <f t="shared" si="11"/>
        <v>44589</v>
      </c>
      <c r="R210" s="59"/>
      <c r="S210" s="59" t="s">
        <v>30</v>
      </c>
      <c r="T210" s="59"/>
      <c r="U210" s="59"/>
      <c r="V210" s="59"/>
      <c r="W210" s="59"/>
      <c r="X210" s="59"/>
    </row>
    <row r="211" s="20" customFormat="1" hidden="1" spans="1:24">
      <c r="A211" s="59">
        <v>239</v>
      </c>
      <c r="B211" s="60" t="s">
        <v>571</v>
      </c>
      <c r="C211" s="61">
        <v>44470</v>
      </c>
      <c r="D211" s="62" t="str">
        <f ca="1" t="shared" si="10"/>
        <v>一年以上</v>
      </c>
      <c r="E211" s="66">
        <v>44487</v>
      </c>
      <c r="F211" s="66"/>
      <c r="G211" s="59" t="s">
        <v>371</v>
      </c>
      <c r="H211" s="60" t="s">
        <v>483</v>
      </c>
      <c r="I211" s="63" t="s">
        <v>483</v>
      </c>
      <c r="J211" s="76">
        <v>10000</v>
      </c>
      <c r="K211" s="59" t="s">
        <v>28</v>
      </c>
      <c r="L211" s="59" t="s">
        <v>466</v>
      </c>
      <c r="M211" s="59" t="s">
        <v>30</v>
      </c>
      <c r="N211" s="65">
        <v>10000</v>
      </c>
      <c r="O211" s="65">
        <f t="shared" si="12"/>
        <v>0</v>
      </c>
      <c r="P211" s="66">
        <v>45051</v>
      </c>
      <c r="Q211" s="61">
        <f t="shared" si="11"/>
        <v>45051</v>
      </c>
      <c r="R211" s="59"/>
      <c r="S211" s="59"/>
      <c r="T211" s="59" t="s">
        <v>182</v>
      </c>
      <c r="U211" s="59"/>
      <c r="V211" s="59"/>
      <c r="W211" s="59"/>
      <c r="X211" s="59"/>
    </row>
    <row r="212" s="20" customFormat="1" ht="24" hidden="1" spans="1:24">
      <c r="A212" s="59">
        <v>240</v>
      </c>
      <c r="B212" s="60" t="s">
        <v>572</v>
      </c>
      <c r="C212" s="61">
        <v>44470</v>
      </c>
      <c r="D212" s="62" t="str">
        <f ca="1" t="shared" si="10"/>
        <v>一年以上</v>
      </c>
      <c r="E212" s="66">
        <v>44494</v>
      </c>
      <c r="F212" s="66"/>
      <c r="G212" s="59" t="s">
        <v>506</v>
      </c>
      <c r="H212" s="60" t="s">
        <v>325</v>
      </c>
      <c r="I212" s="63" t="s">
        <v>325</v>
      </c>
      <c r="J212" s="76">
        <v>1000</v>
      </c>
      <c r="K212" s="59" t="s">
        <v>356</v>
      </c>
      <c r="L212" s="59" t="s">
        <v>565</v>
      </c>
      <c r="M212" s="59" t="s">
        <v>30</v>
      </c>
      <c r="N212" s="65">
        <v>1000</v>
      </c>
      <c r="O212" s="65">
        <f t="shared" si="12"/>
        <v>0</v>
      </c>
      <c r="P212" s="66">
        <v>44550</v>
      </c>
      <c r="Q212" s="61">
        <f t="shared" si="11"/>
        <v>44550</v>
      </c>
      <c r="R212" s="59"/>
      <c r="S212" s="59" t="s">
        <v>30</v>
      </c>
      <c r="T212" s="59"/>
      <c r="U212" s="59"/>
      <c r="V212" s="59"/>
      <c r="W212" s="59"/>
      <c r="X212" s="59"/>
    </row>
    <row r="213" s="20" customFormat="1" ht="24" hidden="1" spans="1:24">
      <c r="A213" s="59">
        <v>341</v>
      </c>
      <c r="B213" s="60" t="s">
        <v>573</v>
      </c>
      <c r="C213" s="61">
        <v>44470</v>
      </c>
      <c r="D213" s="62" t="str">
        <f ca="1" t="shared" si="10"/>
        <v>一年以上</v>
      </c>
      <c r="E213" s="66">
        <v>44495</v>
      </c>
      <c r="F213" s="66" t="s">
        <v>130</v>
      </c>
      <c r="G213" s="59" t="s">
        <v>456</v>
      </c>
      <c r="H213" s="60" t="s">
        <v>574</v>
      </c>
      <c r="I213" s="63" t="s">
        <v>574</v>
      </c>
      <c r="J213" s="76">
        <v>5000</v>
      </c>
      <c r="K213" s="59" t="s">
        <v>28</v>
      </c>
      <c r="L213" s="59" t="s">
        <v>575</v>
      </c>
      <c r="M213" s="59" t="s">
        <v>133</v>
      </c>
      <c r="N213" s="65">
        <v>5000</v>
      </c>
      <c r="O213" s="65">
        <f t="shared" si="12"/>
        <v>0</v>
      </c>
      <c r="P213" s="66">
        <v>44650</v>
      </c>
      <c r="Q213" s="61">
        <f t="shared" si="11"/>
        <v>44650</v>
      </c>
      <c r="R213" s="59"/>
      <c r="S213" s="59"/>
      <c r="T213" s="59"/>
      <c r="U213" s="59"/>
      <c r="V213" s="59"/>
      <c r="W213" s="59"/>
      <c r="X213" s="59"/>
    </row>
    <row r="214" s="20" customFormat="1" hidden="1" spans="1:24">
      <c r="A214" s="59">
        <v>241</v>
      </c>
      <c r="B214" s="60" t="s">
        <v>576</v>
      </c>
      <c r="C214" s="61">
        <v>44470</v>
      </c>
      <c r="D214" s="62" t="str">
        <f ca="1" t="shared" si="10"/>
        <v>一年以上</v>
      </c>
      <c r="E214" s="66">
        <v>44498</v>
      </c>
      <c r="F214" s="66"/>
      <c r="G214" s="59" t="s">
        <v>239</v>
      </c>
      <c r="H214" s="60" t="s">
        <v>577</v>
      </c>
      <c r="I214" s="63" t="s">
        <v>578</v>
      </c>
      <c r="J214" s="76">
        <v>10000</v>
      </c>
      <c r="K214" s="59" t="s">
        <v>28</v>
      </c>
      <c r="L214" s="59" t="s">
        <v>466</v>
      </c>
      <c r="M214" s="59" t="s">
        <v>30</v>
      </c>
      <c r="N214" s="65">
        <v>10000</v>
      </c>
      <c r="O214" s="65">
        <f t="shared" si="12"/>
        <v>0</v>
      </c>
      <c r="P214" s="66">
        <v>44501</v>
      </c>
      <c r="Q214" s="61">
        <f t="shared" si="11"/>
        <v>44501</v>
      </c>
      <c r="R214" s="59"/>
      <c r="S214" s="59" t="s">
        <v>30</v>
      </c>
      <c r="T214" s="59"/>
      <c r="U214" s="59"/>
      <c r="V214" s="59"/>
      <c r="W214" s="59"/>
      <c r="X214" s="59"/>
    </row>
    <row r="215" s="20" customFormat="1" ht="24" spans="1:24">
      <c r="A215" s="59">
        <v>242</v>
      </c>
      <c r="B215" s="60" t="s">
        <v>579</v>
      </c>
      <c r="C215" s="61">
        <v>44470</v>
      </c>
      <c r="D215" s="62" t="str">
        <f ca="1" t="shared" si="10"/>
        <v>一年以上</v>
      </c>
      <c r="E215" s="66">
        <v>44498</v>
      </c>
      <c r="F215" s="66" t="s">
        <v>130</v>
      </c>
      <c r="G215" s="59" t="s">
        <v>301</v>
      </c>
      <c r="H215" s="60" t="s">
        <v>577</v>
      </c>
      <c r="I215" s="63" t="s">
        <v>578</v>
      </c>
      <c r="J215" s="76">
        <v>10000</v>
      </c>
      <c r="K215" s="59" t="s">
        <v>338</v>
      </c>
      <c r="L215" s="59" t="s">
        <v>538</v>
      </c>
      <c r="M215" s="59" t="s">
        <v>30</v>
      </c>
      <c r="N215" s="65"/>
      <c r="O215" s="65">
        <f t="shared" si="12"/>
        <v>10000</v>
      </c>
      <c r="P215" s="66"/>
      <c r="Q215" s="61">
        <f t="shared" si="11"/>
        <v>0</v>
      </c>
      <c r="R215" s="59" t="s">
        <v>718</v>
      </c>
      <c r="S215" s="59" t="s">
        <v>580</v>
      </c>
      <c r="T215" s="101" t="s">
        <v>581</v>
      </c>
      <c r="U215" s="59" t="str">
        <f>VLOOKUP(T215,[1]区域划分!$A$1:$C$39,3,0)</f>
        <v>新疆</v>
      </c>
      <c r="V215" s="59"/>
      <c r="W215" s="59"/>
      <c r="X215" s="59"/>
    </row>
    <row r="216" s="20" customFormat="1" hidden="1" spans="1:24">
      <c r="A216" s="59">
        <v>372</v>
      </c>
      <c r="B216" s="60" t="s">
        <v>582</v>
      </c>
      <c r="C216" s="61">
        <v>44470</v>
      </c>
      <c r="D216" s="62" t="str">
        <f ca="1" t="shared" si="10"/>
        <v>一年以上</v>
      </c>
      <c r="E216" s="66">
        <v>44498</v>
      </c>
      <c r="F216" s="66"/>
      <c r="G216" s="59" t="s">
        <v>208</v>
      </c>
      <c r="H216" s="60" t="s">
        <v>583</v>
      </c>
      <c r="I216" s="63" t="s">
        <v>583</v>
      </c>
      <c r="J216" s="76">
        <v>500</v>
      </c>
      <c r="K216" s="59" t="s">
        <v>28</v>
      </c>
      <c r="L216" s="59" t="s">
        <v>466</v>
      </c>
      <c r="M216" s="59" t="s">
        <v>515</v>
      </c>
      <c r="N216" s="65">
        <v>500</v>
      </c>
      <c r="O216" s="65">
        <f t="shared" si="12"/>
        <v>0</v>
      </c>
      <c r="P216" s="66">
        <v>44573</v>
      </c>
      <c r="Q216" s="61">
        <f t="shared" si="11"/>
        <v>44573</v>
      </c>
      <c r="R216" s="59"/>
      <c r="S216" s="59" t="s">
        <v>584</v>
      </c>
      <c r="T216" s="59"/>
      <c r="U216" s="59"/>
      <c r="V216" s="59"/>
      <c r="W216" s="59"/>
      <c r="X216" s="59"/>
    </row>
    <row r="217" s="20" customFormat="1" hidden="1" spans="1:24">
      <c r="A217" s="59">
        <v>373</v>
      </c>
      <c r="B217" s="60" t="s">
        <v>585</v>
      </c>
      <c r="C217" s="61">
        <v>44470</v>
      </c>
      <c r="D217" s="62" t="str">
        <f ca="1" t="shared" si="10"/>
        <v>一年以上</v>
      </c>
      <c r="E217" s="66">
        <v>44498</v>
      </c>
      <c r="F217" s="66"/>
      <c r="G217" s="59" t="s">
        <v>537</v>
      </c>
      <c r="H217" s="60" t="s">
        <v>583</v>
      </c>
      <c r="I217" s="63" t="s">
        <v>583</v>
      </c>
      <c r="J217" s="76">
        <v>500</v>
      </c>
      <c r="K217" s="59" t="s">
        <v>338</v>
      </c>
      <c r="L217" s="59" t="s">
        <v>538</v>
      </c>
      <c r="M217" s="59" t="s">
        <v>515</v>
      </c>
      <c r="N217" s="65">
        <v>500</v>
      </c>
      <c r="O217" s="65">
        <f t="shared" si="12"/>
        <v>0</v>
      </c>
      <c r="P217" s="66">
        <v>44573</v>
      </c>
      <c r="Q217" s="61">
        <f t="shared" si="11"/>
        <v>44573</v>
      </c>
      <c r="R217" s="59"/>
      <c r="S217" s="59" t="s">
        <v>584</v>
      </c>
      <c r="T217" s="59"/>
      <c r="U217" s="59"/>
      <c r="V217" s="59"/>
      <c r="W217" s="59"/>
      <c r="X217" s="59"/>
    </row>
    <row r="218" s="20" customFormat="1" hidden="1" spans="1:24">
      <c r="A218" s="59">
        <v>243</v>
      </c>
      <c r="B218" s="60" t="s">
        <v>586</v>
      </c>
      <c r="C218" s="61">
        <v>44501</v>
      </c>
      <c r="D218" s="62" t="str">
        <f ca="1" t="shared" si="10"/>
        <v>一年以上</v>
      </c>
      <c r="E218" s="66">
        <v>44501</v>
      </c>
      <c r="F218" s="66"/>
      <c r="G218" s="59" t="s">
        <v>239</v>
      </c>
      <c r="H218" s="60" t="s">
        <v>577</v>
      </c>
      <c r="I218" s="63" t="s">
        <v>578</v>
      </c>
      <c r="J218" s="76">
        <v>10000</v>
      </c>
      <c r="K218" s="59" t="s">
        <v>28</v>
      </c>
      <c r="L218" s="59" t="s">
        <v>466</v>
      </c>
      <c r="M218" s="59" t="s">
        <v>30</v>
      </c>
      <c r="N218" s="65">
        <v>10000</v>
      </c>
      <c r="O218" s="65">
        <f t="shared" si="12"/>
        <v>0</v>
      </c>
      <c r="P218" s="66">
        <v>44645</v>
      </c>
      <c r="Q218" s="61">
        <f t="shared" si="11"/>
        <v>44645</v>
      </c>
      <c r="R218" s="59"/>
      <c r="S218" s="59"/>
      <c r="T218" s="59"/>
      <c r="U218" s="59"/>
      <c r="V218" s="59"/>
      <c r="W218" s="59"/>
      <c r="X218" s="59"/>
    </row>
    <row r="219" s="20" customFormat="1" ht="24" hidden="1" spans="1:24">
      <c r="A219" s="59">
        <v>351</v>
      </c>
      <c r="B219" s="60" t="s">
        <v>587</v>
      </c>
      <c r="C219" s="61">
        <v>44501</v>
      </c>
      <c r="D219" s="62" t="str">
        <f ca="1" t="shared" si="10"/>
        <v>一年以上</v>
      </c>
      <c r="E219" s="66">
        <v>44503</v>
      </c>
      <c r="F219" s="66" t="s">
        <v>130</v>
      </c>
      <c r="G219" s="59" t="s">
        <v>87</v>
      </c>
      <c r="H219" s="60" t="s">
        <v>555</v>
      </c>
      <c r="I219" s="63" t="s">
        <v>555</v>
      </c>
      <c r="J219" s="76">
        <v>6000</v>
      </c>
      <c r="K219" s="59" t="s">
        <v>28</v>
      </c>
      <c r="L219" s="59" t="s">
        <v>588</v>
      </c>
      <c r="M219" s="59" t="s">
        <v>133</v>
      </c>
      <c r="N219" s="65">
        <v>6000</v>
      </c>
      <c r="O219" s="65">
        <f t="shared" si="12"/>
        <v>0</v>
      </c>
      <c r="P219" s="66">
        <v>44791</v>
      </c>
      <c r="Q219" s="61">
        <f t="shared" si="11"/>
        <v>44791</v>
      </c>
      <c r="R219" s="59"/>
      <c r="S219" s="59" t="s">
        <v>589</v>
      </c>
      <c r="T219" s="59"/>
      <c r="U219" s="59"/>
      <c r="V219" s="59"/>
      <c r="W219" s="59"/>
      <c r="X219" s="59"/>
    </row>
    <row r="220" s="20" customFormat="1" ht="24" hidden="1" spans="1:24">
      <c r="A220" s="59">
        <v>374</v>
      </c>
      <c r="B220" s="60" t="s">
        <v>590</v>
      </c>
      <c r="C220" s="61">
        <v>44501</v>
      </c>
      <c r="D220" s="62" t="str">
        <f ca="1" t="shared" si="10"/>
        <v>一年以上</v>
      </c>
      <c r="E220" s="66">
        <v>44503</v>
      </c>
      <c r="F220" s="66"/>
      <c r="G220" s="59" t="s">
        <v>591</v>
      </c>
      <c r="H220" s="60" t="s">
        <v>592</v>
      </c>
      <c r="I220" s="63" t="s">
        <v>592</v>
      </c>
      <c r="J220" s="76">
        <v>200</v>
      </c>
      <c r="K220" s="59" t="s">
        <v>28</v>
      </c>
      <c r="L220" s="59" t="s">
        <v>588</v>
      </c>
      <c r="M220" s="59" t="s">
        <v>515</v>
      </c>
      <c r="N220" s="65">
        <v>200</v>
      </c>
      <c r="O220" s="65">
        <f t="shared" si="12"/>
        <v>0</v>
      </c>
      <c r="P220" s="66">
        <f>E220</f>
        <v>44503</v>
      </c>
      <c r="Q220" s="61">
        <f t="shared" si="11"/>
        <v>44503</v>
      </c>
      <c r="R220" s="59"/>
      <c r="S220" s="59" t="s">
        <v>515</v>
      </c>
      <c r="T220" s="59"/>
      <c r="U220" s="59"/>
      <c r="V220" s="59"/>
      <c r="W220" s="59"/>
      <c r="X220" s="59"/>
    </row>
    <row r="221" s="20" customFormat="1" hidden="1" spans="1:24">
      <c r="A221" s="59">
        <v>132</v>
      </c>
      <c r="B221" s="60" t="s">
        <v>593</v>
      </c>
      <c r="C221" s="61">
        <v>44501</v>
      </c>
      <c r="D221" s="62" t="str">
        <f ca="1" t="shared" si="10"/>
        <v>一年以上</v>
      </c>
      <c r="E221" s="66">
        <v>44508</v>
      </c>
      <c r="F221" s="66" t="s">
        <v>282</v>
      </c>
      <c r="G221" s="59" t="s">
        <v>233</v>
      </c>
      <c r="H221" s="91" t="s">
        <v>594</v>
      </c>
      <c r="I221" s="63" t="s">
        <v>594</v>
      </c>
      <c r="J221" s="76">
        <v>9500</v>
      </c>
      <c r="K221" s="59" t="s">
        <v>28</v>
      </c>
      <c r="L221" s="59" t="s">
        <v>461</v>
      </c>
      <c r="M221" s="59" t="s">
        <v>65</v>
      </c>
      <c r="N221" s="65">
        <v>9500</v>
      </c>
      <c r="O221" s="65">
        <f t="shared" si="12"/>
        <v>0</v>
      </c>
      <c r="P221" s="66">
        <v>44760</v>
      </c>
      <c r="Q221" s="61">
        <f t="shared" si="11"/>
        <v>44760</v>
      </c>
      <c r="R221" s="66"/>
      <c r="S221" s="59" t="s">
        <v>65</v>
      </c>
      <c r="T221" s="59"/>
      <c r="U221" s="59"/>
      <c r="V221" s="59"/>
      <c r="W221" s="59"/>
      <c r="X221" s="59"/>
    </row>
    <row r="222" s="20" customFormat="1" ht="36" hidden="1" spans="1:24">
      <c r="A222" s="59">
        <v>244</v>
      </c>
      <c r="B222" s="60" t="s">
        <v>595</v>
      </c>
      <c r="C222" s="61">
        <v>44501</v>
      </c>
      <c r="D222" s="62" t="str">
        <f ca="1" t="shared" si="10"/>
        <v>一年以上</v>
      </c>
      <c r="E222" s="66">
        <v>44508</v>
      </c>
      <c r="F222" s="66" t="s">
        <v>130</v>
      </c>
      <c r="G222" s="59" t="s">
        <v>591</v>
      </c>
      <c r="H222" s="91" t="s">
        <v>596</v>
      </c>
      <c r="I222" s="63" t="s">
        <v>596</v>
      </c>
      <c r="J222" s="76">
        <v>10000</v>
      </c>
      <c r="K222" s="59" t="s">
        <v>28</v>
      </c>
      <c r="L222" s="59" t="s">
        <v>57</v>
      </c>
      <c r="M222" s="59" t="s">
        <v>30</v>
      </c>
      <c r="N222" s="65">
        <v>10000</v>
      </c>
      <c r="O222" s="65">
        <f t="shared" si="12"/>
        <v>0</v>
      </c>
      <c r="P222" s="66">
        <v>44756</v>
      </c>
      <c r="Q222" s="61">
        <f t="shared" si="11"/>
        <v>44756</v>
      </c>
      <c r="R222" s="59" t="s">
        <v>481</v>
      </c>
      <c r="S222" s="59" t="s">
        <v>597</v>
      </c>
      <c r="T222" s="59"/>
      <c r="U222" s="59"/>
      <c r="V222" s="59"/>
      <c r="W222" s="59"/>
      <c r="X222" s="59"/>
    </row>
    <row r="223" s="20" customFormat="1" hidden="1" spans="1:24">
      <c r="A223" s="59">
        <v>133</v>
      </c>
      <c r="B223" s="60" t="s">
        <v>598</v>
      </c>
      <c r="C223" s="61">
        <v>44501</v>
      </c>
      <c r="D223" s="62" t="str">
        <f ca="1" t="shared" si="10"/>
        <v>一年以上</v>
      </c>
      <c r="E223" s="66">
        <v>44510</v>
      </c>
      <c r="F223" s="66" t="s">
        <v>282</v>
      </c>
      <c r="G223" s="59" t="s">
        <v>340</v>
      </c>
      <c r="H223" s="60" t="s">
        <v>577</v>
      </c>
      <c r="I223" s="63" t="s">
        <v>578</v>
      </c>
      <c r="J223" s="76">
        <v>2000</v>
      </c>
      <c r="K223" s="59" t="s">
        <v>28</v>
      </c>
      <c r="L223" s="59" t="s">
        <v>461</v>
      </c>
      <c r="M223" s="59" t="s">
        <v>65</v>
      </c>
      <c r="N223" s="65">
        <v>2000</v>
      </c>
      <c r="O223" s="65">
        <f t="shared" si="12"/>
        <v>0</v>
      </c>
      <c r="P223" s="66">
        <v>44756</v>
      </c>
      <c r="Q223" s="61">
        <f t="shared" si="11"/>
        <v>44756</v>
      </c>
      <c r="R223" s="66"/>
      <c r="S223" s="59" t="s">
        <v>65</v>
      </c>
      <c r="T223" s="59" t="s">
        <v>581</v>
      </c>
      <c r="U223" s="59" t="s">
        <v>239</v>
      </c>
      <c r="V223" s="59"/>
      <c r="W223" s="59"/>
      <c r="X223" s="59"/>
    </row>
    <row r="224" s="20" customFormat="1" ht="24" hidden="1" spans="1:24">
      <c r="A224" s="59">
        <v>134</v>
      </c>
      <c r="B224" s="60" t="s">
        <v>599</v>
      </c>
      <c r="C224" s="61">
        <v>44501</v>
      </c>
      <c r="D224" s="62" t="str">
        <f ca="1" t="shared" si="10"/>
        <v>一年以上</v>
      </c>
      <c r="E224" s="66">
        <v>44512</v>
      </c>
      <c r="F224" s="66" t="s">
        <v>130</v>
      </c>
      <c r="G224" s="59" t="s">
        <v>537</v>
      </c>
      <c r="H224" s="60" t="s">
        <v>600</v>
      </c>
      <c r="I224" s="63" t="s">
        <v>600</v>
      </c>
      <c r="J224" s="76">
        <v>2500</v>
      </c>
      <c r="K224" s="59" t="s">
        <v>28</v>
      </c>
      <c r="L224" s="59" t="s">
        <v>57</v>
      </c>
      <c r="M224" s="59" t="s">
        <v>65</v>
      </c>
      <c r="N224" s="65">
        <v>2500</v>
      </c>
      <c r="O224" s="65">
        <f t="shared" si="12"/>
        <v>0</v>
      </c>
      <c r="P224" s="66">
        <v>44645</v>
      </c>
      <c r="Q224" s="61">
        <f t="shared" si="11"/>
        <v>44645</v>
      </c>
      <c r="R224" s="66"/>
      <c r="S224" s="59" t="s">
        <v>65</v>
      </c>
      <c r="T224" s="59" t="s">
        <v>293</v>
      </c>
      <c r="U224" s="59" t="s">
        <v>294</v>
      </c>
      <c r="V224" s="59" t="s">
        <v>601</v>
      </c>
      <c r="W224" s="59"/>
      <c r="X224" s="59"/>
    </row>
    <row r="225" s="20" customFormat="1" hidden="1" spans="1:24">
      <c r="A225" s="59">
        <v>245</v>
      </c>
      <c r="B225" s="60" t="s">
        <v>602</v>
      </c>
      <c r="C225" s="61">
        <v>44501</v>
      </c>
      <c r="D225" s="62" t="str">
        <f ca="1" t="shared" si="10"/>
        <v>一年以上</v>
      </c>
      <c r="E225" s="66">
        <v>44512</v>
      </c>
      <c r="F225" s="66"/>
      <c r="G225" s="59" t="s">
        <v>450</v>
      </c>
      <c r="H225" s="60" t="s">
        <v>603</v>
      </c>
      <c r="I225" s="63" t="s">
        <v>603</v>
      </c>
      <c r="J225" s="76">
        <v>5000</v>
      </c>
      <c r="K225" s="59" t="s">
        <v>28</v>
      </c>
      <c r="L225" s="59" t="s">
        <v>57</v>
      </c>
      <c r="M225" s="59" t="s">
        <v>30</v>
      </c>
      <c r="N225" s="65">
        <v>5000</v>
      </c>
      <c r="O225" s="65">
        <f t="shared" si="12"/>
        <v>0</v>
      </c>
      <c r="P225" s="66">
        <v>45217</v>
      </c>
      <c r="Q225" s="61">
        <f t="shared" si="11"/>
        <v>45217</v>
      </c>
      <c r="R225" s="59" t="s">
        <v>481</v>
      </c>
      <c r="S225" s="60" t="s">
        <v>597</v>
      </c>
      <c r="T225" s="59" t="s">
        <v>38</v>
      </c>
      <c r="U225" s="59"/>
      <c r="V225" s="59"/>
      <c r="W225" s="59"/>
      <c r="X225" s="59"/>
    </row>
    <row r="226" s="20" customFormat="1" ht="24" hidden="1" spans="1:24">
      <c r="A226" s="59">
        <v>135</v>
      </c>
      <c r="B226" s="60" t="s">
        <v>604</v>
      </c>
      <c r="C226" s="61">
        <v>44501</v>
      </c>
      <c r="D226" s="62" t="str">
        <f ca="1" t="shared" si="10"/>
        <v>一年以上</v>
      </c>
      <c r="E226" s="66">
        <v>44514</v>
      </c>
      <c r="F226" s="66" t="s">
        <v>282</v>
      </c>
      <c r="G226" s="59" t="s">
        <v>487</v>
      </c>
      <c r="H226" s="60" t="s">
        <v>605</v>
      </c>
      <c r="I226" s="63" t="s">
        <v>605</v>
      </c>
      <c r="J226" s="76">
        <v>9750</v>
      </c>
      <c r="K226" s="59" t="s">
        <v>28</v>
      </c>
      <c r="L226" s="59" t="s">
        <v>57</v>
      </c>
      <c r="M226" s="59" t="s">
        <v>65</v>
      </c>
      <c r="N226" s="65">
        <v>9750</v>
      </c>
      <c r="O226" s="65">
        <f t="shared" si="12"/>
        <v>0</v>
      </c>
      <c r="P226" s="66">
        <v>44652</v>
      </c>
      <c r="Q226" s="61">
        <f t="shared" si="11"/>
        <v>44652</v>
      </c>
      <c r="R226" s="66"/>
      <c r="S226" s="59" t="s">
        <v>65</v>
      </c>
      <c r="T226" s="59" t="s">
        <v>86</v>
      </c>
      <c r="U226" s="59" t="s">
        <v>87</v>
      </c>
      <c r="V226" s="89" t="s">
        <v>606</v>
      </c>
      <c r="W226" s="59"/>
      <c r="X226" s="59"/>
    </row>
    <row r="227" s="20" customFormat="1" ht="24" hidden="1" spans="1:24">
      <c r="A227" s="59">
        <v>136</v>
      </c>
      <c r="B227" s="60" t="s">
        <v>607</v>
      </c>
      <c r="C227" s="61">
        <v>44501</v>
      </c>
      <c r="D227" s="62" t="str">
        <f ca="1" t="shared" si="10"/>
        <v>一年以上</v>
      </c>
      <c r="E227" s="66">
        <v>44514</v>
      </c>
      <c r="F227" s="66" t="s">
        <v>82</v>
      </c>
      <c r="G227" s="59" t="s">
        <v>608</v>
      </c>
      <c r="H227" s="60" t="s">
        <v>605</v>
      </c>
      <c r="I227" s="63" t="s">
        <v>605</v>
      </c>
      <c r="J227" s="76">
        <v>12500</v>
      </c>
      <c r="K227" s="59" t="s">
        <v>28</v>
      </c>
      <c r="L227" s="59" t="s">
        <v>57</v>
      </c>
      <c r="M227" s="59" t="s">
        <v>65</v>
      </c>
      <c r="N227" s="65">
        <v>12500</v>
      </c>
      <c r="O227" s="65">
        <f t="shared" si="12"/>
        <v>0</v>
      </c>
      <c r="P227" s="66">
        <v>44652</v>
      </c>
      <c r="Q227" s="61">
        <f t="shared" si="11"/>
        <v>44652</v>
      </c>
      <c r="R227" s="66"/>
      <c r="S227" s="59" t="s">
        <v>65</v>
      </c>
      <c r="T227" s="59" t="s">
        <v>86</v>
      </c>
      <c r="U227" s="59" t="s">
        <v>87</v>
      </c>
      <c r="V227" s="89" t="s">
        <v>609</v>
      </c>
      <c r="W227" s="59"/>
      <c r="X227" s="59"/>
    </row>
    <row r="228" s="20" customFormat="1" ht="24" hidden="1" spans="1:24">
      <c r="A228" s="59">
        <v>137</v>
      </c>
      <c r="B228" s="60" t="s">
        <v>610</v>
      </c>
      <c r="C228" s="61">
        <v>44501</v>
      </c>
      <c r="D228" s="62" t="str">
        <f ca="1" t="shared" si="10"/>
        <v>一年以上</v>
      </c>
      <c r="E228" s="66">
        <v>44515</v>
      </c>
      <c r="F228" s="66" t="s">
        <v>70</v>
      </c>
      <c r="G228" s="59" t="s">
        <v>611</v>
      </c>
      <c r="H228" s="60" t="s">
        <v>612</v>
      </c>
      <c r="I228" s="63" t="s">
        <v>612</v>
      </c>
      <c r="J228" s="76">
        <v>2000</v>
      </c>
      <c r="K228" s="59" t="s">
        <v>28</v>
      </c>
      <c r="L228" s="59" t="s">
        <v>57</v>
      </c>
      <c r="M228" s="59" t="s">
        <v>65</v>
      </c>
      <c r="N228" s="65">
        <v>2000</v>
      </c>
      <c r="O228" s="65">
        <f t="shared" si="12"/>
        <v>0</v>
      </c>
      <c r="P228" s="66">
        <v>44539</v>
      </c>
      <c r="Q228" s="61">
        <f t="shared" si="11"/>
        <v>44539</v>
      </c>
      <c r="R228" s="66"/>
      <c r="S228" s="59" t="s">
        <v>65</v>
      </c>
      <c r="T228" s="59"/>
      <c r="U228" s="59"/>
      <c r="V228" s="59"/>
      <c r="W228" s="59"/>
      <c r="X228" s="59"/>
    </row>
    <row r="229" s="20" customFormat="1" ht="24" hidden="1" spans="1:24">
      <c r="A229" s="59">
        <v>246</v>
      </c>
      <c r="B229" s="60" t="s">
        <v>613</v>
      </c>
      <c r="C229" s="61">
        <v>44501</v>
      </c>
      <c r="D229" s="62" t="str">
        <f ca="1" t="shared" si="10"/>
        <v>一年以上</v>
      </c>
      <c r="E229" s="66">
        <v>44515</v>
      </c>
      <c r="F229" s="66"/>
      <c r="G229" s="59" t="s">
        <v>614</v>
      </c>
      <c r="H229" s="60" t="s">
        <v>615</v>
      </c>
      <c r="I229" s="63" t="s">
        <v>615</v>
      </c>
      <c r="J229" s="76">
        <v>5000</v>
      </c>
      <c r="K229" s="59" t="s">
        <v>356</v>
      </c>
      <c r="L229" s="59" t="s">
        <v>458</v>
      </c>
      <c r="M229" s="59" t="s">
        <v>30</v>
      </c>
      <c r="N229" s="65">
        <v>5000</v>
      </c>
      <c r="O229" s="65">
        <f t="shared" si="12"/>
        <v>0</v>
      </c>
      <c r="P229" s="66">
        <v>44525</v>
      </c>
      <c r="Q229" s="61">
        <f t="shared" si="11"/>
        <v>44525</v>
      </c>
      <c r="R229" s="59"/>
      <c r="S229" s="59" t="s">
        <v>30</v>
      </c>
      <c r="T229" s="59"/>
      <c r="U229" s="59"/>
      <c r="V229" s="59"/>
      <c r="W229" s="59"/>
      <c r="X229" s="59"/>
    </row>
    <row r="230" s="20" customFormat="1" hidden="1" spans="1:24">
      <c r="A230" s="59">
        <v>247</v>
      </c>
      <c r="B230" s="60" t="s">
        <v>616</v>
      </c>
      <c r="C230" s="61">
        <v>44501</v>
      </c>
      <c r="D230" s="62" t="str">
        <f ca="1" t="shared" si="10"/>
        <v>一年以上</v>
      </c>
      <c r="E230" s="66">
        <v>44515</v>
      </c>
      <c r="F230" s="66"/>
      <c r="G230" s="59" t="s">
        <v>450</v>
      </c>
      <c r="H230" s="60" t="s">
        <v>34</v>
      </c>
      <c r="I230" s="63" t="s">
        <v>34</v>
      </c>
      <c r="J230" s="76">
        <v>50000</v>
      </c>
      <c r="K230" s="59" t="s">
        <v>28</v>
      </c>
      <c r="L230" s="59" t="s">
        <v>57</v>
      </c>
      <c r="M230" s="59" t="s">
        <v>30</v>
      </c>
      <c r="N230" s="65">
        <v>50000</v>
      </c>
      <c r="O230" s="65">
        <f t="shared" si="12"/>
        <v>0</v>
      </c>
      <c r="P230" s="66">
        <v>44560</v>
      </c>
      <c r="Q230" s="61">
        <f t="shared" si="11"/>
        <v>44560</v>
      </c>
      <c r="R230" s="59"/>
      <c r="S230" s="59"/>
      <c r="T230" s="59"/>
      <c r="U230" s="59"/>
      <c r="V230" s="59"/>
      <c r="W230" s="59"/>
      <c r="X230" s="59"/>
    </row>
    <row r="231" s="20" customFormat="1" hidden="1" spans="1:24">
      <c r="A231" s="59">
        <v>248</v>
      </c>
      <c r="B231" s="60" t="s">
        <v>617</v>
      </c>
      <c r="C231" s="61">
        <v>44501</v>
      </c>
      <c r="D231" s="62" t="str">
        <f ca="1" t="shared" si="10"/>
        <v>一年以上</v>
      </c>
      <c r="E231" s="66">
        <v>44515</v>
      </c>
      <c r="F231" s="66"/>
      <c r="G231" s="59" t="s">
        <v>450</v>
      </c>
      <c r="H231" s="60" t="s">
        <v>34</v>
      </c>
      <c r="I231" s="63" t="s">
        <v>34</v>
      </c>
      <c r="J231" s="76">
        <v>50000</v>
      </c>
      <c r="K231" s="59" t="s">
        <v>28</v>
      </c>
      <c r="L231" s="59" t="s">
        <v>57</v>
      </c>
      <c r="M231" s="59" t="s">
        <v>30</v>
      </c>
      <c r="N231" s="65">
        <v>50000</v>
      </c>
      <c r="O231" s="65">
        <f t="shared" si="12"/>
        <v>0</v>
      </c>
      <c r="P231" s="66">
        <v>44560</v>
      </c>
      <c r="Q231" s="61">
        <f t="shared" si="11"/>
        <v>44560</v>
      </c>
      <c r="R231" s="59"/>
      <c r="S231" s="59" t="s">
        <v>30</v>
      </c>
      <c r="T231" s="59"/>
      <c r="U231" s="59"/>
      <c r="V231" s="59"/>
      <c r="W231" s="59"/>
      <c r="X231" s="59"/>
    </row>
    <row r="232" s="20" customFormat="1" hidden="1" spans="1:24">
      <c r="A232" s="59">
        <v>375</v>
      </c>
      <c r="B232" s="60" t="s">
        <v>618</v>
      </c>
      <c r="C232" s="61">
        <v>44501</v>
      </c>
      <c r="D232" s="62" t="str">
        <f ca="1" t="shared" si="10"/>
        <v>一年以上</v>
      </c>
      <c r="E232" s="66">
        <v>44515</v>
      </c>
      <c r="F232" s="66"/>
      <c r="G232" s="59" t="s">
        <v>450</v>
      </c>
      <c r="H232" s="60" t="s">
        <v>34</v>
      </c>
      <c r="I232" s="63" t="s">
        <v>34</v>
      </c>
      <c r="J232" s="76">
        <v>1000</v>
      </c>
      <c r="K232" s="59" t="s">
        <v>28</v>
      </c>
      <c r="L232" s="59" t="s">
        <v>57</v>
      </c>
      <c r="M232" s="59" t="s">
        <v>515</v>
      </c>
      <c r="N232" s="65">
        <v>1000</v>
      </c>
      <c r="O232" s="65">
        <f t="shared" si="12"/>
        <v>0</v>
      </c>
      <c r="P232" s="66">
        <f>E232</f>
        <v>44515</v>
      </c>
      <c r="Q232" s="61">
        <f t="shared" si="11"/>
        <v>44515</v>
      </c>
      <c r="R232" s="59"/>
      <c r="S232" s="59" t="s">
        <v>515</v>
      </c>
      <c r="T232" s="59"/>
      <c r="U232" s="59"/>
      <c r="V232" s="59"/>
      <c r="W232" s="59"/>
      <c r="X232" s="59"/>
    </row>
    <row r="233" s="20" customFormat="1" hidden="1" spans="1:24">
      <c r="A233" s="59">
        <v>376</v>
      </c>
      <c r="B233" s="60" t="s">
        <v>619</v>
      </c>
      <c r="C233" s="61">
        <v>44501</v>
      </c>
      <c r="D233" s="62" t="str">
        <f ca="1" t="shared" si="10"/>
        <v>一年以上</v>
      </c>
      <c r="E233" s="66">
        <v>44515</v>
      </c>
      <c r="F233" s="66"/>
      <c r="G233" s="59" t="s">
        <v>450</v>
      </c>
      <c r="H233" s="60" t="s">
        <v>34</v>
      </c>
      <c r="I233" s="63" t="s">
        <v>34</v>
      </c>
      <c r="J233" s="76">
        <v>1000</v>
      </c>
      <c r="K233" s="59" t="s">
        <v>28</v>
      </c>
      <c r="L233" s="59" t="s">
        <v>57</v>
      </c>
      <c r="M233" s="59" t="s">
        <v>515</v>
      </c>
      <c r="N233" s="65">
        <v>1000</v>
      </c>
      <c r="O233" s="65">
        <f t="shared" si="12"/>
        <v>0</v>
      </c>
      <c r="P233" s="66">
        <f>E233</f>
        <v>44515</v>
      </c>
      <c r="Q233" s="61">
        <f t="shared" si="11"/>
        <v>44515</v>
      </c>
      <c r="R233" s="59"/>
      <c r="S233" s="59" t="s">
        <v>515</v>
      </c>
      <c r="T233" s="59"/>
      <c r="U233" s="59"/>
      <c r="V233" s="59"/>
      <c r="W233" s="59"/>
      <c r="X233" s="59"/>
    </row>
    <row r="234" s="20" customFormat="1" ht="36" hidden="1" spans="1:24">
      <c r="A234" s="59">
        <v>138</v>
      </c>
      <c r="B234" s="60" t="s">
        <v>620</v>
      </c>
      <c r="C234" s="61">
        <v>44501</v>
      </c>
      <c r="D234" s="62" t="str">
        <f ca="1" t="shared" si="10"/>
        <v>一年以上</v>
      </c>
      <c r="E234" s="66">
        <v>44517</v>
      </c>
      <c r="F234" s="66" t="s">
        <v>70</v>
      </c>
      <c r="G234" s="59" t="s">
        <v>621</v>
      </c>
      <c r="H234" s="60" t="s">
        <v>366</v>
      </c>
      <c r="I234" s="63" t="s">
        <v>366</v>
      </c>
      <c r="J234" s="96">
        <v>10000</v>
      </c>
      <c r="K234" s="59" t="s">
        <v>356</v>
      </c>
      <c r="L234" s="59" t="s">
        <v>458</v>
      </c>
      <c r="M234" s="59" t="s">
        <v>65</v>
      </c>
      <c r="N234" s="65">
        <f>9600+400</f>
        <v>10000</v>
      </c>
      <c r="O234" s="65">
        <f t="shared" si="12"/>
        <v>0</v>
      </c>
      <c r="P234" s="66">
        <v>45069</v>
      </c>
      <c r="Q234" s="61">
        <f t="shared" si="11"/>
        <v>45069</v>
      </c>
      <c r="R234" s="66" t="s">
        <v>622</v>
      </c>
      <c r="S234" s="59" t="s">
        <v>623</v>
      </c>
      <c r="T234" s="59" t="s">
        <v>182</v>
      </c>
      <c r="U234" s="59" t="s">
        <v>125</v>
      </c>
      <c r="V234" s="59"/>
      <c r="W234" s="59"/>
      <c r="X234" s="59"/>
    </row>
    <row r="235" s="20" customFormat="1" ht="36" hidden="1" spans="1:24">
      <c r="A235" s="59">
        <v>249</v>
      </c>
      <c r="B235" s="60" t="s">
        <v>624</v>
      </c>
      <c r="C235" s="61">
        <v>44501</v>
      </c>
      <c r="D235" s="62" t="str">
        <f ca="1" t="shared" si="10"/>
        <v>一年以上</v>
      </c>
      <c r="E235" s="66">
        <v>44517</v>
      </c>
      <c r="F235" s="66"/>
      <c r="G235" s="66" t="s">
        <v>614</v>
      </c>
      <c r="H235" s="60" t="s">
        <v>352</v>
      </c>
      <c r="I235" s="63" t="s">
        <v>352</v>
      </c>
      <c r="J235" s="76">
        <v>10000</v>
      </c>
      <c r="K235" s="59" t="s">
        <v>28</v>
      </c>
      <c r="L235" s="59" t="s">
        <v>57</v>
      </c>
      <c r="M235" s="59" t="s">
        <v>30</v>
      </c>
      <c r="N235" s="65">
        <v>10000</v>
      </c>
      <c r="O235" s="65">
        <f t="shared" si="12"/>
        <v>0</v>
      </c>
      <c r="P235" s="66">
        <v>44921</v>
      </c>
      <c r="Q235" s="61">
        <f t="shared" si="11"/>
        <v>44921</v>
      </c>
      <c r="R235" s="59" t="s">
        <v>625</v>
      </c>
      <c r="S235" s="59" t="s">
        <v>62</v>
      </c>
      <c r="T235" s="59"/>
      <c r="U235" s="59"/>
      <c r="V235" s="59"/>
      <c r="W235" s="59"/>
      <c r="X235" s="59"/>
    </row>
    <row r="236" s="20" customFormat="1" ht="24" hidden="1" spans="1:24">
      <c r="A236" s="59">
        <v>250</v>
      </c>
      <c r="B236" s="60" t="s">
        <v>626</v>
      </c>
      <c r="C236" s="61">
        <v>44501</v>
      </c>
      <c r="D236" s="62" t="str">
        <f ca="1" t="shared" si="10"/>
        <v>一年以上</v>
      </c>
      <c r="E236" s="66">
        <v>44517</v>
      </c>
      <c r="F236" s="66"/>
      <c r="G236" s="66" t="s">
        <v>614</v>
      </c>
      <c r="H236" s="60" t="s">
        <v>352</v>
      </c>
      <c r="I236" s="63" t="s">
        <v>352</v>
      </c>
      <c r="J236" s="76">
        <v>10000</v>
      </c>
      <c r="K236" s="59" t="s">
        <v>338</v>
      </c>
      <c r="L236" s="59" t="s">
        <v>627</v>
      </c>
      <c r="M236" s="59" t="s">
        <v>30</v>
      </c>
      <c r="N236" s="65">
        <v>10000</v>
      </c>
      <c r="O236" s="65">
        <f t="shared" si="12"/>
        <v>0</v>
      </c>
      <c r="P236" s="66">
        <v>44207</v>
      </c>
      <c r="Q236" s="61">
        <f t="shared" si="11"/>
        <v>44207</v>
      </c>
      <c r="R236" s="59"/>
      <c r="S236" s="59" t="s">
        <v>30</v>
      </c>
      <c r="T236" s="59"/>
      <c r="U236" s="59"/>
      <c r="V236" s="59"/>
      <c r="W236" s="59"/>
      <c r="X236" s="59"/>
    </row>
    <row r="237" s="20" customFormat="1" ht="24" hidden="1" spans="1:24">
      <c r="A237" s="59">
        <v>251</v>
      </c>
      <c r="B237" s="60" t="s">
        <v>628</v>
      </c>
      <c r="C237" s="61">
        <v>44501</v>
      </c>
      <c r="D237" s="62" t="str">
        <f ca="1" t="shared" si="10"/>
        <v>一年以上</v>
      </c>
      <c r="E237" s="66">
        <v>44517</v>
      </c>
      <c r="F237" s="66"/>
      <c r="G237" s="66" t="s">
        <v>614</v>
      </c>
      <c r="H237" s="60" t="s">
        <v>564</v>
      </c>
      <c r="I237" s="63" t="s">
        <v>564</v>
      </c>
      <c r="J237" s="76">
        <v>11600</v>
      </c>
      <c r="K237" s="59" t="s">
        <v>356</v>
      </c>
      <c r="L237" s="59" t="s">
        <v>629</v>
      </c>
      <c r="M237" s="59" t="s">
        <v>30</v>
      </c>
      <c r="N237" s="65">
        <v>11600</v>
      </c>
      <c r="O237" s="65">
        <f t="shared" si="12"/>
        <v>0</v>
      </c>
      <c r="P237" s="66">
        <v>44771</v>
      </c>
      <c r="Q237" s="61">
        <f t="shared" si="11"/>
        <v>44771</v>
      </c>
      <c r="R237" s="59"/>
      <c r="S237" s="59"/>
      <c r="T237" s="59"/>
      <c r="U237" s="59"/>
      <c r="V237" s="59"/>
      <c r="W237" s="59"/>
      <c r="X237" s="59"/>
    </row>
    <row r="238" s="20" customFormat="1" ht="24" hidden="1" spans="1:24">
      <c r="A238" s="59">
        <v>377</v>
      </c>
      <c r="B238" s="60" t="s">
        <v>630</v>
      </c>
      <c r="C238" s="61">
        <v>44501</v>
      </c>
      <c r="D238" s="62" t="str">
        <f ca="1" t="shared" si="10"/>
        <v>一年以上</v>
      </c>
      <c r="E238" s="66">
        <v>44517</v>
      </c>
      <c r="F238" s="66"/>
      <c r="G238" s="66" t="s">
        <v>614</v>
      </c>
      <c r="H238" s="60" t="s">
        <v>352</v>
      </c>
      <c r="I238" s="63" t="s">
        <v>352</v>
      </c>
      <c r="J238" s="76">
        <v>200</v>
      </c>
      <c r="K238" s="59" t="s">
        <v>28</v>
      </c>
      <c r="L238" s="59" t="s">
        <v>57</v>
      </c>
      <c r="M238" s="59" t="s">
        <v>515</v>
      </c>
      <c r="N238" s="65">
        <v>200</v>
      </c>
      <c r="O238" s="65">
        <f t="shared" si="12"/>
        <v>0</v>
      </c>
      <c r="P238" s="66">
        <f>E238</f>
        <v>44517</v>
      </c>
      <c r="Q238" s="61">
        <f t="shared" si="11"/>
        <v>44517</v>
      </c>
      <c r="R238" s="59"/>
      <c r="S238" s="59" t="s">
        <v>515</v>
      </c>
      <c r="T238" s="59"/>
      <c r="U238" s="59"/>
      <c r="V238" s="59"/>
      <c r="W238" s="59"/>
      <c r="X238" s="59"/>
    </row>
    <row r="239" s="20" customFormat="1" ht="24" hidden="1" spans="1:24">
      <c r="A239" s="59">
        <v>378</v>
      </c>
      <c r="B239" s="60" t="s">
        <v>631</v>
      </c>
      <c r="C239" s="61">
        <v>44501</v>
      </c>
      <c r="D239" s="62" t="str">
        <f ca="1" t="shared" si="10"/>
        <v>一年以上</v>
      </c>
      <c r="E239" s="66">
        <v>44517</v>
      </c>
      <c r="F239" s="66" t="s">
        <v>632</v>
      </c>
      <c r="G239" s="66" t="s">
        <v>614</v>
      </c>
      <c r="H239" s="60" t="s">
        <v>352</v>
      </c>
      <c r="I239" s="63" t="s">
        <v>352</v>
      </c>
      <c r="J239" s="76">
        <v>200</v>
      </c>
      <c r="K239" s="59" t="s">
        <v>338</v>
      </c>
      <c r="L239" s="59" t="s">
        <v>627</v>
      </c>
      <c r="M239" s="59" t="s">
        <v>515</v>
      </c>
      <c r="N239" s="65">
        <v>200</v>
      </c>
      <c r="O239" s="65">
        <f t="shared" si="12"/>
        <v>0</v>
      </c>
      <c r="P239" s="66">
        <f>E239</f>
        <v>44517</v>
      </c>
      <c r="Q239" s="61">
        <f t="shared" si="11"/>
        <v>44517</v>
      </c>
      <c r="R239" s="59"/>
      <c r="S239" s="59" t="s">
        <v>515</v>
      </c>
      <c r="T239" s="59"/>
      <c r="U239" s="59"/>
      <c r="V239" s="59"/>
      <c r="W239" s="59"/>
      <c r="X239" s="59"/>
    </row>
    <row r="240" s="20" customFormat="1" ht="15" hidden="1" customHeight="1" spans="1:24">
      <c r="A240" s="59">
        <v>379</v>
      </c>
      <c r="B240" s="60" t="s">
        <v>633</v>
      </c>
      <c r="C240" s="61">
        <v>44501</v>
      </c>
      <c r="D240" s="62" t="str">
        <f ca="1" t="shared" si="10"/>
        <v>一年以上</v>
      </c>
      <c r="E240" s="66">
        <v>44517</v>
      </c>
      <c r="F240" s="66" t="s">
        <v>130</v>
      </c>
      <c r="G240" s="59" t="s">
        <v>239</v>
      </c>
      <c r="H240" s="60" t="s">
        <v>634</v>
      </c>
      <c r="I240" s="63" t="s">
        <v>634</v>
      </c>
      <c r="J240" s="76">
        <v>200</v>
      </c>
      <c r="K240" s="59"/>
      <c r="L240" s="59" t="s">
        <v>96</v>
      </c>
      <c r="M240" s="59" t="s">
        <v>515</v>
      </c>
      <c r="N240" s="65">
        <v>200</v>
      </c>
      <c r="O240" s="65">
        <f t="shared" si="12"/>
        <v>0</v>
      </c>
      <c r="P240" s="66">
        <f>E240</f>
        <v>44517</v>
      </c>
      <c r="Q240" s="61">
        <f t="shared" si="11"/>
        <v>44517</v>
      </c>
      <c r="R240" s="59"/>
      <c r="S240" s="59" t="s">
        <v>515</v>
      </c>
      <c r="T240" s="59"/>
      <c r="U240" s="59"/>
      <c r="V240" s="59"/>
      <c r="W240" s="59"/>
      <c r="X240" s="59"/>
    </row>
    <row r="241" s="20" customFormat="1" ht="24" hidden="1" spans="1:24">
      <c r="A241" s="59">
        <v>252</v>
      </c>
      <c r="B241" s="60" t="s">
        <v>635</v>
      </c>
      <c r="C241" s="61">
        <v>44501</v>
      </c>
      <c r="D241" s="62" t="str">
        <f ca="1" t="shared" si="10"/>
        <v>一年以上</v>
      </c>
      <c r="E241" s="66">
        <v>44518</v>
      </c>
      <c r="F241" s="66"/>
      <c r="G241" s="59" t="s">
        <v>450</v>
      </c>
      <c r="H241" s="60" t="s">
        <v>362</v>
      </c>
      <c r="I241" s="63" t="s">
        <v>362</v>
      </c>
      <c r="J241" s="76">
        <v>10000</v>
      </c>
      <c r="K241" s="59" t="s">
        <v>28</v>
      </c>
      <c r="L241" s="59" t="s">
        <v>57</v>
      </c>
      <c r="M241" s="59" t="s">
        <v>30</v>
      </c>
      <c r="N241" s="65">
        <v>10000</v>
      </c>
      <c r="O241" s="65">
        <f t="shared" si="12"/>
        <v>0</v>
      </c>
      <c r="P241" s="66">
        <v>44519</v>
      </c>
      <c r="Q241" s="61">
        <f t="shared" si="11"/>
        <v>44519</v>
      </c>
      <c r="R241" s="59"/>
      <c r="S241" s="59" t="s">
        <v>30</v>
      </c>
      <c r="T241" s="59"/>
      <c r="U241" s="59"/>
      <c r="V241" s="59"/>
      <c r="W241" s="59"/>
      <c r="X241" s="59"/>
    </row>
    <row r="242" s="20" customFormat="1" hidden="1" spans="1:24">
      <c r="A242" s="59">
        <v>253</v>
      </c>
      <c r="B242" s="60" t="s">
        <v>636</v>
      </c>
      <c r="C242" s="61">
        <v>44501</v>
      </c>
      <c r="D242" s="62" t="str">
        <f ca="1" t="shared" si="10"/>
        <v>一年以上</v>
      </c>
      <c r="E242" s="66">
        <v>44518</v>
      </c>
      <c r="F242" s="66"/>
      <c r="G242" s="59" t="s">
        <v>614</v>
      </c>
      <c r="H242" s="60" t="s">
        <v>637</v>
      </c>
      <c r="I242" s="63" t="s">
        <v>637</v>
      </c>
      <c r="J242" s="76">
        <v>50000</v>
      </c>
      <c r="K242" s="59" t="s">
        <v>28</v>
      </c>
      <c r="L242" s="59" t="s">
        <v>57</v>
      </c>
      <c r="M242" s="59" t="s">
        <v>30</v>
      </c>
      <c r="N242" s="65">
        <v>50000</v>
      </c>
      <c r="O242" s="65">
        <f t="shared" si="12"/>
        <v>0</v>
      </c>
      <c r="P242" s="66">
        <v>44555</v>
      </c>
      <c r="Q242" s="61">
        <f t="shared" si="11"/>
        <v>44555</v>
      </c>
      <c r="R242" s="59"/>
      <c r="S242" s="59" t="s">
        <v>30</v>
      </c>
      <c r="T242" s="59"/>
      <c r="U242" s="59"/>
      <c r="V242" s="59"/>
      <c r="W242" s="59"/>
      <c r="X242" s="59"/>
    </row>
    <row r="243" s="20" customFormat="1" ht="24" hidden="1" spans="1:24">
      <c r="A243" s="59">
        <v>254</v>
      </c>
      <c r="B243" s="60" t="s">
        <v>638</v>
      </c>
      <c r="C243" s="61">
        <v>44501</v>
      </c>
      <c r="D243" s="62" t="str">
        <f ca="1" t="shared" si="10"/>
        <v>一年以上</v>
      </c>
      <c r="E243" s="66">
        <v>44519</v>
      </c>
      <c r="F243" s="66"/>
      <c r="G243" s="59" t="s">
        <v>614</v>
      </c>
      <c r="H243" s="60" t="s">
        <v>639</v>
      </c>
      <c r="I243" s="63" t="s">
        <v>639</v>
      </c>
      <c r="J243" s="76">
        <v>2000</v>
      </c>
      <c r="K243" s="59" t="s">
        <v>28</v>
      </c>
      <c r="L243" s="59" t="s">
        <v>57</v>
      </c>
      <c r="M243" s="59" t="s">
        <v>30</v>
      </c>
      <c r="N243" s="65">
        <v>2000</v>
      </c>
      <c r="O243" s="65">
        <f t="shared" si="12"/>
        <v>0</v>
      </c>
      <c r="P243" s="66">
        <v>44579</v>
      </c>
      <c r="Q243" s="61">
        <f t="shared" si="11"/>
        <v>44579</v>
      </c>
      <c r="R243" s="59"/>
      <c r="S243" s="59" t="s">
        <v>30</v>
      </c>
      <c r="T243" s="59"/>
      <c r="U243" s="59"/>
      <c r="V243" s="59"/>
      <c r="W243" s="59"/>
      <c r="X243" s="59"/>
    </row>
    <row r="244" s="20" customFormat="1" ht="24" hidden="1" spans="1:24">
      <c r="A244" s="59">
        <v>380</v>
      </c>
      <c r="B244" s="60" t="s">
        <v>640</v>
      </c>
      <c r="C244" s="61">
        <v>44501</v>
      </c>
      <c r="D244" s="62" t="str">
        <f ca="1" t="shared" si="10"/>
        <v>一年以上</v>
      </c>
      <c r="E244" s="66">
        <v>44522</v>
      </c>
      <c r="F244" s="66" t="s">
        <v>632</v>
      </c>
      <c r="G244" s="59" t="s">
        <v>450</v>
      </c>
      <c r="H244" s="60" t="s">
        <v>641</v>
      </c>
      <c r="I244" s="63" t="s">
        <v>641</v>
      </c>
      <c r="J244" s="76">
        <v>600</v>
      </c>
      <c r="K244" s="59" t="s">
        <v>28</v>
      </c>
      <c r="L244" s="59" t="s">
        <v>57</v>
      </c>
      <c r="M244" s="59" t="s">
        <v>515</v>
      </c>
      <c r="N244" s="65">
        <v>600</v>
      </c>
      <c r="O244" s="65">
        <f t="shared" si="12"/>
        <v>0</v>
      </c>
      <c r="P244" s="66">
        <f>E244</f>
        <v>44522</v>
      </c>
      <c r="Q244" s="61">
        <f t="shared" si="11"/>
        <v>44522</v>
      </c>
      <c r="R244" s="59"/>
      <c r="S244" s="59" t="s">
        <v>515</v>
      </c>
      <c r="T244" s="59"/>
      <c r="U244" s="59"/>
      <c r="V244" s="59"/>
      <c r="W244" s="59"/>
      <c r="X244" s="59"/>
    </row>
    <row r="245" s="20" customFormat="1" ht="24" hidden="1" spans="1:24">
      <c r="A245" s="59">
        <v>381</v>
      </c>
      <c r="B245" s="60" t="s">
        <v>642</v>
      </c>
      <c r="C245" s="61">
        <v>44501</v>
      </c>
      <c r="D245" s="62" t="str">
        <f ca="1" t="shared" si="10"/>
        <v>一年以上</v>
      </c>
      <c r="E245" s="66">
        <v>44522</v>
      </c>
      <c r="F245" s="66" t="s">
        <v>632</v>
      </c>
      <c r="G245" s="59" t="s">
        <v>450</v>
      </c>
      <c r="H245" s="60" t="s">
        <v>643</v>
      </c>
      <c r="I245" s="63" t="s">
        <v>643</v>
      </c>
      <c r="J245" s="76">
        <v>400</v>
      </c>
      <c r="K245" s="59" t="s">
        <v>28</v>
      </c>
      <c r="L245" s="59" t="s">
        <v>57</v>
      </c>
      <c r="M245" s="59" t="s">
        <v>515</v>
      </c>
      <c r="N245" s="65">
        <v>400</v>
      </c>
      <c r="O245" s="65">
        <f t="shared" si="12"/>
        <v>0</v>
      </c>
      <c r="P245" s="66">
        <f>E245</f>
        <v>44522</v>
      </c>
      <c r="Q245" s="61">
        <f t="shared" si="11"/>
        <v>44522</v>
      </c>
      <c r="R245" s="59"/>
      <c r="S245" s="59" t="s">
        <v>515</v>
      </c>
      <c r="T245" s="59"/>
      <c r="U245" s="59"/>
      <c r="V245" s="59"/>
      <c r="W245" s="59"/>
      <c r="X245" s="59"/>
    </row>
    <row r="246" s="20" customFormat="1" ht="24" hidden="1" spans="1:24">
      <c r="A246" s="59">
        <v>255</v>
      </c>
      <c r="B246" s="60" t="s">
        <v>644</v>
      </c>
      <c r="C246" s="61">
        <v>44501</v>
      </c>
      <c r="D246" s="62" t="str">
        <f ca="1" t="shared" si="10"/>
        <v>一年以上</v>
      </c>
      <c r="E246" s="66">
        <v>44523</v>
      </c>
      <c r="F246" s="66"/>
      <c r="G246" s="59" t="s">
        <v>450</v>
      </c>
      <c r="H246" s="60" t="s">
        <v>641</v>
      </c>
      <c r="I246" s="63" t="s">
        <v>641</v>
      </c>
      <c r="J246" s="76">
        <v>2000</v>
      </c>
      <c r="K246" s="59" t="s">
        <v>28</v>
      </c>
      <c r="L246" s="59" t="s">
        <v>57</v>
      </c>
      <c r="M246" s="59" t="s">
        <v>30</v>
      </c>
      <c r="N246" s="65">
        <v>2000</v>
      </c>
      <c r="O246" s="65">
        <f t="shared" si="12"/>
        <v>0</v>
      </c>
      <c r="P246" s="66">
        <v>44539</v>
      </c>
      <c r="Q246" s="61">
        <f t="shared" si="11"/>
        <v>44539</v>
      </c>
      <c r="R246" s="59"/>
      <c r="S246" s="59" t="s">
        <v>30</v>
      </c>
      <c r="T246" s="59"/>
      <c r="U246" s="59"/>
      <c r="V246" s="59"/>
      <c r="W246" s="59"/>
      <c r="X246" s="59"/>
    </row>
    <row r="247" s="20" customFormat="1" ht="24" hidden="1" spans="1:24">
      <c r="A247" s="59">
        <v>256</v>
      </c>
      <c r="B247" s="60" t="s">
        <v>645</v>
      </c>
      <c r="C247" s="61">
        <v>44501</v>
      </c>
      <c r="D247" s="62" t="str">
        <f ca="1" t="shared" si="10"/>
        <v>一年以上</v>
      </c>
      <c r="E247" s="66">
        <v>44523</v>
      </c>
      <c r="F247" s="66"/>
      <c r="G247" s="59" t="s">
        <v>450</v>
      </c>
      <c r="H247" s="60" t="s">
        <v>641</v>
      </c>
      <c r="I247" s="63" t="s">
        <v>641</v>
      </c>
      <c r="J247" s="76">
        <v>8000</v>
      </c>
      <c r="K247" s="59" t="s">
        <v>28</v>
      </c>
      <c r="L247" s="59" t="s">
        <v>57</v>
      </c>
      <c r="M247" s="59" t="s">
        <v>30</v>
      </c>
      <c r="N247" s="65">
        <v>8000</v>
      </c>
      <c r="O247" s="65">
        <f t="shared" si="12"/>
        <v>0</v>
      </c>
      <c r="P247" s="66">
        <v>44539</v>
      </c>
      <c r="Q247" s="61">
        <f t="shared" si="11"/>
        <v>44539</v>
      </c>
      <c r="R247" s="59"/>
      <c r="S247" s="59" t="s">
        <v>30</v>
      </c>
      <c r="T247" s="59"/>
      <c r="U247" s="59"/>
      <c r="V247" s="59"/>
      <c r="W247" s="59"/>
      <c r="X247" s="59"/>
    </row>
    <row r="248" s="20" customFormat="1" ht="24" hidden="1" spans="1:24">
      <c r="A248" s="59">
        <v>257</v>
      </c>
      <c r="B248" s="60" t="s">
        <v>646</v>
      </c>
      <c r="C248" s="61">
        <v>44501</v>
      </c>
      <c r="D248" s="62" t="str">
        <f ca="1" t="shared" si="10"/>
        <v>一年以上</v>
      </c>
      <c r="E248" s="66">
        <v>44523</v>
      </c>
      <c r="F248" s="66"/>
      <c r="G248" s="59" t="s">
        <v>450</v>
      </c>
      <c r="H248" s="60" t="s">
        <v>643</v>
      </c>
      <c r="I248" s="63" t="s">
        <v>643</v>
      </c>
      <c r="J248" s="76">
        <v>10000</v>
      </c>
      <c r="K248" s="59" t="s">
        <v>28</v>
      </c>
      <c r="L248" s="59" t="s">
        <v>57</v>
      </c>
      <c r="M248" s="59" t="s">
        <v>30</v>
      </c>
      <c r="N248" s="65">
        <v>10000</v>
      </c>
      <c r="O248" s="65">
        <f t="shared" si="12"/>
        <v>0</v>
      </c>
      <c r="P248" s="66">
        <v>41247</v>
      </c>
      <c r="Q248" s="61">
        <f t="shared" si="11"/>
        <v>41247</v>
      </c>
      <c r="R248" s="59"/>
      <c r="S248" s="59" t="s">
        <v>30</v>
      </c>
      <c r="T248" s="59"/>
      <c r="U248" s="59"/>
      <c r="V248" s="59"/>
      <c r="W248" s="59"/>
      <c r="X248" s="59"/>
    </row>
    <row r="249" s="20" customFormat="1" hidden="1" spans="1:24">
      <c r="A249" s="59">
        <v>258</v>
      </c>
      <c r="B249" s="60" t="s">
        <v>647</v>
      </c>
      <c r="C249" s="61">
        <v>44501</v>
      </c>
      <c r="D249" s="62" t="str">
        <f ca="1" t="shared" si="10"/>
        <v>一年以上</v>
      </c>
      <c r="E249" s="66">
        <v>44523</v>
      </c>
      <c r="F249" s="66"/>
      <c r="G249" s="59" t="s">
        <v>450</v>
      </c>
      <c r="H249" s="100" t="s">
        <v>648</v>
      </c>
      <c r="I249" s="63" t="s">
        <v>648</v>
      </c>
      <c r="J249" s="76">
        <v>10000</v>
      </c>
      <c r="K249" s="59" t="s">
        <v>28</v>
      </c>
      <c r="L249" s="59" t="s">
        <v>57</v>
      </c>
      <c r="M249" s="59" t="s">
        <v>30</v>
      </c>
      <c r="N249" s="65">
        <v>10000</v>
      </c>
      <c r="O249" s="65">
        <f t="shared" si="12"/>
        <v>0</v>
      </c>
      <c r="P249" s="66">
        <v>44552</v>
      </c>
      <c r="Q249" s="61">
        <f t="shared" si="11"/>
        <v>44552</v>
      </c>
      <c r="R249" s="59"/>
      <c r="S249" s="59" t="s">
        <v>30</v>
      </c>
      <c r="T249" s="59"/>
      <c r="U249" s="59"/>
      <c r="V249" s="59"/>
      <c r="W249" s="59"/>
      <c r="X249" s="59"/>
    </row>
    <row r="250" s="20" customFormat="1" ht="24" spans="1:24">
      <c r="A250" s="59">
        <v>259</v>
      </c>
      <c r="B250" s="60" t="s">
        <v>649</v>
      </c>
      <c r="C250" s="61">
        <v>44501</v>
      </c>
      <c r="D250" s="62" t="str">
        <f ca="1" t="shared" si="10"/>
        <v>一年以上</v>
      </c>
      <c r="E250" s="66">
        <v>44523</v>
      </c>
      <c r="F250" s="66" t="s">
        <v>632</v>
      </c>
      <c r="G250" s="59" t="s">
        <v>450</v>
      </c>
      <c r="H250" s="60" t="s">
        <v>650</v>
      </c>
      <c r="I250" s="63" t="s">
        <v>651</v>
      </c>
      <c r="J250" s="76">
        <v>1500</v>
      </c>
      <c r="K250" s="59" t="s">
        <v>28</v>
      </c>
      <c r="L250" s="59" t="s">
        <v>57</v>
      </c>
      <c r="M250" s="59" t="s">
        <v>30</v>
      </c>
      <c r="N250" s="65"/>
      <c r="O250" s="88">
        <f t="shared" si="12"/>
        <v>1500</v>
      </c>
      <c r="P250" s="66"/>
      <c r="Q250" s="61">
        <f t="shared" si="11"/>
        <v>0</v>
      </c>
      <c r="R250" s="59" t="s">
        <v>481</v>
      </c>
      <c r="S250" s="59" t="s">
        <v>652</v>
      </c>
      <c r="T250" s="101" t="s">
        <v>581</v>
      </c>
      <c r="U250" s="59" t="str">
        <f>VLOOKUP(T250,[1]区域划分!$A$1:$C$39,3,0)</f>
        <v>新疆</v>
      </c>
      <c r="V250" s="372" t="s">
        <v>653</v>
      </c>
      <c r="W250" s="59"/>
      <c r="X250" s="59"/>
    </row>
    <row r="251" s="20" customFormat="1" ht="24" hidden="1" spans="1:24">
      <c r="A251" s="59">
        <v>260</v>
      </c>
      <c r="B251" s="60" t="s">
        <v>654</v>
      </c>
      <c r="C251" s="61">
        <v>44501</v>
      </c>
      <c r="D251" s="62" t="str">
        <f ca="1" t="shared" si="10"/>
        <v>一年以上</v>
      </c>
      <c r="E251" s="66">
        <v>44523</v>
      </c>
      <c r="F251" s="66"/>
      <c r="G251" s="59" t="s">
        <v>614</v>
      </c>
      <c r="H251" s="60" t="s">
        <v>639</v>
      </c>
      <c r="I251" s="63" t="s">
        <v>639</v>
      </c>
      <c r="J251" s="76">
        <v>6000</v>
      </c>
      <c r="K251" s="59" t="s">
        <v>28</v>
      </c>
      <c r="L251" s="59" t="s">
        <v>57</v>
      </c>
      <c r="M251" s="59" t="s">
        <v>30</v>
      </c>
      <c r="N251" s="65">
        <v>6000</v>
      </c>
      <c r="O251" s="65">
        <f t="shared" si="12"/>
        <v>0</v>
      </c>
      <c r="P251" s="66">
        <v>44567</v>
      </c>
      <c r="Q251" s="61">
        <f t="shared" si="11"/>
        <v>44567</v>
      </c>
      <c r="R251" s="59"/>
      <c r="S251" s="59" t="s">
        <v>30</v>
      </c>
      <c r="T251" s="59"/>
      <c r="U251" s="59"/>
      <c r="V251" s="59"/>
      <c r="W251" s="59"/>
      <c r="X251" s="59"/>
    </row>
    <row r="252" s="20" customFormat="1" ht="24" hidden="1" spans="1:24">
      <c r="A252" s="59">
        <v>261</v>
      </c>
      <c r="B252" s="60" t="s">
        <v>655</v>
      </c>
      <c r="C252" s="61">
        <v>44501</v>
      </c>
      <c r="D252" s="62" t="str">
        <f ca="1" t="shared" si="10"/>
        <v>一年以上</v>
      </c>
      <c r="E252" s="66">
        <v>44523</v>
      </c>
      <c r="F252" s="66"/>
      <c r="G252" s="59" t="s">
        <v>614</v>
      </c>
      <c r="H252" s="60" t="s">
        <v>639</v>
      </c>
      <c r="I252" s="63" t="s">
        <v>639</v>
      </c>
      <c r="J252" s="76">
        <v>6000</v>
      </c>
      <c r="K252" s="59" t="s">
        <v>28</v>
      </c>
      <c r="L252" s="59" t="s">
        <v>57</v>
      </c>
      <c r="M252" s="59" t="s">
        <v>30</v>
      </c>
      <c r="N252" s="65">
        <v>6000</v>
      </c>
      <c r="O252" s="65">
        <f t="shared" si="12"/>
        <v>0</v>
      </c>
      <c r="P252" s="66">
        <v>44567</v>
      </c>
      <c r="Q252" s="61">
        <f t="shared" si="11"/>
        <v>44567</v>
      </c>
      <c r="R252" s="59"/>
      <c r="S252" s="59" t="s">
        <v>30</v>
      </c>
      <c r="T252" s="59"/>
      <c r="U252" s="59"/>
      <c r="V252" s="59"/>
      <c r="W252" s="59"/>
      <c r="X252" s="59"/>
    </row>
    <row r="253" s="20" customFormat="1" ht="24" hidden="1" spans="1:24">
      <c r="A253" s="59">
        <v>262</v>
      </c>
      <c r="B253" s="60" t="s">
        <v>656</v>
      </c>
      <c r="C253" s="61">
        <v>44501</v>
      </c>
      <c r="D253" s="62" t="str">
        <f ca="1" t="shared" si="10"/>
        <v>一年以上</v>
      </c>
      <c r="E253" s="66">
        <v>44523</v>
      </c>
      <c r="F253" s="66"/>
      <c r="G253" s="59" t="s">
        <v>614</v>
      </c>
      <c r="H253" s="60" t="s">
        <v>657</v>
      </c>
      <c r="I253" s="63" t="s">
        <v>657</v>
      </c>
      <c r="J253" s="76">
        <v>5000</v>
      </c>
      <c r="K253" s="59" t="s">
        <v>356</v>
      </c>
      <c r="L253" s="59" t="s">
        <v>458</v>
      </c>
      <c r="M253" s="59" t="s">
        <v>30</v>
      </c>
      <c r="N253" s="65">
        <v>5000</v>
      </c>
      <c r="O253" s="65">
        <f t="shared" si="12"/>
        <v>0</v>
      </c>
      <c r="P253" s="66">
        <v>44586</v>
      </c>
      <c r="Q253" s="61">
        <f t="shared" si="11"/>
        <v>44586</v>
      </c>
      <c r="R253" s="59"/>
      <c r="S253" s="59" t="s">
        <v>30</v>
      </c>
      <c r="T253" s="59"/>
      <c r="U253" s="59"/>
      <c r="V253" s="59"/>
      <c r="W253" s="59"/>
      <c r="X253" s="59"/>
    </row>
    <row r="254" s="20" customFormat="1" hidden="1" spans="1:24">
      <c r="A254" s="59">
        <v>263</v>
      </c>
      <c r="B254" s="60" t="s">
        <v>658</v>
      </c>
      <c r="C254" s="61">
        <v>44501</v>
      </c>
      <c r="D254" s="62" t="str">
        <f ca="1" t="shared" si="10"/>
        <v>一年以上</v>
      </c>
      <c r="E254" s="66">
        <v>44524</v>
      </c>
      <c r="F254" s="66"/>
      <c r="G254" s="59" t="s">
        <v>450</v>
      </c>
      <c r="H254" s="60" t="s">
        <v>650</v>
      </c>
      <c r="I254" s="63" t="s">
        <v>650</v>
      </c>
      <c r="J254" s="76">
        <v>1500</v>
      </c>
      <c r="K254" s="59"/>
      <c r="L254" s="59" t="s">
        <v>96</v>
      </c>
      <c r="M254" s="59" t="s">
        <v>30</v>
      </c>
      <c r="N254" s="65">
        <v>1500</v>
      </c>
      <c r="O254" s="65">
        <f t="shared" si="12"/>
        <v>0</v>
      </c>
      <c r="P254" s="66">
        <f>E254</f>
        <v>44524</v>
      </c>
      <c r="Q254" s="61">
        <f t="shared" si="11"/>
        <v>44524</v>
      </c>
      <c r="R254" s="59"/>
      <c r="S254" s="59" t="s">
        <v>30</v>
      </c>
      <c r="T254" s="59"/>
      <c r="U254" s="59"/>
      <c r="V254" s="59"/>
      <c r="W254" s="59"/>
      <c r="X254" s="59"/>
    </row>
    <row r="255" s="20" customFormat="1" ht="24" hidden="1" spans="1:24">
      <c r="A255" s="59">
        <v>382</v>
      </c>
      <c r="B255" s="60" t="s">
        <v>659</v>
      </c>
      <c r="C255" s="61">
        <v>44501</v>
      </c>
      <c r="D255" s="62" t="str">
        <f ca="1" t="shared" si="10"/>
        <v>一年以上</v>
      </c>
      <c r="E255" s="66">
        <v>44525</v>
      </c>
      <c r="F255" s="66" t="s">
        <v>632</v>
      </c>
      <c r="G255" s="59" t="s">
        <v>450</v>
      </c>
      <c r="H255" s="60" t="s">
        <v>660</v>
      </c>
      <c r="I255" s="63" t="s">
        <v>660</v>
      </c>
      <c r="J255" s="76">
        <v>860</v>
      </c>
      <c r="K255" s="59" t="s">
        <v>28</v>
      </c>
      <c r="L255" s="59" t="s">
        <v>57</v>
      </c>
      <c r="M255" s="59" t="s">
        <v>515</v>
      </c>
      <c r="N255" s="65">
        <v>860</v>
      </c>
      <c r="O255" s="65">
        <f t="shared" si="12"/>
        <v>0</v>
      </c>
      <c r="P255" s="66">
        <f>E255</f>
        <v>44525</v>
      </c>
      <c r="Q255" s="61">
        <f t="shared" si="11"/>
        <v>44525</v>
      </c>
      <c r="R255" s="59"/>
      <c r="S255" s="59" t="s">
        <v>661</v>
      </c>
      <c r="T255" s="59"/>
      <c r="U255" s="59"/>
      <c r="V255" s="59"/>
      <c r="W255" s="59"/>
      <c r="X255" s="59"/>
    </row>
    <row r="256" s="20" customFormat="1" ht="24" hidden="1" spans="1:24">
      <c r="A256" s="59">
        <v>139</v>
      </c>
      <c r="B256" s="60" t="s">
        <v>662</v>
      </c>
      <c r="C256" s="61">
        <v>44501</v>
      </c>
      <c r="D256" s="62" t="str">
        <f ca="1" t="shared" si="10"/>
        <v>一年以上</v>
      </c>
      <c r="E256" s="66">
        <v>44526</v>
      </c>
      <c r="F256" s="66" t="s">
        <v>282</v>
      </c>
      <c r="G256" s="59" t="s">
        <v>340</v>
      </c>
      <c r="H256" s="60" t="s">
        <v>663</v>
      </c>
      <c r="I256" s="63" t="s">
        <v>663</v>
      </c>
      <c r="J256" s="76">
        <v>20000</v>
      </c>
      <c r="K256" s="59" t="s">
        <v>28</v>
      </c>
      <c r="L256" s="59" t="s">
        <v>57</v>
      </c>
      <c r="M256" s="59" t="s">
        <v>65</v>
      </c>
      <c r="N256" s="65">
        <v>20000</v>
      </c>
      <c r="O256" s="65">
        <f t="shared" si="12"/>
        <v>0</v>
      </c>
      <c r="P256" s="66">
        <v>44924</v>
      </c>
      <c r="Q256" s="61">
        <f t="shared" si="11"/>
        <v>44924</v>
      </c>
      <c r="R256" s="66"/>
      <c r="S256" s="59"/>
      <c r="T256" s="59" t="s">
        <v>581</v>
      </c>
      <c r="U256" s="59" t="s">
        <v>239</v>
      </c>
      <c r="V256" s="59"/>
      <c r="W256" s="59"/>
      <c r="X256" s="59"/>
    </row>
    <row r="257" s="20" customFormat="1" hidden="1" spans="1:24">
      <c r="A257" s="59">
        <v>264</v>
      </c>
      <c r="B257" s="60" t="s">
        <v>664</v>
      </c>
      <c r="C257" s="61">
        <v>44501</v>
      </c>
      <c r="D257" s="62" t="str">
        <f ca="1" t="shared" si="10"/>
        <v>一年以上</v>
      </c>
      <c r="E257" s="66">
        <v>44529</v>
      </c>
      <c r="F257" s="66"/>
      <c r="G257" s="59" t="s">
        <v>614</v>
      </c>
      <c r="H257" s="60" t="s">
        <v>665</v>
      </c>
      <c r="I257" s="63" t="s">
        <v>665</v>
      </c>
      <c r="J257" s="76">
        <v>5000</v>
      </c>
      <c r="K257" s="59" t="s">
        <v>356</v>
      </c>
      <c r="L257" s="59" t="s">
        <v>458</v>
      </c>
      <c r="M257" s="59" t="s">
        <v>30</v>
      </c>
      <c r="N257" s="65">
        <v>5000</v>
      </c>
      <c r="O257" s="65">
        <f t="shared" si="12"/>
        <v>0</v>
      </c>
      <c r="P257" s="66">
        <v>44582</v>
      </c>
      <c r="Q257" s="61">
        <f t="shared" si="11"/>
        <v>44582</v>
      </c>
      <c r="R257" s="59"/>
      <c r="S257" s="59" t="s">
        <v>30</v>
      </c>
      <c r="T257" s="59"/>
      <c r="U257" s="59"/>
      <c r="V257" s="59"/>
      <c r="W257" s="59"/>
      <c r="X257" s="59"/>
    </row>
    <row r="258" s="20" customFormat="1" ht="24" hidden="1" spans="1:24">
      <c r="A258" s="59">
        <v>265</v>
      </c>
      <c r="B258" s="60" t="s">
        <v>666</v>
      </c>
      <c r="C258" s="61">
        <v>44501</v>
      </c>
      <c r="D258" s="62" t="str">
        <f ca="1" t="shared" si="10"/>
        <v>一年以上</v>
      </c>
      <c r="E258" s="66">
        <v>44529</v>
      </c>
      <c r="F258" s="66"/>
      <c r="G258" s="59" t="s">
        <v>614</v>
      </c>
      <c r="H258" s="60" t="s">
        <v>667</v>
      </c>
      <c r="I258" s="63" t="s">
        <v>667</v>
      </c>
      <c r="J258" s="76">
        <v>5000</v>
      </c>
      <c r="K258" s="59" t="s">
        <v>356</v>
      </c>
      <c r="L258" s="59" t="s">
        <v>458</v>
      </c>
      <c r="M258" s="59" t="s">
        <v>30</v>
      </c>
      <c r="N258" s="65">
        <v>5000</v>
      </c>
      <c r="O258" s="65">
        <f t="shared" si="12"/>
        <v>0</v>
      </c>
      <c r="P258" s="66">
        <v>44545</v>
      </c>
      <c r="Q258" s="61">
        <f t="shared" si="11"/>
        <v>44545</v>
      </c>
      <c r="R258" s="59"/>
      <c r="S258" s="59" t="s">
        <v>30</v>
      </c>
      <c r="T258" s="59"/>
      <c r="U258" s="59"/>
      <c r="V258" s="59"/>
      <c r="W258" s="59"/>
      <c r="X258" s="59"/>
    </row>
    <row r="259" s="20" customFormat="1" ht="24" hidden="1" spans="1:24">
      <c r="A259" s="59">
        <v>266</v>
      </c>
      <c r="B259" s="60" t="s">
        <v>668</v>
      </c>
      <c r="C259" s="61">
        <v>44501</v>
      </c>
      <c r="D259" s="62" t="str">
        <f ca="1" t="shared" ref="D259:D322" si="13">IF(TODAY()-E259&lt;60,"2个月内",IF(TODAY()-E259&lt;180,"3-6个月",IF(TODAY()-E259&lt;360,"6个月-1年","一年以上")))</f>
        <v>一年以上</v>
      </c>
      <c r="E259" s="66">
        <v>44529</v>
      </c>
      <c r="F259" s="66"/>
      <c r="G259" s="59" t="s">
        <v>450</v>
      </c>
      <c r="H259" s="60" t="s">
        <v>669</v>
      </c>
      <c r="I259" s="63" t="s">
        <v>669</v>
      </c>
      <c r="J259" s="76">
        <v>18000</v>
      </c>
      <c r="K259" s="59" t="s">
        <v>28</v>
      </c>
      <c r="L259" s="59" t="s">
        <v>57</v>
      </c>
      <c r="M259" s="59" t="s">
        <v>30</v>
      </c>
      <c r="N259" s="65">
        <v>18000</v>
      </c>
      <c r="O259" s="65">
        <f t="shared" si="12"/>
        <v>0</v>
      </c>
      <c r="P259" s="66">
        <v>44664</v>
      </c>
      <c r="Q259" s="61">
        <f t="shared" ref="Q259:Q322" si="14">P259</f>
        <v>44664</v>
      </c>
      <c r="R259" s="59"/>
      <c r="S259" s="59" t="s">
        <v>670</v>
      </c>
      <c r="T259" s="59"/>
      <c r="U259" s="59"/>
      <c r="V259" s="59"/>
      <c r="W259" s="59"/>
      <c r="X259" s="59"/>
    </row>
    <row r="260" s="20" customFormat="1" ht="14" hidden="1" customHeight="1" spans="1:24">
      <c r="A260" s="59">
        <v>267</v>
      </c>
      <c r="B260" s="60" t="s">
        <v>671</v>
      </c>
      <c r="C260" s="61">
        <v>44501</v>
      </c>
      <c r="D260" s="62" t="str">
        <f ca="1" t="shared" si="13"/>
        <v>一年以上</v>
      </c>
      <c r="E260" s="66">
        <v>44529</v>
      </c>
      <c r="F260" s="66"/>
      <c r="G260" s="59" t="s">
        <v>450</v>
      </c>
      <c r="H260" s="60" t="s">
        <v>672</v>
      </c>
      <c r="I260" s="63" t="s">
        <v>672</v>
      </c>
      <c r="J260" s="76">
        <v>10000</v>
      </c>
      <c r="K260" s="59" t="s">
        <v>28</v>
      </c>
      <c r="L260" s="59" t="s">
        <v>57</v>
      </c>
      <c r="M260" s="59" t="s">
        <v>30</v>
      </c>
      <c r="N260" s="65">
        <v>10000</v>
      </c>
      <c r="O260" s="65">
        <f t="shared" si="12"/>
        <v>0</v>
      </c>
      <c r="P260" s="66">
        <v>44736</v>
      </c>
      <c r="Q260" s="61">
        <f t="shared" si="14"/>
        <v>44736</v>
      </c>
      <c r="R260" s="59" t="s">
        <v>481</v>
      </c>
      <c r="S260" s="59" t="s">
        <v>481</v>
      </c>
      <c r="T260" s="59"/>
      <c r="U260" s="59"/>
      <c r="V260" s="59"/>
      <c r="W260" s="59"/>
      <c r="X260" s="59"/>
    </row>
    <row r="261" s="20" customFormat="1" ht="14" hidden="1" customHeight="1" spans="1:24">
      <c r="A261" s="59">
        <v>268</v>
      </c>
      <c r="B261" s="60" t="s">
        <v>673</v>
      </c>
      <c r="C261" s="61">
        <v>44501</v>
      </c>
      <c r="D261" s="62" t="str">
        <f ca="1" t="shared" si="13"/>
        <v>一年以上</v>
      </c>
      <c r="E261" s="66">
        <v>44529</v>
      </c>
      <c r="F261" s="66"/>
      <c r="G261" s="59" t="s">
        <v>450</v>
      </c>
      <c r="H261" s="60" t="s">
        <v>674</v>
      </c>
      <c r="I261" s="63" t="s">
        <v>674</v>
      </c>
      <c r="J261" s="76">
        <v>20000</v>
      </c>
      <c r="K261" s="59" t="s">
        <v>28</v>
      </c>
      <c r="L261" s="59" t="s">
        <v>57</v>
      </c>
      <c r="M261" s="59" t="s">
        <v>30</v>
      </c>
      <c r="N261" s="65">
        <v>20000</v>
      </c>
      <c r="O261" s="65">
        <f t="shared" si="12"/>
        <v>0</v>
      </c>
      <c r="P261" s="66">
        <v>44536</v>
      </c>
      <c r="Q261" s="61">
        <f t="shared" si="14"/>
        <v>44536</v>
      </c>
      <c r="R261" s="59"/>
      <c r="S261" s="59" t="s">
        <v>30</v>
      </c>
      <c r="T261" s="59"/>
      <c r="U261" s="59"/>
      <c r="V261" s="59"/>
      <c r="W261" s="59"/>
      <c r="X261" s="59"/>
    </row>
    <row r="262" s="20" customFormat="1" hidden="1" spans="1:24">
      <c r="A262" s="59">
        <v>383</v>
      </c>
      <c r="B262" s="60" t="s">
        <v>675</v>
      </c>
      <c r="C262" s="61">
        <v>44501</v>
      </c>
      <c r="D262" s="62" t="str">
        <f ca="1" t="shared" si="13"/>
        <v>一年以上</v>
      </c>
      <c r="E262" s="66">
        <v>44529</v>
      </c>
      <c r="F262" s="66" t="s">
        <v>632</v>
      </c>
      <c r="G262" s="59" t="s">
        <v>450</v>
      </c>
      <c r="H262" s="60" t="s">
        <v>669</v>
      </c>
      <c r="I262" s="63" t="s">
        <v>669</v>
      </c>
      <c r="J262" s="76">
        <v>200</v>
      </c>
      <c r="K262" s="59" t="s">
        <v>28</v>
      </c>
      <c r="L262" s="59" t="s">
        <v>57</v>
      </c>
      <c r="M262" s="59" t="s">
        <v>515</v>
      </c>
      <c r="N262" s="65">
        <v>200</v>
      </c>
      <c r="O262" s="65">
        <f t="shared" si="12"/>
        <v>0</v>
      </c>
      <c r="P262" s="66">
        <f>E262</f>
        <v>44529</v>
      </c>
      <c r="Q262" s="61">
        <f t="shared" si="14"/>
        <v>44529</v>
      </c>
      <c r="R262" s="59"/>
      <c r="S262" s="59" t="s">
        <v>515</v>
      </c>
      <c r="T262" s="59"/>
      <c r="U262" s="59"/>
      <c r="V262" s="59"/>
      <c r="W262" s="59"/>
      <c r="X262" s="59"/>
    </row>
    <row r="263" s="20" customFormat="1" hidden="1" spans="1:24">
      <c r="A263" s="59">
        <v>384</v>
      </c>
      <c r="B263" s="60" t="s">
        <v>676</v>
      </c>
      <c r="C263" s="61">
        <v>44501</v>
      </c>
      <c r="D263" s="62" t="str">
        <f ca="1" t="shared" si="13"/>
        <v>一年以上</v>
      </c>
      <c r="E263" s="66">
        <v>44529</v>
      </c>
      <c r="F263" s="66" t="s">
        <v>632</v>
      </c>
      <c r="G263" s="59" t="s">
        <v>450</v>
      </c>
      <c r="H263" s="60" t="s">
        <v>677</v>
      </c>
      <c r="I263" s="63" t="s">
        <v>677</v>
      </c>
      <c r="J263" s="76">
        <v>200</v>
      </c>
      <c r="K263" s="59" t="s">
        <v>28</v>
      </c>
      <c r="L263" s="59" t="s">
        <v>57</v>
      </c>
      <c r="M263" s="59" t="s">
        <v>515</v>
      </c>
      <c r="N263" s="65">
        <v>200</v>
      </c>
      <c r="O263" s="65">
        <f t="shared" si="12"/>
        <v>0</v>
      </c>
      <c r="P263" s="66">
        <f>E263</f>
        <v>44529</v>
      </c>
      <c r="Q263" s="61">
        <f t="shared" si="14"/>
        <v>44529</v>
      </c>
      <c r="R263" s="59"/>
      <c r="S263" s="59" t="s">
        <v>515</v>
      </c>
      <c r="T263" s="59"/>
      <c r="U263" s="59"/>
      <c r="V263" s="59"/>
      <c r="W263" s="59"/>
      <c r="X263" s="59"/>
    </row>
    <row r="264" s="20" customFormat="1" hidden="1" spans="1:24">
      <c r="A264" s="59">
        <v>385</v>
      </c>
      <c r="B264" s="60" t="s">
        <v>678</v>
      </c>
      <c r="C264" s="61">
        <v>44501</v>
      </c>
      <c r="D264" s="62" t="str">
        <f ca="1" t="shared" si="13"/>
        <v>一年以上</v>
      </c>
      <c r="E264" s="66">
        <v>44529</v>
      </c>
      <c r="F264" s="66" t="s">
        <v>632</v>
      </c>
      <c r="G264" s="59" t="s">
        <v>614</v>
      </c>
      <c r="H264" s="60" t="s">
        <v>679</v>
      </c>
      <c r="I264" s="63" t="s">
        <v>679</v>
      </c>
      <c r="J264" s="76">
        <v>500</v>
      </c>
      <c r="K264" s="59" t="s">
        <v>28</v>
      </c>
      <c r="L264" s="59" t="s">
        <v>57</v>
      </c>
      <c r="M264" s="59" t="s">
        <v>515</v>
      </c>
      <c r="N264" s="65">
        <v>500</v>
      </c>
      <c r="O264" s="65">
        <f t="shared" si="12"/>
        <v>0</v>
      </c>
      <c r="P264" s="66">
        <f>E264</f>
        <v>44529</v>
      </c>
      <c r="Q264" s="61">
        <f t="shared" si="14"/>
        <v>44529</v>
      </c>
      <c r="R264" s="59"/>
      <c r="S264" s="59" t="s">
        <v>515</v>
      </c>
      <c r="T264" s="59"/>
      <c r="U264" s="59"/>
      <c r="V264" s="59"/>
      <c r="W264" s="59"/>
      <c r="X264" s="59"/>
    </row>
    <row r="265" s="20" customFormat="1" ht="24" spans="1:24">
      <c r="A265" s="59">
        <v>269</v>
      </c>
      <c r="B265" s="60" t="s">
        <v>680</v>
      </c>
      <c r="C265" s="61">
        <v>44531</v>
      </c>
      <c r="D265" s="62" t="str">
        <f ca="1" t="shared" si="13"/>
        <v>一年以上</v>
      </c>
      <c r="E265" s="66">
        <v>44531</v>
      </c>
      <c r="F265" s="66" t="s">
        <v>632</v>
      </c>
      <c r="G265" s="59" t="s">
        <v>450</v>
      </c>
      <c r="H265" s="60" t="s">
        <v>362</v>
      </c>
      <c r="I265" s="63" t="s">
        <v>362</v>
      </c>
      <c r="J265" s="76">
        <v>10000</v>
      </c>
      <c r="K265" s="59" t="s">
        <v>28</v>
      </c>
      <c r="L265" s="59" t="s">
        <v>57</v>
      </c>
      <c r="M265" s="59" t="s">
        <v>30</v>
      </c>
      <c r="N265" s="65"/>
      <c r="O265" s="88">
        <f t="shared" si="12"/>
        <v>10000</v>
      </c>
      <c r="P265" s="66"/>
      <c r="Q265" s="61">
        <f t="shared" si="14"/>
        <v>0</v>
      </c>
      <c r="R265" s="59" t="s">
        <v>481</v>
      </c>
      <c r="S265" s="59" t="s">
        <v>30</v>
      </c>
      <c r="T265" s="101" t="s">
        <v>581</v>
      </c>
      <c r="U265" s="59" t="str">
        <f>VLOOKUP(T265,[1]区域划分!$A$1:$C$39,3,0)</f>
        <v>新疆</v>
      </c>
      <c r="V265" s="59"/>
      <c r="W265" s="59"/>
      <c r="X265" s="59"/>
    </row>
    <row r="266" s="20" customFormat="1" ht="24" hidden="1" spans="1:24">
      <c r="A266" s="59">
        <v>140</v>
      </c>
      <c r="B266" s="60" t="s">
        <v>681</v>
      </c>
      <c r="C266" s="61">
        <v>44531</v>
      </c>
      <c r="D266" s="62" t="str">
        <f ca="1" t="shared" si="13"/>
        <v>一年以上</v>
      </c>
      <c r="E266" s="66">
        <v>44532</v>
      </c>
      <c r="F266" s="66" t="s">
        <v>282</v>
      </c>
      <c r="G266" s="59" t="s">
        <v>233</v>
      </c>
      <c r="H266" s="60" t="s">
        <v>115</v>
      </c>
      <c r="I266" s="63" t="s">
        <v>115</v>
      </c>
      <c r="J266" s="76">
        <v>2000</v>
      </c>
      <c r="K266" s="59" t="s">
        <v>356</v>
      </c>
      <c r="L266" s="59" t="s">
        <v>458</v>
      </c>
      <c r="M266" s="59" t="s">
        <v>65</v>
      </c>
      <c r="N266" s="65">
        <v>2000</v>
      </c>
      <c r="O266" s="65">
        <f t="shared" si="12"/>
        <v>0</v>
      </c>
      <c r="P266" s="66">
        <v>44818</v>
      </c>
      <c r="Q266" s="61">
        <f t="shared" si="14"/>
        <v>44818</v>
      </c>
      <c r="R266" s="66"/>
      <c r="S266" s="59"/>
      <c r="T266" s="59" t="s">
        <v>381</v>
      </c>
      <c r="U266" s="59" t="s">
        <v>239</v>
      </c>
      <c r="V266" s="59"/>
      <c r="W266" s="59"/>
      <c r="X266" s="59"/>
    </row>
    <row r="267" s="20" customFormat="1" ht="24" hidden="1" spans="1:24">
      <c r="A267" s="59">
        <v>270</v>
      </c>
      <c r="B267" s="60" t="s">
        <v>682</v>
      </c>
      <c r="C267" s="61">
        <v>44531</v>
      </c>
      <c r="D267" s="62" t="str">
        <f ca="1" t="shared" si="13"/>
        <v>一年以上</v>
      </c>
      <c r="E267" s="66">
        <v>44532</v>
      </c>
      <c r="F267" s="66"/>
      <c r="G267" s="59" t="s">
        <v>450</v>
      </c>
      <c r="H267" s="60" t="s">
        <v>683</v>
      </c>
      <c r="I267" s="63" t="s">
        <v>683</v>
      </c>
      <c r="J267" s="76">
        <v>10000</v>
      </c>
      <c r="K267" s="59" t="s">
        <v>28</v>
      </c>
      <c r="L267" s="59" t="s">
        <v>57</v>
      </c>
      <c r="M267" s="59" t="s">
        <v>30</v>
      </c>
      <c r="N267" s="65">
        <v>10000</v>
      </c>
      <c r="O267" s="65">
        <f t="shared" si="12"/>
        <v>0</v>
      </c>
      <c r="P267" s="66">
        <v>44553</v>
      </c>
      <c r="Q267" s="61">
        <f t="shared" si="14"/>
        <v>44553</v>
      </c>
      <c r="R267" s="59"/>
      <c r="S267" s="59" t="s">
        <v>30</v>
      </c>
      <c r="T267" s="59"/>
      <c r="U267" s="59"/>
      <c r="V267" s="59"/>
      <c r="W267" s="59"/>
      <c r="X267" s="59"/>
    </row>
    <row r="268" s="20" customFormat="1" hidden="1" spans="1:24">
      <c r="A268" s="59">
        <v>271</v>
      </c>
      <c r="B268" s="60" t="s">
        <v>684</v>
      </c>
      <c r="C268" s="61">
        <v>44531</v>
      </c>
      <c r="D268" s="62" t="str">
        <f ca="1" t="shared" si="13"/>
        <v>一年以上</v>
      </c>
      <c r="E268" s="66">
        <v>44533</v>
      </c>
      <c r="F268" s="66" t="s">
        <v>632</v>
      </c>
      <c r="G268" s="59" t="s">
        <v>450</v>
      </c>
      <c r="H268" s="91" t="s">
        <v>677</v>
      </c>
      <c r="I268" s="63" t="s">
        <v>677</v>
      </c>
      <c r="J268" s="76">
        <v>20000</v>
      </c>
      <c r="K268" s="59" t="s">
        <v>28</v>
      </c>
      <c r="L268" s="59" t="s">
        <v>57</v>
      </c>
      <c r="M268" s="59" t="s">
        <v>30</v>
      </c>
      <c r="N268" s="65">
        <v>20000</v>
      </c>
      <c r="O268" s="65">
        <f t="shared" si="12"/>
        <v>0</v>
      </c>
      <c r="P268" s="66">
        <v>44649</v>
      </c>
      <c r="Q268" s="61">
        <f t="shared" si="14"/>
        <v>44649</v>
      </c>
      <c r="R268" s="59"/>
      <c r="S268" s="59"/>
      <c r="T268" s="59"/>
      <c r="U268" s="59"/>
      <c r="V268" s="59"/>
      <c r="W268" s="59"/>
      <c r="X268" s="59"/>
    </row>
    <row r="269" s="20" customFormat="1" ht="24" hidden="1" spans="1:24">
      <c r="A269" s="59">
        <v>272</v>
      </c>
      <c r="B269" s="60" t="s">
        <v>685</v>
      </c>
      <c r="C269" s="61">
        <v>44531</v>
      </c>
      <c r="D269" s="62" t="str">
        <f ca="1" t="shared" si="13"/>
        <v>一年以上</v>
      </c>
      <c r="E269" s="66">
        <v>44533</v>
      </c>
      <c r="F269" s="66"/>
      <c r="G269" s="59" t="s">
        <v>614</v>
      </c>
      <c r="H269" s="60" t="s">
        <v>686</v>
      </c>
      <c r="I269" s="63" t="s">
        <v>686</v>
      </c>
      <c r="J269" s="76">
        <v>1000</v>
      </c>
      <c r="K269" s="59" t="s">
        <v>356</v>
      </c>
      <c r="L269" s="103" t="s">
        <v>458</v>
      </c>
      <c r="M269" s="59" t="s">
        <v>30</v>
      </c>
      <c r="N269" s="104">
        <v>1000</v>
      </c>
      <c r="O269" s="65">
        <f t="shared" si="12"/>
        <v>0</v>
      </c>
      <c r="P269" s="66">
        <v>45299</v>
      </c>
      <c r="Q269" s="61">
        <f t="shared" si="14"/>
        <v>45299</v>
      </c>
      <c r="R269" s="59"/>
      <c r="S269" s="59"/>
      <c r="T269" s="105" t="s">
        <v>182</v>
      </c>
      <c r="U269" s="59" t="str">
        <f>VLOOKUP(T269,[1]区域划分!$A$1:$C$39,3,0)</f>
        <v>汪瑞青</v>
      </c>
      <c r="V269" s="59"/>
      <c r="W269" s="59"/>
      <c r="X269" s="59"/>
    </row>
    <row r="270" s="20" customFormat="1" hidden="1" spans="1:24">
      <c r="A270" s="59">
        <v>386</v>
      </c>
      <c r="B270" s="60" t="s">
        <v>687</v>
      </c>
      <c r="C270" s="61">
        <v>44531</v>
      </c>
      <c r="D270" s="62" t="str">
        <f ca="1" t="shared" si="13"/>
        <v>一年以上</v>
      </c>
      <c r="E270" s="66">
        <v>44533</v>
      </c>
      <c r="F270" s="66" t="s">
        <v>632</v>
      </c>
      <c r="G270" s="59" t="s">
        <v>614</v>
      </c>
      <c r="H270" s="60" t="s">
        <v>679</v>
      </c>
      <c r="I270" s="63" t="s">
        <v>679</v>
      </c>
      <c r="J270" s="76">
        <v>500</v>
      </c>
      <c r="K270" s="59" t="s">
        <v>338</v>
      </c>
      <c r="L270" s="59" t="s">
        <v>627</v>
      </c>
      <c r="M270" s="59" t="s">
        <v>515</v>
      </c>
      <c r="N270" s="65">
        <v>500</v>
      </c>
      <c r="O270" s="65">
        <f t="shared" si="12"/>
        <v>0</v>
      </c>
      <c r="P270" s="66">
        <f>E270</f>
        <v>44533</v>
      </c>
      <c r="Q270" s="61">
        <f t="shared" si="14"/>
        <v>44533</v>
      </c>
      <c r="R270" s="59"/>
      <c r="S270" s="59" t="s">
        <v>515</v>
      </c>
      <c r="T270" s="59"/>
      <c r="U270" s="59"/>
      <c r="V270" s="59"/>
      <c r="W270" s="59"/>
      <c r="X270" s="59"/>
    </row>
    <row r="271" s="20" customFormat="1" hidden="1" spans="1:24">
      <c r="A271" s="59">
        <v>387</v>
      </c>
      <c r="B271" s="60" t="s">
        <v>688</v>
      </c>
      <c r="C271" s="61">
        <v>44531</v>
      </c>
      <c r="D271" s="62" t="str">
        <f ca="1" t="shared" si="13"/>
        <v>一年以上</v>
      </c>
      <c r="E271" s="66">
        <v>44533</v>
      </c>
      <c r="F271" s="66" t="s">
        <v>632</v>
      </c>
      <c r="G271" s="59" t="s">
        <v>614</v>
      </c>
      <c r="H271" s="60" t="s">
        <v>689</v>
      </c>
      <c r="I271" s="63" t="s">
        <v>689</v>
      </c>
      <c r="J271" s="76">
        <v>500</v>
      </c>
      <c r="K271" s="59" t="s">
        <v>28</v>
      </c>
      <c r="L271" s="59" t="s">
        <v>57</v>
      </c>
      <c r="M271" s="59" t="s">
        <v>515</v>
      </c>
      <c r="N271" s="65">
        <v>500</v>
      </c>
      <c r="O271" s="65">
        <f t="shared" ref="O271:O334" si="15">J271-N271</f>
        <v>0</v>
      </c>
      <c r="P271" s="66">
        <f>E271</f>
        <v>44533</v>
      </c>
      <c r="Q271" s="61">
        <f t="shared" si="14"/>
        <v>44533</v>
      </c>
      <c r="R271" s="59"/>
      <c r="S271" s="59" t="s">
        <v>515</v>
      </c>
      <c r="T271" s="59"/>
      <c r="U271" s="59"/>
      <c r="V271" s="59"/>
      <c r="W271" s="59"/>
      <c r="X271" s="59"/>
    </row>
    <row r="272" s="20" customFormat="1" ht="24" hidden="1" spans="1:24">
      <c r="A272" s="59">
        <v>273</v>
      </c>
      <c r="B272" s="60" t="s">
        <v>690</v>
      </c>
      <c r="C272" s="61">
        <v>44531</v>
      </c>
      <c r="D272" s="62" t="str">
        <f ca="1" t="shared" si="13"/>
        <v>一年以上</v>
      </c>
      <c r="E272" s="66">
        <v>44536</v>
      </c>
      <c r="F272" s="66"/>
      <c r="G272" s="59" t="s">
        <v>614</v>
      </c>
      <c r="H272" s="60" t="s">
        <v>691</v>
      </c>
      <c r="I272" s="63" t="s">
        <v>691</v>
      </c>
      <c r="J272" s="76">
        <v>1000</v>
      </c>
      <c r="K272" s="59" t="s">
        <v>356</v>
      </c>
      <c r="L272" s="59" t="s">
        <v>458</v>
      </c>
      <c r="M272" s="59" t="s">
        <v>30</v>
      </c>
      <c r="N272" s="65">
        <v>1000</v>
      </c>
      <c r="O272" s="65">
        <f t="shared" si="15"/>
        <v>0</v>
      </c>
      <c r="P272" s="66">
        <v>44581</v>
      </c>
      <c r="Q272" s="61">
        <f t="shared" si="14"/>
        <v>44581</v>
      </c>
      <c r="R272" s="59"/>
      <c r="S272" s="59" t="s">
        <v>30</v>
      </c>
      <c r="T272" s="59"/>
      <c r="U272" s="59"/>
      <c r="V272" s="59"/>
      <c r="W272" s="59"/>
      <c r="X272" s="59"/>
    </row>
    <row r="273" s="20" customFormat="1" ht="24" hidden="1" spans="1:24">
      <c r="A273" s="59">
        <v>274</v>
      </c>
      <c r="B273" s="60" t="s">
        <v>692</v>
      </c>
      <c r="C273" s="61">
        <v>44531</v>
      </c>
      <c r="D273" s="62" t="str">
        <f ca="1" t="shared" si="13"/>
        <v>一年以上</v>
      </c>
      <c r="E273" s="66">
        <v>44536</v>
      </c>
      <c r="F273" s="66"/>
      <c r="G273" s="59" t="s">
        <v>614</v>
      </c>
      <c r="H273" s="91" t="s">
        <v>691</v>
      </c>
      <c r="I273" s="63" t="s">
        <v>691</v>
      </c>
      <c r="J273" s="76">
        <v>1000</v>
      </c>
      <c r="K273" s="59" t="s">
        <v>356</v>
      </c>
      <c r="L273" s="59" t="s">
        <v>458</v>
      </c>
      <c r="M273" s="59" t="s">
        <v>30</v>
      </c>
      <c r="N273" s="65">
        <v>1000</v>
      </c>
      <c r="O273" s="65">
        <f t="shared" si="15"/>
        <v>0</v>
      </c>
      <c r="P273" s="66">
        <v>44581</v>
      </c>
      <c r="Q273" s="61">
        <f t="shared" si="14"/>
        <v>44581</v>
      </c>
      <c r="R273" s="59"/>
      <c r="S273" s="59" t="s">
        <v>30</v>
      </c>
      <c r="T273" s="59"/>
      <c r="U273" s="59"/>
      <c r="V273" s="59"/>
      <c r="W273" s="59"/>
      <c r="X273" s="59"/>
    </row>
    <row r="274" s="20" customFormat="1" hidden="1" spans="1:24">
      <c r="A274" s="59">
        <v>275</v>
      </c>
      <c r="B274" s="60" t="s">
        <v>693</v>
      </c>
      <c r="C274" s="61">
        <v>44531</v>
      </c>
      <c r="D274" s="62" t="str">
        <f ca="1" t="shared" si="13"/>
        <v>一年以上</v>
      </c>
      <c r="E274" s="66">
        <v>44538</v>
      </c>
      <c r="F274" s="66"/>
      <c r="G274" s="59" t="s">
        <v>450</v>
      </c>
      <c r="H274" s="91" t="s">
        <v>634</v>
      </c>
      <c r="I274" s="63" t="s">
        <v>634</v>
      </c>
      <c r="J274" s="76">
        <v>10000</v>
      </c>
      <c r="K274" s="59" t="s">
        <v>28</v>
      </c>
      <c r="L274" s="59" t="s">
        <v>57</v>
      </c>
      <c r="M274" s="59" t="s">
        <v>30</v>
      </c>
      <c r="N274" s="65">
        <v>10000</v>
      </c>
      <c r="O274" s="65">
        <f t="shared" si="15"/>
        <v>0</v>
      </c>
      <c r="P274" s="66">
        <v>44546</v>
      </c>
      <c r="Q274" s="61">
        <f t="shared" si="14"/>
        <v>44546</v>
      </c>
      <c r="R274" s="59"/>
      <c r="S274" s="59" t="s">
        <v>30</v>
      </c>
      <c r="T274" s="59"/>
      <c r="U274" s="59"/>
      <c r="V274" s="59"/>
      <c r="W274" s="59"/>
      <c r="X274" s="59"/>
    </row>
    <row r="275" s="20" customFormat="1" hidden="1" spans="1:24">
      <c r="A275" s="59">
        <v>276</v>
      </c>
      <c r="B275" s="60" t="s">
        <v>694</v>
      </c>
      <c r="C275" s="61">
        <v>44531</v>
      </c>
      <c r="D275" s="62" t="str">
        <f ca="1" t="shared" si="13"/>
        <v>一年以上</v>
      </c>
      <c r="E275" s="66">
        <v>44538</v>
      </c>
      <c r="F275" s="66"/>
      <c r="G275" s="59" t="s">
        <v>450</v>
      </c>
      <c r="H275" s="60" t="s">
        <v>577</v>
      </c>
      <c r="I275" s="63" t="s">
        <v>578</v>
      </c>
      <c r="J275" s="76">
        <v>10000</v>
      </c>
      <c r="K275" s="59" t="s">
        <v>28</v>
      </c>
      <c r="L275" s="59" t="s">
        <v>57</v>
      </c>
      <c r="M275" s="59" t="s">
        <v>30</v>
      </c>
      <c r="N275" s="65">
        <v>10000</v>
      </c>
      <c r="O275" s="65">
        <f t="shared" si="15"/>
        <v>0</v>
      </c>
      <c r="P275" s="66">
        <v>44579</v>
      </c>
      <c r="Q275" s="61">
        <f t="shared" si="14"/>
        <v>44579</v>
      </c>
      <c r="R275" s="59"/>
      <c r="S275" s="59" t="s">
        <v>30</v>
      </c>
      <c r="T275" s="59"/>
      <c r="U275" s="59"/>
      <c r="V275" s="59"/>
      <c r="W275" s="59"/>
      <c r="X275" s="59"/>
    </row>
    <row r="276" s="20" customFormat="1" ht="24" hidden="1" spans="1:24">
      <c r="A276" s="59">
        <v>277</v>
      </c>
      <c r="B276" s="60" t="s">
        <v>695</v>
      </c>
      <c r="C276" s="61">
        <v>44531</v>
      </c>
      <c r="D276" s="62" t="str">
        <f ca="1" t="shared" si="13"/>
        <v>一年以上</v>
      </c>
      <c r="E276" s="66">
        <v>44539</v>
      </c>
      <c r="F276" s="66"/>
      <c r="G276" s="59" t="s">
        <v>614</v>
      </c>
      <c r="H276" s="91" t="s">
        <v>696</v>
      </c>
      <c r="I276" s="63" t="s">
        <v>696</v>
      </c>
      <c r="J276" s="76">
        <v>5000</v>
      </c>
      <c r="K276" s="59" t="s">
        <v>356</v>
      </c>
      <c r="L276" s="59" t="s">
        <v>458</v>
      </c>
      <c r="M276" s="59" t="s">
        <v>30</v>
      </c>
      <c r="N276" s="65">
        <v>5000</v>
      </c>
      <c r="O276" s="65">
        <f t="shared" si="15"/>
        <v>0</v>
      </c>
      <c r="P276" s="66">
        <v>44579</v>
      </c>
      <c r="Q276" s="61">
        <f t="shared" si="14"/>
        <v>44579</v>
      </c>
      <c r="R276" s="59"/>
      <c r="S276" s="59" t="s">
        <v>30</v>
      </c>
      <c r="T276" s="59"/>
      <c r="U276" s="59"/>
      <c r="V276" s="59"/>
      <c r="W276" s="59"/>
      <c r="X276" s="59"/>
    </row>
    <row r="277" s="20" customFormat="1" ht="24" hidden="1" spans="1:24">
      <c r="A277" s="59">
        <v>278</v>
      </c>
      <c r="B277" s="60" t="s">
        <v>697</v>
      </c>
      <c r="C277" s="61">
        <v>44531</v>
      </c>
      <c r="D277" s="62" t="str">
        <f ca="1" t="shared" si="13"/>
        <v>一年以上</v>
      </c>
      <c r="E277" s="66">
        <v>44539</v>
      </c>
      <c r="F277" s="66"/>
      <c r="G277" s="59" t="s">
        <v>614</v>
      </c>
      <c r="H277" s="91" t="s">
        <v>696</v>
      </c>
      <c r="I277" s="63" t="s">
        <v>696</v>
      </c>
      <c r="J277" s="76">
        <v>6000</v>
      </c>
      <c r="K277" s="59" t="s">
        <v>356</v>
      </c>
      <c r="L277" s="59" t="s">
        <v>458</v>
      </c>
      <c r="M277" s="59" t="s">
        <v>30</v>
      </c>
      <c r="N277" s="65">
        <v>6000</v>
      </c>
      <c r="O277" s="65">
        <f t="shared" si="15"/>
        <v>0</v>
      </c>
      <c r="P277" s="66">
        <v>44579</v>
      </c>
      <c r="Q277" s="61">
        <f t="shared" si="14"/>
        <v>44579</v>
      </c>
      <c r="R277" s="59"/>
      <c r="S277" s="59" t="s">
        <v>30</v>
      </c>
      <c r="T277" s="59"/>
      <c r="U277" s="59"/>
      <c r="V277" s="59"/>
      <c r="W277" s="59"/>
      <c r="X277" s="59"/>
    </row>
    <row r="278" s="20" customFormat="1" ht="24" spans="1:24">
      <c r="A278" s="59">
        <v>279</v>
      </c>
      <c r="B278" s="60" t="s">
        <v>698</v>
      </c>
      <c r="C278" s="61">
        <v>44531</v>
      </c>
      <c r="D278" s="62" t="str">
        <f ca="1" t="shared" si="13"/>
        <v>一年以上</v>
      </c>
      <c r="E278" s="66">
        <v>44540</v>
      </c>
      <c r="F278" s="66"/>
      <c r="G278" s="59" t="s">
        <v>614</v>
      </c>
      <c r="H278" s="91" t="s">
        <v>193</v>
      </c>
      <c r="I278" s="63" t="s">
        <v>193</v>
      </c>
      <c r="J278" s="76">
        <v>5000</v>
      </c>
      <c r="K278" s="59" t="s">
        <v>356</v>
      </c>
      <c r="L278" s="59" t="s">
        <v>458</v>
      </c>
      <c r="M278" s="59" t="s">
        <v>30</v>
      </c>
      <c r="N278" s="65"/>
      <c r="O278" s="88">
        <f t="shared" si="15"/>
        <v>5000</v>
      </c>
      <c r="P278" s="66"/>
      <c r="Q278" s="61">
        <f t="shared" si="14"/>
        <v>0</v>
      </c>
      <c r="R278" s="59" t="s">
        <v>699</v>
      </c>
      <c r="S278" s="59" t="s">
        <v>700</v>
      </c>
      <c r="T278" s="59" t="s">
        <v>701</v>
      </c>
      <c r="U278" s="59" t="str">
        <f>VLOOKUP(T278,[1]区域划分!$A$1:$C$39,3,0)</f>
        <v>汪瑞青</v>
      </c>
      <c r="V278" s="59"/>
      <c r="W278" s="59"/>
      <c r="X278" s="59"/>
    </row>
    <row r="279" s="20" customFormat="1" ht="84" spans="1:24">
      <c r="A279" s="59">
        <v>141</v>
      </c>
      <c r="B279" s="60" t="s">
        <v>702</v>
      </c>
      <c r="C279" s="61">
        <v>44531</v>
      </c>
      <c r="D279" s="62" t="str">
        <f ca="1" t="shared" si="13"/>
        <v>一年以上</v>
      </c>
      <c r="E279" s="66">
        <v>44546</v>
      </c>
      <c r="F279" s="66" t="s">
        <v>282</v>
      </c>
      <c r="G279" s="59" t="s">
        <v>109</v>
      </c>
      <c r="H279" s="60" t="s">
        <v>174</v>
      </c>
      <c r="I279" s="63" t="s">
        <v>174</v>
      </c>
      <c r="J279" s="96">
        <v>2000</v>
      </c>
      <c r="K279" s="59" t="s">
        <v>356</v>
      </c>
      <c r="L279" s="59" t="s">
        <v>458</v>
      </c>
      <c r="M279" s="59" t="s">
        <v>65</v>
      </c>
      <c r="N279" s="65"/>
      <c r="O279" s="88">
        <f t="shared" si="15"/>
        <v>2000</v>
      </c>
      <c r="P279" s="66"/>
      <c r="Q279" s="61">
        <f t="shared" si="14"/>
        <v>0</v>
      </c>
      <c r="R279" s="66" t="s">
        <v>703</v>
      </c>
      <c r="S279" s="59" t="s">
        <v>704</v>
      </c>
      <c r="T279" s="59" t="s">
        <v>182</v>
      </c>
      <c r="U279" s="59" t="str">
        <f>VLOOKUP(T279,[1]区域划分!$A$1:$C$39,3,0)</f>
        <v>汪瑞青</v>
      </c>
      <c r="V279" s="59"/>
      <c r="W279" s="59"/>
      <c r="X279" s="59"/>
    </row>
    <row r="280" s="20" customFormat="1" ht="24" hidden="1" spans="1:24">
      <c r="A280" s="59">
        <v>280</v>
      </c>
      <c r="B280" s="60" t="s">
        <v>705</v>
      </c>
      <c r="C280" s="61">
        <v>44531</v>
      </c>
      <c r="D280" s="62" t="str">
        <f ca="1" t="shared" si="13"/>
        <v>一年以上</v>
      </c>
      <c r="E280" s="66">
        <v>44546</v>
      </c>
      <c r="F280" s="66"/>
      <c r="G280" s="59" t="s">
        <v>614</v>
      </c>
      <c r="H280" s="60" t="s">
        <v>706</v>
      </c>
      <c r="I280" s="63" t="s">
        <v>706</v>
      </c>
      <c r="J280" s="76">
        <v>3000</v>
      </c>
      <c r="K280" s="59" t="s">
        <v>28</v>
      </c>
      <c r="L280" s="59" t="s">
        <v>57</v>
      </c>
      <c r="M280" s="59" t="s">
        <v>30</v>
      </c>
      <c r="N280" s="65">
        <v>3000</v>
      </c>
      <c r="O280" s="65">
        <f t="shared" si="15"/>
        <v>0</v>
      </c>
      <c r="P280" s="66">
        <v>44553</v>
      </c>
      <c r="Q280" s="61">
        <f t="shared" si="14"/>
        <v>44553</v>
      </c>
      <c r="R280" s="59"/>
      <c r="S280" s="59" t="s">
        <v>30</v>
      </c>
      <c r="T280" s="59"/>
      <c r="U280" s="59"/>
      <c r="V280" s="59"/>
      <c r="W280" s="59"/>
      <c r="X280" s="59"/>
    </row>
    <row r="281" s="20" customFormat="1" ht="24" hidden="1" spans="1:24">
      <c r="A281" s="59">
        <v>281</v>
      </c>
      <c r="B281" s="60" t="s">
        <v>707</v>
      </c>
      <c r="C281" s="61">
        <v>44531</v>
      </c>
      <c r="D281" s="62" t="str">
        <f ca="1" t="shared" si="13"/>
        <v>一年以上</v>
      </c>
      <c r="E281" s="66">
        <v>44547</v>
      </c>
      <c r="F281" s="66"/>
      <c r="G281" s="59" t="s">
        <v>450</v>
      </c>
      <c r="H281" s="60" t="s">
        <v>708</v>
      </c>
      <c r="I281" s="63" t="s">
        <v>708</v>
      </c>
      <c r="J281" s="76">
        <v>4000</v>
      </c>
      <c r="K281" s="59" t="s">
        <v>28</v>
      </c>
      <c r="L281" s="59" t="s">
        <v>57</v>
      </c>
      <c r="M281" s="59" t="s">
        <v>30</v>
      </c>
      <c r="N281" s="65">
        <v>4000</v>
      </c>
      <c r="O281" s="65">
        <f t="shared" si="15"/>
        <v>0</v>
      </c>
      <c r="P281" s="66">
        <v>44616</v>
      </c>
      <c r="Q281" s="61">
        <f t="shared" si="14"/>
        <v>44616</v>
      </c>
      <c r="R281" s="59"/>
      <c r="S281" s="59" t="s">
        <v>709</v>
      </c>
      <c r="T281" s="59"/>
      <c r="U281" s="59"/>
      <c r="V281" s="59"/>
      <c r="W281" s="59"/>
      <c r="X281" s="59"/>
    </row>
    <row r="282" s="20" customFormat="1" ht="24" hidden="1" spans="1:24">
      <c r="A282" s="59">
        <v>388</v>
      </c>
      <c r="B282" s="60" t="s">
        <v>710</v>
      </c>
      <c r="C282" s="61">
        <v>44531</v>
      </c>
      <c r="D282" s="62" t="str">
        <f ca="1" t="shared" si="13"/>
        <v>一年以上</v>
      </c>
      <c r="E282" s="66">
        <v>44547</v>
      </c>
      <c r="F282" s="66" t="s">
        <v>632</v>
      </c>
      <c r="G282" s="59" t="s">
        <v>450</v>
      </c>
      <c r="H282" s="60" t="s">
        <v>708</v>
      </c>
      <c r="I282" s="63" t="s">
        <v>708</v>
      </c>
      <c r="J282" s="76">
        <v>600</v>
      </c>
      <c r="K282" s="59" t="s">
        <v>28</v>
      </c>
      <c r="L282" s="59" t="s">
        <v>57</v>
      </c>
      <c r="M282" s="59" t="s">
        <v>515</v>
      </c>
      <c r="N282" s="65">
        <v>600</v>
      </c>
      <c r="O282" s="65">
        <f t="shared" si="15"/>
        <v>0</v>
      </c>
      <c r="P282" s="66">
        <v>44728</v>
      </c>
      <c r="Q282" s="61">
        <f t="shared" si="14"/>
        <v>44728</v>
      </c>
      <c r="R282" s="59"/>
      <c r="S282" s="59" t="s">
        <v>711</v>
      </c>
      <c r="T282" s="59"/>
      <c r="U282" s="59"/>
      <c r="V282" s="59"/>
      <c r="W282" s="59"/>
      <c r="X282" s="59"/>
    </row>
    <row r="283" s="20" customFormat="1" hidden="1" spans="1:24">
      <c r="A283" s="59">
        <v>143</v>
      </c>
      <c r="B283" s="60" t="s">
        <v>712</v>
      </c>
      <c r="C283" s="61">
        <v>44531</v>
      </c>
      <c r="D283" s="62" t="str">
        <f ca="1" t="shared" si="13"/>
        <v>一年以上</v>
      </c>
      <c r="E283" s="66">
        <v>44548</v>
      </c>
      <c r="F283" s="66" t="s">
        <v>282</v>
      </c>
      <c r="G283" s="59" t="s">
        <v>219</v>
      </c>
      <c r="H283" s="60" t="s">
        <v>577</v>
      </c>
      <c r="I283" s="63" t="s">
        <v>578</v>
      </c>
      <c r="J283" s="76">
        <v>5000</v>
      </c>
      <c r="K283" s="59" t="s">
        <v>28</v>
      </c>
      <c r="L283" s="59" t="s">
        <v>57</v>
      </c>
      <c r="M283" s="59" t="s">
        <v>65</v>
      </c>
      <c r="N283" s="65">
        <v>5000</v>
      </c>
      <c r="O283" s="65">
        <f t="shared" si="15"/>
        <v>0</v>
      </c>
      <c r="P283" s="66">
        <v>44756</v>
      </c>
      <c r="Q283" s="61">
        <f t="shared" si="14"/>
        <v>44756</v>
      </c>
      <c r="R283" s="66"/>
      <c r="S283" s="59" t="s">
        <v>65</v>
      </c>
      <c r="T283" s="59"/>
      <c r="U283" s="59"/>
      <c r="V283" s="59"/>
      <c r="W283" s="59"/>
      <c r="X283" s="59"/>
    </row>
    <row r="284" s="20" customFormat="1" ht="24" hidden="1" spans="1:24">
      <c r="A284" s="59">
        <v>144</v>
      </c>
      <c r="B284" s="60" t="s">
        <v>713</v>
      </c>
      <c r="C284" s="61">
        <v>44531</v>
      </c>
      <c r="D284" s="62" t="str">
        <f ca="1" t="shared" si="13"/>
        <v>一年以上</v>
      </c>
      <c r="E284" s="66">
        <v>44548</v>
      </c>
      <c r="F284" s="66" t="s">
        <v>282</v>
      </c>
      <c r="G284" s="59" t="s">
        <v>224</v>
      </c>
      <c r="H284" s="60" t="s">
        <v>696</v>
      </c>
      <c r="I284" s="63" t="s">
        <v>696</v>
      </c>
      <c r="J284" s="76">
        <v>5000</v>
      </c>
      <c r="K284" s="59" t="s">
        <v>356</v>
      </c>
      <c r="L284" s="59" t="s">
        <v>458</v>
      </c>
      <c r="M284" s="59" t="s">
        <v>65</v>
      </c>
      <c r="N284" s="65">
        <v>5000</v>
      </c>
      <c r="O284" s="65">
        <f t="shared" si="15"/>
        <v>0</v>
      </c>
      <c r="P284" s="66">
        <v>44712</v>
      </c>
      <c r="Q284" s="61">
        <f t="shared" si="14"/>
        <v>44712</v>
      </c>
      <c r="R284" s="66"/>
      <c r="S284" s="59" t="s">
        <v>65</v>
      </c>
      <c r="T284" s="59"/>
      <c r="U284" s="59"/>
      <c r="V284" s="59"/>
      <c r="W284" s="59"/>
      <c r="X284" s="59"/>
    </row>
    <row r="285" s="20" customFormat="1" ht="13" hidden="1" customHeight="1" spans="1:24">
      <c r="A285" s="59">
        <v>282</v>
      </c>
      <c r="B285" s="60" t="s">
        <v>714</v>
      </c>
      <c r="C285" s="61">
        <v>44531</v>
      </c>
      <c r="D285" s="62" t="str">
        <f ca="1" t="shared" si="13"/>
        <v>一年以上</v>
      </c>
      <c r="E285" s="66">
        <v>44550</v>
      </c>
      <c r="F285" s="66"/>
      <c r="G285" s="59" t="s">
        <v>450</v>
      </c>
      <c r="H285" s="60" t="s">
        <v>634</v>
      </c>
      <c r="I285" s="63" t="s">
        <v>634</v>
      </c>
      <c r="J285" s="76">
        <v>10000</v>
      </c>
      <c r="K285" s="59" t="s">
        <v>28</v>
      </c>
      <c r="L285" s="59" t="s">
        <v>57</v>
      </c>
      <c r="M285" s="59" t="s">
        <v>30</v>
      </c>
      <c r="N285" s="65">
        <v>10000</v>
      </c>
      <c r="O285" s="65">
        <f t="shared" si="15"/>
        <v>0</v>
      </c>
      <c r="P285" s="66">
        <v>44560</v>
      </c>
      <c r="Q285" s="61">
        <f t="shared" si="14"/>
        <v>44560</v>
      </c>
      <c r="R285" s="59"/>
      <c r="S285" s="59" t="s">
        <v>30</v>
      </c>
      <c r="T285" s="59"/>
      <c r="U285" s="59"/>
      <c r="V285" s="59"/>
      <c r="W285" s="59"/>
      <c r="X285" s="59"/>
    </row>
    <row r="286" s="20" customFormat="1" ht="13" hidden="1" customHeight="1" spans="1:24">
      <c r="A286" s="59">
        <v>283</v>
      </c>
      <c r="B286" s="60" t="s">
        <v>715</v>
      </c>
      <c r="C286" s="61">
        <v>44531</v>
      </c>
      <c r="D286" s="62" t="str">
        <f ca="1" t="shared" si="13"/>
        <v>一年以上</v>
      </c>
      <c r="E286" s="66">
        <v>44550</v>
      </c>
      <c r="F286" s="66"/>
      <c r="G286" s="59" t="s">
        <v>614</v>
      </c>
      <c r="H286" s="60" t="s">
        <v>689</v>
      </c>
      <c r="I286" s="63" t="s">
        <v>689</v>
      </c>
      <c r="J286" s="76">
        <v>5000</v>
      </c>
      <c r="K286" s="59" t="s">
        <v>356</v>
      </c>
      <c r="L286" s="59" t="s">
        <v>458</v>
      </c>
      <c r="M286" s="59" t="s">
        <v>30</v>
      </c>
      <c r="N286" s="65">
        <v>5000</v>
      </c>
      <c r="O286" s="65">
        <f t="shared" si="15"/>
        <v>0</v>
      </c>
      <c r="P286" s="66">
        <v>44586</v>
      </c>
      <c r="Q286" s="61">
        <f t="shared" si="14"/>
        <v>44586</v>
      </c>
      <c r="R286" s="59"/>
      <c r="S286" s="59"/>
      <c r="T286" s="59"/>
      <c r="U286" s="59"/>
      <c r="V286" s="59"/>
      <c r="W286" s="59"/>
      <c r="X286" s="59"/>
    </row>
    <row r="287" s="20" customFormat="1" ht="13" hidden="1" customHeight="1" spans="1:24">
      <c r="A287" s="59">
        <v>389</v>
      </c>
      <c r="B287" s="60" t="s">
        <v>716</v>
      </c>
      <c r="C287" s="61">
        <v>44531</v>
      </c>
      <c r="D287" s="62" t="str">
        <f ca="1" t="shared" si="13"/>
        <v>一年以上</v>
      </c>
      <c r="E287" s="66">
        <v>44550</v>
      </c>
      <c r="F287" s="66" t="s">
        <v>632</v>
      </c>
      <c r="G287" s="59" t="s">
        <v>450</v>
      </c>
      <c r="H287" s="60" t="s">
        <v>634</v>
      </c>
      <c r="I287" s="63" t="s">
        <v>634</v>
      </c>
      <c r="J287" s="76">
        <v>200</v>
      </c>
      <c r="K287" s="59" t="s">
        <v>28</v>
      </c>
      <c r="L287" s="59" t="s">
        <v>57</v>
      </c>
      <c r="M287" s="59" t="s">
        <v>515</v>
      </c>
      <c r="N287" s="65">
        <v>200</v>
      </c>
      <c r="O287" s="65">
        <f t="shared" si="15"/>
        <v>0</v>
      </c>
      <c r="P287" s="66">
        <f>E287</f>
        <v>44550</v>
      </c>
      <c r="Q287" s="61">
        <f t="shared" si="14"/>
        <v>44550</v>
      </c>
      <c r="R287" s="59"/>
      <c r="S287" s="59" t="s">
        <v>515</v>
      </c>
      <c r="T287" s="59"/>
      <c r="U287" s="59"/>
      <c r="V287" s="59"/>
      <c r="W287" s="59"/>
      <c r="X287" s="59"/>
    </row>
    <row r="288" s="20" customFormat="1" ht="24" spans="1:24">
      <c r="A288" s="59">
        <v>284</v>
      </c>
      <c r="B288" s="60" t="s">
        <v>717</v>
      </c>
      <c r="C288" s="61">
        <v>44531</v>
      </c>
      <c r="D288" s="62" t="str">
        <f ca="1" t="shared" si="13"/>
        <v>一年以上</v>
      </c>
      <c r="E288" s="66">
        <v>44552</v>
      </c>
      <c r="F288" s="66"/>
      <c r="G288" s="59" t="s">
        <v>614</v>
      </c>
      <c r="H288" s="60" t="s">
        <v>689</v>
      </c>
      <c r="I288" s="63" t="s">
        <v>689</v>
      </c>
      <c r="J288" s="76">
        <v>10000</v>
      </c>
      <c r="K288" s="59" t="s">
        <v>28</v>
      </c>
      <c r="L288" s="59" t="s">
        <v>57</v>
      </c>
      <c r="M288" s="59" t="s">
        <v>30</v>
      </c>
      <c r="N288" s="65"/>
      <c r="O288" s="65">
        <f t="shared" si="15"/>
        <v>10000</v>
      </c>
      <c r="P288" s="66"/>
      <c r="Q288" s="61">
        <f t="shared" si="14"/>
        <v>0</v>
      </c>
      <c r="R288" s="59" t="s">
        <v>718</v>
      </c>
      <c r="S288" s="59" t="s">
        <v>719</v>
      </c>
      <c r="T288" s="59" t="s">
        <v>720</v>
      </c>
      <c r="U288" s="59" t="str">
        <f>VLOOKUP(T288,[1]区域划分!$A$1:$C$39,3,0)</f>
        <v>杨春龙</v>
      </c>
      <c r="V288" s="59"/>
      <c r="W288" s="59"/>
      <c r="X288" s="59"/>
    </row>
    <row r="289" s="20" customFormat="1" ht="24" hidden="1" spans="1:24">
      <c r="A289" s="59">
        <v>285</v>
      </c>
      <c r="B289" s="60" t="s">
        <v>721</v>
      </c>
      <c r="C289" s="61">
        <v>44531</v>
      </c>
      <c r="D289" s="62" t="str">
        <f ca="1" t="shared" si="13"/>
        <v>一年以上</v>
      </c>
      <c r="E289" s="66">
        <v>44552</v>
      </c>
      <c r="F289" s="66"/>
      <c r="G289" s="59" t="s">
        <v>614</v>
      </c>
      <c r="H289" s="60" t="s">
        <v>722</v>
      </c>
      <c r="I289" s="63" t="s">
        <v>722</v>
      </c>
      <c r="J289" s="76">
        <v>10000</v>
      </c>
      <c r="K289" s="59" t="s">
        <v>338</v>
      </c>
      <c r="L289" s="59" t="s">
        <v>627</v>
      </c>
      <c r="M289" s="59" t="s">
        <v>30</v>
      </c>
      <c r="N289" s="65">
        <v>10000</v>
      </c>
      <c r="O289" s="65">
        <f t="shared" si="15"/>
        <v>0</v>
      </c>
      <c r="P289" s="66">
        <v>44645</v>
      </c>
      <c r="Q289" s="61">
        <f t="shared" si="14"/>
        <v>44645</v>
      </c>
      <c r="R289" s="59"/>
      <c r="S289" s="59" t="s">
        <v>723</v>
      </c>
      <c r="T289" s="59"/>
      <c r="U289" s="59"/>
      <c r="V289" s="59"/>
      <c r="W289" s="59"/>
      <c r="X289" s="59"/>
    </row>
    <row r="290" s="20" customFormat="1" ht="24" hidden="1" spans="1:24">
      <c r="A290" s="59">
        <v>142</v>
      </c>
      <c r="B290" s="60" t="s">
        <v>724</v>
      </c>
      <c r="C290" s="61">
        <v>44531</v>
      </c>
      <c r="D290" s="62" t="str">
        <f ca="1" t="shared" si="13"/>
        <v>一年以上</v>
      </c>
      <c r="E290" s="66">
        <v>44553</v>
      </c>
      <c r="F290" s="66" t="s">
        <v>70</v>
      </c>
      <c r="G290" s="59" t="s">
        <v>83</v>
      </c>
      <c r="H290" s="60" t="s">
        <v>657</v>
      </c>
      <c r="I290" s="63" t="s">
        <v>657</v>
      </c>
      <c r="J290" s="76">
        <v>3000</v>
      </c>
      <c r="K290" s="59" t="s">
        <v>356</v>
      </c>
      <c r="L290" s="59" t="s">
        <v>458</v>
      </c>
      <c r="M290" s="59" t="s">
        <v>65</v>
      </c>
      <c r="N290" s="65">
        <v>3000</v>
      </c>
      <c r="O290" s="65">
        <f t="shared" si="15"/>
        <v>0</v>
      </c>
      <c r="P290" s="66">
        <v>44617</v>
      </c>
      <c r="Q290" s="61">
        <f t="shared" si="14"/>
        <v>44617</v>
      </c>
      <c r="R290" s="66"/>
      <c r="S290" s="59" t="s">
        <v>65</v>
      </c>
      <c r="T290" s="59" t="s">
        <v>300</v>
      </c>
      <c r="U290" s="59" t="s">
        <v>301</v>
      </c>
      <c r="V290" s="59"/>
      <c r="W290" s="59"/>
      <c r="X290" s="59"/>
    </row>
    <row r="291" s="20" customFormat="1" ht="24" spans="1:24">
      <c r="A291" s="59">
        <v>286</v>
      </c>
      <c r="B291" s="60" t="s">
        <v>725</v>
      </c>
      <c r="C291" s="61">
        <v>44531</v>
      </c>
      <c r="D291" s="62" t="str">
        <f ca="1" t="shared" si="13"/>
        <v>一年以上</v>
      </c>
      <c r="E291" s="66">
        <v>44553</v>
      </c>
      <c r="F291" s="66"/>
      <c r="G291" s="59" t="s">
        <v>450</v>
      </c>
      <c r="H291" s="60" t="s">
        <v>726</v>
      </c>
      <c r="I291" s="63" t="s">
        <v>727</v>
      </c>
      <c r="J291" s="76">
        <v>400</v>
      </c>
      <c r="K291" s="59" t="s">
        <v>28</v>
      </c>
      <c r="L291" s="59" t="s">
        <v>57</v>
      </c>
      <c r="M291" s="59" t="s">
        <v>30</v>
      </c>
      <c r="N291" s="65"/>
      <c r="O291" s="88">
        <f t="shared" si="15"/>
        <v>400</v>
      </c>
      <c r="P291" s="66"/>
      <c r="Q291" s="61">
        <f t="shared" si="14"/>
        <v>0</v>
      </c>
      <c r="R291" s="59"/>
      <c r="S291" s="59" t="s">
        <v>729</v>
      </c>
      <c r="T291" s="59" t="s">
        <v>32</v>
      </c>
      <c r="U291" s="59" t="str">
        <f>VLOOKUP(T291,[1]区域划分!$A$1:$C$39,3,0)</f>
        <v>方渊</v>
      </c>
      <c r="V291" s="59"/>
      <c r="W291" s="59"/>
      <c r="X291" s="59"/>
    </row>
    <row r="292" s="20" customFormat="1" ht="24" hidden="1" spans="1:24">
      <c r="A292" s="59">
        <v>287</v>
      </c>
      <c r="B292" s="60" t="s">
        <v>730</v>
      </c>
      <c r="C292" s="61">
        <v>44531</v>
      </c>
      <c r="D292" s="62" t="str">
        <f ca="1" t="shared" si="13"/>
        <v>一年以上</v>
      </c>
      <c r="E292" s="66">
        <v>44553</v>
      </c>
      <c r="F292" s="66"/>
      <c r="G292" s="59" t="s">
        <v>614</v>
      </c>
      <c r="H292" s="60" t="s">
        <v>325</v>
      </c>
      <c r="I292" s="63" t="s">
        <v>325</v>
      </c>
      <c r="J292" s="76">
        <v>1000</v>
      </c>
      <c r="K292" s="59" t="s">
        <v>356</v>
      </c>
      <c r="L292" s="59" t="s">
        <v>458</v>
      </c>
      <c r="M292" s="59" t="s">
        <v>30</v>
      </c>
      <c r="N292" s="65">
        <v>1000</v>
      </c>
      <c r="O292" s="65">
        <f t="shared" si="15"/>
        <v>0</v>
      </c>
      <c r="P292" s="66">
        <v>44897</v>
      </c>
      <c r="Q292" s="61">
        <f t="shared" si="14"/>
        <v>44897</v>
      </c>
      <c r="R292" s="59"/>
      <c r="S292" s="59" t="s">
        <v>731</v>
      </c>
      <c r="T292" s="59"/>
      <c r="U292" s="59"/>
      <c r="V292" s="59"/>
      <c r="W292" s="59"/>
      <c r="X292" s="59"/>
    </row>
    <row r="293" s="20" customFormat="1" ht="24" hidden="1" spans="1:24">
      <c r="A293" s="59">
        <v>288</v>
      </c>
      <c r="B293" s="60" t="s">
        <v>732</v>
      </c>
      <c r="C293" s="61">
        <v>44531</v>
      </c>
      <c r="D293" s="62" t="str">
        <f ca="1" t="shared" si="13"/>
        <v>一年以上</v>
      </c>
      <c r="E293" s="66">
        <v>44553</v>
      </c>
      <c r="F293" s="66"/>
      <c r="G293" s="59" t="s">
        <v>614</v>
      </c>
      <c r="H293" s="60" t="s">
        <v>325</v>
      </c>
      <c r="I293" s="63" t="s">
        <v>325</v>
      </c>
      <c r="J293" s="76">
        <v>2000</v>
      </c>
      <c r="K293" s="59" t="s">
        <v>356</v>
      </c>
      <c r="L293" s="59" t="s">
        <v>458</v>
      </c>
      <c r="M293" s="59" t="s">
        <v>30</v>
      </c>
      <c r="N293" s="65">
        <v>2000</v>
      </c>
      <c r="O293" s="65">
        <f t="shared" si="15"/>
        <v>0</v>
      </c>
      <c r="P293" s="66">
        <v>44579</v>
      </c>
      <c r="Q293" s="61">
        <f t="shared" si="14"/>
        <v>44579</v>
      </c>
      <c r="R293" s="59"/>
      <c r="S293" s="59" t="s">
        <v>30</v>
      </c>
      <c r="T293" s="59"/>
      <c r="U293" s="59"/>
      <c r="V293" s="59"/>
      <c r="W293" s="59"/>
      <c r="X293" s="59"/>
    </row>
    <row r="294" s="20" customFormat="1" ht="24" hidden="1" spans="1:24">
      <c r="A294" s="59">
        <v>289</v>
      </c>
      <c r="B294" s="60" t="s">
        <v>733</v>
      </c>
      <c r="C294" s="61">
        <v>44531</v>
      </c>
      <c r="D294" s="62" t="str">
        <f ca="1" t="shared" si="13"/>
        <v>一年以上</v>
      </c>
      <c r="E294" s="66">
        <v>44557</v>
      </c>
      <c r="F294" s="66"/>
      <c r="G294" s="59" t="s">
        <v>614</v>
      </c>
      <c r="H294" s="60" t="s">
        <v>706</v>
      </c>
      <c r="I294" s="63" t="s">
        <v>706</v>
      </c>
      <c r="J294" s="76">
        <v>3000</v>
      </c>
      <c r="K294" s="59" t="s">
        <v>356</v>
      </c>
      <c r="L294" s="59" t="s">
        <v>458</v>
      </c>
      <c r="M294" s="59" t="s">
        <v>30</v>
      </c>
      <c r="N294" s="65">
        <v>3000</v>
      </c>
      <c r="O294" s="65">
        <f t="shared" si="15"/>
        <v>0</v>
      </c>
      <c r="P294" s="66">
        <v>44581</v>
      </c>
      <c r="Q294" s="61">
        <f t="shared" si="14"/>
        <v>44581</v>
      </c>
      <c r="R294" s="59"/>
      <c r="S294" s="59" t="s">
        <v>30</v>
      </c>
      <c r="T294" s="59"/>
      <c r="U294" s="59"/>
      <c r="V294" s="59"/>
      <c r="W294" s="59"/>
      <c r="X294" s="59"/>
    </row>
    <row r="295" s="20" customFormat="1" ht="24" hidden="1" spans="1:24">
      <c r="A295" s="59">
        <v>290</v>
      </c>
      <c r="B295" s="60" t="s">
        <v>734</v>
      </c>
      <c r="C295" s="61">
        <v>44531</v>
      </c>
      <c r="D295" s="62" t="str">
        <f ca="1" t="shared" si="13"/>
        <v>一年以上</v>
      </c>
      <c r="E295" s="66">
        <v>44557</v>
      </c>
      <c r="F295" s="66"/>
      <c r="G295" s="59" t="s">
        <v>614</v>
      </c>
      <c r="H295" s="60" t="s">
        <v>706</v>
      </c>
      <c r="I295" s="63" t="s">
        <v>706</v>
      </c>
      <c r="J295" s="76">
        <v>3000</v>
      </c>
      <c r="K295" s="59" t="s">
        <v>356</v>
      </c>
      <c r="L295" s="59" t="s">
        <v>458</v>
      </c>
      <c r="M295" s="59" t="s">
        <v>30</v>
      </c>
      <c r="N295" s="65">
        <v>3000</v>
      </c>
      <c r="O295" s="65">
        <f t="shared" si="15"/>
        <v>0</v>
      </c>
      <c r="P295" s="66">
        <v>44581</v>
      </c>
      <c r="Q295" s="61">
        <f t="shared" si="14"/>
        <v>44581</v>
      </c>
      <c r="R295" s="59"/>
      <c r="S295" s="59" t="s">
        <v>30</v>
      </c>
      <c r="T295" s="59"/>
      <c r="U295" s="59"/>
      <c r="V295" s="59"/>
      <c r="W295" s="59"/>
      <c r="X295" s="59"/>
    </row>
    <row r="296" s="20" customFormat="1" ht="24" hidden="1" spans="1:24">
      <c r="A296" s="59">
        <v>291</v>
      </c>
      <c r="B296" s="60" t="s">
        <v>735</v>
      </c>
      <c r="C296" s="61">
        <v>44531</v>
      </c>
      <c r="D296" s="62" t="str">
        <f ca="1" t="shared" si="13"/>
        <v>一年以上</v>
      </c>
      <c r="E296" s="66">
        <v>44557</v>
      </c>
      <c r="F296" s="66"/>
      <c r="G296" s="59" t="s">
        <v>614</v>
      </c>
      <c r="H296" s="60" t="s">
        <v>706</v>
      </c>
      <c r="I296" s="63" t="s">
        <v>706</v>
      </c>
      <c r="J296" s="76">
        <v>5000</v>
      </c>
      <c r="K296" s="59" t="s">
        <v>356</v>
      </c>
      <c r="L296" s="59" t="s">
        <v>458</v>
      </c>
      <c r="M296" s="59" t="s">
        <v>30</v>
      </c>
      <c r="N296" s="65">
        <v>5000</v>
      </c>
      <c r="O296" s="65">
        <f t="shared" si="15"/>
        <v>0</v>
      </c>
      <c r="P296" s="66">
        <v>44581</v>
      </c>
      <c r="Q296" s="61">
        <f t="shared" si="14"/>
        <v>44581</v>
      </c>
      <c r="R296" s="59"/>
      <c r="S296" s="59" t="s">
        <v>30</v>
      </c>
      <c r="T296" s="59"/>
      <c r="U296" s="59"/>
      <c r="V296" s="59"/>
      <c r="W296" s="59"/>
      <c r="X296" s="59"/>
    </row>
    <row r="297" s="20" customFormat="1" ht="24" spans="1:24">
      <c r="A297" s="59">
        <v>145</v>
      </c>
      <c r="B297" s="60" t="s">
        <v>736</v>
      </c>
      <c r="C297" s="61">
        <v>44531</v>
      </c>
      <c r="D297" s="62" t="str">
        <f ca="1" t="shared" si="13"/>
        <v>一年以上</v>
      </c>
      <c r="E297" s="66">
        <v>44558</v>
      </c>
      <c r="F297" s="66" t="s">
        <v>70</v>
      </c>
      <c r="G297" s="59" t="s">
        <v>434</v>
      </c>
      <c r="H297" s="60" t="s">
        <v>141</v>
      </c>
      <c r="I297" s="63" t="s">
        <v>141</v>
      </c>
      <c r="J297" s="76">
        <v>10000</v>
      </c>
      <c r="K297" s="59" t="s">
        <v>28</v>
      </c>
      <c r="L297" s="59" t="s">
        <v>73</v>
      </c>
      <c r="M297" s="59" t="s">
        <v>65</v>
      </c>
      <c r="N297" s="65">
        <v>9500</v>
      </c>
      <c r="O297" s="65">
        <f t="shared" si="15"/>
        <v>500</v>
      </c>
      <c r="P297" s="66"/>
      <c r="Q297" s="61">
        <f t="shared" si="14"/>
        <v>0</v>
      </c>
      <c r="R297" s="59" t="s">
        <v>737</v>
      </c>
      <c r="S297" s="59"/>
      <c r="T297" s="59" t="s">
        <v>300</v>
      </c>
      <c r="U297" s="59" t="str">
        <f>VLOOKUP(T297,[1]区域划分!$A$1:$C$39,3,0)</f>
        <v>林维</v>
      </c>
      <c r="V297" s="59"/>
      <c r="W297" s="59"/>
      <c r="X297" s="59"/>
    </row>
    <row r="298" s="20" customFormat="1" ht="24" hidden="1" spans="1:24">
      <c r="A298" s="59">
        <v>352</v>
      </c>
      <c r="B298" s="60" t="s">
        <v>738</v>
      </c>
      <c r="C298" s="61">
        <v>44531</v>
      </c>
      <c r="D298" s="62" t="str">
        <f ca="1" t="shared" si="13"/>
        <v>一年以上</v>
      </c>
      <c r="E298" s="66">
        <v>44559</v>
      </c>
      <c r="F298" s="66" t="s">
        <v>130</v>
      </c>
      <c r="G298" s="59" t="s">
        <v>208</v>
      </c>
      <c r="H298" s="60" t="s">
        <v>739</v>
      </c>
      <c r="I298" s="63" t="s">
        <v>739</v>
      </c>
      <c r="J298" s="76">
        <v>9800</v>
      </c>
      <c r="K298" s="59" t="s">
        <v>28</v>
      </c>
      <c r="L298" s="59" t="s">
        <v>57</v>
      </c>
      <c r="M298" s="59" t="s">
        <v>133</v>
      </c>
      <c r="N298" s="65">
        <v>9800</v>
      </c>
      <c r="O298" s="65">
        <f t="shared" si="15"/>
        <v>0</v>
      </c>
      <c r="P298" s="66">
        <v>44826</v>
      </c>
      <c r="Q298" s="61">
        <f t="shared" si="14"/>
        <v>44826</v>
      </c>
      <c r="R298" s="59"/>
      <c r="S298" s="59" t="s">
        <v>740</v>
      </c>
      <c r="T298" s="59"/>
      <c r="U298" s="59"/>
      <c r="V298" s="59"/>
      <c r="W298" s="59"/>
      <c r="X298" s="59"/>
    </row>
    <row r="299" s="20" customFormat="1" ht="60" spans="1:24">
      <c r="A299" s="59">
        <v>146</v>
      </c>
      <c r="B299" s="60" t="s">
        <v>741</v>
      </c>
      <c r="C299" s="61">
        <v>44562</v>
      </c>
      <c r="D299" s="62" t="str">
        <f ca="1" t="shared" si="13"/>
        <v>一年以上</v>
      </c>
      <c r="E299" s="66">
        <v>44565</v>
      </c>
      <c r="F299" s="66" t="s">
        <v>70</v>
      </c>
      <c r="G299" s="59" t="s">
        <v>119</v>
      </c>
      <c r="H299" s="60" t="s">
        <v>742</v>
      </c>
      <c r="I299" s="63" t="s">
        <v>742</v>
      </c>
      <c r="J299" s="96">
        <v>10000</v>
      </c>
      <c r="K299" s="59" t="s">
        <v>28</v>
      </c>
      <c r="L299" s="59" t="s">
        <v>743</v>
      </c>
      <c r="M299" s="59" t="s">
        <v>65</v>
      </c>
      <c r="N299" s="65"/>
      <c r="O299" s="88">
        <f t="shared" si="15"/>
        <v>10000</v>
      </c>
      <c r="P299" s="66"/>
      <c r="Q299" s="61">
        <f t="shared" si="14"/>
        <v>0</v>
      </c>
      <c r="R299" s="66" t="s">
        <v>744</v>
      </c>
      <c r="S299" s="59"/>
      <c r="T299" s="59" t="s">
        <v>581</v>
      </c>
      <c r="U299" s="59" t="str">
        <f>VLOOKUP(T299,[1]区域划分!$A$1:$C$39,3,0)</f>
        <v>新疆</v>
      </c>
      <c r="V299" s="59"/>
      <c r="W299" s="59"/>
      <c r="X299" s="59"/>
    </row>
    <row r="300" s="20" customFormat="1" ht="24" hidden="1" spans="1:24">
      <c r="A300" s="59">
        <v>292</v>
      </c>
      <c r="B300" s="60" t="s">
        <v>745</v>
      </c>
      <c r="C300" s="61">
        <v>44562</v>
      </c>
      <c r="D300" s="62" t="str">
        <f ca="1" t="shared" si="13"/>
        <v>一年以上</v>
      </c>
      <c r="E300" s="66">
        <v>44565</v>
      </c>
      <c r="F300" s="66"/>
      <c r="G300" s="59" t="s">
        <v>614</v>
      </c>
      <c r="H300" s="60" t="s">
        <v>706</v>
      </c>
      <c r="I300" s="63" t="s">
        <v>706</v>
      </c>
      <c r="J300" s="76">
        <v>5000</v>
      </c>
      <c r="K300" s="59" t="s">
        <v>356</v>
      </c>
      <c r="L300" s="59" t="s">
        <v>458</v>
      </c>
      <c r="M300" s="59" t="s">
        <v>30</v>
      </c>
      <c r="N300" s="65">
        <v>5000</v>
      </c>
      <c r="O300" s="65">
        <f t="shared" si="15"/>
        <v>0</v>
      </c>
      <c r="P300" s="66">
        <v>44581</v>
      </c>
      <c r="Q300" s="61">
        <f t="shared" si="14"/>
        <v>44581</v>
      </c>
      <c r="R300" s="59"/>
      <c r="S300" s="59" t="s">
        <v>30</v>
      </c>
      <c r="T300" s="59"/>
      <c r="U300" s="59"/>
      <c r="V300" s="59"/>
      <c r="W300" s="59"/>
      <c r="X300" s="59"/>
    </row>
    <row r="301" s="20" customFormat="1" ht="24" hidden="1" spans="1:24">
      <c r="A301" s="59">
        <v>293</v>
      </c>
      <c r="B301" s="60" t="s">
        <v>746</v>
      </c>
      <c r="C301" s="61">
        <v>44562</v>
      </c>
      <c r="D301" s="62" t="str">
        <f ca="1" t="shared" si="13"/>
        <v>一年以上</v>
      </c>
      <c r="E301" s="66">
        <v>44565</v>
      </c>
      <c r="F301" s="66"/>
      <c r="G301" s="59" t="s">
        <v>614</v>
      </c>
      <c r="H301" s="60" t="s">
        <v>706</v>
      </c>
      <c r="I301" s="63" t="s">
        <v>706</v>
      </c>
      <c r="J301" s="76">
        <v>5000</v>
      </c>
      <c r="K301" s="59" t="s">
        <v>356</v>
      </c>
      <c r="L301" s="59" t="s">
        <v>458</v>
      </c>
      <c r="M301" s="59" t="s">
        <v>30</v>
      </c>
      <c r="N301" s="65">
        <v>5000</v>
      </c>
      <c r="O301" s="65">
        <f t="shared" si="15"/>
        <v>0</v>
      </c>
      <c r="P301" s="66">
        <v>44581</v>
      </c>
      <c r="Q301" s="61">
        <f t="shared" si="14"/>
        <v>44581</v>
      </c>
      <c r="R301" s="59"/>
      <c r="S301" s="59" t="s">
        <v>30</v>
      </c>
      <c r="T301" s="59"/>
      <c r="U301" s="59"/>
      <c r="V301" s="59"/>
      <c r="W301" s="59"/>
      <c r="X301" s="59"/>
    </row>
    <row r="302" s="20" customFormat="1" ht="24" hidden="1" spans="1:24">
      <c r="A302" s="59">
        <v>294</v>
      </c>
      <c r="B302" s="60" t="s">
        <v>747</v>
      </c>
      <c r="C302" s="61">
        <v>44562</v>
      </c>
      <c r="D302" s="62" t="str">
        <f ca="1" t="shared" si="13"/>
        <v>一年以上</v>
      </c>
      <c r="E302" s="66">
        <v>44567</v>
      </c>
      <c r="F302" s="66"/>
      <c r="G302" s="59" t="s">
        <v>614</v>
      </c>
      <c r="H302" s="60" t="s">
        <v>706</v>
      </c>
      <c r="I302" s="63" t="s">
        <v>706</v>
      </c>
      <c r="J302" s="76">
        <v>5000</v>
      </c>
      <c r="K302" s="59" t="s">
        <v>356</v>
      </c>
      <c r="L302" s="59" t="s">
        <v>458</v>
      </c>
      <c r="M302" s="59" t="s">
        <v>30</v>
      </c>
      <c r="N302" s="65">
        <v>5000</v>
      </c>
      <c r="O302" s="65">
        <f t="shared" si="15"/>
        <v>0</v>
      </c>
      <c r="P302" s="66">
        <v>44581</v>
      </c>
      <c r="Q302" s="61">
        <f t="shared" si="14"/>
        <v>44581</v>
      </c>
      <c r="R302" s="59"/>
      <c r="S302" s="59" t="s">
        <v>30</v>
      </c>
      <c r="T302" s="59"/>
      <c r="U302" s="59"/>
      <c r="V302" s="59"/>
      <c r="W302" s="59"/>
      <c r="X302" s="59"/>
    </row>
    <row r="303" s="20" customFormat="1" ht="24" hidden="1" spans="1:24">
      <c r="A303" s="59">
        <v>295</v>
      </c>
      <c r="B303" s="60" t="s">
        <v>748</v>
      </c>
      <c r="C303" s="61">
        <v>44562</v>
      </c>
      <c r="D303" s="62" t="str">
        <f ca="1" t="shared" si="13"/>
        <v>一年以上</v>
      </c>
      <c r="E303" s="66">
        <v>44571</v>
      </c>
      <c r="F303" s="66"/>
      <c r="G303" s="59" t="s">
        <v>614</v>
      </c>
      <c r="H303" s="91" t="s">
        <v>283</v>
      </c>
      <c r="I303" s="63" t="s">
        <v>283</v>
      </c>
      <c r="J303" s="76">
        <v>5000</v>
      </c>
      <c r="K303" s="59" t="s">
        <v>356</v>
      </c>
      <c r="L303" s="59" t="s">
        <v>458</v>
      </c>
      <c r="M303" s="59" t="s">
        <v>30</v>
      </c>
      <c r="N303" s="65">
        <v>5000</v>
      </c>
      <c r="O303" s="65">
        <f t="shared" si="15"/>
        <v>0</v>
      </c>
      <c r="P303" s="66">
        <v>44657</v>
      </c>
      <c r="Q303" s="61">
        <f t="shared" si="14"/>
        <v>44657</v>
      </c>
      <c r="R303" s="59"/>
      <c r="S303" s="59" t="s">
        <v>749</v>
      </c>
      <c r="T303" s="59"/>
      <c r="U303" s="59"/>
      <c r="V303" s="59"/>
      <c r="W303" s="59"/>
      <c r="X303" s="59"/>
    </row>
    <row r="304" s="20" customFormat="1" ht="24" hidden="1" spans="1:24">
      <c r="A304" s="59">
        <v>316</v>
      </c>
      <c r="B304" s="60" t="s">
        <v>750</v>
      </c>
      <c r="C304" s="61">
        <v>44562</v>
      </c>
      <c r="D304" s="62" t="str">
        <f ca="1" t="shared" si="13"/>
        <v>一年以上</v>
      </c>
      <c r="E304" s="66">
        <v>44572</v>
      </c>
      <c r="F304" s="66" t="s">
        <v>282</v>
      </c>
      <c r="G304" s="59" t="s">
        <v>104</v>
      </c>
      <c r="H304" s="60" t="s">
        <v>325</v>
      </c>
      <c r="I304" s="63" t="s">
        <v>325</v>
      </c>
      <c r="J304" s="76">
        <v>2000</v>
      </c>
      <c r="K304" s="59" t="s">
        <v>356</v>
      </c>
      <c r="L304" s="59" t="s">
        <v>458</v>
      </c>
      <c r="M304" s="59" t="s">
        <v>65</v>
      </c>
      <c r="N304" s="65">
        <v>2000</v>
      </c>
      <c r="O304" s="65">
        <f t="shared" si="15"/>
        <v>0</v>
      </c>
      <c r="P304" s="66">
        <v>44897</v>
      </c>
      <c r="Q304" s="61">
        <f t="shared" si="14"/>
        <v>44897</v>
      </c>
      <c r="R304" s="66" t="s">
        <v>751</v>
      </c>
      <c r="S304" s="59" t="s">
        <v>65</v>
      </c>
      <c r="T304" s="59"/>
      <c r="U304" s="59"/>
      <c r="V304" s="59"/>
      <c r="W304" s="59"/>
      <c r="X304" s="59"/>
    </row>
    <row r="305" s="20" customFormat="1" ht="24" hidden="1" spans="1:24">
      <c r="A305" s="59">
        <v>390</v>
      </c>
      <c r="B305" s="60" t="s">
        <v>752</v>
      </c>
      <c r="C305" s="61">
        <v>44562</v>
      </c>
      <c r="D305" s="62" t="str">
        <f ca="1" t="shared" si="13"/>
        <v>一年以上</v>
      </c>
      <c r="E305" s="66">
        <v>44572</v>
      </c>
      <c r="F305" s="66" t="s">
        <v>632</v>
      </c>
      <c r="G305" s="59" t="s">
        <v>450</v>
      </c>
      <c r="H305" s="60" t="s">
        <v>753</v>
      </c>
      <c r="I305" s="63" t="s">
        <v>753</v>
      </c>
      <c r="J305" s="76">
        <v>1000</v>
      </c>
      <c r="K305" s="59"/>
      <c r="L305" s="59" t="s">
        <v>96</v>
      </c>
      <c r="M305" s="59" t="s">
        <v>515</v>
      </c>
      <c r="N305" s="65">
        <v>1000</v>
      </c>
      <c r="O305" s="65">
        <f t="shared" si="15"/>
        <v>0</v>
      </c>
      <c r="P305" s="66">
        <f>E305</f>
        <v>44572</v>
      </c>
      <c r="Q305" s="61">
        <f t="shared" si="14"/>
        <v>44572</v>
      </c>
      <c r="R305" s="59"/>
      <c r="S305" s="80" t="s">
        <v>754</v>
      </c>
      <c r="T305" s="59"/>
      <c r="U305" s="59"/>
      <c r="V305" s="59"/>
      <c r="W305" s="59"/>
      <c r="X305" s="59"/>
    </row>
    <row r="306" s="20" customFormat="1" ht="36" hidden="1" spans="1:24">
      <c r="A306" s="59">
        <v>147</v>
      </c>
      <c r="B306" s="60" t="s">
        <v>755</v>
      </c>
      <c r="C306" s="61">
        <v>44562</v>
      </c>
      <c r="D306" s="62" t="str">
        <f ca="1" t="shared" si="13"/>
        <v>一年以上</v>
      </c>
      <c r="E306" s="66">
        <v>44573</v>
      </c>
      <c r="F306" s="66" t="s">
        <v>282</v>
      </c>
      <c r="G306" s="59" t="s">
        <v>756</v>
      </c>
      <c r="H306" s="60" t="s">
        <v>234</v>
      </c>
      <c r="I306" s="63" t="s">
        <v>234</v>
      </c>
      <c r="J306" s="96">
        <v>7500</v>
      </c>
      <c r="K306" s="59" t="s">
        <v>356</v>
      </c>
      <c r="L306" s="59" t="s">
        <v>458</v>
      </c>
      <c r="M306" s="59" t="s">
        <v>65</v>
      </c>
      <c r="N306" s="65">
        <v>7500</v>
      </c>
      <c r="O306" s="65">
        <f t="shared" si="15"/>
        <v>0</v>
      </c>
      <c r="P306" s="95">
        <v>45464</v>
      </c>
      <c r="Q306" s="61">
        <f t="shared" si="14"/>
        <v>45464</v>
      </c>
      <c r="R306" s="66" t="s">
        <v>757</v>
      </c>
      <c r="S306" s="59" t="s">
        <v>65</v>
      </c>
      <c r="T306" s="59" t="s">
        <v>182</v>
      </c>
      <c r="U306" s="59" t="str">
        <f>VLOOKUP(T306,[1]区域划分!$A$1:$C$39,3,0)</f>
        <v>汪瑞青</v>
      </c>
      <c r="V306" s="59" t="s">
        <v>237</v>
      </c>
      <c r="W306" s="59"/>
      <c r="X306" s="59"/>
    </row>
    <row r="307" s="20" customFormat="1" ht="24" hidden="1" spans="1:24">
      <c r="A307" s="59">
        <v>296</v>
      </c>
      <c r="B307" s="60" t="s">
        <v>758</v>
      </c>
      <c r="C307" s="61">
        <v>44562</v>
      </c>
      <c r="D307" s="62" t="str">
        <f ca="1" t="shared" si="13"/>
        <v>一年以上</v>
      </c>
      <c r="E307" s="66">
        <v>44573</v>
      </c>
      <c r="F307" s="66"/>
      <c r="G307" s="59" t="s">
        <v>450</v>
      </c>
      <c r="H307" s="91" t="s">
        <v>759</v>
      </c>
      <c r="I307" s="63" t="s">
        <v>759</v>
      </c>
      <c r="J307" s="76">
        <v>30000</v>
      </c>
      <c r="K307" s="59" t="s">
        <v>28</v>
      </c>
      <c r="L307" s="59" t="s">
        <v>57</v>
      </c>
      <c r="M307" s="59" t="s">
        <v>30</v>
      </c>
      <c r="N307" s="65">
        <v>30000</v>
      </c>
      <c r="O307" s="65">
        <f t="shared" si="15"/>
        <v>0</v>
      </c>
      <c r="P307" s="66">
        <v>44635</v>
      </c>
      <c r="Q307" s="61">
        <f t="shared" si="14"/>
        <v>44635</v>
      </c>
      <c r="R307" s="59"/>
      <c r="S307" s="59" t="s">
        <v>760</v>
      </c>
      <c r="T307" s="59"/>
      <c r="U307" s="59"/>
      <c r="V307" s="59"/>
      <c r="W307" s="59"/>
      <c r="X307" s="59"/>
    </row>
    <row r="308" s="20" customFormat="1" ht="24" hidden="1" spans="1:24">
      <c r="A308" s="59">
        <v>148</v>
      </c>
      <c r="B308" s="60" t="s">
        <v>761</v>
      </c>
      <c r="C308" s="61">
        <v>44562</v>
      </c>
      <c r="D308" s="62" t="str">
        <f ca="1" t="shared" si="13"/>
        <v>一年以上</v>
      </c>
      <c r="E308" s="66">
        <v>44575</v>
      </c>
      <c r="F308" s="66" t="s">
        <v>122</v>
      </c>
      <c r="G308" s="59" t="s">
        <v>762</v>
      </c>
      <c r="H308" s="60" t="s">
        <v>419</v>
      </c>
      <c r="I308" s="63" t="s">
        <v>419</v>
      </c>
      <c r="J308" s="76">
        <v>3150</v>
      </c>
      <c r="K308" s="59" t="s">
        <v>28</v>
      </c>
      <c r="L308" s="59" t="s">
        <v>57</v>
      </c>
      <c r="M308" s="59" t="s">
        <v>65</v>
      </c>
      <c r="N308" s="65">
        <v>3150</v>
      </c>
      <c r="O308" s="65">
        <f t="shared" si="15"/>
        <v>0</v>
      </c>
      <c r="P308" s="66">
        <v>44850</v>
      </c>
      <c r="Q308" s="61">
        <f t="shared" si="14"/>
        <v>44850</v>
      </c>
      <c r="R308" s="66"/>
      <c r="S308" s="59" t="s">
        <v>65</v>
      </c>
      <c r="T308" s="59"/>
      <c r="U308" s="59"/>
      <c r="V308" s="59"/>
      <c r="W308" s="59"/>
      <c r="X308" s="59"/>
    </row>
    <row r="309" s="20" customFormat="1" ht="24" hidden="1" spans="1:24">
      <c r="A309" s="59">
        <v>297</v>
      </c>
      <c r="B309" s="60" t="s">
        <v>763</v>
      </c>
      <c r="C309" s="61">
        <v>44562</v>
      </c>
      <c r="D309" s="62" t="str">
        <f ca="1" t="shared" si="13"/>
        <v>一年以上</v>
      </c>
      <c r="E309" s="66">
        <v>44575</v>
      </c>
      <c r="F309" s="66"/>
      <c r="G309" s="59" t="s">
        <v>450</v>
      </c>
      <c r="H309" s="91" t="s">
        <v>188</v>
      </c>
      <c r="I309" s="63" t="s">
        <v>188</v>
      </c>
      <c r="J309" s="76">
        <v>5000</v>
      </c>
      <c r="K309" s="59" t="s">
        <v>28</v>
      </c>
      <c r="L309" s="59" t="s">
        <v>57</v>
      </c>
      <c r="M309" s="59" t="s">
        <v>30</v>
      </c>
      <c r="N309" s="65">
        <v>5000</v>
      </c>
      <c r="O309" s="65">
        <f t="shared" si="15"/>
        <v>0</v>
      </c>
      <c r="P309" s="66">
        <v>44616</v>
      </c>
      <c r="Q309" s="61">
        <f t="shared" si="14"/>
        <v>44616</v>
      </c>
      <c r="R309" s="59"/>
      <c r="S309" s="59" t="s">
        <v>764</v>
      </c>
      <c r="T309" s="59"/>
      <c r="U309" s="59"/>
      <c r="V309" s="59"/>
      <c r="W309" s="59"/>
      <c r="X309" s="59"/>
    </row>
    <row r="310" s="20" customFormat="1" ht="24" hidden="1" spans="1:24">
      <c r="A310" s="59">
        <v>298</v>
      </c>
      <c r="B310" s="60" t="s">
        <v>765</v>
      </c>
      <c r="C310" s="61">
        <v>44562</v>
      </c>
      <c r="D310" s="62" t="str">
        <f ca="1" t="shared" si="13"/>
        <v>一年以上</v>
      </c>
      <c r="E310" s="66">
        <v>44576</v>
      </c>
      <c r="F310" s="66"/>
      <c r="G310" s="59" t="s">
        <v>450</v>
      </c>
      <c r="H310" s="91" t="s">
        <v>188</v>
      </c>
      <c r="I310" s="63" t="s">
        <v>188</v>
      </c>
      <c r="J310" s="76">
        <v>5000</v>
      </c>
      <c r="K310" s="59" t="s">
        <v>338</v>
      </c>
      <c r="L310" s="59" t="s">
        <v>627</v>
      </c>
      <c r="M310" s="59" t="s">
        <v>30</v>
      </c>
      <c r="N310" s="65">
        <v>5000</v>
      </c>
      <c r="O310" s="65">
        <f t="shared" si="15"/>
        <v>0</v>
      </c>
      <c r="P310" s="66">
        <v>44613</v>
      </c>
      <c r="Q310" s="61">
        <f t="shared" si="14"/>
        <v>44613</v>
      </c>
      <c r="R310" s="59"/>
      <c r="S310" s="59" t="s">
        <v>766</v>
      </c>
      <c r="T310" s="59"/>
      <c r="U310" s="59"/>
      <c r="V310" s="59"/>
      <c r="W310" s="59"/>
      <c r="X310" s="59"/>
    </row>
    <row r="311" s="20" customFormat="1" ht="24" hidden="1" spans="1:24">
      <c r="A311" s="59">
        <v>149</v>
      </c>
      <c r="B311" s="60" t="s">
        <v>767</v>
      </c>
      <c r="C311" s="61">
        <v>44562</v>
      </c>
      <c r="D311" s="62" t="str">
        <f ca="1" t="shared" si="13"/>
        <v>一年以上</v>
      </c>
      <c r="E311" s="66">
        <v>44578</v>
      </c>
      <c r="F311" s="66" t="s">
        <v>282</v>
      </c>
      <c r="G311" s="59" t="s">
        <v>340</v>
      </c>
      <c r="H311" s="60" t="s">
        <v>768</v>
      </c>
      <c r="I311" s="63" t="s">
        <v>768</v>
      </c>
      <c r="J311" s="76">
        <v>5000</v>
      </c>
      <c r="K311" s="59" t="s">
        <v>28</v>
      </c>
      <c r="L311" s="59" t="s">
        <v>57</v>
      </c>
      <c r="M311" s="59" t="s">
        <v>65</v>
      </c>
      <c r="N311" s="65">
        <v>5000</v>
      </c>
      <c r="O311" s="65">
        <f t="shared" si="15"/>
        <v>0</v>
      </c>
      <c r="P311" s="66">
        <v>44727</v>
      </c>
      <c r="Q311" s="61">
        <f t="shared" si="14"/>
        <v>44727</v>
      </c>
      <c r="R311" s="66"/>
      <c r="S311" s="59" t="s">
        <v>65</v>
      </c>
      <c r="T311" s="59"/>
      <c r="U311" s="59"/>
      <c r="V311" s="59"/>
      <c r="W311" s="59"/>
      <c r="X311" s="59"/>
    </row>
    <row r="312" s="20" customFormat="1" ht="24" hidden="1" spans="1:24">
      <c r="A312" s="59">
        <v>150</v>
      </c>
      <c r="B312" s="60" t="s">
        <v>769</v>
      </c>
      <c r="C312" s="61">
        <v>44562</v>
      </c>
      <c r="D312" s="62" t="str">
        <f ca="1" t="shared" si="13"/>
        <v>一年以上</v>
      </c>
      <c r="E312" s="66">
        <v>44578</v>
      </c>
      <c r="F312" s="66" t="s">
        <v>70</v>
      </c>
      <c r="G312" s="59" t="s">
        <v>259</v>
      </c>
      <c r="H312" s="60" t="s">
        <v>770</v>
      </c>
      <c r="I312" s="63" t="s">
        <v>770</v>
      </c>
      <c r="J312" s="76">
        <v>1000</v>
      </c>
      <c r="K312" s="59" t="s">
        <v>28</v>
      </c>
      <c r="L312" s="59" t="s">
        <v>57</v>
      </c>
      <c r="M312" s="59" t="s">
        <v>65</v>
      </c>
      <c r="N312" s="65">
        <v>1000</v>
      </c>
      <c r="O312" s="65">
        <f t="shared" si="15"/>
        <v>0</v>
      </c>
      <c r="P312" s="66">
        <v>44616</v>
      </c>
      <c r="Q312" s="61">
        <f t="shared" si="14"/>
        <v>44616</v>
      </c>
      <c r="R312" s="66"/>
      <c r="S312" s="59" t="s">
        <v>65</v>
      </c>
      <c r="T312" s="59"/>
      <c r="U312" s="59"/>
      <c r="V312" s="59"/>
      <c r="W312" s="59"/>
      <c r="X312" s="59"/>
    </row>
    <row r="313" s="20" customFormat="1" hidden="1" spans="1:24">
      <c r="A313" s="59">
        <v>299</v>
      </c>
      <c r="B313" s="60" t="s">
        <v>771</v>
      </c>
      <c r="C313" s="61">
        <v>44562</v>
      </c>
      <c r="D313" s="62" t="str">
        <f ca="1" t="shared" si="13"/>
        <v>一年以上</v>
      </c>
      <c r="E313" s="66">
        <v>44578</v>
      </c>
      <c r="F313" s="66" t="s">
        <v>632</v>
      </c>
      <c r="G313" s="59" t="s">
        <v>450</v>
      </c>
      <c r="H313" s="91" t="s">
        <v>634</v>
      </c>
      <c r="I313" s="63" t="s">
        <v>634</v>
      </c>
      <c r="J313" s="76">
        <v>10000</v>
      </c>
      <c r="K313" s="59" t="s">
        <v>28</v>
      </c>
      <c r="L313" s="59" t="s">
        <v>57</v>
      </c>
      <c r="M313" s="59" t="s">
        <v>30</v>
      </c>
      <c r="N313" s="65">
        <v>10000</v>
      </c>
      <c r="O313" s="65">
        <f t="shared" si="15"/>
        <v>0</v>
      </c>
      <c r="P313" s="66">
        <v>44756</v>
      </c>
      <c r="Q313" s="61">
        <f t="shared" si="14"/>
        <v>44756</v>
      </c>
      <c r="R313" s="59" t="s">
        <v>481</v>
      </c>
      <c r="S313" s="59" t="s">
        <v>597</v>
      </c>
      <c r="T313" s="59"/>
      <c r="U313" s="59"/>
      <c r="V313" s="59"/>
      <c r="W313" s="59"/>
      <c r="X313" s="59"/>
    </row>
    <row r="314" s="20" customFormat="1" ht="24" hidden="1" spans="1:24">
      <c r="A314" s="59">
        <v>300</v>
      </c>
      <c r="B314" s="60" t="s">
        <v>772</v>
      </c>
      <c r="C314" s="61">
        <v>44562</v>
      </c>
      <c r="D314" s="62" t="str">
        <f ca="1" t="shared" si="13"/>
        <v>一年以上</v>
      </c>
      <c r="E314" s="66">
        <v>44578</v>
      </c>
      <c r="F314" s="66"/>
      <c r="G314" s="59" t="s">
        <v>614</v>
      </c>
      <c r="H314" s="91" t="s">
        <v>706</v>
      </c>
      <c r="I314" s="63" t="s">
        <v>706</v>
      </c>
      <c r="J314" s="76">
        <v>10000</v>
      </c>
      <c r="K314" s="59" t="s">
        <v>356</v>
      </c>
      <c r="L314" s="59" t="s">
        <v>458</v>
      </c>
      <c r="M314" s="59" t="s">
        <v>30</v>
      </c>
      <c r="N314" s="65">
        <v>10000</v>
      </c>
      <c r="O314" s="65">
        <f t="shared" si="15"/>
        <v>0</v>
      </c>
      <c r="P314" s="66">
        <v>44609</v>
      </c>
      <c r="Q314" s="61">
        <f t="shared" si="14"/>
        <v>44609</v>
      </c>
      <c r="R314" s="59"/>
      <c r="S314" s="59" t="s">
        <v>30</v>
      </c>
      <c r="T314" s="59"/>
      <c r="U314" s="59"/>
      <c r="V314" s="59"/>
      <c r="W314" s="59"/>
      <c r="X314" s="59"/>
    </row>
    <row r="315" s="20" customFormat="1" ht="24" hidden="1" spans="1:24">
      <c r="A315" s="59">
        <v>301</v>
      </c>
      <c r="B315" s="60" t="s">
        <v>773</v>
      </c>
      <c r="C315" s="61">
        <v>44562</v>
      </c>
      <c r="D315" s="62" t="str">
        <f ca="1" t="shared" si="13"/>
        <v>一年以上</v>
      </c>
      <c r="E315" s="66">
        <v>44581</v>
      </c>
      <c r="F315" s="66"/>
      <c r="G315" s="59" t="s">
        <v>614</v>
      </c>
      <c r="H315" s="91" t="s">
        <v>774</v>
      </c>
      <c r="I315" s="63" t="s">
        <v>774</v>
      </c>
      <c r="J315" s="76">
        <v>5000</v>
      </c>
      <c r="K315" s="59" t="s">
        <v>356</v>
      </c>
      <c r="L315" s="59" t="s">
        <v>458</v>
      </c>
      <c r="M315" s="59" t="s">
        <v>30</v>
      </c>
      <c r="N315" s="65">
        <v>5000</v>
      </c>
      <c r="O315" s="65">
        <f t="shared" si="15"/>
        <v>0</v>
      </c>
      <c r="P315" s="66">
        <v>44736</v>
      </c>
      <c r="Q315" s="61">
        <f t="shared" si="14"/>
        <v>44736</v>
      </c>
      <c r="R315" s="59"/>
      <c r="S315" s="59" t="s">
        <v>775</v>
      </c>
      <c r="T315" s="59"/>
      <c r="U315" s="59"/>
      <c r="V315" s="59"/>
      <c r="W315" s="59"/>
      <c r="X315" s="59"/>
    </row>
    <row r="316" s="20" customFormat="1" ht="24" hidden="1" spans="1:24">
      <c r="A316" s="59">
        <v>353</v>
      </c>
      <c r="B316" s="60" t="s">
        <v>776</v>
      </c>
      <c r="C316" s="61">
        <v>44562</v>
      </c>
      <c r="D316" s="62" t="str">
        <f ca="1" t="shared" si="13"/>
        <v>一年以上</v>
      </c>
      <c r="E316" s="66">
        <v>44585</v>
      </c>
      <c r="F316" s="66" t="s">
        <v>130</v>
      </c>
      <c r="G316" s="59" t="s">
        <v>322</v>
      </c>
      <c r="H316" s="60" t="s">
        <v>777</v>
      </c>
      <c r="I316" s="63" t="s">
        <v>777</v>
      </c>
      <c r="J316" s="76">
        <v>30000</v>
      </c>
      <c r="K316" s="59"/>
      <c r="L316" s="59" t="s">
        <v>96</v>
      </c>
      <c r="M316" s="59" t="s">
        <v>133</v>
      </c>
      <c r="N316" s="65">
        <v>30000</v>
      </c>
      <c r="O316" s="65">
        <f t="shared" si="15"/>
        <v>0</v>
      </c>
      <c r="P316" s="66">
        <v>44650</v>
      </c>
      <c r="Q316" s="61">
        <f t="shared" si="14"/>
        <v>44650</v>
      </c>
      <c r="R316" s="59"/>
      <c r="S316" s="59" t="s">
        <v>778</v>
      </c>
      <c r="T316" s="59"/>
      <c r="U316" s="59"/>
      <c r="V316" s="59"/>
      <c r="W316" s="59"/>
      <c r="X316" s="59"/>
    </row>
    <row r="317" s="20" customFormat="1" ht="24" hidden="1" spans="1:24">
      <c r="A317" s="59">
        <v>302</v>
      </c>
      <c r="B317" s="60" t="s">
        <v>779</v>
      </c>
      <c r="C317" s="61">
        <v>44562</v>
      </c>
      <c r="D317" s="62" t="str">
        <f ca="1" t="shared" si="13"/>
        <v>一年以上</v>
      </c>
      <c r="E317" s="66">
        <v>44588</v>
      </c>
      <c r="F317" s="66"/>
      <c r="G317" s="59" t="s">
        <v>450</v>
      </c>
      <c r="H317" s="91" t="s">
        <v>780</v>
      </c>
      <c r="I317" s="63" t="s">
        <v>780</v>
      </c>
      <c r="J317" s="76">
        <v>3800</v>
      </c>
      <c r="K317" s="59" t="s">
        <v>28</v>
      </c>
      <c r="L317" s="59" t="s">
        <v>57</v>
      </c>
      <c r="M317" s="59" t="s">
        <v>30</v>
      </c>
      <c r="N317" s="65">
        <v>3800</v>
      </c>
      <c r="O317" s="65">
        <f t="shared" si="15"/>
        <v>0</v>
      </c>
      <c r="P317" s="66">
        <v>44621</v>
      </c>
      <c r="Q317" s="61">
        <f t="shared" si="14"/>
        <v>44621</v>
      </c>
      <c r="R317" s="59" t="s">
        <v>781</v>
      </c>
      <c r="S317" s="59" t="s">
        <v>782</v>
      </c>
      <c r="T317" s="59"/>
      <c r="U317" s="59"/>
      <c r="V317" s="59"/>
      <c r="W317" s="59"/>
      <c r="X317" s="59"/>
    </row>
    <row r="318" s="20" customFormat="1" ht="24" hidden="1" spans="1:24">
      <c r="A318" s="59">
        <v>303</v>
      </c>
      <c r="B318" s="60" t="s">
        <v>783</v>
      </c>
      <c r="C318" s="61">
        <v>44562</v>
      </c>
      <c r="D318" s="62" t="str">
        <f ca="1" t="shared" si="13"/>
        <v>一年以上</v>
      </c>
      <c r="E318" s="66">
        <v>44588</v>
      </c>
      <c r="F318" s="66"/>
      <c r="G318" s="59" t="s">
        <v>450</v>
      </c>
      <c r="H318" s="91" t="s">
        <v>784</v>
      </c>
      <c r="I318" s="63" t="s">
        <v>784</v>
      </c>
      <c r="J318" s="76">
        <v>3000</v>
      </c>
      <c r="K318" s="59" t="s">
        <v>28</v>
      </c>
      <c r="L318" s="59" t="s">
        <v>57</v>
      </c>
      <c r="M318" s="59" t="s">
        <v>30</v>
      </c>
      <c r="N318" s="65">
        <v>3000</v>
      </c>
      <c r="O318" s="65">
        <f t="shared" si="15"/>
        <v>0</v>
      </c>
      <c r="P318" s="66">
        <v>44611</v>
      </c>
      <c r="Q318" s="61">
        <f t="shared" si="14"/>
        <v>44611</v>
      </c>
      <c r="R318" s="59" t="s">
        <v>781</v>
      </c>
      <c r="S318" s="59" t="s">
        <v>782</v>
      </c>
      <c r="T318" s="59"/>
      <c r="U318" s="59"/>
      <c r="V318" s="59"/>
      <c r="W318" s="59"/>
      <c r="X318" s="59"/>
    </row>
    <row r="319" s="20" customFormat="1" ht="36" hidden="1" spans="1:24">
      <c r="A319" s="59">
        <v>151</v>
      </c>
      <c r="B319" s="60" t="s">
        <v>785</v>
      </c>
      <c r="C319" s="61">
        <v>44562</v>
      </c>
      <c r="D319" s="62" t="str">
        <f ca="1" t="shared" si="13"/>
        <v>一年以上</v>
      </c>
      <c r="E319" s="66">
        <v>44590</v>
      </c>
      <c r="F319" s="66" t="s">
        <v>82</v>
      </c>
      <c r="G319" s="59" t="s">
        <v>786</v>
      </c>
      <c r="H319" s="60" t="s">
        <v>787</v>
      </c>
      <c r="I319" s="63" t="s">
        <v>787</v>
      </c>
      <c r="J319" s="76">
        <v>8814</v>
      </c>
      <c r="K319" s="59" t="s">
        <v>338</v>
      </c>
      <c r="L319" s="59" t="s">
        <v>627</v>
      </c>
      <c r="M319" s="59" t="s">
        <v>65</v>
      </c>
      <c r="N319" s="65">
        <f>7314+1500</f>
        <v>8814</v>
      </c>
      <c r="O319" s="65">
        <f t="shared" si="15"/>
        <v>0</v>
      </c>
      <c r="P319" s="66">
        <v>45281</v>
      </c>
      <c r="Q319" s="61">
        <f t="shared" si="14"/>
        <v>45281</v>
      </c>
      <c r="R319" s="66" t="s">
        <v>788</v>
      </c>
      <c r="S319" s="59" t="s">
        <v>65</v>
      </c>
      <c r="T319" s="59" t="s">
        <v>311</v>
      </c>
      <c r="U319" s="59" t="str">
        <f>VLOOKUP(T319,[1]区域划分!$A$1:$C$39,3,0)</f>
        <v>牛国庆</v>
      </c>
      <c r="V319" s="59"/>
      <c r="W319" s="59"/>
      <c r="X319" s="59"/>
    </row>
    <row r="320" s="20" customFormat="1" ht="24" hidden="1" spans="1:24">
      <c r="A320" s="59">
        <v>354</v>
      </c>
      <c r="B320" s="60" t="s">
        <v>789</v>
      </c>
      <c r="C320" s="61">
        <v>44593</v>
      </c>
      <c r="D320" s="62" t="str">
        <f ca="1" t="shared" si="13"/>
        <v>一年以上</v>
      </c>
      <c r="E320" s="66">
        <v>44601</v>
      </c>
      <c r="F320" s="66" t="s">
        <v>632</v>
      </c>
      <c r="G320" s="59" t="s">
        <v>614</v>
      </c>
      <c r="H320" s="91" t="s">
        <v>790</v>
      </c>
      <c r="I320" s="63" t="s">
        <v>790</v>
      </c>
      <c r="J320" s="76">
        <v>50000</v>
      </c>
      <c r="K320" s="59" t="s">
        <v>28</v>
      </c>
      <c r="L320" s="59" t="s">
        <v>57</v>
      </c>
      <c r="M320" s="59" t="s">
        <v>133</v>
      </c>
      <c r="N320" s="65">
        <v>50000</v>
      </c>
      <c r="O320" s="65">
        <f t="shared" si="15"/>
        <v>0</v>
      </c>
      <c r="P320" s="66">
        <v>45265</v>
      </c>
      <c r="Q320" s="61">
        <f t="shared" si="14"/>
        <v>45265</v>
      </c>
      <c r="R320" s="59"/>
      <c r="S320" s="59" t="s">
        <v>791</v>
      </c>
      <c r="T320" s="59" t="s">
        <v>792</v>
      </c>
      <c r="U320" s="59" t="str">
        <f>VLOOKUP(T320,[1]区域划分!$A$1:$C$39,3,0)</f>
        <v>宋旭东</v>
      </c>
      <c r="V320" s="59"/>
      <c r="W320" s="59"/>
      <c r="X320" s="59"/>
    </row>
    <row r="321" s="20" customFormat="1" ht="36" spans="1:24">
      <c r="A321" s="59">
        <v>304</v>
      </c>
      <c r="B321" s="60" t="s">
        <v>793</v>
      </c>
      <c r="C321" s="61">
        <v>44593</v>
      </c>
      <c r="D321" s="62" t="str">
        <f ca="1" t="shared" si="13"/>
        <v>一年以上</v>
      </c>
      <c r="E321" s="66">
        <v>44602</v>
      </c>
      <c r="F321" s="66"/>
      <c r="G321" s="59" t="s">
        <v>614</v>
      </c>
      <c r="H321" s="91" t="s">
        <v>193</v>
      </c>
      <c r="I321" s="63" t="s">
        <v>193</v>
      </c>
      <c r="J321" s="76">
        <v>10000</v>
      </c>
      <c r="K321" s="59" t="s">
        <v>356</v>
      </c>
      <c r="L321" s="59" t="s">
        <v>458</v>
      </c>
      <c r="M321" s="59" t="s">
        <v>30</v>
      </c>
      <c r="N321" s="65"/>
      <c r="O321" s="88">
        <f t="shared" si="15"/>
        <v>10000</v>
      </c>
      <c r="P321" s="66"/>
      <c r="Q321" s="61">
        <f t="shared" si="14"/>
        <v>0</v>
      </c>
      <c r="R321" s="59" t="s">
        <v>794</v>
      </c>
      <c r="S321" s="59" t="s">
        <v>795</v>
      </c>
      <c r="T321" s="59" t="s">
        <v>701</v>
      </c>
      <c r="U321" s="59" t="str">
        <f>VLOOKUP(T321,[1]区域划分!$A$1:$C$39,3,0)</f>
        <v>汪瑞青</v>
      </c>
      <c r="V321" s="59"/>
      <c r="W321" s="59"/>
      <c r="X321" s="59"/>
    </row>
    <row r="322" s="20" customFormat="1" ht="24" hidden="1" spans="1:24">
      <c r="A322" s="59">
        <v>152</v>
      </c>
      <c r="B322" s="60" t="s">
        <v>796</v>
      </c>
      <c r="C322" s="61">
        <v>44593</v>
      </c>
      <c r="D322" s="62" t="str">
        <f ca="1" t="shared" si="13"/>
        <v>一年以上</v>
      </c>
      <c r="E322" s="66">
        <v>44606</v>
      </c>
      <c r="F322" s="66" t="s">
        <v>82</v>
      </c>
      <c r="G322" s="59" t="s">
        <v>83</v>
      </c>
      <c r="H322" s="60" t="s">
        <v>797</v>
      </c>
      <c r="I322" s="63" t="s">
        <v>797</v>
      </c>
      <c r="J322" s="76">
        <v>5000</v>
      </c>
      <c r="K322" s="59"/>
      <c r="L322" s="59" t="s">
        <v>96</v>
      </c>
      <c r="M322" s="59" t="s">
        <v>65</v>
      </c>
      <c r="N322" s="65">
        <v>5000</v>
      </c>
      <c r="O322" s="65">
        <f t="shared" si="15"/>
        <v>0</v>
      </c>
      <c r="P322" s="66">
        <v>44657</v>
      </c>
      <c r="Q322" s="61">
        <f t="shared" si="14"/>
        <v>44657</v>
      </c>
      <c r="R322" s="66"/>
      <c r="S322" s="59" t="s">
        <v>65</v>
      </c>
      <c r="T322" s="59"/>
      <c r="U322" s="59"/>
      <c r="V322" s="59"/>
      <c r="W322" s="59"/>
      <c r="X322" s="59"/>
    </row>
    <row r="323" s="20" customFormat="1" hidden="1" spans="1:24">
      <c r="A323" s="59">
        <v>391</v>
      </c>
      <c r="B323" s="60" t="s">
        <v>798</v>
      </c>
      <c r="C323" s="61">
        <v>44593</v>
      </c>
      <c r="D323" s="62" t="str">
        <f ca="1" t="shared" ref="D323:D386" si="16">IF(TODAY()-E323&lt;60,"2个月内",IF(TODAY()-E323&lt;180,"3-6个月",IF(TODAY()-E323&lt;360,"6个月-1年","一年以上")))</f>
        <v>一年以上</v>
      </c>
      <c r="E323" s="66">
        <v>44606</v>
      </c>
      <c r="F323" s="66" t="s">
        <v>632</v>
      </c>
      <c r="G323" s="59" t="s">
        <v>450</v>
      </c>
      <c r="H323" s="60" t="s">
        <v>406</v>
      </c>
      <c r="I323" s="63" t="s">
        <v>406</v>
      </c>
      <c r="J323" s="76">
        <v>200</v>
      </c>
      <c r="K323" s="59" t="s">
        <v>28</v>
      </c>
      <c r="L323" s="59" t="s">
        <v>57</v>
      </c>
      <c r="M323" s="59" t="s">
        <v>515</v>
      </c>
      <c r="N323" s="65">
        <v>200</v>
      </c>
      <c r="O323" s="65">
        <f t="shared" si="15"/>
        <v>0</v>
      </c>
      <c r="P323" s="66">
        <v>44728</v>
      </c>
      <c r="Q323" s="61">
        <f t="shared" ref="Q323:Q386" si="17">P323</f>
        <v>44728</v>
      </c>
      <c r="R323" s="59"/>
      <c r="S323" s="80"/>
      <c r="T323" s="59"/>
      <c r="U323" s="59"/>
      <c r="V323" s="59"/>
      <c r="W323" s="59"/>
      <c r="X323" s="59"/>
    </row>
    <row r="324" s="20" customFormat="1" ht="24" hidden="1" spans="1:24">
      <c r="A324" s="59">
        <v>153</v>
      </c>
      <c r="B324" s="60" t="s">
        <v>799</v>
      </c>
      <c r="C324" s="61">
        <v>44593</v>
      </c>
      <c r="D324" s="62" t="str">
        <f ca="1" t="shared" si="16"/>
        <v>一年以上</v>
      </c>
      <c r="E324" s="66">
        <v>44607</v>
      </c>
      <c r="F324" s="66" t="s">
        <v>82</v>
      </c>
      <c r="G324" s="59" t="s">
        <v>800</v>
      </c>
      <c r="H324" s="60" t="s">
        <v>801</v>
      </c>
      <c r="I324" s="63" t="s">
        <v>801</v>
      </c>
      <c r="J324" s="76">
        <v>5000</v>
      </c>
      <c r="K324" s="59"/>
      <c r="L324" s="59" t="s">
        <v>96</v>
      </c>
      <c r="M324" s="59" t="s">
        <v>65</v>
      </c>
      <c r="N324" s="65">
        <v>5000</v>
      </c>
      <c r="O324" s="65">
        <f t="shared" si="15"/>
        <v>0</v>
      </c>
      <c r="P324" s="66">
        <v>44652</v>
      </c>
      <c r="Q324" s="61">
        <f t="shared" si="17"/>
        <v>44652</v>
      </c>
      <c r="R324" s="66"/>
      <c r="S324" s="59" t="s">
        <v>65</v>
      </c>
      <c r="T324" s="59"/>
      <c r="U324" s="59"/>
      <c r="V324" s="59"/>
      <c r="W324" s="59"/>
      <c r="X324" s="59"/>
    </row>
    <row r="325" s="20" customFormat="1" ht="24" hidden="1" spans="1:24">
      <c r="A325" s="59">
        <v>154</v>
      </c>
      <c r="B325" s="60" t="s">
        <v>802</v>
      </c>
      <c r="C325" s="61">
        <v>44593</v>
      </c>
      <c r="D325" s="62" t="str">
        <f ca="1" t="shared" si="16"/>
        <v>一年以上</v>
      </c>
      <c r="E325" s="66">
        <v>44607</v>
      </c>
      <c r="F325" s="66" t="s">
        <v>282</v>
      </c>
      <c r="G325" s="59" t="s">
        <v>611</v>
      </c>
      <c r="H325" s="60" t="s">
        <v>188</v>
      </c>
      <c r="I325" s="63" t="s">
        <v>188</v>
      </c>
      <c r="J325" s="76">
        <v>6000</v>
      </c>
      <c r="K325" s="59" t="s">
        <v>338</v>
      </c>
      <c r="L325" s="59" t="s">
        <v>627</v>
      </c>
      <c r="M325" s="59" t="s">
        <v>65</v>
      </c>
      <c r="N325" s="65">
        <v>6000</v>
      </c>
      <c r="O325" s="65">
        <f t="shared" si="15"/>
        <v>0</v>
      </c>
      <c r="P325" s="66">
        <v>44700</v>
      </c>
      <c r="Q325" s="61">
        <f t="shared" si="17"/>
        <v>44700</v>
      </c>
      <c r="R325" s="66"/>
      <c r="S325" s="59" t="s">
        <v>65</v>
      </c>
      <c r="T325" s="59"/>
      <c r="U325" s="59"/>
      <c r="V325" s="59"/>
      <c r="W325" s="59"/>
      <c r="X325" s="59"/>
    </row>
    <row r="326" s="20" customFormat="1" ht="24" hidden="1" spans="1:24">
      <c r="A326" s="59">
        <v>156</v>
      </c>
      <c r="B326" s="60" t="s">
        <v>803</v>
      </c>
      <c r="C326" s="61">
        <v>44593</v>
      </c>
      <c r="D326" s="62" t="str">
        <f ca="1" t="shared" si="16"/>
        <v>一年以上</v>
      </c>
      <c r="E326" s="66">
        <v>44608</v>
      </c>
      <c r="F326" s="66" t="s">
        <v>82</v>
      </c>
      <c r="G326" s="59" t="s">
        <v>83</v>
      </c>
      <c r="H326" s="60" t="s">
        <v>797</v>
      </c>
      <c r="I326" s="63" t="s">
        <v>797</v>
      </c>
      <c r="J326" s="76">
        <v>5000</v>
      </c>
      <c r="K326" s="59" t="s">
        <v>28</v>
      </c>
      <c r="L326" s="59" t="s">
        <v>57</v>
      </c>
      <c r="M326" s="59" t="s">
        <v>65</v>
      </c>
      <c r="N326" s="65">
        <v>5000</v>
      </c>
      <c r="O326" s="65">
        <f t="shared" si="15"/>
        <v>0</v>
      </c>
      <c r="P326" s="66">
        <v>44610</v>
      </c>
      <c r="Q326" s="61">
        <f t="shared" si="17"/>
        <v>44610</v>
      </c>
      <c r="R326" s="66"/>
      <c r="S326" s="59" t="s">
        <v>65</v>
      </c>
      <c r="T326" s="59"/>
      <c r="U326" s="59"/>
      <c r="V326" s="59"/>
      <c r="W326" s="59"/>
      <c r="X326" s="59"/>
    </row>
    <row r="327" s="20" customFormat="1" ht="24" hidden="1" spans="1:24">
      <c r="A327" s="59">
        <v>155</v>
      </c>
      <c r="B327" s="60" t="s">
        <v>804</v>
      </c>
      <c r="C327" s="61">
        <v>44593</v>
      </c>
      <c r="D327" s="62" t="str">
        <f ca="1" t="shared" si="16"/>
        <v>一年以上</v>
      </c>
      <c r="E327" s="66">
        <v>44609</v>
      </c>
      <c r="F327" s="66" t="s">
        <v>70</v>
      </c>
      <c r="G327" s="59" t="s">
        <v>83</v>
      </c>
      <c r="H327" s="60" t="s">
        <v>797</v>
      </c>
      <c r="I327" s="63" t="s">
        <v>797</v>
      </c>
      <c r="J327" s="76">
        <v>5000</v>
      </c>
      <c r="K327" s="59" t="s">
        <v>28</v>
      </c>
      <c r="L327" s="59" t="s">
        <v>57</v>
      </c>
      <c r="M327" s="59" t="s">
        <v>65</v>
      </c>
      <c r="N327" s="65">
        <v>5000</v>
      </c>
      <c r="O327" s="65">
        <f t="shared" si="15"/>
        <v>0</v>
      </c>
      <c r="P327" s="66">
        <v>44611</v>
      </c>
      <c r="Q327" s="61">
        <f t="shared" si="17"/>
        <v>44611</v>
      </c>
      <c r="R327" s="66"/>
      <c r="S327" s="59" t="s">
        <v>65</v>
      </c>
      <c r="T327" s="59"/>
      <c r="U327" s="59"/>
      <c r="V327" s="59"/>
      <c r="W327" s="59"/>
      <c r="X327" s="59"/>
    </row>
    <row r="328" s="20" customFormat="1" hidden="1" spans="1:24">
      <c r="A328" s="59">
        <v>157</v>
      </c>
      <c r="B328" s="60" t="s">
        <v>805</v>
      </c>
      <c r="C328" s="61">
        <v>44593</v>
      </c>
      <c r="D328" s="62" t="str">
        <f ca="1" t="shared" si="16"/>
        <v>一年以上</v>
      </c>
      <c r="E328" s="66">
        <v>44609</v>
      </c>
      <c r="F328" s="66" t="s">
        <v>282</v>
      </c>
      <c r="G328" s="59" t="s">
        <v>806</v>
      </c>
      <c r="H328" s="60" t="s">
        <v>807</v>
      </c>
      <c r="I328" s="63" t="s">
        <v>807</v>
      </c>
      <c r="J328" s="76">
        <v>5000</v>
      </c>
      <c r="K328" s="59" t="s">
        <v>28</v>
      </c>
      <c r="L328" s="59" t="s">
        <v>57</v>
      </c>
      <c r="M328" s="59" t="s">
        <v>65</v>
      </c>
      <c r="N328" s="65">
        <v>5000</v>
      </c>
      <c r="O328" s="65">
        <f t="shared" si="15"/>
        <v>0</v>
      </c>
      <c r="P328" s="66">
        <v>45002</v>
      </c>
      <c r="Q328" s="61">
        <f t="shared" si="17"/>
        <v>45002</v>
      </c>
      <c r="R328" s="66"/>
      <c r="S328" s="59" t="s">
        <v>65</v>
      </c>
      <c r="T328" s="59" t="s">
        <v>86</v>
      </c>
      <c r="U328" s="59"/>
      <c r="V328" s="59"/>
      <c r="W328" s="59"/>
      <c r="X328" s="59"/>
    </row>
    <row r="329" s="20" customFormat="1" hidden="1" spans="1:24">
      <c r="A329" s="59">
        <v>305</v>
      </c>
      <c r="B329" s="60" t="s">
        <v>808</v>
      </c>
      <c r="C329" s="61">
        <v>44593</v>
      </c>
      <c r="D329" s="62" t="str">
        <f ca="1" t="shared" si="16"/>
        <v>一年以上</v>
      </c>
      <c r="E329" s="66">
        <v>44609</v>
      </c>
      <c r="F329" s="66"/>
      <c r="G329" s="59" t="s">
        <v>450</v>
      </c>
      <c r="H329" s="91" t="s">
        <v>406</v>
      </c>
      <c r="I329" s="63" t="s">
        <v>406</v>
      </c>
      <c r="J329" s="76">
        <v>20000</v>
      </c>
      <c r="K329" s="59" t="s">
        <v>28</v>
      </c>
      <c r="L329" s="59" t="s">
        <v>57</v>
      </c>
      <c r="M329" s="59" t="s">
        <v>30</v>
      </c>
      <c r="N329" s="65">
        <v>20000</v>
      </c>
      <c r="O329" s="65">
        <f t="shared" si="15"/>
        <v>0</v>
      </c>
      <c r="P329" s="66">
        <v>44650</v>
      </c>
      <c r="Q329" s="61">
        <f t="shared" si="17"/>
        <v>44650</v>
      </c>
      <c r="R329" s="59"/>
      <c r="S329" s="59" t="s">
        <v>30</v>
      </c>
      <c r="T329" s="59"/>
      <c r="U329" s="59"/>
      <c r="V329" s="59"/>
      <c r="W329" s="59"/>
      <c r="X329" s="59"/>
    </row>
    <row r="330" s="20" customFormat="1" hidden="1" spans="1:24">
      <c r="A330" s="59">
        <v>392</v>
      </c>
      <c r="B330" s="60" t="s">
        <v>809</v>
      </c>
      <c r="C330" s="61">
        <v>44593</v>
      </c>
      <c r="D330" s="62" t="str">
        <f ca="1" t="shared" si="16"/>
        <v>一年以上</v>
      </c>
      <c r="E330" s="66">
        <v>44609</v>
      </c>
      <c r="F330" s="66" t="s">
        <v>632</v>
      </c>
      <c r="G330" s="59" t="s">
        <v>450</v>
      </c>
      <c r="H330" s="60" t="s">
        <v>406</v>
      </c>
      <c r="I330" s="63" t="s">
        <v>406</v>
      </c>
      <c r="J330" s="76">
        <v>800</v>
      </c>
      <c r="K330" s="59"/>
      <c r="L330" s="59" t="s">
        <v>96</v>
      </c>
      <c r="M330" s="59" t="s">
        <v>515</v>
      </c>
      <c r="N330" s="65">
        <v>800</v>
      </c>
      <c r="O330" s="65">
        <f t="shared" si="15"/>
        <v>0</v>
      </c>
      <c r="P330" s="66">
        <f>E330</f>
        <v>44609</v>
      </c>
      <c r="Q330" s="61">
        <f t="shared" si="17"/>
        <v>44609</v>
      </c>
      <c r="R330" s="59"/>
      <c r="S330" s="80" t="s">
        <v>810</v>
      </c>
      <c r="T330" s="59"/>
      <c r="U330" s="59"/>
      <c r="V330" s="59"/>
      <c r="W330" s="59"/>
      <c r="X330" s="59"/>
    </row>
    <row r="331" s="20" customFormat="1" hidden="1" spans="1:24">
      <c r="A331" s="59">
        <v>393</v>
      </c>
      <c r="B331" s="60" t="s">
        <v>811</v>
      </c>
      <c r="C331" s="61">
        <v>44593</v>
      </c>
      <c r="D331" s="62" t="str">
        <f ca="1" t="shared" si="16"/>
        <v>一年以上</v>
      </c>
      <c r="E331" s="66">
        <v>44609</v>
      </c>
      <c r="F331" s="66" t="s">
        <v>632</v>
      </c>
      <c r="G331" s="59" t="s">
        <v>614</v>
      </c>
      <c r="H331" s="60" t="s">
        <v>812</v>
      </c>
      <c r="I331" s="63" t="s">
        <v>812</v>
      </c>
      <c r="J331" s="76">
        <v>200</v>
      </c>
      <c r="K331" s="59"/>
      <c r="L331" s="59" t="s">
        <v>73</v>
      </c>
      <c r="M331" s="59" t="s">
        <v>515</v>
      </c>
      <c r="N331" s="65">
        <v>200</v>
      </c>
      <c r="O331" s="65">
        <f t="shared" si="15"/>
        <v>0</v>
      </c>
      <c r="P331" s="66">
        <f>E331</f>
        <v>44609</v>
      </c>
      <c r="Q331" s="61">
        <f t="shared" si="17"/>
        <v>44609</v>
      </c>
      <c r="R331" s="59"/>
      <c r="S331" s="59" t="s">
        <v>515</v>
      </c>
      <c r="T331" s="59"/>
      <c r="U331" s="59"/>
      <c r="V331" s="59"/>
      <c r="W331" s="59"/>
      <c r="X331" s="59"/>
    </row>
    <row r="332" s="20" customFormat="1" ht="24" hidden="1" spans="1:24">
      <c r="A332" s="59">
        <v>306</v>
      </c>
      <c r="B332" s="60" t="s">
        <v>813</v>
      </c>
      <c r="C332" s="61">
        <v>44593</v>
      </c>
      <c r="D332" s="62" t="str">
        <f ca="1" t="shared" si="16"/>
        <v>一年以上</v>
      </c>
      <c r="E332" s="66">
        <v>44615</v>
      </c>
      <c r="F332" s="66"/>
      <c r="G332" s="59" t="s">
        <v>450</v>
      </c>
      <c r="H332" s="91" t="s">
        <v>592</v>
      </c>
      <c r="I332" s="63">
        <v>0</v>
      </c>
      <c r="J332" s="76">
        <v>40000</v>
      </c>
      <c r="K332" s="59" t="s">
        <v>28</v>
      </c>
      <c r="L332" s="59" t="s">
        <v>57</v>
      </c>
      <c r="M332" s="59" t="s">
        <v>30</v>
      </c>
      <c r="N332" s="65">
        <v>40000</v>
      </c>
      <c r="O332" s="65">
        <f t="shared" si="15"/>
        <v>0</v>
      </c>
      <c r="P332" s="66">
        <v>44658</v>
      </c>
      <c r="Q332" s="61">
        <f t="shared" si="17"/>
        <v>44658</v>
      </c>
      <c r="R332" s="59"/>
      <c r="S332" s="59" t="s">
        <v>30</v>
      </c>
      <c r="T332" s="59"/>
      <c r="U332" s="59"/>
      <c r="V332" s="59"/>
      <c r="W332" s="59"/>
      <c r="X332" s="59"/>
    </row>
    <row r="333" s="20" customFormat="1" ht="24" hidden="1" spans="1:24">
      <c r="A333" s="59">
        <v>307</v>
      </c>
      <c r="B333" s="60" t="s">
        <v>814</v>
      </c>
      <c r="C333" s="61">
        <v>44593</v>
      </c>
      <c r="D333" s="62" t="str">
        <f ca="1" t="shared" si="16"/>
        <v>一年以上</v>
      </c>
      <c r="E333" s="66">
        <v>44615</v>
      </c>
      <c r="F333" s="66"/>
      <c r="G333" s="59" t="s">
        <v>450</v>
      </c>
      <c r="H333" s="91" t="s">
        <v>815</v>
      </c>
      <c r="I333" s="63" t="s">
        <v>815</v>
      </c>
      <c r="J333" s="76">
        <v>10000</v>
      </c>
      <c r="K333" s="59" t="s">
        <v>28</v>
      </c>
      <c r="L333" s="59" t="s">
        <v>57</v>
      </c>
      <c r="M333" s="59" t="s">
        <v>30</v>
      </c>
      <c r="N333" s="65">
        <v>10000</v>
      </c>
      <c r="O333" s="65">
        <f t="shared" si="15"/>
        <v>0</v>
      </c>
      <c r="P333" s="66">
        <v>44643</v>
      </c>
      <c r="Q333" s="61">
        <f t="shared" si="17"/>
        <v>44643</v>
      </c>
      <c r="R333" s="59"/>
      <c r="S333" s="59" t="s">
        <v>30</v>
      </c>
      <c r="T333" s="59"/>
      <c r="U333" s="59"/>
      <c r="V333" s="59"/>
      <c r="W333" s="59"/>
      <c r="X333" s="59"/>
    </row>
    <row r="334" s="20" customFormat="1" ht="24" hidden="1" spans="1:24">
      <c r="A334" s="59">
        <v>158</v>
      </c>
      <c r="B334" s="60" t="s">
        <v>816</v>
      </c>
      <c r="C334" s="61">
        <v>44593</v>
      </c>
      <c r="D334" s="62" t="str">
        <f ca="1" t="shared" si="16"/>
        <v>一年以上</v>
      </c>
      <c r="E334" s="66">
        <v>44617</v>
      </c>
      <c r="F334" s="66" t="s">
        <v>282</v>
      </c>
      <c r="G334" s="59" t="s">
        <v>611</v>
      </c>
      <c r="H334" s="60" t="s">
        <v>817</v>
      </c>
      <c r="I334" s="63" t="s">
        <v>817</v>
      </c>
      <c r="J334" s="76">
        <v>10000</v>
      </c>
      <c r="K334" s="59" t="s">
        <v>338</v>
      </c>
      <c r="L334" s="59" t="s">
        <v>627</v>
      </c>
      <c r="M334" s="59" t="s">
        <v>65</v>
      </c>
      <c r="N334" s="65">
        <v>10000</v>
      </c>
      <c r="O334" s="65">
        <f t="shared" si="15"/>
        <v>0</v>
      </c>
      <c r="P334" s="66">
        <v>44824</v>
      </c>
      <c r="Q334" s="61">
        <f t="shared" si="17"/>
        <v>44824</v>
      </c>
      <c r="R334" s="66"/>
      <c r="S334" s="59" t="s">
        <v>818</v>
      </c>
      <c r="T334" s="59"/>
      <c r="U334" s="59"/>
      <c r="V334" s="59"/>
      <c r="W334" s="59"/>
      <c r="X334" s="59"/>
    </row>
    <row r="335" s="20" customFormat="1" ht="60" spans="1:24">
      <c r="A335" s="59">
        <v>159</v>
      </c>
      <c r="B335" s="60" t="s">
        <v>819</v>
      </c>
      <c r="C335" s="61">
        <v>44593</v>
      </c>
      <c r="D335" s="62" t="str">
        <f ca="1" t="shared" si="16"/>
        <v>一年以上</v>
      </c>
      <c r="E335" s="66">
        <v>44617</v>
      </c>
      <c r="F335" s="66" t="s">
        <v>130</v>
      </c>
      <c r="G335" s="59" t="s">
        <v>371</v>
      </c>
      <c r="H335" s="60" t="s">
        <v>677</v>
      </c>
      <c r="I335" s="63" t="s">
        <v>677</v>
      </c>
      <c r="J335" s="76">
        <f>500000</f>
        <v>500000</v>
      </c>
      <c r="K335" s="59" t="s">
        <v>28</v>
      </c>
      <c r="L335" s="59" t="s">
        <v>57</v>
      </c>
      <c r="M335" s="59" t="s">
        <v>65</v>
      </c>
      <c r="N335" s="65">
        <v>498000</v>
      </c>
      <c r="O335" s="65">
        <f t="shared" ref="O335:O398" si="18">J335-N335</f>
        <v>2000</v>
      </c>
      <c r="P335" s="66"/>
      <c r="Q335" s="61">
        <f t="shared" si="17"/>
        <v>0</v>
      </c>
      <c r="R335" s="59" t="s">
        <v>820</v>
      </c>
      <c r="S335" s="59"/>
      <c r="T335" s="59" t="s">
        <v>182</v>
      </c>
      <c r="U335" s="59" t="str">
        <f>VLOOKUP(T335,[1]区域划分!$A$1:$C$39,3,0)</f>
        <v>汪瑞青</v>
      </c>
      <c r="V335" s="59"/>
      <c r="W335" s="59"/>
      <c r="X335" s="59"/>
    </row>
    <row r="336" s="20" customFormat="1" ht="24" hidden="1" spans="1:24">
      <c r="A336" s="59">
        <v>308</v>
      </c>
      <c r="B336" s="60" t="s">
        <v>821</v>
      </c>
      <c r="C336" s="61">
        <v>44593</v>
      </c>
      <c r="D336" s="62" t="str">
        <f ca="1" t="shared" si="16"/>
        <v>一年以上</v>
      </c>
      <c r="E336" s="66">
        <v>44617</v>
      </c>
      <c r="F336" s="66"/>
      <c r="G336" s="59" t="s">
        <v>614</v>
      </c>
      <c r="H336" s="91" t="s">
        <v>822</v>
      </c>
      <c r="I336" s="63" t="s">
        <v>822</v>
      </c>
      <c r="J336" s="76">
        <v>1500</v>
      </c>
      <c r="K336" s="59" t="s">
        <v>28</v>
      </c>
      <c r="L336" s="59" t="s">
        <v>57</v>
      </c>
      <c r="M336" s="59" t="s">
        <v>30</v>
      </c>
      <c r="N336" s="65">
        <v>1500</v>
      </c>
      <c r="O336" s="65">
        <f t="shared" si="18"/>
        <v>0</v>
      </c>
      <c r="P336" s="66">
        <v>44719</v>
      </c>
      <c r="Q336" s="61">
        <f t="shared" si="17"/>
        <v>44719</v>
      </c>
      <c r="R336" s="59"/>
      <c r="S336" s="59" t="s">
        <v>30</v>
      </c>
      <c r="T336" s="59"/>
      <c r="U336" s="59"/>
      <c r="V336" s="59"/>
      <c r="W336" s="59"/>
      <c r="X336" s="59"/>
    </row>
    <row r="337" s="20" customFormat="1" ht="24" hidden="1" spans="1:24">
      <c r="A337" s="59">
        <v>394</v>
      </c>
      <c r="B337" s="60" t="s">
        <v>823</v>
      </c>
      <c r="C337" s="61">
        <v>44593</v>
      </c>
      <c r="D337" s="62" t="str">
        <f ca="1" t="shared" si="16"/>
        <v>一年以上</v>
      </c>
      <c r="E337" s="66">
        <v>44617</v>
      </c>
      <c r="F337" s="66" t="s">
        <v>632</v>
      </c>
      <c r="G337" s="59" t="s">
        <v>614</v>
      </c>
      <c r="H337" s="60" t="s">
        <v>824</v>
      </c>
      <c r="I337" s="63" t="s">
        <v>824</v>
      </c>
      <c r="J337" s="76">
        <v>300</v>
      </c>
      <c r="K337" s="59"/>
      <c r="L337" s="59" t="s">
        <v>73</v>
      </c>
      <c r="M337" s="59" t="s">
        <v>515</v>
      </c>
      <c r="N337" s="65">
        <v>300</v>
      </c>
      <c r="O337" s="65">
        <f t="shared" si="18"/>
        <v>0</v>
      </c>
      <c r="P337" s="66">
        <v>44728</v>
      </c>
      <c r="Q337" s="61">
        <f t="shared" si="17"/>
        <v>44728</v>
      </c>
      <c r="R337" s="59"/>
      <c r="S337" s="80" t="s">
        <v>825</v>
      </c>
      <c r="T337" s="59"/>
      <c r="U337" s="59"/>
      <c r="V337" s="59"/>
      <c r="W337" s="59"/>
      <c r="X337" s="59"/>
    </row>
    <row r="338" s="20" customFormat="1" ht="13" hidden="1" customHeight="1" spans="1:24">
      <c r="A338" s="59">
        <v>160</v>
      </c>
      <c r="B338" s="60" t="s">
        <v>826</v>
      </c>
      <c r="C338" s="61">
        <v>44593</v>
      </c>
      <c r="D338" s="62" t="str">
        <f ca="1" t="shared" si="16"/>
        <v>一年以上</v>
      </c>
      <c r="E338" s="66">
        <v>44620</v>
      </c>
      <c r="F338" s="89" t="s">
        <v>70</v>
      </c>
      <c r="G338" s="89" t="s">
        <v>149</v>
      </c>
      <c r="H338" s="91" t="s">
        <v>154</v>
      </c>
      <c r="I338" s="63" t="s">
        <v>154</v>
      </c>
      <c r="J338" s="76">
        <v>2000</v>
      </c>
      <c r="K338" s="59" t="s">
        <v>28</v>
      </c>
      <c r="L338" s="59" t="s">
        <v>57</v>
      </c>
      <c r="M338" s="59" t="s">
        <v>65</v>
      </c>
      <c r="N338" s="65">
        <v>2000</v>
      </c>
      <c r="O338" s="65">
        <f t="shared" si="18"/>
        <v>0</v>
      </c>
      <c r="P338" s="66">
        <v>44650</v>
      </c>
      <c r="Q338" s="61">
        <f t="shared" si="17"/>
        <v>44650</v>
      </c>
      <c r="R338" s="66"/>
      <c r="S338" s="59" t="s">
        <v>65</v>
      </c>
      <c r="T338" s="59"/>
      <c r="U338" s="59"/>
      <c r="V338" s="59"/>
      <c r="W338" s="59"/>
      <c r="X338" s="59"/>
    </row>
    <row r="339" s="20" customFormat="1" ht="30" hidden="1" customHeight="1" spans="1:24">
      <c r="A339" s="59">
        <v>161</v>
      </c>
      <c r="B339" s="60" t="s">
        <v>827</v>
      </c>
      <c r="C339" s="61">
        <v>44621</v>
      </c>
      <c r="D339" s="62" t="str">
        <f ca="1" t="shared" si="16"/>
        <v>一年以上</v>
      </c>
      <c r="E339" s="93">
        <v>44622</v>
      </c>
      <c r="F339" s="89" t="s">
        <v>70</v>
      </c>
      <c r="G339" s="89" t="s">
        <v>828</v>
      </c>
      <c r="H339" s="91" t="s">
        <v>829</v>
      </c>
      <c r="I339" s="63" t="s">
        <v>829</v>
      </c>
      <c r="J339" s="76">
        <v>3000</v>
      </c>
      <c r="K339" s="59"/>
      <c r="L339" s="59" t="s">
        <v>96</v>
      </c>
      <c r="M339" s="59" t="s">
        <v>65</v>
      </c>
      <c r="N339" s="65">
        <v>3000</v>
      </c>
      <c r="O339" s="65">
        <f t="shared" si="18"/>
        <v>0</v>
      </c>
      <c r="P339" s="66">
        <v>44659</v>
      </c>
      <c r="Q339" s="61">
        <f t="shared" si="17"/>
        <v>44659</v>
      </c>
      <c r="R339" s="66"/>
      <c r="S339" s="59" t="s">
        <v>65</v>
      </c>
      <c r="T339" s="59"/>
      <c r="U339" s="59"/>
      <c r="V339" s="59"/>
      <c r="W339" s="59"/>
      <c r="X339" s="59"/>
    </row>
    <row r="340" s="20" customFormat="1" ht="24" hidden="1" spans="1:24">
      <c r="A340" s="59">
        <v>162</v>
      </c>
      <c r="B340" s="60" t="s">
        <v>830</v>
      </c>
      <c r="C340" s="61">
        <v>44621</v>
      </c>
      <c r="D340" s="62" t="str">
        <f ca="1" t="shared" si="16"/>
        <v>一年以上</v>
      </c>
      <c r="E340" s="93">
        <v>44623</v>
      </c>
      <c r="F340" s="89" t="s">
        <v>70</v>
      </c>
      <c r="G340" s="89" t="s">
        <v>149</v>
      </c>
      <c r="H340" s="91" t="s">
        <v>305</v>
      </c>
      <c r="I340" s="63" t="s">
        <v>305</v>
      </c>
      <c r="J340" s="64">
        <v>3000</v>
      </c>
      <c r="K340" s="59" t="s">
        <v>28</v>
      </c>
      <c r="L340" s="59" t="s">
        <v>57</v>
      </c>
      <c r="M340" s="59" t="s">
        <v>65</v>
      </c>
      <c r="N340" s="65">
        <v>3000</v>
      </c>
      <c r="O340" s="65">
        <f t="shared" si="18"/>
        <v>0</v>
      </c>
      <c r="P340" s="66">
        <v>44673</v>
      </c>
      <c r="Q340" s="61">
        <f t="shared" si="17"/>
        <v>44673</v>
      </c>
      <c r="R340" s="66"/>
      <c r="S340" s="59" t="s">
        <v>65</v>
      </c>
      <c r="T340" s="59"/>
      <c r="U340" s="59"/>
      <c r="V340" s="59"/>
      <c r="W340" s="59"/>
      <c r="X340" s="59"/>
    </row>
    <row r="341" s="20" customFormat="1" hidden="1" spans="1:24">
      <c r="A341" s="59">
        <v>309</v>
      </c>
      <c r="B341" s="60" t="s">
        <v>831</v>
      </c>
      <c r="C341" s="61">
        <v>44621</v>
      </c>
      <c r="D341" s="62" t="str">
        <f ca="1" t="shared" si="16"/>
        <v>一年以上</v>
      </c>
      <c r="E341" s="66">
        <v>44624</v>
      </c>
      <c r="F341" s="66"/>
      <c r="G341" s="59" t="s">
        <v>614</v>
      </c>
      <c r="H341" s="91" t="s">
        <v>832</v>
      </c>
      <c r="I341" s="63" t="s">
        <v>832</v>
      </c>
      <c r="J341" s="76">
        <v>2000</v>
      </c>
      <c r="K341" s="59" t="s">
        <v>28</v>
      </c>
      <c r="L341" s="59" t="s">
        <v>57</v>
      </c>
      <c r="M341" s="59" t="s">
        <v>30</v>
      </c>
      <c r="N341" s="65">
        <v>2000</v>
      </c>
      <c r="O341" s="65">
        <f t="shared" si="18"/>
        <v>0</v>
      </c>
      <c r="P341" s="66">
        <v>44709</v>
      </c>
      <c r="Q341" s="61">
        <f t="shared" si="17"/>
        <v>44709</v>
      </c>
      <c r="R341" s="59"/>
      <c r="S341" s="59" t="s">
        <v>30</v>
      </c>
      <c r="T341" s="59"/>
      <c r="U341" s="59"/>
      <c r="V341" s="59"/>
      <c r="W341" s="59"/>
      <c r="X341" s="59"/>
    </row>
    <row r="342" s="20" customFormat="1" ht="30" hidden="1" customHeight="1" spans="1:24">
      <c r="A342" s="59">
        <v>310</v>
      </c>
      <c r="B342" s="60" t="s">
        <v>833</v>
      </c>
      <c r="C342" s="61">
        <v>44621</v>
      </c>
      <c r="D342" s="62" t="str">
        <f ca="1" t="shared" si="16"/>
        <v>一年以上</v>
      </c>
      <c r="E342" s="66">
        <v>44627</v>
      </c>
      <c r="F342" s="66"/>
      <c r="G342" s="59" t="s">
        <v>450</v>
      </c>
      <c r="H342" s="91" t="s">
        <v>834</v>
      </c>
      <c r="I342" s="63" t="s">
        <v>834</v>
      </c>
      <c r="J342" s="76">
        <v>17000</v>
      </c>
      <c r="K342" s="59" t="s">
        <v>28</v>
      </c>
      <c r="L342" s="59" t="s">
        <v>57</v>
      </c>
      <c r="M342" s="59" t="s">
        <v>30</v>
      </c>
      <c r="N342" s="65">
        <v>17000</v>
      </c>
      <c r="O342" s="65">
        <f t="shared" si="18"/>
        <v>0</v>
      </c>
      <c r="P342" s="66">
        <v>44704</v>
      </c>
      <c r="Q342" s="61">
        <f t="shared" si="17"/>
        <v>44704</v>
      </c>
      <c r="R342" s="59"/>
      <c r="S342" s="59" t="s">
        <v>30</v>
      </c>
      <c r="T342" s="59"/>
      <c r="U342" s="59"/>
      <c r="V342" s="59"/>
      <c r="W342" s="59"/>
      <c r="X342" s="59"/>
    </row>
    <row r="343" s="20" customFormat="1" hidden="1" spans="1:24">
      <c r="A343" s="59">
        <v>408</v>
      </c>
      <c r="B343" s="60" t="s">
        <v>835</v>
      </c>
      <c r="C343" s="61">
        <v>44621</v>
      </c>
      <c r="D343" s="62" t="str">
        <f ca="1" t="shared" si="16"/>
        <v>一年以上</v>
      </c>
      <c r="E343" s="66">
        <v>44628</v>
      </c>
      <c r="F343" s="66" t="s">
        <v>632</v>
      </c>
      <c r="G343" s="59" t="s">
        <v>614</v>
      </c>
      <c r="H343" s="91" t="s">
        <v>832</v>
      </c>
      <c r="I343" s="63" t="s">
        <v>832</v>
      </c>
      <c r="J343" s="64">
        <v>500</v>
      </c>
      <c r="K343" s="59" t="s">
        <v>28</v>
      </c>
      <c r="L343" s="59" t="s">
        <v>57</v>
      </c>
      <c r="M343" s="59" t="s">
        <v>515</v>
      </c>
      <c r="N343" s="65">
        <v>500</v>
      </c>
      <c r="O343" s="65">
        <f t="shared" si="18"/>
        <v>0</v>
      </c>
      <c r="P343" s="66">
        <v>44728</v>
      </c>
      <c r="Q343" s="61">
        <f t="shared" si="17"/>
        <v>44728</v>
      </c>
      <c r="R343" s="59"/>
      <c r="S343" s="59" t="s">
        <v>836</v>
      </c>
      <c r="T343" s="59"/>
      <c r="U343" s="59"/>
      <c r="V343" s="59"/>
      <c r="W343" s="59"/>
      <c r="X343" s="59"/>
    </row>
    <row r="344" s="20" customFormat="1" ht="24" hidden="1" spans="1:24">
      <c r="A344" s="59">
        <v>163</v>
      </c>
      <c r="B344" s="60" t="s">
        <v>837</v>
      </c>
      <c r="C344" s="61">
        <v>44621</v>
      </c>
      <c r="D344" s="62" t="str">
        <f ca="1" t="shared" si="16"/>
        <v>一年以上</v>
      </c>
      <c r="E344" s="66">
        <v>44630</v>
      </c>
      <c r="F344" s="66" t="s">
        <v>70</v>
      </c>
      <c r="G344" s="89" t="s">
        <v>119</v>
      </c>
      <c r="H344" s="60" t="s">
        <v>612</v>
      </c>
      <c r="I344" s="63" t="s">
        <v>612</v>
      </c>
      <c r="J344" s="64">
        <v>2000</v>
      </c>
      <c r="K344" s="59"/>
      <c r="L344" s="59" t="s">
        <v>96</v>
      </c>
      <c r="M344" s="59" t="s">
        <v>65</v>
      </c>
      <c r="N344" s="65">
        <v>2000</v>
      </c>
      <c r="O344" s="65">
        <f t="shared" si="18"/>
        <v>0</v>
      </c>
      <c r="P344" s="66">
        <v>44657</v>
      </c>
      <c r="Q344" s="61">
        <f t="shared" si="17"/>
        <v>44657</v>
      </c>
      <c r="R344" s="66"/>
      <c r="S344" s="59" t="s">
        <v>65</v>
      </c>
      <c r="T344" s="59"/>
      <c r="U344" s="59"/>
      <c r="V344" s="59"/>
      <c r="W344" s="59"/>
      <c r="X344" s="59"/>
    </row>
    <row r="345" s="20" customFormat="1" ht="24" hidden="1" spans="1:24">
      <c r="A345" s="59">
        <v>395</v>
      </c>
      <c r="B345" s="60" t="s">
        <v>838</v>
      </c>
      <c r="C345" s="61">
        <v>44621</v>
      </c>
      <c r="D345" s="62" t="str">
        <f ca="1" t="shared" si="16"/>
        <v>一年以上</v>
      </c>
      <c r="E345" s="66">
        <v>44630</v>
      </c>
      <c r="F345" s="66" t="s">
        <v>130</v>
      </c>
      <c r="G345" s="59" t="s">
        <v>239</v>
      </c>
      <c r="H345" s="60" t="s">
        <v>839</v>
      </c>
      <c r="I345" s="63" t="s">
        <v>839</v>
      </c>
      <c r="J345" s="76">
        <v>1500</v>
      </c>
      <c r="K345" s="59"/>
      <c r="L345" s="59" t="s">
        <v>96</v>
      </c>
      <c r="M345" s="59" t="s">
        <v>515</v>
      </c>
      <c r="N345" s="65">
        <v>1500</v>
      </c>
      <c r="O345" s="65">
        <f t="shared" si="18"/>
        <v>0</v>
      </c>
      <c r="P345" s="66">
        <f>E345</f>
        <v>44630</v>
      </c>
      <c r="Q345" s="61">
        <f t="shared" si="17"/>
        <v>44630</v>
      </c>
      <c r="R345" s="59"/>
      <c r="S345" s="59"/>
      <c r="T345" s="59"/>
      <c r="U345" s="59"/>
      <c r="V345" s="59"/>
      <c r="W345" s="59"/>
      <c r="X345" s="59"/>
    </row>
    <row r="346" s="20" customFormat="1" hidden="1" spans="1:24">
      <c r="A346" s="59">
        <v>311</v>
      </c>
      <c r="B346" s="60" t="s">
        <v>840</v>
      </c>
      <c r="C346" s="61">
        <v>44621</v>
      </c>
      <c r="D346" s="62" t="str">
        <f ca="1" t="shared" si="16"/>
        <v>一年以上</v>
      </c>
      <c r="E346" s="66">
        <v>44631</v>
      </c>
      <c r="F346" s="66"/>
      <c r="G346" s="59" t="s">
        <v>614</v>
      </c>
      <c r="H346" s="91" t="s">
        <v>812</v>
      </c>
      <c r="I346" s="63" t="s">
        <v>812</v>
      </c>
      <c r="J346" s="76">
        <v>80000</v>
      </c>
      <c r="K346" s="59" t="s">
        <v>28</v>
      </c>
      <c r="L346" s="59" t="s">
        <v>57</v>
      </c>
      <c r="M346" s="59" t="s">
        <v>30</v>
      </c>
      <c r="N346" s="65">
        <v>80000</v>
      </c>
      <c r="O346" s="65">
        <f t="shared" si="18"/>
        <v>0</v>
      </c>
      <c r="P346" s="66">
        <v>44672</v>
      </c>
      <c r="Q346" s="61">
        <f t="shared" si="17"/>
        <v>44672</v>
      </c>
      <c r="R346" s="59"/>
      <c r="S346" s="59" t="s">
        <v>30</v>
      </c>
      <c r="T346" s="59"/>
      <c r="U346" s="59"/>
      <c r="V346" s="59"/>
      <c r="W346" s="59"/>
      <c r="X346" s="59"/>
    </row>
    <row r="347" s="20" customFormat="1" ht="24" hidden="1" spans="1:24">
      <c r="A347" s="59">
        <v>396</v>
      </c>
      <c r="B347" s="60" t="s">
        <v>841</v>
      </c>
      <c r="C347" s="61">
        <v>44621</v>
      </c>
      <c r="D347" s="62" t="str">
        <f ca="1" t="shared" si="16"/>
        <v>一年以上</v>
      </c>
      <c r="E347" s="66">
        <v>44631</v>
      </c>
      <c r="F347" s="66" t="s">
        <v>632</v>
      </c>
      <c r="G347" s="59" t="s">
        <v>450</v>
      </c>
      <c r="H347" s="60" t="s">
        <v>842</v>
      </c>
      <c r="I347" s="63" t="s">
        <v>842</v>
      </c>
      <c r="J347" s="76">
        <v>300</v>
      </c>
      <c r="K347" s="59"/>
      <c r="L347" s="59" t="s">
        <v>73</v>
      </c>
      <c r="M347" s="59" t="s">
        <v>515</v>
      </c>
      <c r="N347" s="65">
        <v>300</v>
      </c>
      <c r="O347" s="65">
        <f t="shared" si="18"/>
        <v>0</v>
      </c>
      <c r="P347" s="66">
        <f>E347</f>
        <v>44631</v>
      </c>
      <c r="Q347" s="61">
        <f t="shared" si="17"/>
        <v>44631</v>
      </c>
      <c r="R347" s="59"/>
      <c r="S347" s="59"/>
      <c r="T347" s="59"/>
      <c r="U347" s="59"/>
      <c r="V347" s="59"/>
      <c r="W347" s="59"/>
      <c r="X347" s="59"/>
    </row>
    <row r="348" s="20" customFormat="1" hidden="1" spans="1:24">
      <c r="A348" s="59">
        <v>165</v>
      </c>
      <c r="B348" s="60" t="s">
        <v>843</v>
      </c>
      <c r="C348" s="61">
        <v>44621</v>
      </c>
      <c r="D348" s="62" t="str">
        <f ca="1" t="shared" si="16"/>
        <v>一年以上</v>
      </c>
      <c r="E348" s="66">
        <v>44635</v>
      </c>
      <c r="F348" s="66" t="s">
        <v>70</v>
      </c>
      <c r="G348" s="89" t="s">
        <v>844</v>
      </c>
      <c r="H348" s="60" t="s">
        <v>472</v>
      </c>
      <c r="I348" s="63" t="s">
        <v>472</v>
      </c>
      <c r="J348" s="64">
        <v>5000</v>
      </c>
      <c r="K348" s="59"/>
      <c r="L348" s="59" t="s">
        <v>96</v>
      </c>
      <c r="M348" s="59" t="s">
        <v>65</v>
      </c>
      <c r="N348" s="65">
        <v>5000</v>
      </c>
      <c r="O348" s="65">
        <f t="shared" si="18"/>
        <v>0</v>
      </c>
      <c r="P348" s="66">
        <v>44694</v>
      </c>
      <c r="Q348" s="61">
        <f t="shared" si="17"/>
        <v>44694</v>
      </c>
      <c r="R348" s="66"/>
      <c r="S348" s="59" t="s">
        <v>65</v>
      </c>
      <c r="T348" s="59"/>
      <c r="U348" s="59"/>
      <c r="V348" s="59"/>
      <c r="W348" s="59"/>
      <c r="X348" s="59"/>
    </row>
    <row r="349" s="20" customFormat="1" hidden="1" spans="1:24">
      <c r="A349" s="59">
        <v>312</v>
      </c>
      <c r="B349" s="60" t="s">
        <v>845</v>
      </c>
      <c r="C349" s="61">
        <v>44621</v>
      </c>
      <c r="D349" s="62" t="str">
        <f ca="1" t="shared" si="16"/>
        <v>一年以上</v>
      </c>
      <c r="E349" s="66">
        <v>44635</v>
      </c>
      <c r="F349" s="66"/>
      <c r="G349" s="59" t="s">
        <v>614</v>
      </c>
      <c r="H349" s="91" t="s">
        <v>846</v>
      </c>
      <c r="I349" s="63" t="s">
        <v>846</v>
      </c>
      <c r="J349" s="76">
        <v>2000</v>
      </c>
      <c r="K349" s="59" t="s">
        <v>28</v>
      </c>
      <c r="L349" s="59" t="s">
        <v>57</v>
      </c>
      <c r="M349" s="59" t="s">
        <v>30</v>
      </c>
      <c r="N349" s="65">
        <v>2000</v>
      </c>
      <c r="O349" s="65">
        <f t="shared" si="18"/>
        <v>0</v>
      </c>
      <c r="P349" s="66">
        <v>44721</v>
      </c>
      <c r="Q349" s="61">
        <f t="shared" si="17"/>
        <v>44721</v>
      </c>
      <c r="R349" s="59"/>
      <c r="S349" s="59" t="s">
        <v>30</v>
      </c>
      <c r="T349" s="59"/>
      <c r="U349" s="59"/>
      <c r="V349" s="59"/>
      <c r="W349" s="59"/>
      <c r="X349" s="59"/>
    </row>
    <row r="350" s="20" customFormat="1" ht="24" hidden="1" spans="1:24">
      <c r="A350" s="59">
        <v>164</v>
      </c>
      <c r="B350" s="60" t="s">
        <v>847</v>
      </c>
      <c r="C350" s="61">
        <v>44621</v>
      </c>
      <c r="D350" s="62" t="str">
        <f ca="1" t="shared" si="16"/>
        <v>一年以上</v>
      </c>
      <c r="E350" s="66">
        <v>44636</v>
      </c>
      <c r="F350" s="66" t="s">
        <v>82</v>
      </c>
      <c r="G350" s="59" t="s">
        <v>608</v>
      </c>
      <c r="H350" s="60" t="s">
        <v>605</v>
      </c>
      <c r="I350" s="63" t="s">
        <v>605</v>
      </c>
      <c r="J350" s="64">
        <v>9000</v>
      </c>
      <c r="K350" s="59" t="s">
        <v>28</v>
      </c>
      <c r="L350" s="59" t="s">
        <v>57</v>
      </c>
      <c r="M350" s="59" t="s">
        <v>65</v>
      </c>
      <c r="N350" s="65">
        <v>9000</v>
      </c>
      <c r="O350" s="65">
        <f t="shared" si="18"/>
        <v>0</v>
      </c>
      <c r="P350" s="66">
        <v>44652</v>
      </c>
      <c r="Q350" s="61">
        <f t="shared" si="17"/>
        <v>44652</v>
      </c>
      <c r="R350" s="66"/>
      <c r="S350" s="59" t="s">
        <v>65</v>
      </c>
      <c r="T350" s="59"/>
      <c r="U350" s="59"/>
      <c r="V350" s="59"/>
      <c r="W350" s="59"/>
      <c r="X350" s="59"/>
    </row>
    <row r="351" s="20" customFormat="1" ht="24" hidden="1" spans="1:24">
      <c r="A351" s="59">
        <v>166</v>
      </c>
      <c r="B351" s="60" t="s">
        <v>848</v>
      </c>
      <c r="C351" s="61">
        <v>44621</v>
      </c>
      <c r="D351" s="62" t="str">
        <f ca="1" t="shared" si="16"/>
        <v>一年以上</v>
      </c>
      <c r="E351" s="66">
        <v>44643</v>
      </c>
      <c r="F351" s="66" t="s">
        <v>70</v>
      </c>
      <c r="G351" s="89" t="s">
        <v>849</v>
      </c>
      <c r="H351" s="60" t="s">
        <v>667</v>
      </c>
      <c r="I351" s="63" t="s">
        <v>667</v>
      </c>
      <c r="J351" s="64">
        <v>3000</v>
      </c>
      <c r="K351" s="59"/>
      <c r="L351" s="59" t="s">
        <v>73</v>
      </c>
      <c r="M351" s="59" t="s">
        <v>65</v>
      </c>
      <c r="N351" s="65">
        <v>3000</v>
      </c>
      <c r="O351" s="65">
        <f t="shared" si="18"/>
        <v>0</v>
      </c>
      <c r="P351" s="66">
        <v>44728</v>
      </c>
      <c r="Q351" s="61">
        <f t="shared" si="17"/>
        <v>44728</v>
      </c>
      <c r="R351" s="66"/>
      <c r="S351" s="59" t="s">
        <v>65</v>
      </c>
      <c r="T351" s="59"/>
      <c r="U351" s="59"/>
      <c r="V351" s="59"/>
      <c r="W351" s="59"/>
      <c r="X351" s="59"/>
    </row>
    <row r="352" s="20" customFormat="1" hidden="1" spans="1:24">
      <c r="A352" s="59">
        <v>313</v>
      </c>
      <c r="B352" s="60" t="s">
        <v>850</v>
      </c>
      <c r="C352" s="61">
        <v>44621</v>
      </c>
      <c r="D352" s="62" t="str">
        <f ca="1" t="shared" si="16"/>
        <v>一年以上</v>
      </c>
      <c r="E352" s="66">
        <v>44643</v>
      </c>
      <c r="F352" s="106" t="s">
        <v>632</v>
      </c>
      <c r="G352" s="59" t="s">
        <v>450</v>
      </c>
      <c r="H352" s="91" t="s">
        <v>851</v>
      </c>
      <c r="I352" s="63" t="s">
        <v>851</v>
      </c>
      <c r="J352" s="76">
        <v>10000</v>
      </c>
      <c r="K352" s="59" t="s">
        <v>28</v>
      </c>
      <c r="L352" s="59" t="s">
        <v>57</v>
      </c>
      <c r="M352" s="59" t="s">
        <v>30</v>
      </c>
      <c r="N352" s="65">
        <v>10000</v>
      </c>
      <c r="O352" s="65">
        <f t="shared" si="18"/>
        <v>0</v>
      </c>
      <c r="P352" s="66">
        <v>44650</v>
      </c>
      <c r="Q352" s="61">
        <f t="shared" si="17"/>
        <v>44650</v>
      </c>
      <c r="R352" s="59"/>
      <c r="S352" s="59" t="s">
        <v>30</v>
      </c>
      <c r="T352" s="59"/>
      <c r="U352" s="59"/>
      <c r="V352" s="59"/>
      <c r="W352" s="59"/>
      <c r="X352" s="59"/>
    </row>
    <row r="353" s="20" customFormat="1" ht="24" hidden="1" spans="1:24">
      <c r="A353" s="59">
        <v>167</v>
      </c>
      <c r="B353" s="60" t="s">
        <v>852</v>
      </c>
      <c r="C353" s="61">
        <v>44621</v>
      </c>
      <c r="D353" s="62" t="str">
        <f ca="1" t="shared" si="16"/>
        <v>一年以上</v>
      </c>
      <c r="E353" s="66">
        <v>44644</v>
      </c>
      <c r="F353" s="66" t="s">
        <v>70</v>
      </c>
      <c r="G353" s="89" t="s">
        <v>849</v>
      </c>
      <c r="H353" s="60" t="s">
        <v>667</v>
      </c>
      <c r="I353" s="63" t="s">
        <v>667</v>
      </c>
      <c r="J353" s="64">
        <v>1000</v>
      </c>
      <c r="K353" s="59"/>
      <c r="L353" s="59" t="s">
        <v>73</v>
      </c>
      <c r="M353" s="59" t="s">
        <v>65</v>
      </c>
      <c r="N353" s="65">
        <v>1000</v>
      </c>
      <c r="O353" s="65">
        <f t="shared" si="18"/>
        <v>0</v>
      </c>
      <c r="P353" s="66">
        <v>44728</v>
      </c>
      <c r="Q353" s="61">
        <f t="shared" si="17"/>
        <v>44728</v>
      </c>
      <c r="R353" s="66"/>
      <c r="S353" s="59" t="s">
        <v>65</v>
      </c>
      <c r="T353" s="59"/>
      <c r="U353" s="59"/>
      <c r="V353" s="59"/>
      <c r="W353" s="59"/>
      <c r="X353" s="59"/>
    </row>
    <row r="354" s="20" customFormat="1" ht="24" hidden="1" spans="1:24">
      <c r="A354" s="59">
        <v>397</v>
      </c>
      <c r="B354" s="60" t="s">
        <v>853</v>
      </c>
      <c r="C354" s="61">
        <v>44621</v>
      </c>
      <c r="D354" s="62" t="str">
        <f ca="1" t="shared" si="16"/>
        <v>一年以上</v>
      </c>
      <c r="E354" s="66">
        <v>44644</v>
      </c>
      <c r="F354" s="66" t="s">
        <v>632</v>
      </c>
      <c r="G354" s="59" t="s">
        <v>450</v>
      </c>
      <c r="H354" s="60" t="s">
        <v>842</v>
      </c>
      <c r="I354" s="63" t="s">
        <v>842</v>
      </c>
      <c r="J354" s="76">
        <v>200</v>
      </c>
      <c r="K354" s="59"/>
      <c r="L354" s="59" t="s">
        <v>73</v>
      </c>
      <c r="M354" s="59" t="s">
        <v>515</v>
      </c>
      <c r="N354" s="65">
        <v>200</v>
      </c>
      <c r="O354" s="65">
        <f t="shared" si="18"/>
        <v>0</v>
      </c>
      <c r="P354" s="66">
        <v>44718</v>
      </c>
      <c r="Q354" s="61">
        <f t="shared" si="17"/>
        <v>44718</v>
      </c>
      <c r="R354" s="59"/>
      <c r="S354" s="59" t="s">
        <v>854</v>
      </c>
      <c r="T354" s="59"/>
      <c r="U354" s="59"/>
      <c r="V354" s="59"/>
      <c r="W354" s="59"/>
      <c r="X354" s="59"/>
    </row>
    <row r="355" s="20" customFormat="1" ht="24" hidden="1" spans="1:24">
      <c r="A355" s="59">
        <v>168</v>
      </c>
      <c r="B355" s="60" t="s">
        <v>855</v>
      </c>
      <c r="C355" s="61">
        <v>44621</v>
      </c>
      <c r="D355" s="62" t="str">
        <f ca="1" t="shared" si="16"/>
        <v>一年以上</v>
      </c>
      <c r="E355" s="66">
        <v>44648</v>
      </c>
      <c r="F355" s="66" t="s">
        <v>70</v>
      </c>
      <c r="G355" s="89" t="s">
        <v>460</v>
      </c>
      <c r="H355" s="60" t="s">
        <v>686</v>
      </c>
      <c r="I355" s="63" t="s">
        <v>686</v>
      </c>
      <c r="J355" s="64">
        <v>2000</v>
      </c>
      <c r="K355" s="59"/>
      <c r="L355" s="59" t="s">
        <v>73</v>
      </c>
      <c r="M355" s="59" t="s">
        <v>65</v>
      </c>
      <c r="N355" s="65">
        <v>2000</v>
      </c>
      <c r="O355" s="65">
        <f t="shared" si="18"/>
        <v>0</v>
      </c>
      <c r="P355" s="66">
        <v>44712</v>
      </c>
      <c r="Q355" s="61">
        <f t="shared" si="17"/>
        <v>44712</v>
      </c>
      <c r="R355" s="66"/>
      <c r="S355" s="59" t="s">
        <v>65</v>
      </c>
      <c r="T355" s="59"/>
      <c r="U355" s="59"/>
      <c r="V355" s="59"/>
      <c r="W355" s="59"/>
      <c r="X355" s="59"/>
    </row>
    <row r="356" s="20" customFormat="1" ht="24" hidden="1" spans="1:24">
      <c r="A356" s="59">
        <v>169</v>
      </c>
      <c r="B356" s="60" t="s">
        <v>856</v>
      </c>
      <c r="C356" s="61">
        <v>44621</v>
      </c>
      <c r="D356" s="62" t="str">
        <f ca="1" t="shared" si="16"/>
        <v>一年以上</v>
      </c>
      <c r="E356" s="66">
        <v>44648</v>
      </c>
      <c r="F356" s="66" t="s">
        <v>70</v>
      </c>
      <c r="G356" s="89" t="s">
        <v>149</v>
      </c>
      <c r="H356" s="60" t="s">
        <v>600</v>
      </c>
      <c r="I356" s="63" t="s">
        <v>600</v>
      </c>
      <c r="J356" s="64">
        <v>2000</v>
      </c>
      <c r="K356" s="59"/>
      <c r="L356" s="59" t="s">
        <v>73</v>
      </c>
      <c r="M356" s="59" t="s">
        <v>65</v>
      </c>
      <c r="N356" s="65">
        <v>2000</v>
      </c>
      <c r="O356" s="65">
        <f t="shared" si="18"/>
        <v>0</v>
      </c>
      <c r="P356" s="66">
        <v>44672</v>
      </c>
      <c r="Q356" s="61">
        <f t="shared" si="17"/>
        <v>44672</v>
      </c>
      <c r="R356" s="66"/>
      <c r="S356" s="59" t="s">
        <v>65</v>
      </c>
      <c r="T356" s="59"/>
      <c r="U356" s="59"/>
      <c r="V356" s="59"/>
      <c r="W356" s="59"/>
      <c r="X356" s="59"/>
    </row>
    <row r="357" s="18" customFormat="1" ht="24" hidden="1" spans="1:24">
      <c r="A357" s="59">
        <v>170</v>
      </c>
      <c r="B357" s="60" t="s">
        <v>857</v>
      </c>
      <c r="C357" s="61">
        <v>44621</v>
      </c>
      <c r="D357" s="62" t="str">
        <f ca="1" t="shared" si="16"/>
        <v>一年以上</v>
      </c>
      <c r="E357" s="66">
        <v>44648</v>
      </c>
      <c r="F357" s="66" t="s">
        <v>70</v>
      </c>
      <c r="G357" s="89" t="s">
        <v>104</v>
      </c>
      <c r="H357" s="60" t="s">
        <v>858</v>
      </c>
      <c r="I357" s="63" t="s">
        <v>858</v>
      </c>
      <c r="J357" s="64">
        <v>2000</v>
      </c>
      <c r="K357" s="59" t="s">
        <v>28</v>
      </c>
      <c r="L357" s="59" t="s">
        <v>73</v>
      </c>
      <c r="M357" s="59" t="s">
        <v>65</v>
      </c>
      <c r="N357" s="65">
        <v>2000</v>
      </c>
      <c r="O357" s="65">
        <f t="shared" si="18"/>
        <v>0</v>
      </c>
      <c r="P357" s="66">
        <v>44797</v>
      </c>
      <c r="Q357" s="61">
        <f t="shared" si="17"/>
        <v>44797</v>
      </c>
      <c r="R357" s="66"/>
      <c r="S357" s="59" t="s">
        <v>65</v>
      </c>
      <c r="T357" s="59"/>
      <c r="U357" s="59"/>
      <c r="V357" s="59"/>
      <c r="W357" s="50"/>
      <c r="X357" s="50"/>
    </row>
    <row r="358" s="18" customFormat="1" ht="24" hidden="1" spans="1:24">
      <c r="A358" s="59">
        <v>355</v>
      </c>
      <c r="B358" s="60" t="s">
        <v>859</v>
      </c>
      <c r="C358" s="61">
        <v>44621</v>
      </c>
      <c r="D358" s="62" t="str">
        <f ca="1" t="shared" si="16"/>
        <v>一年以上</v>
      </c>
      <c r="E358" s="66">
        <v>44649</v>
      </c>
      <c r="F358" s="66" t="s">
        <v>130</v>
      </c>
      <c r="G358" s="59" t="s">
        <v>87</v>
      </c>
      <c r="H358" s="60" t="s">
        <v>860</v>
      </c>
      <c r="I358" s="63" t="s">
        <v>860</v>
      </c>
      <c r="J358" s="64">
        <v>12500</v>
      </c>
      <c r="K358" s="59" t="s">
        <v>28</v>
      </c>
      <c r="L358" s="59" t="s">
        <v>57</v>
      </c>
      <c r="M358" s="59" t="s">
        <v>133</v>
      </c>
      <c r="N358" s="65">
        <v>12500</v>
      </c>
      <c r="O358" s="65">
        <f t="shared" si="18"/>
        <v>0</v>
      </c>
      <c r="P358" s="66">
        <v>45026</v>
      </c>
      <c r="Q358" s="61">
        <f t="shared" si="17"/>
        <v>45026</v>
      </c>
      <c r="R358" s="59"/>
      <c r="S358" s="59" t="s">
        <v>861</v>
      </c>
      <c r="T358" s="59" t="s">
        <v>86</v>
      </c>
      <c r="U358" s="59"/>
      <c r="V358" s="59"/>
      <c r="W358" s="50"/>
      <c r="X358" s="50"/>
    </row>
    <row r="359" s="20" customFormat="1" ht="24" hidden="1" spans="1:24">
      <c r="A359" s="59">
        <v>356</v>
      </c>
      <c r="B359" s="60" t="s">
        <v>862</v>
      </c>
      <c r="C359" s="61">
        <v>44621</v>
      </c>
      <c r="D359" s="62" t="str">
        <f ca="1" t="shared" si="16"/>
        <v>一年以上</v>
      </c>
      <c r="E359" s="66">
        <v>44651</v>
      </c>
      <c r="F359" s="66" t="s">
        <v>130</v>
      </c>
      <c r="G359" s="59" t="s">
        <v>569</v>
      </c>
      <c r="H359" s="60" t="s">
        <v>863</v>
      </c>
      <c r="I359" s="63" t="s">
        <v>863</v>
      </c>
      <c r="J359" s="64">
        <v>12736</v>
      </c>
      <c r="K359" s="59" t="s">
        <v>28</v>
      </c>
      <c r="L359" s="59" t="s">
        <v>57</v>
      </c>
      <c r="M359" s="59" t="s">
        <v>133</v>
      </c>
      <c r="N359" s="65">
        <v>12736</v>
      </c>
      <c r="O359" s="65">
        <f t="shared" si="18"/>
        <v>0</v>
      </c>
      <c r="P359" s="66">
        <v>44925</v>
      </c>
      <c r="Q359" s="61">
        <f t="shared" si="17"/>
        <v>44925</v>
      </c>
      <c r="R359" s="59"/>
      <c r="S359" s="60" t="s">
        <v>864</v>
      </c>
      <c r="T359" s="59"/>
      <c r="U359" s="59"/>
      <c r="V359" s="59"/>
      <c r="W359" s="59"/>
      <c r="X359" s="59"/>
    </row>
    <row r="360" s="20" customFormat="1" ht="24" hidden="1" spans="1:24">
      <c r="A360" s="59">
        <v>314</v>
      </c>
      <c r="B360" s="60" t="s">
        <v>865</v>
      </c>
      <c r="C360" s="61">
        <v>44652</v>
      </c>
      <c r="D360" s="62" t="str">
        <f ca="1" t="shared" si="16"/>
        <v>一年以上</v>
      </c>
      <c r="E360" s="66">
        <v>44657</v>
      </c>
      <c r="F360" s="66"/>
      <c r="G360" s="59" t="s">
        <v>614</v>
      </c>
      <c r="H360" s="91" t="s">
        <v>315</v>
      </c>
      <c r="I360" s="63" t="s">
        <v>315</v>
      </c>
      <c r="J360" s="96">
        <v>10000</v>
      </c>
      <c r="K360" s="59" t="s">
        <v>28</v>
      </c>
      <c r="L360" s="59" t="s">
        <v>73</v>
      </c>
      <c r="M360" s="59" t="s">
        <v>30</v>
      </c>
      <c r="N360" s="65">
        <v>10000</v>
      </c>
      <c r="O360" s="65">
        <f t="shared" si="18"/>
        <v>0</v>
      </c>
      <c r="P360" s="66">
        <v>44818</v>
      </c>
      <c r="Q360" s="61">
        <f t="shared" si="17"/>
        <v>44818</v>
      </c>
      <c r="R360" s="59"/>
      <c r="S360" s="59" t="s">
        <v>30</v>
      </c>
      <c r="T360" s="59"/>
      <c r="U360" s="59"/>
      <c r="V360" s="59"/>
      <c r="W360" s="59"/>
      <c r="X360" s="59"/>
    </row>
    <row r="361" s="20" customFormat="1" ht="24" hidden="1" spans="1:24">
      <c r="A361" s="59">
        <v>315</v>
      </c>
      <c r="B361" s="60" t="s">
        <v>866</v>
      </c>
      <c r="C361" s="61">
        <v>44652</v>
      </c>
      <c r="D361" s="62" t="str">
        <f ca="1" t="shared" si="16"/>
        <v>一年以上</v>
      </c>
      <c r="E361" s="66">
        <v>44657</v>
      </c>
      <c r="F361" s="66"/>
      <c r="G361" s="59" t="s">
        <v>614</v>
      </c>
      <c r="H361" s="91" t="s">
        <v>867</v>
      </c>
      <c r="I361" s="63" t="s">
        <v>867</v>
      </c>
      <c r="J361" s="76">
        <v>15000</v>
      </c>
      <c r="K361" s="59" t="s">
        <v>356</v>
      </c>
      <c r="L361" s="59" t="s">
        <v>458</v>
      </c>
      <c r="M361" s="59" t="s">
        <v>30</v>
      </c>
      <c r="N361" s="65">
        <v>15000</v>
      </c>
      <c r="O361" s="65">
        <f t="shared" si="18"/>
        <v>0</v>
      </c>
      <c r="P361" s="66">
        <v>44754</v>
      </c>
      <c r="Q361" s="61">
        <f t="shared" si="17"/>
        <v>44754</v>
      </c>
      <c r="R361" s="59"/>
      <c r="S361" s="59" t="s">
        <v>30</v>
      </c>
      <c r="T361" s="59"/>
      <c r="U361" s="59"/>
      <c r="V361" s="59"/>
      <c r="W361" s="59"/>
      <c r="X361" s="59"/>
    </row>
    <row r="362" s="20" customFormat="1" ht="24" hidden="1" spans="1:24">
      <c r="A362" s="59">
        <v>317</v>
      </c>
      <c r="B362" s="60" t="s">
        <v>868</v>
      </c>
      <c r="C362" s="61">
        <v>44652</v>
      </c>
      <c r="D362" s="62" t="str">
        <f ca="1" t="shared" si="16"/>
        <v>一年以上</v>
      </c>
      <c r="E362" s="66">
        <v>44658</v>
      </c>
      <c r="F362" s="66"/>
      <c r="G362" s="59" t="s">
        <v>614</v>
      </c>
      <c r="H362" s="60" t="s">
        <v>325</v>
      </c>
      <c r="I362" s="63" t="s">
        <v>325</v>
      </c>
      <c r="J362" s="76">
        <v>2000</v>
      </c>
      <c r="K362" s="59" t="s">
        <v>356</v>
      </c>
      <c r="L362" s="59" t="s">
        <v>468</v>
      </c>
      <c r="M362" s="59" t="s">
        <v>30</v>
      </c>
      <c r="N362" s="65">
        <v>2000</v>
      </c>
      <c r="O362" s="65">
        <f t="shared" si="18"/>
        <v>0</v>
      </c>
      <c r="P362" s="66">
        <v>44771</v>
      </c>
      <c r="Q362" s="61">
        <f t="shared" si="17"/>
        <v>44771</v>
      </c>
      <c r="R362" s="59"/>
      <c r="S362" s="59"/>
      <c r="T362" s="59"/>
      <c r="U362" s="59"/>
      <c r="V362" s="59"/>
      <c r="W362" s="59"/>
      <c r="X362" s="59"/>
    </row>
    <row r="363" s="20" customFormat="1" hidden="1" spans="1:24">
      <c r="A363" s="59">
        <v>398</v>
      </c>
      <c r="B363" s="60" t="s">
        <v>869</v>
      </c>
      <c r="C363" s="61">
        <v>44652</v>
      </c>
      <c r="D363" s="62" t="str">
        <f ca="1" t="shared" si="16"/>
        <v>一年以上</v>
      </c>
      <c r="E363" s="66">
        <v>44658</v>
      </c>
      <c r="F363" s="66" t="s">
        <v>632</v>
      </c>
      <c r="G363" s="59" t="s">
        <v>450</v>
      </c>
      <c r="H363" s="60" t="s">
        <v>863</v>
      </c>
      <c r="I363" s="63" t="s">
        <v>863</v>
      </c>
      <c r="J363" s="76">
        <v>500</v>
      </c>
      <c r="K363" s="59"/>
      <c r="L363" s="59" t="s">
        <v>73</v>
      </c>
      <c r="M363" s="59" t="s">
        <v>515</v>
      </c>
      <c r="N363" s="65">
        <v>500</v>
      </c>
      <c r="O363" s="65">
        <f t="shared" si="18"/>
        <v>0</v>
      </c>
      <c r="P363" s="66">
        <v>44705</v>
      </c>
      <c r="Q363" s="61">
        <f t="shared" si="17"/>
        <v>44705</v>
      </c>
      <c r="R363" s="59"/>
      <c r="S363" s="60" t="s">
        <v>870</v>
      </c>
      <c r="T363" s="59"/>
      <c r="U363" s="59"/>
      <c r="V363" s="59"/>
      <c r="W363" s="59"/>
      <c r="X363" s="59"/>
    </row>
    <row r="364" s="20" customFormat="1" ht="24" hidden="1" spans="1:24">
      <c r="A364" s="59">
        <v>399</v>
      </c>
      <c r="B364" s="60" t="s">
        <v>871</v>
      </c>
      <c r="C364" s="61">
        <v>44652</v>
      </c>
      <c r="D364" s="62" t="str">
        <f ca="1" t="shared" si="16"/>
        <v>一年以上</v>
      </c>
      <c r="E364" s="66">
        <v>44664</v>
      </c>
      <c r="F364" s="66" t="s">
        <v>632</v>
      </c>
      <c r="G364" s="59" t="s">
        <v>614</v>
      </c>
      <c r="H364" s="60" t="s">
        <v>872</v>
      </c>
      <c r="I364" s="63" t="s">
        <v>872</v>
      </c>
      <c r="J364" s="76">
        <v>800</v>
      </c>
      <c r="K364" s="59" t="s">
        <v>28</v>
      </c>
      <c r="L364" s="59" t="s">
        <v>873</v>
      </c>
      <c r="M364" s="59" t="s">
        <v>515</v>
      </c>
      <c r="N364" s="65">
        <v>800</v>
      </c>
      <c r="O364" s="65">
        <f t="shared" si="18"/>
        <v>0</v>
      </c>
      <c r="P364" s="66">
        <v>44728</v>
      </c>
      <c r="Q364" s="61">
        <f t="shared" si="17"/>
        <v>44728</v>
      </c>
      <c r="R364" s="59"/>
      <c r="S364" s="59"/>
      <c r="T364" s="59"/>
      <c r="U364" s="59"/>
      <c r="V364" s="59"/>
      <c r="W364" s="59"/>
      <c r="X364" s="59"/>
    </row>
    <row r="365" s="20" customFormat="1" ht="24" hidden="1" spans="1:24">
      <c r="A365" s="59">
        <v>171</v>
      </c>
      <c r="B365" s="60" t="s">
        <v>874</v>
      </c>
      <c r="C365" s="61">
        <v>44652</v>
      </c>
      <c r="D365" s="62" t="str">
        <f ca="1" t="shared" si="16"/>
        <v>一年以上</v>
      </c>
      <c r="E365" s="66">
        <v>44671</v>
      </c>
      <c r="F365" s="66" t="s">
        <v>70</v>
      </c>
      <c r="G365" s="89" t="s">
        <v>149</v>
      </c>
      <c r="H365" s="60" t="s">
        <v>600</v>
      </c>
      <c r="I365" s="63" t="s">
        <v>600</v>
      </c>
      <c r="J365" s="64">
        <v>600</v>
      </c>
      <c r="K365" s="59"/>
      <c r="L365" s="59" t="s">
        <v>73</v>
      </c>
      <c r="M365" s="59" t="s">
        <v>65</v>
      </c>
      <c r="N365" s="65">
        <v>600</v>
      </c>
      <c r="O365" s="65">
        <f t="shared" si="18"/>
        <v>0</v>
      </c>
      <c r="P365" s="66">
        <v>44701</v>
      </c>
      <c r="Q365" s="61">
        <f t="shared" si="17"/>
        <v>44701</v>
      </c>
      <c r="R365" s="66"/>
      <c r="S365" s="59" t="s">
        <v>65</v>
      </c>
      <c r="T365" s="59"/>
      <c r="U365" s="59"/>
      <c r="V365" s="59"/>
      <c r="W365" s="59"/>
      <c r="X365" s="59"/>
    </row>
    <row r="366" s="20" customFormat="1" ht="24" hidden="1" spans="1:24">
      <c r="A366" s="59">
        <v>318</v>
      </c>
      <c r="B366" s="60" t="s">
        <v>875</v>
      </c>
      <c r="C366" s="61">
        <v>44652</v>
      </c>
      <c r="D366" s="62" t="str">
        <f ca="1" t="shared" si="16"/>
        <v>一年以上</v>
      </c>
      <c r="E366" s="66">
        <v>44672</v>
      </c>
      <c r="F366" s="66"/>
      <c r="G366" s="59" t="s">
        <v>614</v>
      </c>
      <c r="H366" s="60" t="s">
        <v>876</v>
      </c>
      <c r="I366" s="63" t="s">
        <v>876</v>
      </c>
      <c r="J366" s="76">
        <v>15000</v>
      </c>
      <c r="K366" s="59" t="s">
        <v>28</v>
      </c>
      <c r="L366" s="59" t="s">
        <v>57</v>
      </c>
      <c r="M366" s="59" t="s">
        <v>30</v>
      </c>
      <c r="N366" s="65">
        <v>15000</v>
      </c>
      <c r="O366" s="65">
        <f t="shared" si="18"/>
        <v>0</v>
      </c>
      <c r="P366" s="66">
        <v>44692</v>
      </c>
      <c r="Q366" s="61">
        <f t="shared" si="17"/>
        <v>44692</v>
      </c>
      <c r="R366" s="59"/>
      <c r="S366" s="59" t="s">
        <v>877</v>
      </c>
      <c r="T366" s="59"/>
      <c r="U366" s="59"/>
      <c r="V366" s="59"/>
      <c r="W366" s="59"/>
      <c r="X366" s="59"/>
    </row>
    <row r="367" s="20" customFormat="1" ht="24" hidden="1" spans="1:24">
      <c r="A367" s="59">
        <v>400</v>
      </c>
      <c r="B367" s="60" t="s">
        <v>878</v>
      </c>
      <c r="C367" s="61">
        <v>44652</v>
      </c>
      <c r="D367" s="62" t="str">
        <f ca="1" t="shared" si="16"/>
        <v>一年以上</v>
      </c>
      <c r="E367" s="66">
        <v>44672</v>
      </c>
      <c r="F367" s="66" t="s">
        <v>632</v>
      </c>
      <c r="G367" s="59" t="s">
        <v>614</v>
      </c>
      <c r="H367" s="60" t="s">
        <v>872</v>
      </c>
      <c r="I367" s="63" t="s">
        <v>872</v>
      </c>
      <c r="J367" s="76">
        <v>800</v>
      </c>
      <c r="K367" s="59"/>
      <c r="L367" s="59" t="s">
        <v>73</v>
      </c>
      <c r="M367" s="59" t="s">
        <v>515</v>
      </c>
      <c r="N367" s="65">
        <v>800</v>
      </c>
      <c r="O367" s="65">
        <f t="shared" si="18"/>
        <v>0</v>
      </c>
      <c r="P367" s="66">
        <v>44728</v>
      </c>
      <c r="Q367" s="61">
        <f t="shared" si="17"/>
        <v>44728</v>
      </c>
      <c r="R367" s="59"/>
      <c r="S367" s="59"/>
      <c r="T367" s="59"/>
      <c r="U367" s="59"/>
      <c r="V367" s="59"/>
      <c r="W367" s="59"/>
      <c r="X367" s="59"/>
    </row>
    <row r="368" s="20" customFormat="1" ht="24" hidden="1" spans="1:24">
      <c r="A368" s="59">
        <v>319</v>
      </c>
      <c r="B368" s="60" t="s">
        <v>879</v>
      </c>
      <c r="C368" s="61">
        <v>44652</v>
      </c>
      <c r="D368" s="62" t="str">
        <f ca="1" t="shared" si="16"/>
        <v>一年以上</v>
      </c>
      <c r="E368" s="66">
        <v>44673</v>
      </c>
      <c r="F368" s="66"/>
      <c r="G368" s="59" t="s">
        <v>614</v>
      </c>
      <c r="H368" s="60" t="s">
        <v>115</v>
      </c>
      <c r="I368" s="63" t="s">
        <v>115</v>
      </c>
      <c r="J368" s="76">
        <v>20000</v>
      </c>
      <c r="K368" s="59" t="s">
        <v>356</v>
      </c>
      <c r="L368" s="59" t="s">
        <v>458</v>
      </c>
      <c r="M368" s="59" t="s">
        <v>30</v>
      </c>
      <c r="N368" s="65">
        <v>20000</v>
      </c>
      <c r="O368" s="65">
        <f t="shared" si="18"/>
        <v>0</v>
      </c>
      <c r="P368" s="66">
        <v>44734</v>
      </c>
      <c r="Q368" s="61">
        <f t="shared" si="17"/>
        <v>44734</v>
      </c>
      <c r="R368" s="59"/>
      <c r="S368" s="59" t="s">
        <v>877</v>
      </c>
      <c r="T368" s="59"/>
      <c r="U368" s="59"/>
      <c r="V368" s="59"/>
      <c r="W368" s="59"/>
      <c r="X368" s="59"/>
    </row>
    <row r="369" s="20" customFormat="1" ht="24" hidden="1" spans="1:24">
      <c r="A369" s="59">
        <v>320</v>
      </c>
      <c r="B369" s="60" t="s">
        <v>880</v>
      </c>
      <c r="C369" s="61">
        <v>44652</v>
      </c>
      <c r="D369" s="62" t="str">
        <f ca="1" t="shared" si="16"/>
        <v>一年以上</v>
      </c>
      <c r="E369" s="66">
        <v>44677</v>
      </c>
      <c r="F369" s="66"/>
      <c r="G369" s="59" t="s">
        <v>614</v>
      </c>
      <c r="H369" s="60" t="s">
        <v>325</v>
      </c>
      <c r="I369" s="63" t="s">
        <v>325</v>
      </c>
      <c r="J369" s="76">
        <v>1500</v>
      </c>
      <c r="K369" s="59" t="s">
        <v>356</v>
      </c>
      <c r="L369" s="59" t="s">
        <v>458</v>
      </c>
      <c r="M369" s="59" t="s">
        <v>30</v>
      </c>
      <c r="N369" s="65">
        <v>1500</v>
      </c>
      <c r="O369" s="65">
        <f t="shared" si="18"/>
        <v>0</v>
      </c>
      <c r="P369" s="66">
        <v>44771</v>
      </c>
      <c r="Q369" s="61">
        <f t="shared" si="17"/>
        <v>44771</v>
      </c>
      <c r="R369" s="59"/>
      <c r="S369" s="59" t="s">
        <v>877</v>
      </c>
      <c r="T369" s="59"/>
      <c r="U369" s="59"/>
      <c r="V369" s="59"/>
      <c r="W369" s="59"/>
      <c r="X369" s="59"/>
    </row>
    <row r="370" s="20" customFormat="1" ht="24" hidden="1" spans="1:24">
      <c r="A370" s="59">
        <v>321</v>
      </c>
      <c r="B370" s="60" t="s">
        <v>881</v>
      </c>
      <c r="C370" s="61">
        <v>44652</v>
      </c>
      <c r="D370" s="62" t="str">
        <f ca="1" t="shared" si="16"/>
        <v>一年以上</v>
      </c>
      <c r="E370" s="66">
        <v>44677</v>
      </c>
      <c r="F370" s="66"/>
      <c r="G370" s="59" t="s">
        <v>614</v>
      </c>
      <c r="H370" s="60" t="s">
        <v>325</v>
      </c>
      <c r="I370" s="63" t="s">
        <v>325</v>
      </c>
      <c r="J370" s="76">
        <v>1000</v>
      </c>
      <c r="K370" s="59" t="s">
        <v>356</v>
      </c>
      <c r="L370" s="59" t="s">
        <v>458</v>
      </c>
      <c r="M370" s="59" t="s">
        <v>30</v>
      </c>
      <c r="N370" s="65">
        <v>1000</v>
      </c>
      <c r="O370" s="65">
        <f t="shared" si="18"/>
        <v>0</v>
      </c>
      <c r="P370" s="66">
        <v>44897</v>
      </c>
      <c r="Q370" s="61">
        <f t="shared" si="17"/>
        <v>44897</v>
      </c>
      <c r="R370" s="59"/>
      <c r="S370" s="59" t="s">
        <v>877</v>
      </c>
      <c r="T370" s="59"/>
      <c r="U370" s="59"/>
      <c r="V370" s="59"/>
      <c r="W370" s="59"/>
      <c r="X370" s="59"/>
    </row>
    <row r="371" s="20" customFormat="1" ht="24" hidden="1" spans="1:24">
      <c r="A371" s="59">
        <v>323</v>
      </c>
      <c r="B371" s="60" t="s">
        <v>882</v>
      </c>
      <c r="C371" s="61">
        <v>44652</v>
      </c>
      <c r="D371" s="62" t="str">
        <f ca="1" t="shared" si="16"/>
        <v>一年以上</v>
      </c>
      <c r="E371" s="66">
        <v>44677</v>
      </c>
      <c r="F371" s="66"/>
      <c r="G371" s="59" t="s">
        <v>614</v>
      </c>
      <c r="H371" s="60" t="s">
        <v>872</v>
      </c>
      <c r="I371" s="63" t="s">
        <v>872</v>
      </c>
      <c r="J371" s="76">
        <v>20000</v>
      </c>
      <c r="K371" s="59" t="s">
        <v>28</v>
      </c>
      <c r="L371" s="59" t="s">
        <v>57</v>
      </c>
      <c r="M371" s="59" t="s">
        <v>30</v>
      </c>
      <c r="N371" s="65">
        <v>20000</v>
      </c>
      <c r="O371" s="65">
        <f t="shared" si="18"/>
        <v>0</v>
      </c>
      <c r="P371" s="66">
        <v>44896</v>
      </c>
      <c r="Q371" s="61">
        <f t="shared" si="17"/>
        <v>44896</v>
      </c>
      <c r="R371" s="59"/>
      <c r="S371" s="59" t="s">
        <v>877</v>
      </c>
      <c r="T371" s="59"/>
      <c r="U371" s="59"/>
      <c r="V371" s="59"/>
      <c r="W371" s="59"/>
      <c r="X371" s="59"/>
    </row>
    <row r="372" s="20" customFormat="1" ht="24" hidden="1" spans="1:24">
      <c r="A372" s="59">
        <v>324</v>
      </c>
      <c r="B372" s="60" t="s">
        <v>883</v>
      </c>
      <c r="C372" s="61">
        <v>44652</v>
      </c>
      <c r="D372" s="62" t="str">
        <f ca="1" t="shared" si="16"/>
        <v>一年以上</v>
      </c>
      <c r="E372" s="66">
        <v>44677</v>
      </c>
      <c r="F372" s="66"/>
      <c r="G372" s="59" t="s">
        <v>614</v>
      </c>
      <c r="H372" s="60" t="s">
        <v>872</v>
      </c>
      <c r="I372" s="63" t="s">
        <v>872</v>
      </c>
      <c r="J372" s="76">
        <v>30000</v>
      </c>
      <c r="K372" s="59" t="s">
        <v>28</v>
      </c>
      <c r="L372" s="59" t="s">
        <v>57</v>
      </c>
      <c r="M372" s="59" t="s">
        <v>30</v>
      </c>
      <c r="N372" s="65">
        <v>30000</v>
      </c>
      <c r="O372" s="65">
        <f t="shared" si="18"/>
        <v>0</v>
      </c>
      <c r="P372" s="66">
        <v>44692</v>
      </c>
      <c r="Q372" s="61">
        <f t="shared" si="17"/>
        <v>44692</v>
      </c>
      <c r="R372" s="59"/>
      <c r="S372" s="59" t="s">
        <v>877</v>
      </c>
      <c r="T372" s="59"/>
      <c r="U372" s="59"/>
      <c r="V372" s="59"/>
      <c r="W372" s="59"/>
      <c r="X372" s="59"/>
    </row>
    <row r="373" s="20" customFormat="1" ht="24" hidden="1" spans="1:24">
      <c r="A373" s="59">
        <v>325</v>
      </c>
      <c r="B373" s="60" t="s">
        <v>884</v>
      </c>
      <c r="C373" s="61">
        <v>44652</v>
      </c>
      <c r="D373" s="62" t="str">
        <f ca="1" t="shared" si="16"/>
        <v>一年以上</v>
      </c>
      <c r="E373" s="66">
        <v>44678</v>
      </c>
      <c r="F373" s="66"/>
      <c r="G373" s="59" t="s">
        <v>614</v>
      </c>
      <c r="H373" s="60" t="s">
        <v>366</v>
      </c>
      <c r="I373" s="63" t="s">
        <v>366</v>
      </c>
      <c r="J373" s="76">
        <v>5000</v>
      </c>
      <c r="K373" s="59" t="s">
        <v>356</v>
      </c>
      <c r="L373" s="59" t="s">
        <v>458</v>
      </c>
      <c r="M373" s="59" t="s">
        <v>30</v>
      </c>
      <c r="N373" s="65">
        <v>5000</v>
      </c>
      <c r="O373" s="65">
        <f t="shared" si="18"/>
        <v>0</v>
      </c>
      <c r="P373" s="66">
        <v>44708</v>
      </c>
      <c r="Q373" s="61">
        <f t="shared" si="17"/>
        <v>44708</v>
      </c>
      <c r="R373" s="59"/>
      <c r="S373" s="59" t="s">
        <v>877</v>
      </c>
      <c r="T373" s="59"/>
      <c r="U373" s="59"/>
      <c r="V373" s="59"/>
      <c r="W373" s="59"/>
      <c r="X373" s="59"/>
    </row>
    <row r="374" s="20" customFormat="1" hidden="1" spans="1:24">
      <c r="A374" s="59">
        <v>326</v>
      </c>
      <c r="B374" s="60" t="s">
        <v>885</v>
      </c>
      <c r="C374" s="61">
        <v>44652</v>
      </c>
      <c r="D374" s="62" t="str">
        <f ca="1" t="shared" si="16"/>
        <v>一年以上</v>
      </c>
      <c r="E374" s="66">
        <v>44679</v>
      </c>
      <c r="F374" s="106" t="s">
        <v>632</v>
      </c>
      <c r="G374" s="59" t="s">
        <v>450</v>
      </c>
      <c r="H374" s="60" t="s">
        <v>851</v>
      </c>
      <c r="I374" s="63" t="s">
        <v>851</v>
      </c>
      <c r="J374" s="76">
        <v>10000</v>
      </c>
      <c r="K374" s="59" t="s">
        <v>28</v>
      </c>
      <c r="L374" s="59" t="s">
        <v>57</v>
      </c>
      <c r="M374" s="59" t="s">
        <v>30</v>
      </c>
      <c r="N374" s="65">
        <v>10000</v>
      </c>
      <c r="O374" s="65">
        <f t="shared" si="18"/>
        <v>0</v>
      </c>
      <c r="P374" s="66">
        <v>44692</v>
      </c>
      <c r="Q374" s="61">
        <f t="shared" si="17"/>
        <v>44692</v>
      </c>
      <c r="R374" s="59"/>
      <c r="S374" s="59" t="s">
        <v>877</v>
      </c>
      <c r="T374" s="59"/>
      <c r="U374" s="59"/>
      <c r="V374" s="59"/>
      <c r="W374" s="59"/>
      <c r="X374" s="59"/>
    </row>
    <row r="375" s="20" customFormat="1" ht="24" hidden="1" spans="1:24">
      <c r="A375" s="59">
        <v>401</v>
      </c>
      <c r="B375" s="60" t="s">
        <v>886</v>
      </c>
      <c r="C375" s="61">
        <v>44682</v>
      </c>
      <c r="D375" s="62" t="str">
        <f ca="1" t="shared" si="16"/>
        <v>一年以上</v>
      </c>
      <c r="E375" s="66">
        <v>44687</v>
      </c>
      <c r="F375" s="66" t="s">
        <v>632</v>
      </c>
      <c r="G375" s="59" t="s">
        <v>450</v>
      </c>
      <c r="H375" s="60" t="s">
        <v>555</v>
      </c>
      <c r="I375" s="63" t="s">
        <v>555</v>
      </c>
      <c r="J375" s="76">
        <v>600</v>
      </c>
      <c r="K375" s="59"/>
      <c r="L375" s="59" t="s">
        <v>73</v>
      </c>
      <c r="M375" s="59" t="s">
        <v>515</v>
      </c>
      <c r="N375" s="65">
        <v>600</v>
      </c>
      <c r="O375" s="65">
        <f t="shared" si="18"/>
        <v>0</v>
      </c>
      <c r="P375" s="66">
        <v>44707</v>
      </c>
      <c r="Q375" s="61">
        <f t="shared" si="17"/>
        <v>44707</v>
      </c>
      <c r="R375" s="59"/>
      <c r="S375" s="59" t="s">
        <v>887</v>
      </c>
      <c r="T375" s="59"/>
      <c r="U375" s="59"/>
      <c r="V375" s="59"/>
      <c r="W375" s="59"/>
      <c r="X375" s="59"/>
    </row>
    <row r="376" s="20" customFormat="1" ht="24" hidden="1" spans="1:24">
      <c r="A376" s="59">
        <v>327</v>
      </c>
      <c r="B376" s="60" t="s">
        <v>888</v>
      </c>
      <c r="C376" s="61">
        <v>44682</v>
      </c>
      <c r="D376" s="62" t="str">
        <f ca="1" t="shared" si="16"/>
        <v>一年以上</v>
      </c>
      <c r="E376" s="66">
        <v>44690</v>
      </c>
      <c r="F376" s="66"/>
      <c r="G376" s="59" t="s">
        <v>614</v>
      </c>
      <c r="H376" s="60" t="s">
        <v>490</v>
      </c>
      <c r="I376" s="63" t="s">
        <v>490</v>
      </c>
      <c r="J376" s="64">
        <v>1000</v>
      </c>
      <c r="K376" s="59" t="s">
        <v>28</v>
      </c>
      <c r="L376" s="59" t="s">
        <v>57</v>
      </c>
      <c r="M376" s="59" t="s">
        <v>30</v>
      </c>
      <c r="N376" s="65">
        <v>1000</v>
      </c>
      <c r="O376" s="65">
        <f t="shared" si="18"/>
        <v>0</v>
      </c>
      <c r="P376" s="66">
        <v>44705</v>
      </c>
      <c r="Q376" s="61">
        <f t="shared" si="17"/>
        <v>44705</v>
      </c>
      <c r="R376" s="59"/>
      <c r="S376" s="59"/>
      <c r="T376" s="59"/>
      <c r="U376" s="59"/>
      <c r="V376" s="59"/>
      <c r="W376" s="59"/>
      <c r="X376" s="59"/>
    </row>
    <row r="377" s="20" customFormat="1" hidden="1" spans="1:24">
      <c r="A377" s="59">
        <v>328</v>
      </c>
      <c r="B377" s="60" t="s">
        <v>889</v>
      </c>
      <c r="C377" s="61">
        <v>44682</v>
      </c>
      <c r="D377" s="62" t="str">
        <f ca="1" t="shared" si="16"/>
        <v>一年以上</v>
      </c>
      <c r="E377" s="66">
        <v>44690</v>
      </c>
      <c r="F377" s="66"/>
      <c r="G377" s="59" t="s">
        <v>450</v>
      </c>
      <c r="H377" s="60" t="s">
        <v>890</v>
      </c>
      <c r="I377" s="63" t="s">
        <v>890</v>
      </c>
      <c r="J377" s="76">
        <v>20000</v>
      </c>
      <c r="K377" s="59" t="s">
        <v>28</v>
      </c>
      <c r="L377" s="59" t="s">
        <v>57</v>
      </c>
      <c r="M377" s="59" t="s">
        <v>30</v>
      </c>
      <c r="N377" s="65">
        <v>20000</v>
      </c>
      <c r="O377" s="65">
        <f t="shared" si="18"/>
        <v>0</v>
      </c>
      <c r="P377" s="66">
        <v>44694</v>
      </c>
      <c r="Q377" s="61">
        <f t="shared" si="17"/>
        <v>44694</v>
      </c>
      <c r="R377" s="59"/>
      <c r="S377" s="59" t="s">
        <v>891</v>
      </c>
      <c r="T377" s="59"/>
      <c r="U377" s="59"/>
      <c r="V377" s="59"/>
      <c r="W377" s="59"/>
      <c r="X377" s="59"/>
    </row>
    <row r="378" s="20" customFormat="1" hidden="1" spans="1:24">
      <c r="A378" s="59">
        <v>402</v>
      </c>
      <c r="B378" s="60" t="s">
        <v>892</v>
      </c>
      <c r="C378" s="61">
        <v>44682</v>
      </c>
      <c r="D378" s="62" t="str">
        <f ca="1" t="shared" si="16"/>
        <v>一年以上</v>
      </c>
      <c r="E378" s="66">
        <v>44690</v>
      </c>
      <c r="F378" s="66" t="s">
        <v>632</v>
      </c>
      <c r="G378" s="59" t="s">
        <v>614</v>
      </c>
      <c r="H378" s="60" t="s">
        <v>863</v>
      </c>
      <c r="I378" s="63" t="s">
        <v>863</v>
      </c>
      <c r="J378" s="76">
        <v>500</v>
      </c>
      <c r="K378" s="59"/>
      <c r="L378" s="59" t="s">
        <v>73</v>
      </c>
      <c r="M378" s="59" t="s">
        <v>515</v>
      </c>
      <c r="N378" s="65">
        <v>500</v>
      </c>
      <c r="O378" s="65">
        <f t="shared" si="18"/>
        <v>0</v>
      </c>
      <c r="P378" s="66">
        <v>44728</v>
      </c>
      <c r="Q378" s="61">
        <f t="shared" si="17"/>
        <v>44728</v>
      </c>
      <c r="R378" s="59"/>
      <c r="S378" s="60"/>
      <c r="T378" s="59"/>
      <c r="U378" s="59"/>
      <c r="V378" s="59"/>
      <c r="W378" s="59"/>
      <c r="X378" s="59"/>
    </row>
    <row r="379" s="20" customFormat="1" hidden="1" spans="1:24">
      <c r="A379" s="59">
        <v>403</v>
      </c>
      <c r="B379" s="60" t="s">
        <v>893</v>
      </c>
      <c r="C379" s="61">
        <v>44682</v>
      </c>
      <c r="D379" s="62" t="str">
        <f ca="1" t="shared" si="16"/>
        <v>一年以上</v>
      </c>
      <c r="E379" s="66">
        <v>44690</v>
      </c>
      <c r="F379" s="66" t="s">
        <v>632</v>
      </c>
      <c r="G379" s="59" t="s">
        <v>450</v>
      </c>
      <c r="H379" s="60" t="s">
        <v>894</v>
      </c>
      <c r="I379" s="63" t="s">
        <v>894</v>
      </c>
      <c r="J379" s="76">
        <v>200</v>
      </c>
      <c r="K379" s="59"/>
      <c r="L379" s="59" t="s">
        <v>73</v>
      </c>
      <c r="M379" s="59" t="s">
        <v>515</v>
      </c>
      <c r="N379" s="65">
        <v>200</v>
      </c>
      <c r="O379" s="65">
        <f t="shared" si="18"/>
        <v>0</v>
      </c>
      <c r="P379" s="66">
        <v>44705</v>
      </c>
      <c r="Q379" s="61">
        <f t="shared" si="17"/>
        <v>44705</v>
      </c>
      <c r="R379" s="59"/>
      <c r="S379" s="59" t="s">
        <v>895</v>
      </c>
      <c r="T379" s="59"/>
      <c r="U379" s="59"/>
      <c r="V379" s="59"/>
      <c r="W379" s="59"/>
      <c r="X379" s="59"/>
    </row>
    <row r="380" s="20" customFormat="1" hidden="1" spans="1:24">
      <c r="A380" s="59">
        <v>329</v>
      </c>
      <c r="B380" s="60" t="s">
        <v>896</v>
      </c>
      <c r="C380" s="61">
        <v>44682</v>
      </c>
      <c r="D380" s="62" t="str">
        <f ca="1" t="shared" si="16"/>
        <v>一年以上</v>
      </c>
      <c r="E380" s="66">
        <v>44691</v>
      </c>
      <c r="F380" s="66"/>
      <c r="G380" s="59" t="s">
        <v>897</v>
      </c>
      <c r="H380" s="60" t="s">
        <v>890</v>
      </c>
      <c r="I380" s="63" t="s">
        <v>890</v>
      </c>
      <c r="J380" s="76">
        <v>20000</v>
      </c>
      <c r="K380" s="59"/>
      <c r="L380" s="59" t="s">
        <v>96</v>
      </c>
      <c r="M380" s="59" t="s">
        <v>30</v>
      </c>
      <c r="N380" s="65">
        <v>20000</v>
      </c>
      <c r="O380" s="65">
        <f t="shared" si="18"/>
        <v>0</v>
      </c>
      <c r="P380" s="66">
        <v>44705</v>
      </c>
      <c r="Q380" s="61">
        <f t="shared" si="17"/>
        <v>44705</v>
      </c>
      <c r="R380" s="59"/>
      <c r="S380" s="59" t="s">
        <v>898</v>
      </c>
      <c r="T380" s="59"/>
      <c r="U380" s="59"/>
      <c r="V380" s="59"/>
      <c r="W380" s="59"/>
      <c r="X380" s="59"/>
    </row>
    <row r="381" s="20" customFormat="1" hidden="1" spans="1:24">
      <c r="A381" s="59">
        <v>404</v>
      </c>
      <c r="B381" s="60" t="s">
        <v>899</v>
      </c>
      <c r="C381" s="61">
        <v>44682</v>
      </c>
      <c r="D381" s="62" t="str">
        <f ca="1" t="shared" si="16"/>
        <v>一年以上</v>
      </c>
      <c r="E381" s="66">
        <v>44691</v>
      </c>
      <c r="F381" s="66" t="s">
        <v>632</v>
      </c>
      <c r="G381" s="59" t="s">
        <v>450</v>
      </c>
      <c r="H381" s="60" t="s">
        <v>894</v>
      </c>
      <c r="I381" s="63" t="s">
        <v>894</v>
      </c>
      <c r="J381" s="76">
        <v>200</v>
      </c>
      <c r="K381" s="59"/>
      <c r="L381" s="59" t="s">
        <v>96</v>
      </c>
      <c r="M381" s="59" t="s">
        <v>515</v>
      </c>
      <c r="N381" s="65">
        <v>200</v>
      </c>
      <c r="O381" s="65">
        <f t="shared" si="18"/>
        <v>0</v>
      </c>
      <c r="P381" s="66">
        <v>44705</v>
      </c>
      <c r="Q381" s="61">
        <f t="shared" si="17"/>
        <v>44705</v>
      </c>
      <c r="R381" s="59"/>
      <c r="S381" s="59" t="s">
        <v>900</v>
      </c>
      <c r="T381" s="59"/>
      <c r="U381" s="59"/>
      <c r="V381" s="59"/>
      <c r="W381" s="59"/>
      <c r="X381" s="59"/>
    </row>
    <row r="382" s="20" customFormat="1" ht="17" hidden="1" customHeight="1" spans="1:24">
      <c r="A382" s="59">
        <v>330</v>
      </c>
      <c r="B382" s="60" t="s">
        <v>901</v>
      </c>
      <c r="C382" s="61">
        <v>44682</v>
      </c>
      <c r="D382" s="62" t="str">
        <f ca="1" t="shared" si="16"/>
        <v>一年以上</v>
      </c>
      <c r="E382" s="66">
        <v>44694</v>
      </c>
      <c r="F382" s="66"/>
      <c r="G382" s="59" t="s">
        <v>450</v>
      </c>
      <c r="H382" s="60" t="s">
        <v>555</v>
      </c>
      <c r="I382" s="63" t="s">
        <v>555</v>
      </c>
      <c r="J382" s="64">
        <v>3000</v>
      </c>
      <c r="K382" s="59" t="s">
        <v>28</v>
      </c>
      <c r="L382" s="59" t="s">
        <v>57</v>
      </c>
      <c r="M382" s="59" t="s">
        <v>30</v>
      </c>
      <c r="N382" s="65">
        <v>3000</v>
      </c>
      <c r="O382" s="65">
        <f t="shared" si="18"/>
        <v>0</v>
      </c>
      <c r="P382" s="66">
        <v>44719</v>
      </c>
      <c r="Q382" s="61">
        <f t="shared" si="17"/>
        <v>44719</v>
      </c>
      <c r="R382" s="59"/>
      <c r="S382" s="59" t="s">
        <v>902</v>
      </c>
      <c r="T382" s="59"/>
      <c r="U382" s="59"/>
      <c r="V382" s="59"/>
      <c r="W382" s="59"/>
      <c r="X382" s="59"/>
    </row>
    <row r="383" s="20" customFormat="1" ht="17" hidden="1" customHeight="1" spans="1:24">
      <c r="A383" s="59">
        <v>331</v>
      </c>
      <c r="B383" s="60" t="s">
        <v>903</v>
      </c>
      <c r="C383" s="61">
        <v>44682</v>
      </c>
      <c r="D383" s="62" t="str">
        <f ca="1" t="shared" si="16"/>
        <v>一年以上</v>
      </c>
      <c r="E383" s="66">
        <v>44694</v>
      </c>
      <c r="F383" s="66"/>
      <c r="G383" s="59" t="s">
        <v>450</v>
      </c>
      <c r="H383" s="60" t="s">
        <v>555</v>
      </c>
      <c r="I383" s="63" t="s">
        <v>555</v>
      </c>
      <c r="J383" s="64">
        <v>1000</v>
      </c>
      <c r="K383" s="59" t="s">
        <v>28</v>
      </c>
      <c r="L383" s="59" t="s">
        <v>57</v>
      </c>
      <c r="M383" s="59" t="s">
        <v>30</v>
      </c>
      <c r="N383" s="65">
        <v>1000</v>
      </c>
      <c r="O383" s="65">
        <f t="shared" si="18"/>
        <v>0</v>
      </c>
      <c r="P383" s="66">
        <v>44719</v>
      </c>
      <c r="Q383" s="61">
        <f t="shared" si="17"/>
        <v>44719</v>
      </c>
      <c r="R383" s="59"/>
      <c r="S383" s="59" t="s">
        <v>902</v>
      </c>
      <c r="T383" s="59"/>
      <c r="U383" s="59"/>
      <c r="V383" s="59"/>
      <c r="W383" s="59"/>
      <c r="X383" s="59"/>
    </row>
    <row r="384" s="20" customFormat="1" ht="17" hidden="1" customHeight="1" spans="1:24">
      <c r="A384" s="59">
        <v>332</v>
      </c>
      <c r="B384" s="60" t="s">
        <v>904</v>
      </c>
      <c r="C384" s="61">
        <v>44682</v>
      </c>
      <c r="D384" s="62" t="str">
        <f ca="1" t="shared" si="16"/>
        <v>一年以上</v>
      </c>
      <c r="E384" s="66">
        <v>44694</v>
      </c>
      <c r="F384" s="66"/>
      <c r="G384" s="59" t="s">
        <v>450</v>
      </c>
      <c r="H384" s="60" t="s">
        <v>253</v>
      </c>
      <c r="I384" s="63" t="s">
        <v>253</v>
      </c>
      <c r="J384" s="64">
        <v>10000</v>
      </c>
      <c r="K384" s="59" t="s">
        <v>28</v>
      </c>
      <c r="L384" s="59" t="s">
        <v>57</v>
      </c>
      <c r="M384" s="59" t="s">
        <v>30</v>
      </c>
      <c r="N384" s="65">
        <v>10000</v>
      </c>
      <c r="O384" s="65">
        <f t="shared" si="18"/>
        <v>0</v>
      </c>
      <c r="P384" s="66">
        <v>45051</v>
      </c>
      <c r="Q384" s="61">
        <f t="shared" si="17"/>
        <v>45051</v>
      </c>
      <c r="R384" s="59"/>
      <c r="S384" s="59"/>
      <c r="T384" s="105" t="s">
        <v>182</v>
      </c>
      <c r="U384" s="59"/>
      <c r="V384" s="59"/>
      <c r="W384" s="59"/>
      <c r="X384" s="59"/>
    </row>
    <row r="385" s="20" customFormat="1" ht="24" hidden="1" spans="1:24">
      <c r="A385" s="59">
        <v>357</v>
      </c>
      <c r="B385" s="60" t="s">
        <v>905</v>
      </c>
      <c r="C385" s="61">
        <v>44682</v>
      </c>
      <c r="D385" s="62" t="str">
        <f ca="1" t="shared" si="16"/>
        <v>一年以上</v>
      </c>
      <c r="E385" s="66">
        <v>44698</v>
      </c>
      <c r="F385" s="66" t="s">
        <v>130</v>
      </c>
      <c r="G385" s="59" t="s">
        <v>208</v>
      </c>
      <c r="H385" s="91" t="s">
        <v>132</v>
      </c>
      <c r="I385" s="63" t="s">
        <v>132</v>
      </c>
      <c r="J385" s="76">
        <f>30900</f>
        <v>30900</v>
      </c>
      <c r="K385" s="59" t="s">
        <v>28</v>
      </c>
      <c r="L385" s="59" t="s">
        <v>57</v>
      </c>
      <c r="M385" s="59" t="s">
        <v>133</v>
      </c>
      <c r="N385" s="65">
        <f>23300+7600</f>
        <v>30900</v>
      </c>
      <c r="O385" s="65">
        <f t="shared" si="18"/>
        <v>0</v>
      </c>
      <c r="P385" s="66">
        <v>45016</v>
      </c>
      <c r="Q385" s="61">
        <f t="shared" si="17"/>
        <v>45016</v>
      </c>
      <c r="R385" s="59"/>
      <c r="S385" s="59" t="s">
        <v>906</v>
      </c>
      <c r="T385" s="59" t="s">
        <v>720</v>
      </c>
      <c r="U385" s="59"/>
      <c r="V385" s="59"/>
      <c r="W385" s="59"/>
      <c r="X385" s="59"/>
    </row>
    <row r="386" s="20" customFormat="1" ht="26" hidden="1" customHeight="1" spans="1:24">
      <c r="A386" s="59">
        <v>405</v>
      </c>
      <c r="B386" s="60" t="s">
        <v>907</v>
      </c>
      <c r="C386" s="61">
        <v>44682</v>
      </c>
      <c r="D386" s="62" t="str">
        <f ca="1" t="shared" si="16"/>
        <v>一年以上</v>
      </c>
      <c r="E386" s="66">
        <v>44698</v>
      </c>
      <c r="F386" s="66" t="s">
        <v>632</v>
      </c>
      <c r="G386" s="89" t="s">
        <v>450</v>
      </c>
      <c r="H386" s="91" t="s">
        <v>908</v>
      </c>
      <c r="I386" s="63" t="s">
        <v>908</v>
      </c>
      <c r="J386" s="64">
        <v>200</v>
      </c>
      <c r="K386" s="89" t="s">
        <v>28</v>
      </c>
      <c r="L386" s="89" t="s">
        <v>57</v>
      </c>
      <c r="M386" s="59" t="s">
        <v>515</v>
      </c>
      <c r="N386" s="65">
        <v>200</v>
      </c>
      <c r="O386" s="65">
        <f t="shared" si="18"/>
        <v>0</v>
      </c>
      <c r="P386" s="66">
        <v>44707</v>
      </c>
      <c r="Q386" s="61">
        <f t="shared" si="17"/>
        <v>44707</v>
      </c>
      <c r="R386" s="59"/>
      <c r="S386" s="59" t="s">
        <v>909</v>
      </c>
      <c r="T386" s="59"/>
      <c r="U386" s="59"/>
      <c r="V386" s="59"/>
      <c r="W386" s="59"/>
      <c r="X386" s="59"/>
    </row>
    <row r="387" s="20" customFormat="1" ht="24" hidden="1" spans="1:24">
      <c r="A387" s="59">
        <v>406</v>
      </c>
      <c r="B387" s="60" t="s">
        <v>910</v>
      </c>
      <c r="C387" s="61">
        <v>44682</v>
      </c>
      <c r="D387" s="62" t="str">
        <f ca="1" t="shared" ref="D387:D450" si="19">IF(TODAY()-E387&lt;60,"2个月内",IF(TODAY()-E387&lt;180,"3-6个月",IF(TODAY()-E387&lt;360,"6个月-1年","一年以上")))</f>
        <v>一年以上</v>
      </c>
      <c r="E387" s="66">
        <v>44698</v>
      </c>
      <c r="F387" s="66" t="s">
        <v>632</v>
      </c>
      <c r="G387" s="89" t="s">
        <v>450</v>
      </c>
      <c r="H387" s="91" t="s">
        <v>911</v>
      </c>
      <c r="I387" s="63" t="s">
        <v>912</v>
      </c>
      <c r="J387" s="64">
        <v>200</v>
      </c>
      <c r="K387" s="89" t="s">
        <v>28</v>
      </c>
      <c r="L387" s="89" t="s">
        <v>57</v>
      </c>
      <c r="M387" s="59" t="s">
        <v>515</v>
      </c>
      <c r="N387" s="65">
        <v>200</v>
      </c>
      <c r="O387" s="65">
        <f t="shared" si="18"/>
        <v>0</v>
      </c>
      <c r="P387" s="66">
        <v>44707</v>
      </c>
      <c r="Q387" s="61">
        <f t="shared" ref="Q387:Q450" si="20">P387</f>
        <v>44707</v>
      </c>
      <c r="R387" s="59"/>
      <c r="S387" s="59" t="s">
        <v>909</v>
      </c>
      <c r="T387" s="59"/>
      <c r="U387" s="59"/>
      <c r="V387" s="59"/>
      <c r="W387" s="59"/>
      <c r="X387" s="59"/>
    </row>
    <row r="388" s="20" customFormat="1" ht="24" hidden="1" spans="1:24">
      <c r="A388" s="59">
        <v>333</v>
      </c>
      <c r="B388" s="60" t="s">
        <v>913</v>
      </c>
      <c r="C388" s="61">
        <v>44682</v>
      </c>
      <c r="D388" s="62" t="str">
        <f ca="1" t="shared" si="19"/>
        <v>一年以上</v>
      </c>
      <c r="E388" s="66">
        <v>44699</v>
      </c>
      <c r="F388" s="66" t="s">
        <v>632</v>
      </c>
      <c r="G388" s="59" t="s">
        <v>450</v>
      </c>
      <c r="H388" s="91" t="s">
        <v>914</v>
      </c>
      <c r="I388" s="63" t="s">
        <v>912</v>
      </c>
      <c r="J388" s="76">
        <v>10000</v>
      </c>
      <c r="K388" s="59" t="s">
        <v>28</v>
      </c>
      <c r="L388" s="59" t="s">
        <v>57</v>
      </c>
      <c r="M388" s="59" t="s">
        <v>30</v>
      </c>
      <c r="N388" s="65">
        <v>10000</v>
      </c>
      <c r="O388" s="65">
        <f t="shared" si="18"/>
        <v>0</v>
      </c>
      <c r="P388" s="66">
        <v>45285</v>
      </c>
      <c r="Q388" s="61">
        <f t="shared" si="20"/>
        <v>45285</v>
      </c>
      <c r="R388" s="59"/>
      <c r="S388" s="59"/>
      <c r="T388" s="59" t="s">
        <v>581</v>
      </c>
      <c r="U388" s="59" t="str">
        <f>VLOOKUP(T388,[1]区域划分!$A$1:$C$39,3,0)</f>
        <v>新疆</v>
      </c>
      <c r="V388" s="59"/>
      <c r="W388" s="59"/>
      <c r="X388" s="59"/>
    </row>
    <row r="389" s="20" customFormat="1" ht="29" hidden="1" customHeight="1" spans="1:24">
      <c r="A389" s="59">
        <v>334</v>
      </c>
      <c r="B389" s="60" t="s">
        <v>915</v>
      </c>
      <c r="C389" s="61">
        <v>44682</v>
      </c>
      <c r="D389" s="62" t="str">
        <f ca="1" t="shared" si="19"/>
        <v>一年以上</v>
      </c>
      <c r="E389" s="66">
        <v>44699</v>
      </c>
      <c r="F389" s="66"/>
      <c r="G389" s="59" t="s">
        <v>450</v>
      </c>
      <c r="H389" s="91" t="s">
        <v>916</v>
      </c>
      <c r="I389" s="63" t="s">
        <v>916</v>
      </c>
      <c r="J389" s="76">
        <v>5000</v>
      </c>
      <c r="K389" s="59" t="s">
        <v>28</v>
      </c>
      <c r="L389" s="59" t="s">
        <v>57</v>
      </c>
      <c r="M389" s="59" t="s">
        <v>30</v>
      </c>
      <c r="N389" s="65">
        <v>5000</v>
      </c>
      <c r="O389" s="65">
        <f t="shared" si="18"/>
        <v>0</v>
      </c>
      <c r="P389" s="66">
        <v>44707</v>
      </c>
      <c r="Q389" s="61">
        <f t="shared" si="20"/>
        <v>44707</v>
      </c>
      <c r="R389" s="59"/>
      <c r="S389" s="59"/>
      <c r="T389" s="59"/>
      <c r="U389" s="59"/>
      <c r="V389" s="59"/>
      <c r="W389" s="59"/>
      <c r="X389" s="59"/>
    </row>
    <row r="390" s="20" customFormat="1" ht="24" hidden="1" spans="1:24">
      <c r="A390" s="59">
        <v>407</v>
      </c>
      <c r="B390" s="60" t="s">
        <v>917</v>
      </c>
      <c r="C390" s="61">
        <v>44682</v>
      </c>
      <c r="D390" s="62" t="str">
        <f ca="1" t="shared" si="19"/>
        <v>一年以上</v>
      </c>
      <c r="E390" s="66">
        <v>44699</v>
      </c>
      <c r="F390" s="66" t="s">
        <v>632</v>
      </c>
      <c r="G390" s="89" t="s">
        <v>614</v>
      </c>
      <c r="H390" s="91" t="s">
        <v>872</v>
      </c>
      <c r="I390" s="63" t="s">
        <v>872</v>
      </c>
      <c r="J390" s="64">
        <v>800</v>
      </c>
      <c r="K390" s="59" t="s">
        <v>28</v>
      </c>
      <c r="L390" s="59" t="s">
        <v>57</v>
      </c>
      <c r="M390" s="59" t="s">
        <v>515</v>
      </c>
      <c r="N390" s="65">
        <v>800</v>
      </c>
      <c r="O390" s="65">
        <f t="shared" si="18"/>
        <v>0</v>
      </c>
      <c r="P390" s="66">
        <v>44754</v>
      </c>
      <c r="Q390" s="61">
        <f t="shared" si="20"/>
        <v>44754</v>
      </c>
      <c r="R390" s="59"/>
      <c r="S390" s="59" t="s">
        <v>918</v>
      </c>
      <c r="T390" s="59"/>
      <c r="U390" s="59"/>
      <c r="V390" s="59"/>
      <c r="W390" s="59"/>
      <c r="X390" s="59"/>
    </row>
    <row r="391" s="20" customFormat="1" ht="24" spans="1:24">
      <c r="A391" s="59">
        <v>335</v>
      </c>
      <c r="B391" s="60" t="s">
        <v>919</v>
      </c>
      <c r="C391" s="61">
        <v>44682</v>
      </c>
      <c r="D391" s="62" t="str">
        <f ca="1" t="shared" si="19"/>
        <v>一年以上</v>
      </c>
      <c r="E391" s="66">
        <v>44705</v>
      </c>
      <c r="F391" s="66"/>
      <c r="G391" s="89" t="s">
        <v>614</v>
      </c>
      <c r="H391" s="91" t="s">
        <v>193</v>
      </c>
      <c r="I391" s="63" t="s">
        <v>193</v>
      </c>
      <c r="J391" s="76">
        <v>5000</v>
      </c>
      <c r="K391" s="59" t="s">
        <v>356</v>
      </c>
      <c r="L391" s="59" t="s">
        <v>458</v>
      </c>
      <c r="M391" s="59" t="s">
        <v>30</v>
      </c>
      <c r="N391" s="65"/>
      <c r="O391" s="88">
        <f t="shared" si="18"/>
        <v>5000</v>
      </c>
      <c r="P391" s="66"/>
      <c r="Q391" s="61">
        <f t="shared" si="20"/>
        <v>0</v>
      </c>
      <c r="R391" s="59"/>
      <c r="S391" s="59"/>
      <c r="T391" s="59" t="s">
        <v>701</v>
      </c>
      <c r="U391" s="59" t="str">
        <f>VLOOKUP(T391,[1]区域划分!$A$1:$C$39,3,0)</f>
        <v>汪瑞青</v>
      </c>
      <c r="V391" s="59"/>
      <c r="W391" s="59"/>
      <c r="X391" s="59"/>
    </row>
    <row r="392" s="20" customFormat="1" ht="24" hidden="1" spans="1:24">
      <c r="A392" s="59">
        <v>172</v>
      </c>
      <c r="B392" s="60" t="s">
        <v>920</v>
      </c>
      <c r="C392" s="61">
        <v>44682</v>
      </c>
      <c r="D392" s="62" t="str">
        <f ca="1" t="shared" si="19"/>
        <v>一年以上</v>
      </c>
      <c r="E392" s="66">
        <v>44706</v>
      </c>
      <c r="F392" s="66" t="s">
        <v>70</v>
      </c>
      <c r="G392" s="89" t="s">
        <v>921</v>
      </c>
      <c r="H392" s="91" t="s">
        <v>922</v>
      </c>
      <c r="I392" s="63" t="s">
        <v>922</v>
      </c>
      <c r="J392" s="64">
        <v>20000</v>
      </c>
      <c r="K392" s="59" t="s">
        <v>28</v>
      </c>
      <c r="L392" s="59" t="s">
        <v>57</v>
      </c>
      <c r="M392" s="59" t="s">
        <v>65</v>
      </c>
      <c r="N392" s="107">
        <v>20000</v>
      </c>
      <c r="O392" s="65">
        <f t="shared" si="18"/>
        <v>0</v>
      </c>
      <c r="P392" s="66">
        <v>45013</v>
      </c>
      <c r="Q392" s="61">
        <f t="shared" si="20"/>
        <v>45013</v>
      </c>
      <c r="R392" s="66"/>
      <c r="S392" s="59"/>
      <c r="T392" s="59" t="s">
        <v>923</v>
      </c>
      <c r="U392" s="59"/>
      <c r="V392" s="59" t="s">
        <v>924</v>
      </c>
      <c r="W392" s="59"/>
      <c r="X392" s="59"/>
    </row>
    <row r="393" s="20" customFormat="1" hidden="1" spans="1:24">
      <c r="A393" s="59">
        <v>336</v>
      </c>
      <c r="B393" s="60" t="s">
        <v>925</v>
      </c>
      <c r="C393" s="61">
        <v>44682</v>
      </c>
      <c r="D393" s="62" t="str">
        <f ca="1" t="shared" si="19"/>
        <v>一年以上</v>
      </c>
      <c r="E393" s="66">
        <v>44706</v>
      </c>
      <c r="F393" s="66"/>
      <c r="G393" s="89" t="s">
        <v>614</v>
      </c>
      <c r="H393" s="91" t="s">
        <v>926</v>
      </c>
      <c r="I393" s="63" t="s">
        <v>926</v>
      </c>
      <c r="J393" s="76">
        <v>10000</v>
      </c>
      <c r="K393" s="59" t="s">
        <v>28</v>
      </c>
      <c r="L393" s="59" t="s">
        <v>57</v>
      </c>
      <c r="M393" s="59" t="s">
        <v>30</v>
      </c>
      <c r="N393" s="65">
        <v>10000</v>
      </c>
      <c r="O393" s="65">
        <f t="shared" si="18"/>
        <v>0</v>
      </c>
      <c r="P393" s="66">
        <v>45191</v>
      </c>
      <c r="Q393" s="61">
        <f t="shared" si="20"/>
        <v>45191</v>
      </c>
      <c r="R393" s="59"/>
      <c r="S393" s="59"/>
      <c r="T393" s="59" t="s">
        <v>182</v>
      </c>
      <c r="U393" s="59"/>
      <c r="V393" s="59"/>
      <c r="W393" s="59"/>
      <c r="X393" s="59"/>
    </row>
    <row r="394" s="20" customFormat="1" hidden="1" spans="1:24">
      <c r="A394" s="59">
        <v>337</v>
      </c>
      <c r="B394" s="60" t="s">
        <v>927</v>
      </c>
      <c r="C394" s="61">
        <v>44682</v>
      </c>
      <c r="D394" s="62" t="str">
        <f ca="1" t="shared" si="19"/>
        <v>一年以上</v>
      </c>
      <c r="E394" s="66">
        <v>44707</v>
      </c>
      <c r="F394" s="66" t="s">
        <v>632</v>
      </c>
      <c r="G394" s="59" t="s">
        <v>450</v>
      </c>
      <c r="H394" s="91" t="s">
        <v>863</v>
      </c>
      <c r="I394" s="63" t="s">
        <v>863</v>
      </c>
      <c r="J394" s="76">
        <v>10000</v>
      </c>
      <c r="K394" s="59" t="s">
        <v>28</v>
      </c>
      <c r="L394" s="59" t="s">
        <v>57</v>
      </c>
      <c r="M394" s="59" t="s">
        <v>30</v>
      </c>
      <c r="N394" s="65">
        <v>10000</v>
      </c>
      <c r="O394" s="65">
        <f t="shared" si="18"/>
        <v>0</v>
      </c>
      <c r="P394" s="66">
        <v>44862</v>
      </c>
      <c r="Q394" s="61">
        <f t="shared" si="20"/>
        <v>44862</v>
      </c>
      <c r="R394" s="59"/>
      <c r="S394" s="60" t="s">
        <v>928</v>
      </c>
      <c r="T394" s="59"/>
      <c r="U394" s="59"/>
      <c r="V394" s="59"/>
      <c r="W394" s="59"/>
      <c r="X394" s="59"/>
    </row>
    <row r="395" s="20" customFormat="1" ht="24" hidden="1" spans="1:24">
      <c r="A395" s="59">
        <v>173</v>
      </c>
      <c r="B395" s="60" t="s">
        <v>929</v>
      </c>
      <c r="C395" s="61">
        <v>44682</v>
      </c>
      <c r="D395" s="62" t="str">
        <f ca="1" t="shared" si="19"/>
        <v>一年以上</v>
      </c>
      <c r="E395" s="66">
        <v>44708</v>
      </c>
      <c r="F395" s="66" t="s">
        <v>70</v>
      </c>
      <c r="G395" s="89" t="s">
        <v>434</v>
      </c>
      <c r="H395" s="60" t="s">
        <v>930</v>
      </c>
      <c r="I395" s="63" t="s">
        <v>930</v>
      </c>
      <c r="J395" s="64">
        <v>3000</v>
      </c>
      <c r="K395" s="59"/>
      <c r="L395" s="59" t="s">
        <v>96</v>
      </c>
      <c r="M395" s="59" t="s">
        <v>65</v>
      </c>
      <c r="N395" s="65">
        <v>3000</v>
      </c>
      <c r="O395" s="65">
        <f t="shared" si="18"/>
        <v>0</v>
      </c>
      <c r="P395" s="66">
        <v>44756</v>
      </c>
      <c r="Q395" s="61">
        <f t="shared" si="20"/>
        <v>44756</v>
      </c>
      <c r="R395" s="66"/>
      <c r="S395" s="59" t="s">
        <v>65</v>
      </c>
      <c r="T395" s="59"/>
      <c r="U395" s="59"/>
      <c r="V395" s="59"/>
      <c r="W395" s="59"/>
      <c r="X395" s="59"/>
    </row>
    <row r="396" s="20" customFormat="1" hidden="1" spans="1:24">
      <c r="A396" s="59">
        <v>358</v>
      </c>
      <c r="B396" s="60" t="s">
        <v>931</v>
      </c>
      <c r="C396" s="61">
        <v>44682</v>
      </c>
      <c r="D396" s="62" t="str">
        <f ca="1" t="shared" si="19"/>
        <v>一年以上</v>
      </c>
      <c r="E396" s="66">
        <v>44708</v>
      </c>
      <c r="F396" s="66" t="s">
        <v>130</v>
      </c>
      <c r="G396" s="89" t="s">
        <v>569</v>
      </c>
      <c r="H396" s="91" t="s">
        <v>863</v>
      </c>
      <c r="I396" s="63" t="s">
        <v>863</v>
      </c>
      <c r="J396" s="76">
        <v>12500</v>
      </c>
      <c r="K396" s="59" t="s">
        <v>28</v>
      </c>
      <c r="L396" s="59" t="s">
        <v>57</v>
      </c>
      <c r="M396" s="59" t="s">
        <v>133</v>
      </c>
      <c r="N396" s="65">
        <v>12500</v>
      </c>
      <c r="O396" s="65">
        <f t="shared" si="18"/>
        <v>0</v>
      </c>
      <c r="P396" s="66">
        <v>44862</v>
      </c>
      <c r="Q396" s="61">
        <f t="shared" si="20"/>
        <v>44862</v>
      </c>
      <c r="R396" s="59"/>
      <c r="S396" s="60" t="s">
        <v>932</v>
      </c>
      <c r="T396" s="59"/>
      <c r="U396" s="59"/>
      <c r="V396" s="59"/>
      <c r="W396" s="59"/>
      <c r="X396" s="59"/>
    </row>
    <row r="397" s="20" customFormat="1" hidden="1" spans="1:24">
      <c r="A397" s="59">
        <v>359</v>
      </c>
      <c r="B397" s="60" t="s">
        <v>933</v>
      </c>
      <c r="C397" s="61">
        <v>44682</v>
      </c>
      <c r="D397" s="62" t="str">
        <f ca="1" t="shared" si="19"/>
        <v>一年以上</v>
      </c>
      <c r="E397" s="66">
        <v>44708</v>
      </c>
      <c r="F397" s="66" t="s">
        <v>130</v>
      </c>
      <c r="G397" s="89" t="s">
        <v>569</v>
      </c>
      <c r="H397" s="91" t="s">
        <v>863</v>
      </c>
      <c r="I397" s="63" t="s">
        <v>863</v>
      </c>
      <c r="J397" s="76">
        <v>15500</v>
      </c>
      <c r="K397" s="59" t="s">
        <v>28</v>
      </c>
      <c r="L397" s="59" t="s">
        <v>57</v>
      </c>
      <c r="M397" s="59" t="s">
        <v>133</v>
      </c>
      <c r="N397" s="65">
        <v>15500</v>
      </c>
      <c r="O397" s="65">
        <f t="shared" si="18"/>
        <v>0</v>
      </c>
      <c r="P397" s="66">
        <v>44925</v>
      </c>
      <c r="Q397" s="61">
        <f t="shared" si="20"/>
        <v>44925</v>
      </c>
      <c r="R397" s="59"/>
      <c r="S397" s="60" t="s">
        <v>934</v>
      </c>
      <c r="T397" s="59"/>
      <c r="U397" s="59"/>
      <c r="V397" s="59"/>
      <c r="W397" s="59"/>
      <c r="X397" s="59"/>
    </row>
    <row r="398" s="20" customFormat="1" hidden="1" spans="1:24">
      <c r="A398" s="59">
        <v>360</v>
      </c>
      <c r="B398" s="60" t="s">
        <v>935</v>
      </c>
      <c r="C398" s="61">
        <v>44682</v>
      </c>
      <c r="D398" s="62" t="str">
        <f ca="1" t="shared" si="19"/>
        <v>一年以上</v>
      </c>
      <c r="E398" s="66">
        <v>44708</v>
      </c>
      <c r="F398" s="66" t="s">
        <v>130</v>
      </c>
      <c r="G398" s="89" t="s">
        <v>569</v>
      </c>
      <c r="H398" s="91" t="s">
        <v>863</v>
      </c>
      <c r="I398" s="63" t="s">
        <v>863</v>
      </c>
      <c r="J398" s="76">
        <v>22000</v>
      </c>
      <c r="K398" s="59" t="s">
        <v>28</v>
      </c>
      <c r="L398" s="59" t="s">
        <v>57</v>
      </c>
      <c r="M398" s="59" t="s">
        <v>133</v>
      </c>
      <c r="N398" s="65">
        <v>22000</v>
      </c>
      <c r="O398" s="65">
        <f t="shared" si="18"/>
        <v>0</v>
      </c>
      <c r="P398" s="66">
        <v>44925</v>
      </c>
      <c r="Q398" s="61">
        <f t="shared" si="20"/>
        <v>44925</v>
      </c>
      <c r="R398" s="59"/>
      <c r="S398" s="60" t="s">
        <v>936</v>
      </c>
      <c r="T398" s="59"/>
      <c r="U398" s="59"/>
      <c r="V398" s="59"/>
      <c r="W398" s="59"/>
      <c r="X398" s="59"/>
    </row>
    <row r="399" s="20" customFormat="1" hidden="1" spans="1:24">
      <c r="A399" s="59">
        <v>338</v>
      </c>
      <c r="B399" s="60" t="s">
        <v>937</v>
      </c>
      <c r="C399" s="61">
        <v>44682</v>
      </c>
      <c r="D399" s="62" t="str">
        <f ca="1" t="shared" si="19"/>
        <v>一年以上</v>
      </c>
      <c r="E399" s="66">
        <v>44711</v>
      </c>
      <c r="F399" s="66"/>
      <c r="G399" s="59" t="s">
        <v>450</v>
      </c>
      <c r="H399" s="60" t="s">
        <v>938</v>
      </c>
      <c r="I399" s="63" t="s">
        <v>938</v>
      </c>
      <c r="J399" s="76">
        <v>2000</v>
      </c>
      <c r="K399" s="59" t="s">
        <v>28</v>
      </c>
      <c r="L399" s="59" t="s">
        <v>57</v>
      </c>
      <c r="M399" s="59" t="s">
        <v>30</v>
      </c>
      <c r="N399" s="65">
        <v>2000</v>
      </c>
      <c r="O399" s="65">
        <f t="shared" ref="O399:O462" si="21">J399-N399</f>
        <v>0</v>
      </c>
      <c r="P399" s="66">
        <v>44887</v>
      </c>
      <c r="Q399" s="61">
        <f t="shared" si="20"/>
        <v>44887</v>
      </c>
      <c r="R399" s="59"/>
      <c r="S399" s="59"/>
      <c r="T399" s="59"/>
      <c r="U399" s="59"/>
      <c r="V399" s="59"/>
      <c r="W399" s="59"/>
      <c r="X399" s="59"/>
    </row>
    <row r="400" s="20" customFormat="1" ht="24" hidden="1" spans="1:24">
      <c r="A400" s="59">
        <v>174</v>
      </c>
      <c r="B400" s="60" t="s">
        <v>939</v>
      </c>
      <c r="C400" s="61">
        <v>44682</v>
      </c>
      <c r="D400" s="62" t="str">
        <f ca="1" t="shared" si="19"/>
        <v>一年以上</v>
      </c>
      <c r="E400" s="66">
        <v>44712</v>
      </c>
      <c r="F400" s="66" t="s">
        <v>70</v>
      </c>
      <c r="G400" s="89" t="s">
        <v>940</v>
      </c>
      <c r="H400" s="60" t="s">
        <v>863</v>
      </c>
      <c r="I400" s="63" t="s">
        <v>863</v>
      </c>
      <c r="J400" s="64">
        <v>15500</v>
      </c>
      <c r="K400" s="59" t="s">
        <v>28</v>
      </c>
      <c r="L400" s="59" t="s">
        <v>57</v>
      </c>
      <c r="M400" s="59" t="s">
        <v>941</v>
      </c>
      <c r="N400" s="65">
        <v>15500</v>
      </c>
      <c r="O400" s="65">
        <f t="shared" si="21"/>
        <v>0</v>
      </c>
      <c r="P400" s="66">
        <v>44925</v>
      </c>
      <c r="Q400" s="61">
        <f t="shared" si="20"/>
        <v>44925</v>
      </c>
      <c r="R400" s="66"/>
      <c r="S400" s="60" t="s">
        <v>942</v>
      </c>
      <c r="T400" s="59"/>
      <c r="U400" s="59"/>
      <c r="V400" s="108"/>
      <c r="W400" s="59"/>
      <c r="X400" s="59"/>
    </row>
    <row r="401" s="20" customFormat="1" hidden="1" spans="1:24">
      <c r="A401" s="59">
        <v>175</v>
      </c>
      <c r="B401" s="60" t="s">
        <v>943</v>
      </c>
      <c r="C401" s="61">
        <v>44682</v>
      </c>
      <c r="D401" s="62" t="str">
        <f ca="1" t="shared" si="19"/>
        <v>一年以上</v>
      </c>
      <c r="E401" s="66">
        <v>44712</v>
      </c>
      <c r="F401" s="66" t="s">
        <v>70</v>
      </c>
      <c r="G401" s="89" t="s">
        <v>940</v>
      </c>
      <c r="H401" s="60" t="s">
        <v>863</v>
      </c>
      <c r="I401" s="63" t="s">
        <v>863</v>
      </c>
      <c r="J401" s="64">
        <v>12500</v>
      </c>
      <c r="K401" s="59" t="s">
        <v>28</v>
      </c>
      <c r="L401" s="59" t="s">
        <v>57</v>
      </c>
      <c r="M401" s="59" t="s">
        <v>65</v>
      </c>
      <c r="N401" s="65">
        <v>12500</v>
      </c>
      <c r="O401" s="65">
        <f t="shared" si="21"/>
        <v>0</v>
      </c>
      <c r="P401" s="66">
        <v>44862</v>
      </c>
      <c r="Q401" s="61">
        <f t="shared" si="20"/>
        <v>44862</v>
      </c>
      <c r="R401" s="66"/>
      <c r="S401" s="60" t="s">
        <v>932</v>
      </c>
      <c r="T401" s="59"/>
      <c r="U401" s="59"/>
      <c r="V401" s="89"/>
      <c r="W401" s="59"/>
      <c r="X401" s="59"/>
    </row>
    <row r="402" s="20" customFormat="1" ht="24" hidden="1" spans="1:24">
      <c r="A402" s="59">
        <v>176</v>
      </c>
      <c r="B402" s="60" t="s">
        <v>944</v>
      </c>
      <c r="C402" s="61">
        <v>44682</v>
      </c>
      <c r="D402" s="62" t="str">
        <f ca="1" t="shared" si="19"/>
        <v>一年以上</v>
      </c>
      <c r="E402" s="66">
        <v>44712</v>
      </c>
      <c r="F402" s="66" t="s">
        <v>70</v>
      </c>
      <c r="G402" s="89" t="s">
        <v>940</v>
      </c>
      <c r="H402" s="60" t="s">
        <v>863</v>
      </c>
      <c r="I402" s="63" t="s">
        <v>863</v>
      </c>
      <c r="J402" s="64">
        <v>22000</v>
      </c>
      <c r="K402" s="59" t="s">
        <v>28</v>
      </c>
      <c r="L402" s="59" t="s">
        <v>57</v>
      </c>
      <c r="M402" s="59" t="s">
        <v>941</v>
      </c>
      <c r="N402" s="65">
        <v>22000</v>
      </c>
      <c r="O402" s="65">
        <f t="shared" si="21"/>
        <v>0</v>
      </c>
      <c r="P402" s="66">
        <v>44925</v>
      </c>
      <c r="Q402" s="61">
        <f t="shared" si="20"/>
        <v>44925</v>
      </c>
      <c r="R402" s="66"/>
      <c r="S402" s="60" t="s">
        <v>945</v>
      </c>
      <c r="T402" s="59"/>
      <c r="U402" s="59"/>
      <c r="V402" s="108"/>
      <c r="W402" s="59"/>
      <c r="X402" s="59"/>
    </row>
    <row r="403" s="20" customFormat="1" ht="24" hidden="1" spans="1:24">
      <c r="A403" s="59">
        <v>177</v>
      </c>
      <c r="B403" s="60" t="s">
        <v>946</v>
      </c>
      <c r="C403" s="61">
        <v>44713</v>
      </c>
      <c r="D403" s="62" t="str">
        <f ca="1" t="shared" si="19"/>
        <v>一年以上</v>
      </c>
      <c r="E403" s="66">
        <v>44713</v>
      </c>
      <c r="F403" s="66" t="s">
        <v>70</v>
      </c>
      <c r="G403" s="89" t="s">
        <v>947</v>
      </c>
      <c r="H403" s="91" t="s">
        <v>948</v>
      </c>
      <c r="I403" s="63" t="s">
        <v>948</v>
      </c>
      <c r="J403" s="76">
        <v>3600</v>
      </c>
      <c r="K403" s="59" t="s">
        <v>338</v>
      </c>
      <c r="L403" s="59" t="s">
        <v>627</v>
      </c>
      <c r="M403" s="59" t="s">
        <v>65</v>
      </c>
      <c r="N403" s="65">
        <v>3600</v>
      </c>
      <c r="O403" s="65">
        <f t="shared" si="21"/>
        <v>0</v>
      </c>
      <c r="P403" s="66">
        <v>44770</v>
      </c>
      <c r="Q403" s="61">
        <f t="shared" si="20"/>
        <v>44770</v>
      </c>
      <c r="R403" s="50"/>
      <c r="S403" s="59" t="s">
        <v>65</v>
      </c>
      <c r="T403" s="50"/>
      <c r="U403" s="50"/>
      <c r="V403" s="50"/>
      <c r="W403" s="59"/>
      <c r="X403" s="59"/>
    </row>
    <row r="404" s="20" customFormat="1" ht="30" hidden="1" customHeight="1" spans="1:24">
      <c r="A404" s="59">
        <v>409</v>
      </c>
      <c r="B404" s="60" t="s">
        <v>949</v>
      </c>
      <c r="C404" s="61">
        <v>44713</v>
      </c>
      <c r="D404" s="62" t="str">
        <f ca="1" t="shared" si="19"/>
        <v>一年以上</v>
      </c>
      <c r="E404" s="66">
        <v>44714</v>
      </c>
      <c r="F404" s="66" t="s">
        <v>632</v>
      </c>
      <c r="G404" s="59" t="s">
        <v>450</v>
      </c>
      <c r="H404" s="60" t="s">
        <v>950</v>
      </c>
      <c r="I404" s="63" t="s">
        <v>950</v>
      </c>
      <c r="J404" s="64">
        <v>500</v>
      </c>
      <c r="K404" s="59" t="s">
        <v>28</v>
      </c>
      <c r="L404" s="59" t="s">
        <v>57</v>
      </c>
      <c r="M404" s="59" t="s">
        <v>515</v>
      </c>
      <c r="N404" s="65">
        <v>500</v>
      </c>
      <c r="O404" s="65">
        <f t="shared" si="21"/>
        <v>0</v>
      </c>
      <c r="P404" s="66">
        <v>44880</v>
      </c>
      <c r="Q404" s="61">
        <f t="shared" si="20"/>
        <v>44880</v>
      </c>
      <c r="R404" s="59" t="s">
        <v>951</v>
      </c>
      <c r="S404" s="59"/>
      <c r="T404" s="59"/>
      <c r="U404" s="59"/>
      <c r="V404" s="59"/>
      <c r="W404" s="59"/>
      <c r="X404" s="59"/>
    </row>
    <row r="405" s="20" customFormat="1" ht="24" hidden="1" spans="1:24">
      <c r="A405" s="59">
        <v>178</v>
      </c>
      <c r="B405" s="60" t="s">
        <v>952</v>
      </c>
      <c r="C405" s="61">
        <v>44713</v>
      </c>
      <c r="D405" s="62" t="str">
        <f ca="1" t="shared" si="19"/>
        <v>一年以上</v>
      </c>
      <c r="E405" s="66">
        <v>44718</v>
      </c>
      <c r="F405" s="66" t="s">
        <v>70</v>
      </c>
      <c r="G405" s="109" t="s">
        <v>434</v>
      </c>
      <c r="H405" s="91" t="s">
        <v>115</v>
      </c>
      <c r="I405" s="63" t="s">
        <v>115</v>
      </c>
      <c r="J405" s="64">
        <v>2000</v>
      </c>
      <c r="K405" s="59" t="s">
        <v>28</v>
      </c>
      <c r="L405" s="59" t="s">
        <v>57</v>
      </c>
      <c r="M405" s="59" t="s">
        <v>65</v>
      </c>
      <c r="N405" s="65">
        <v>2000</v>
      </c>
      <c r="O405" s="65">
        <f t="shared" si="21"/>
        <v>0</v>
      </c>
      <c r="P405" s="66">
        <v>45030</v>
      </c>
      <c r="Q405" s="61">
        <f t="shared" si="20"/>
        <v>45030</v>
      </c>
      <c r="R405" s="66"/>
      <c r="S405" s="59" t="s">
        <v>65</v>
      </c>
      <c r="T405" s="59" t="s">
        <v>381</v>
      </c>
      <c r="U405" s="59"/>
      <c r="V405" s="109"/>
      <c r="W405" s="59"/>
      <c r="X405" s="59"/>
    </row>
    <row r="406" s="20" customFormat="1" ht="27" hidden="1" customHeight="1" spans="1:24">
      <c r="A406" s="59">
        <v>179</v>
      </c>
      <c r="B406" s="60" t="s">
        <v>953</v>
      </c>
      <c r="C406" s="61">
        <v>44713</v>
      </c>
      <c r="D406" s="62" t="str">
        <f ca="1" t="shared" si="19"/>
        <v>一年以上</v>
      </c>
      <c r="E406" s="66">
        <v>44718</v>
      </c>
      <c r="F406" s="66" t="s">
        <v>70</v>
      </c>
      <c r="G406" s="109" t="s">
        <v>233</v>
      </c>
      <c r="H406" s="91" t="s">
        <v>954</v>
      </c>
      <c r="I406" s="63" t="s">
        <v>954</v>
      </c>
      <c r="J406" s="64">
        <v>10000</v>
      </c>
      <c r="K406" s="59" t="s">
        <v>28</v>
      </c>
      <c r="L406" s="59" t="s">
        <v>57</v>
      </c>
      <c r="M406" s="59" t="s">
        <v>65</v>
      </c>
      <c r="N406" s="86">
        <v>10000</v>
      </c>
      <c r="O406" s="65">
        <f t="shared" si="21"/>
        <v>0</v>
      </c>
      <c r="P406" s="66">
        <v>45186</v>
      </c>
      <c r="Q406" s="61">
        <f t="shared" si="20"/>
        <v>45186</v>
      </c>
      <c r="R406" s="66"/>
      <c r="S406" s="59" t="s">
        <v>65</v>
      </c>
      <c r="T406" s="59" t="s">
        <v>49</v>
      </c>
      <c r="U406" s="59"/>
      <c r="V406" s="109" t="s">
        <v>955</v>
      </c>
      <c r="W406" s="59"/>
      <c r="X406" s="59"/>
    </row>
    <row r="407" s="20" customFormat="1" ht="24" hidden="1" customHeight="1" spans="1:24">
      <c r="A407" s="59">
        <v>322</v>
      </c>
      <c r="B407" s="60" t="s">
        <v>956</v>
      </c>
      <c r="C407" s="61">
        <v>44713</v>
      </c>
      <c r="D407" s="62" t="str">
        <f ca="1" t="shared" si="19"/>
        <v>一年以上</v>
      </c>
      <c r="E407" s="66">
        <v>44718</v>
      </c>
      <c r="F407" s="66" t="s">
        <v>70</v>
      </c>
      <c r="G407" s="89" t="s">
        <v>378</v>
      </c>
      <c r="H407" s="91" t="s">
        <v>325</v>
      </c>
      <c r="I407" s="63" t="s">
        <v>325</v>
      </c>
      <c r="J407" s="64">
        <v>2000</v>
      </c>
      <c r="K407" s="59" t="s">
        <v>356</v>
      </c>
      <c r="L407" s="59" t="s">
        <v>458</v>
      </c>
      <c r="M407" s="59" t="s">
        <v>65</v>
      </c>
      <c r="N407" s="65">
        <v>2000</v>
      </c>
      <c r="O407" s="65">
        <f t="shared" si="21"/>
        <v>0</v>
      </c>
      <c r="P407" s="66">
        <v>44897</v>
      </c>
      <c r="Q407" s="61">
        <f t="shared" si="20"/>
        <v>44897</v>
      </c>
      <c r="R407" s="89"/>
      <c r="S407" s="59" t="s">
        <v>65</v>
      </c>
      <c r="T407" s="59"/>
      <c r="U407" s="59"/>
      <c r="V407" s="89" t="s">
        <v>957</v>
      </c>
      <c r="W407" s="59"/>
      <c r="X407" s="59"/>
    </row>
    <row r="408" s="20" customFormat="1" ht="24" hidden="1" spans="1:24">
      <c r="A408" s="59">
        <v>410</v>
      </c>
      <c r="B408" s="60" t="s">
        <v>958</v>
      </c>
      <c r="C408" s="61">
        <v>44713</v>
      </c>
      <c r="D408" s="62" t="str">
        <f ca="1" t="shared" si="19"/>
        <v>一年以上</v>
      </c>
      <c r="E408" s="66">
        <v>44718</v>
      </c>
      <c r="F408" s="66" t="s">
        <v>632</v>
      </c>
      <c r="G408" s="59" t="s">
        <v>450</v>
      </c>
      <c r="H408" s="91" t="s">
        <v>842</v>
      </c>
      <c r="I408" s="63" t="s">
        <v>842</v>
      </c>
      <c r="J408" s="64">
        <v>200</v>
      </c>
      <c r="K408" s="59" t="s">
        <v>28</v>
      </c>
      <c r="L408" s="59" t="s">
        <v>57</v>
      </c>
      <c r="M408" s="59" t="s">
        <v>515</v>
      </c>
      <c r="N408" s="65">
        <v>200</v>
      </c>
      <c r="O408" s="65">
        <f t="shared" si="21"/>
        <v>0</v>
      </c>
      <c r="P408" s="66">
        <v>44733</v>
      </c>
      <c r="Q408" s="61">
        <f t="shared" si="20"/>
        <v>44733</v>
      </c>
      <c r="R408" s="59"/>
      <c r="S408" s="59" t="s">
        <v>959</v>
      </c>
      <c r="T408" s="59"/>
      <c r="U408" s="59"/>
      <c r="V408" s="59"/>
      <c r="W408" s="59"/>
      <c r="X408" s="59"/>
    </row>
    <row r="409" s="20" customFormat="1" ht="24" hidden="1" spans="1:24">
      <c r="A409" s="59">
        <v>339</v>
      </c>
      <c r="B409" s="60" t="s">
        <v>960</v>
      </c>
      <c r="C409" s="61">
        <v>44713</v>
      </c>
      <c r="D409" s="62" t="str">
        <f ca="1" t="shared" si="19"/>
        <v>一年以上</v>
      </c>
      <c r="E409" s="66">
        <v>44719</v>
      </c>
      <c r="F409" s="66"/>
      <c r="G409" s="89" t="s">
        <v>614</v>
      </c>
      <c r="H409" s="91" t="s">
        <v>315</v>
      </c>
      <c r="I409" s="63" t="s">
        <v>315</v>
      </c>
      <c r="J409" s="76">
        <v>10000</v>
      </c>
      <c r="K409" s="59" t="s">
        <v>28</v>
      </c>
      <c r="L409" s="59" t="s">
        <v>57</v>
      </c>
      <c r="M409" s="59" t="s">
        <v>30</v>
      </c>
      <c r="N409" s="65">
        <v>10000</v>
      </c>
      <c r="O409" s="65">
        <f t="shared" si="21"/>
        <v>0</v>
      </c>
      <c r="P409" s="66">
        <v>44739</v>
      </c>
      <c r="Q409" s="61">
        <f t="shared" si="20"/>
        <v>44739</v>
      </c>
      <c r="R409" s="50"/>
      <c r="S409" s="59"/>
      <c r="T409" s="50"/>
      <c r="U409" s="50"/>
      <c r="V409" s="50"/>
      <c r="W409" s="59"/>
      <c r="X409" s="59"/>
    </row>
    <row r="410" s="20" customFormat="1" ht="25" hidden="1" customHeight="1" spans="1:24">
      <c r="A410" s="59">
        <v>180</v>
      </c>
      <c r="B410" s="60" t="s">
        <v>961</v>
      </c>
      <c r="C410" s="61">
        <v>44713</v>
      </c>
      <c r="D410" s="62" t="str">
        <f ca="1" t="shared" si="19"/>
        <v>一年以上</v>
      </c>
      <c r="E410" s="66">
        <v>44720</v>
      </c>
      <c r="F410" s="66" t="s">
        <v>70</v>
      </c>
      <c r="G410" s="89" t="s">
        <v>962</v>
      </c>
      <c r="H410" s="91" t="s">
        <v>963</v>
      </c>
      <c r="I410" s="63" t="s">
        <v>963</v>
      </c>
      <c r="J410" s="64">
        <v>4300</v>
      </c>
      <c r="K410" s="59" t="s">
        <v>28</v>
      </c>
      <c r="L410" s="59" t="s">
        <v>57</v>
      </c>
      <c r="M410" s="59" t="s">
        <v>65</v>
      </c>
      <c r="N410" s="65">
        <v>4300</v>
      </c>
      <c r="O410" s="65">
        <f t="shared" si="21"/>
        <v>0</v>
      </c>
      <c r="P410" s="66">
        <v>44817</v>
      </c>
      <c r="Q410" s="61">
        <f t="shared" si="20"/>
        <v>44817</v>
      </c>
      <c r="R410" s="66"/>
      <c r="S410" s="59" t="s">
        <v>65</v>
      </c>
      <c r="T410" s="59"/>
      <c r="U410" s="59"/>
      <c r="V410" s="89" t="s">
        <v>964</v>
      </c>
      <c r="W410" s="59"/>
      <c r="X410" s="59"/>
    </row>
    <row r="411" s="20" customFormat="1" ht="15" hidden="1" customHeight="1" spans="1:24">
      <c r="A411" s="59">
        <v>340</v>
      </c>
      <c r="B411" s="60" t="s">
        <v>965</v>
      </c>
      <c r="C411" s="61">
        <v>44713</v>
      </c>
      <c r="D411" s="62" t="str">
        <f ca="1" t="shared" si="19"/>
        <v>一年以上</v>
      </c>
      <c r="E411" s="66">
        <v>44725</v>
      </c>
      <c r="F411" s="106" t="s">
        <v>632</v>
      </c>
      <c r="G411" s="59" t="s">
        <v>450</v>
      </c>
      <c r="H411" s="91" t="s">
        <v>851</v>
      </c>
      <c r="I411" s="63" t="s">
        <v>851</v>
      </c>
      <c r="J411" s="76">
        <v>10000</v>
      </c>
      <c r="K411" s="59" t="s">
        <v>28</v>
      </c>
      <c r="L411" s="59" t="s">
        <v>57</v>
      </c>
      <c r="M411" s="59" t="s">
        <v>30</v>
      </c>
      <c r="N411" s="65">
        <v>10000</v>
      </c>
      <c r="O411" s="65">
        <f t="shared" si="21"/>
        <v>0</v>
      </c>
      <c r="P411" s="66">
        <v>44733</v>
      </c>
      <c r="Q411" s="61">
        <f t="shared" si="20"/>
        <v>44733</v>
      </c>
      <c r="R411" s="50"/>
      <c r="S411" s="59"/>
      <c r="T411" s="50"/>
      <c r="U411" s="50"/>
      <c r="V411" s="50"/>
      <c r="W411" s="59"/>
      <c r="X411" s="59"/>
    </row>
    <row r="412" s="20" customFormat="1" ht="24" hidden="1" spans="1:24">
      <c r="A412" s="59">
        <v>411</v>
      </c>
      <c r="B412" s="60" t="s">
        <v>966</v>
      </c>
      <c r="C412" s="61">
        <v>44713</v>
      </c>
      <c r="D412" s="62" t="str">
        <f ca="1" t="shared" si="19"/>
        <v>一年以上</v>
      </c>
      <c r="E412" s="66">
        <v>44727</v>
      </c>
      <c r="F412" s="66" t="s">
        <v>632</v>
      </c>
      <c r="G412" s="59" t="s">
        <v>450</v>
      </c>
      <c r="H412" s="91" t="s">
        <v>967</v>
      </c>
      <c r="I412" s="63" t="s">
        <v>967</v>
      </c>
      <c r="J412" s="64">
        <v>500</v>
      </c>
      <c r="K412" s="59" t="s">
        <v>28</v>
      </c>
      <c r="L412" s="59" t="s">
        <v>57</v>
      </c>
      <c r="M412" s="89" t="s">
        <v>968</v>
      </c>
      <c r="N412" s="65">
        <v>500</v>
      </c>
      <c r="O412" s="65">
        <f t="shared" si="21"/>
        <v>0</v>
      </c>
      <c r="P412" s="66">
        <v>44880</v>
      </c>
      <c r="Q412" s="61">
        <f t="shared" si="20"/>
        <v>44880</v>
      </c>
      <c r="R412" s="59"/>
      <c r="S412" s="59" t="s">
        <v>969</v>
      </c>
      <c r="T412" s="59"/>
      <c r="U412" s="59"/>
      <c r="V412" s="59"/>
      <c r="W412" s="59"/>
      <c r="X412" s="59"/>
    </row>
    <row r="413" s="20" customFormat="1" ht="31" hidden="1" customHeight="1" spans="1:24">
      <c r="A413" s="59">
        <v>181</v>
      </c>
      <c r="B413" s="60" t="s">
        <v>970</v>
      </c>
      <c r="C413" s="61">
        <v>44713</v>
      </c>
      <c r="D413" s="62" t="str">
        <f ca="1" t="shared" si="19"/>
        <v>一年以上</v>
      </c>
      <c r="E413" s="66">
        <v>44733</v>
      </c>
      <c r="F413" s="66" t="s">
        <v>70</v>
      </c>
      <c r="G413" s="89" t="s">
        <v>756</v>
      </c>
      <c r="H413" s="91" t="s">
        <v>863</v>
      </c>
      <c r="I413" s="63" t="s">
        <v>863</v>
      </c>
      <c r="J413" s="64">
        <v>50000</v>
      </c>
      <c r="K413" s="59" t="s">
        <v>28</v>
      </c>
      <c r="L413" s="59" t="s">
        <v>57</v>
      </c>
      <c r="M413" s="59" t="s">
        <v>65</v>
      </c>
      <c r="N413" s="65">
        <v>50000</v>
      </c>
      <c r="O413" s="65">
        <f t="shared" si="21"/>
        <v>0</v>
      </c>
      <c r="P413" s="66">
        <v>45286</v>
      </c>
      <c r="Q413" s="61">
        <f t="shared" si="20"/>
        <v>45286</v>
      </c>
      <c r="R413" s="110"/>
      <c r="S413" s="60" t="s">
        <v>971</v>
      </c>
      <c r="T413" s="59" t="s">
        <v>972</v>
      </c>
      <c r="U413" s="59" t="str">
        <f>VLOOKUP(T413,[1]区域划分!$A$1:$C$39,3,0)</f>
        <v>曾江利</v>
      </c>
      <c r="V413" s="89" t="s">
        <v>973</v>
      </c>
      <c r="W413" s="59"/>
      <c r="X413" s="59"/>
    </row>
    <row r="414" s="20" customFormat="1" ht="14" hidden="1" customHeight="1" spans="1:24">
      <c r="A414" s="59">
        <v>412</v>
      </c>
      <c r="B414" s="60" t="s">
        <v>974</v>
      </c>
      <c r="C414" s="61">
        <v>44713</v>
      </c>
      <c r="D414" s="62" t="str">
        <f ca="1" t="shared" si="19"/>
        <v>一年以上</v>
      </c>
      <c r="E414" s="66">
        <v>44739</v>
      </c>
      <c r="F414" s="66" t="s">
        <v>632</v>
      </c>
      <c r="G414" s="59" t="s">
        <v>450</v>
      </c>
      <c r="H414" s="60" t="s">
        <v>975</v>
      </c>
      <c r="I414" s="63" t="s">
        <v>975</v>
      </c>
      <c r="J414" s="64">
        <v>10000</v>
      </c>
      <c r="K414" s="59" t="s">
        <v>28</v>
      </c>
      <c r="L414" s="59" t="s">
        <v>57</v>
      </c>
      <c r="M414" s="59" t="s">
        <v>30</v>
      </c>
      <c r="N414" s="65">
        <v>10000</v>
      </c>
      <c r="O414" s="65">
        <f t="shared" si="21"/>
        <v>0</v>
      </c>
      <c r="P414" s="66">
        <v>44742</v>
      </c>
      <c r="Q414" s="61">
        <f t="shared" si="20"/>
        <v>44742</v>
      </c>
      <c r="R414" s="59"/>
      <c r="S414" s="59"/>
      <c r="T414" s="59"/>
      <c r="U414" s="59"/>
      <c r="V414" s="59"/>
      <c r="W414" s="59"/>
      <c r="X414" s="59"/>
    </row>
    <row r="415" s="20" customFormat="1" ht="14" hidden="1" customHeight="1" spans="1:24">
      <c r="A415" s="59">
        <v>413</v>
      </c>
      <c r="B415" s="60" t="s">
        <v>976</v>
      </c>
      <c r="C415" s="61">
        <v>44713</v>
      </c>
      <c r="D415" s="62" t="str">
        <f ca="1" t="shared" si="19"/>
        <v>一年以上</v>
      </c>
      <c r="E415" s="66">
        <v>44739</v>
      </c>
      <c r="F415" s="66" t="s">
        <v>632</v>
      </c>
      <c r="G415" s="59" t="s">
        <v>450</v>
      </c>
      <c r="H415" s="60" t="s">
        <v>975</v>
      </c>
      <c r="I415" s="63" t="s">
        <v>975</v>
      </c>
      <c r="J415" s="64">
        <v>200</v>
      </c>
      <c r="K415" s="59" t="s">
        <v>28</v>
      </c>
      <c r="L415" s="59" t="s">
        <v>57</v>
      </c>
      <c r="M415" s="59" t="s">
        <v>515</v>
      </c>
      <c r="N415" s="65">
        <v>200</v>
      </c>
      <c r="O415" s="65">
        <f t="shared" si="21"/>
        <v>0</v>
      </c>
      <c r="P415" s="66">
        <v>44741</v>
      </c>
      <c r="Q415" s="61">
        <f t="shared" si="20"/>
        <v>44741</v>
      </c>
      <c r="R415" s="59"/>
      <c r="S415" s="59" t="s">
        <v>977</v>
      </c>
      <c r="T415" s="59"/>
      <c r="U415" s="59"/>
      <c r="V415" s="59"/>
      <c r="W415" s="59"/>
      <c r="X415" s="59"/>
    </row>
    <row r="416" s="20" customFormat="1" ht="24" hidden="1" spans="1:24">
      <c r="A416" s="59">
        <v>414</v>
      </c>
      <c r="B416" s="60" t="s">
        <v>978</v>
      </c>
      <c r="C416" s="61">
        <v>44713</v>
      </c>
      <c r="D416" s="62" t="str">
        <f ca="1" t="shared" si="19"/>
        <v>一年以上</v>
      </c>
      <c r="E416" s="66">
        <v>44740</v>
      </c>
      <c r="F416" s="66" t="s">
        <v>632</v>
      </c>
      <c r="G416" s="59" t="s">
        <v>450</v>
      </c>
      <c r="H416" s="60" t="s">
        <v>914</v>
      </c>
      <c r="I416" s="63" t="s">
        <v>912</v>
      </c>
      <c r="J416" s="76">
        <v>10000</v>
      </c>
      <c r="K416" s="59" t="s">
        <v>28</v>
      </c>
      <c r="L416" s="59" t="s">
        <v>57</v>
      </c>
      <c r="M416" s="59" t="s">
        <v>30</v>
      </c>
      <c r="N416" s="65">
        <v>10000</v>
      </c>
      <c r="O416" s="65">
        <f t="shared" si="21"/>
        <v>0</v>
      </c>
      <c r="P416" s="66">
        <v>44748</v>
      </c>
      <c r="Q416" s="61">
        <f t="shared" si="20"/>
        <v>44748</v>
      </c>
      <c r="R416" s="50"/>
      <c r="S416" s="59"/>
      <c r="T416" s="50"/>
      <c r="U416" s="50"/>
      <c r="V416" s="50"/>
      <c r="W416" s="59"/>
      <c r="X416" s="59"/>
    </row>
    <row r="417" s="20" customFormat="1" ht="24" hidden="1" spans="1:24">
      <c r="A417" s="59">
        <v>415</v>
      </c>
      <c r="B417" s="60" t="s">
        <v>979</v>
      </c>
      <c r="C417" s="61">
        <v>44713</v>
      </c>
      <c r="D417" s="62" t="str">
        <f ca="1" t="shared" si="19"/>
        <v>一年以上</v>
      </c>
      <c r="E417" s="66">
        <v>44740</v>
      </c>
      <c r="F417" s="66" t="s">
        <v>632</v>
      </c>
      <c r="G417" s="59" t="s">
        <v>450</v>
      </c>
      <c r="H417" s="60" t="s">
        <v>914</v>
      </c>
      <c r="I417" s="63" t="s">
        <v>912</v>
      </c>
      <c r="J417" s="64">
        <v>200</v>
      </c>
      <c r="K417" s="59" t="s">
        <v>28</v>
      </c>
      <c r="L417" s="59" t="s">
        <v>57</v>
      </c>
      <c r="M417" s="59" t="s">
        <v>515</v>
      </c>
      <c r="N417" s="65">
        <v>200</v>
      </c>
      <c r="O417" s="65">
        <f t="shared" si="21"/>
        <v>0</v>
      </c>
      <c r="P417" s="66">
        <v>44741</v>
      </c>
      <c r="Q417" s="61">
        <f t="shared" si="20"/>
        <v>44741</v>
      </c>
      <c r="R417" s="59"/>
      <c r="S417" s="59" t="s">
        <v>977</v>
      </c>
      <c r="T417" s="59"/>
      <c r="U417" s="59"/>
      <c r="V417" s="59"/>
      <c r="W417" s="59"/>
      <c r="X417" s="59"/>
    </row>
    <row r="418" s="20" customFormat="1" ht="36" hidden="1" spans="1:24">
      <c r="A418" s="59">
        <v>416</v>
      </c>
      <c r="B418" s="60" t="s">
        <v>980</v>
      </c>
      <c r="C418" s="61">
        <v>44743</v>
      </c>
      <c r="D418" s="62" t="str">
        <f ca="1" t="shared" si="19"/>
        <v>一年以上</v>
      </c>
      <c r="E418" s="66">
        <v>44743</v>
      </c>
      <c r="F418" s="66" t="s">
        <v>70</v>
      </c>
      <c r="G418" s="89" t="s">
        <v>981</v>
      </c>
      <c r="H418" s="91" t="s">
        <v>188</v>
      </c>
      <c r="I418" s="63" t="s">
        <v>188</v>
      </c>
      <c r="J418" s="64">
        <v>11200</v>
      </c>
      <c r="K418" s="59" t="s">
        <v>338</v>
      </c>
      <c r="L418" s="59" t="s">
        <v>627</v>
      </c>
      <c r="M418" s="59" t="s">
        <v>65</v>
      </c>
      <c r="N418" s="65">
        <v>11200</v>
      </c>
      <c r="O418" s="65">
        <f t="shared" si="21"/>
        <v>0</v>
      </c>
      <c r="P418" s="66">
        <v>44855</v>
      </c>
      <c r="Q418" s="61">
        <f t="shared" si="20"/>
        <v>44855</v>
      </c>
      <c r="R418" s="59" t="s">
        <v>982</v>
      </c>
      <c r="S418" s="59" t="s">
        <v>983</v>
      </c>
      <c r="T418" s="59"/>
      <c r="U418" s="59"/>
      <c r="V418" s="89" t="s">
        <v>984</v>
      </c>
      <c r="W418" s="59"/>
      <c r="X418" s="59"/>
    </row>
    <row r="419" s="20" customFormat="1" ht="24" spans="1:24">
      <c r="A419" s="59">
        <v>417</v>
      </c>
      <c r="B419" s="60" t="s">
        <v>985</v>
      </c>
      <c r="C419" s="61">
        <v>44743</v>
      </c>
      <c r="D419" s="62" t="str">
        <f ca="1" t="shared" si="19"/>
        <v>一年以上</v>
      </c>
      <c r="E419" s="66">
        <v>44747</v>
      </c>
      <c r="F419" s="66" t="s">
        <v>70</v>
      </c>
      <c r="G419" s="89" t="s">
        <v>986</v>
      </c>
      <c r="H419" s="91" t="s">
        <v>27</v>
      </c>
      <c r="I419" s="63" t="s">
        <v>27</v>
      </c>
      <c r="J419" s="76">
        <v>3000</v>
      </c>
      <c r="K419" s="59" t="s">
        <v>28</v>
      </c>
      <c r="L419" s="59" t="s">
        <v>57</v>
      </c>
      <c r="M419" s="59" t="s">
        <v>65</v>
      </c>
      <c r="N419" s="65"/>
      <c r="O419" s="88">
        <f t="shared" si="21"/>
        <v>3000</v>
      </c>
      <c r="P419" s="66"/>
      <c r="Q419" s="61">
        <f t="shared" si="20"/>
        <v>0</v>
      </c>
      <c r="R419" s="59" t="s">
        <v>987</v>
      </c>
      <c r="S419" s="59" t="s">
        <v>65</v>
      </c>
      <c r="T419" s="59" t="s">
        <v>32</v>
      </c>
      <c r="U419" s="59" t="str">
        <f>VLOOKUP(T419,[1]区域划分!$A$1:$C$39,3,0)</f>
        <v>方渊</v>
      </c>
      <c r="V419" s="89"/>
      <c r="W419" s="59"/>
      <c r="X419" s="59"/>
    </row>
    <row r="420" s="20" customFormat="1" ht="36" hidden="1" spans="1:24">
      <c r="A420" s="59">
        <v>418</v>
      </c>
      <c r="B420" s="60" t="s">
        <v>988</v>
      </c>
      <c r="C420" s="61">
        <v>44743</v>
      </c>
      <c r="D420" s="62" t="str">
        <f ca="1" t="shared" si="19"/>
        <v>一年以上</v>
      </c>
      <c r="E420" s="66">
        <v>44749</v>
      </c>
      <c r="F420" s="66" t="s">
        <v>632</v>
      </c>
      <c r="G420" s="89" t="s">
        <v>450</v>
      </c>
      <c r="H420" s="91" t="s">
        <v>842</v>
      </c>
      <c r="I420" s="63" t="s">
        <v>842</v>
      </c>
      <c r="J420" s="64">
        <v>200</v>
      </c>
      <c r="K420" s="59" t="s">
        <v>28</v>
      </c>
      <c r="L420" s="59" t="s">
        <v>57</v>
      </c>
      <c r="M420" s="59" t="s">
        <v>515</v>
      </c>
      <c r="N420" s="65">
        <v>200</v>
      </c>
      <c r="O420" s="65">
        <f t="shared" si="21"/>
        <v>0</v>
      </c>
      <c r="P420" s="66">
        <v>44767</v>
      </c>
      <c r="Q420" s="61">
        <f t="shared" si="20"/>
        <v>44767</v>
      </c>
      <c r="R420" s="59"/>
      <c r="S420" s="59" t="s">
        <v>989</v>
      </c>
      <c r="T420" s="59"/>
      <c r="U420" s="59"/>
      <c r="V420" s="59"/>
      <c r="W420" s="59"/>
      <c r="X420" s="59"/>
    </row>
    <row r="421" s="20" customFormat="1" ht="24" hidden="1" spans="1:24">
      <c r="A421" s="59">
        <v>419</v>
      </c>
      <c r="B421" s="60" t="s">
        <v>990</v>
      </c>
      <c r="C421" s="61">
        <v>44743</v>
      </c>
      <c r="D421" s="62" t="str">
        <f ca="1" t="shared" si="19"/>
        <v>一年以上</v>
      </c>
      <c r="E421" s="66">
        <v>44757</v>
      </c>
      <c r="F421" s="89" t="s">
        <v>70</v>
      </c>
      <c r="G421" s="89" t="s">
        <v>104</v>
      </c>
      <c r="H421" s="91" t="s">
        <v>867</v>
      </c>
      <c r="I421" s="63" t="s">
        <v>867</v>
      </c>
      <c r="J421" s="76">
        <v>2000</v>
      </c>
      <c r="K421" s="59" t="s">
        <v>356</v>
      </c>
      <c r="L421" s="59" t="s">
        <v>458</v>
      </c>
      <c r="M421" s="89" t="s">
        <v>65</v>
      </c>
      <c r="N421" s="111">
        <v>2000</v>
      </c>
      <c r="O421" s="65">
        <f t="shared" si="21"/>
        <v>0</v>
      </c>
      <c r="P421" s="66">
        <v>44886</v>
      </c>
      <c r="Q421" s="61">
        <f t="shared" si="20"/>
        <v>44886</v>
      </c>
      <c r="R421" s="59"/>
      <c r="S421" s="59" t="s">
        <v>991</v>
      </c>
      <c r="T421" s="59"/>
      <c r="U421" s="59"/>
      <c r="V421" s="59" t="s">
        <v>991</v>
      </c>
      <c r="W421" s="59"/>
      <c r="X421" s="59"/>
    </row>
    <row r="422" s="20" customFormat="1" hidden="1" spans="1:24">
      <c r="A422" s="59">
        <v>420</v>
      </c>
      <c r="B422" s="60" t="s">
        <v>992</v>
      </c>
      <c r="C422" s="61">
        <v>44743</v>
      </c>
      <c r="D422" s="62" t="str">
        <f ca="1" t="shared" si="19"/>
        <v>一年以上</v>
      </c>
      <c r="E422" s="66">
        <v>44757</v>
      </c>
      <c r="F422" s="89" t="s">
        <v>632</v>
      </c>
      <c r="G422" s="89" t="s">
        <v>993</v>
      </c>
      <c r="H422" s="91" t="s">
        <v>215</v>
      </c>
      <c r="I422" s="63" t="s">
        <v>215</v>
      </c>
      <c r="J422" s="76">
        <v>10000</v>
      </c>
      <c r="K422" s="59" t="s">
        <v>28</v>
      </c>
      <c r="L422" s="59" t="s">
        <v>57</v>
      </c>
      <c r="M422" s="89" t="s">
        <v>30</v>
      </c>
      <c r="N422" s="111">
        <v>10000</v>
      </c>
      <c r="O422" s="65">
        <f t="shared" si="21"/>
        <v>0</v>
      </c>
      <c r="P422" s="66">
        <v>44879</v>
      </c>
      <c r="Q422" s="61">
        <f t="shared" si="20"/>
        <v>44879</v>
      </c>
      <c r="R422" s="59"/>
      <c r="S422" s="59"/>
      <c r="T422" s="59"/>
      <c r="U422" s="59"/>
      <c r="V422" s="59"/>
      <c r="W422" s="59"/>
      <c r="X422" s="59"/>
    </row>
    <row r="423" s="20" customFormat="1" hidden="1" spans="1:24">
      <c r="A423" s="59">
        <v>421</v>
      </c>
      <c r="B423" s="60" t="s">
        <v>994</v>
      </c>
      <c r="C423" s="61">
        <v>44743</v>
      </c>
      <c r="D423" s="62" t="str">
        <f ca="1" t="shared" si="19"/>
        <v>一年以上</v>
      </c>
      <c r="E423" s="66">
        <v>44757</v>
      </c>
      <c r="F423" s="89" t="s">
        <v>632</v>
      </c>
      <c r="G423" s="89" t="s">
        <v>993</v>
      </c>
      <c r="H423" s="91" t="s">
        <v>215</v>
      </c>
      <c r="I423" s="63" t="s">
        <v>215</v>
      </c>
      <c r="J423" s="76">
        <v>10000</v>
      </c>
      <c r="K423" s="59" t="s">
        <v>338</v>
      </c>
      <c r="L423" s="59" t="s">
        <v>627</v>
      </c>
      <c r="M423" s="89" t="s">
        <v>30</v>
      </c>
      <c r="N423" s="111">
        <v>10000</v>
      </c>
      <c r="O423" s="65">
        <f t="shared" si="21"/>
        <v>0</v>
      </c>
      <c r="P423" s="66">
        <v>44873</v>
      </c>
      <c r="Q423" s="61">
        <f t="shared" si="20"/>
        <v>44873</v>
      </c>
      <c r="R423" s="59"/>
      <c r="S423" s="59"/>
      <c r="T423" s="59"/>
      <c r="U423" s="59"/>
      <c r="V423" s="59"/>
      <c r="W423" s="59"/>
      <c r="X423" s="59"/>
    </row>
    <row r="424" s="20" customFormat="1" ht="24" hidden="1" spans="1:24">
      <c r="A424" s="59">
        <v>422</v>
      </c>
      <c r="B424" s="60" t="s">
        <v>995</v>
      </c>
      <c r="C424" s="61">
        <v>44743</v>
      </c>
      <c r="D424" s="62" t="str">
        <f ca="1" t="shared" si="19"/>
        <v>一年以上</v>
      </c>
      <c r="E424" s="66">
        <v>44760</v>
      </c>
      <c r="F424" s="89" t="s">
        <v>632</v>
      </c>
      <c r="G424" s="89" t="s">
        <v>993</v>
      </c>
      <c r="H424" s="91" t="s">
        <v>996</v>
      </c>
      <c r="I424" s="63" t="s">
        <v>996</v>
      </c>
      <c r="J424" s="76">
        <v>3400</v>
      </c>
      <c r="K424" s="59" t="s">
        <v>356</v>
      </c>
      <c r="L424" s="59" t="s">
        <v>458</v>
      </c>
      <c r="M424" s="89" t="s">
        <v>133</v>
      </c>
      <c r="N424" s="111">
        <v>3400</v>
      </c>
      <c r="O424" s="65">
        <f t="shared" si="21"/>
        <v>0</v>
      </c>
      <c r="P424" s="66">
        <v>45071</v>
      </c>
      <c r="Q424" s="61">
        <f t="shared" si="20"/>
        <v>45071</v>
      </c>
      <c r="R424" s="59" t="s">
        <v>997</v>
      </c>
      <c r="S424" s="59" t="s">
        <v>998</v>
      </c>
      <c r="T424" s="59" t="s">
        <v>44</v>
      </c>
      <c r="U424" s="59"/>
      <c r="V424" s="59"/>
      <c r="W424" s="59"/>
      <c r="X424" s="59"/>
    </row>
    <row r="425" s="20" customFormat="1" ht="24" hidden="1" spans="1:24">
      <c r="A425" s="59">
        <v>423</v>
      </c>
      <c r="B425" s="60" t="s">
        <v>999</v>
      </c>
      <c r="C425" s="61">
        <v>44743</v>
      </c>
      <c r="D425" s="62" t="str">
        <f ca="1" t="shared" si="19"/>
        <v>一年以上</v>
      </c>
      <c r="E425" s="66">
        <v>44761</v>
      </c>
      <c r="F425" s="66" t="s">
        <v>70</v>
      </c>
      <c r="G425" s="59" t="s">
        <v>608</v>
      </c>
      <c r="H425" s="60" t="s">
        <v>605</v>
      </c>
      <c r="I425" s="63" t="s">
        <v>605</v>
      </c>
      <c r="J425" s="64">
        <v>7750</v>
      </c>
      <c r="K425" s="59" t="s">
        <v>28</v>
      </c>
      <c r="L425" s="59" t="s">
        <v>57</v>
      </c>
      <c r="M425" s="59" t="s">
        <v>65</v>
      </c>
      <c r="N425" s="65">
        <v>7750</v>
      </c>
      <c r="O425" s="65">
        <f t="shared" si="21"/>
        <v>0</v>
      </c>
      <c r="P425" s="66">
        <v>44925</v>
      </c>
      <c r="Q425" s="61">
        <f t="shared" si="20"/>
        <v>44925</v>
      </c>
      <c r="R425" s="59"/>
      <c r="S425" s="59" t="s">
        <v>1000</v>
      </c>
      <c r="T425" s="59"/>
      <c r="U425" s="59"/>
      <c r="V425" s="59" t="s">
        <v>1000</v>
      </c>
      <c r="W425" s="59"/>
      <c r="X425" s="59"/>
    </row>
    <row r="426" s="20" customFormat="1" ht="24" hidden="1" spans="1:24">
      <c r="A426" s="59">
        <v>424</v>
      </c>
      <c r="B426" s="60" t="s">
        <v>1001</v>
      </c>
      <c r="C426" s="61">
        <v>44743</v>
      </c>
      <c r="D426" s="62" t="str">
        <f ca="1" t="shared" si="19"/>
        <v>一年以上</v>
      </c>
      <c r="E426" s="66">
        <v>44763</v>
      </c>
      <c r="F426" s="89" t="s">
        <v>632</v>
      </c>
      <c r="G426" s="89" t="s">
        <v>993</v>
      </c>
      <c r="H426" s="91" t="s">
        <v>1002</v>
      </c>
      <c r="I426" s="63" t="s">
        <v>1002</v>
      </c>
      <c r="J426" s="76">
        <v>38000</v>
      </c>
      <c r="K426" s="59" t="s">
        <v>28</v>
      </c>
      <c r="L426" s="59" t="s">
        <v>57</v>
      </c>
      <c r="M426" s="89" t="s">
        <v>30</v>
      </c>
      <c r="N426" s="111">
        <v>38000</v>
      </c>
      <c r="O426" s="65">
        <f t="shared" si="21"/>
        <v>0</v>
      </c>
      <c r="P426" s="66">
        <v>44858</v>
      </c>
      <c r="Q426" s="61">
        <f t="shared" si="20"/>
        <v>44858</v>
      </c>
      <c r="R426" s="59"/>
      <c r="S426" s="59"/>
      <c r="T426" s="59"/>
      <c r="U426" s="59"/>
      <c r="V426" s="59"/>
      <c r="W426" s="59"/>
      <c r="X426" s="59"/>
    </row>
    <row r="427" s="20" customFormat="1" ht="24" hidden="1" spans="1:24">
      <c r="A427" s="59">
        <v>425</v>
      </c>
      <c r="B427" s="60" t="s">
        <v>1003</v>
      </c>
      <c r="C427" s="61">
        <v>44743</v>
      </c>
      <c r="D427" s="62" t="str">
        <f ca="1" t="shared" si="19"/>
        <v>一年以上</v>
      </c>
      <c r="E427" s="66">
        <v>44764</v>
      </c>
      <c r="F427" s="89" t="s">
        <v>632</v>
      </c>
      <c r="G427" s="89" t="s">
        <v>993</v>
      </c>
      <c r="H427" s="91" t="s">
        <v>948</v>
      </c>
      <c r="I427" s="63" t="s">
        <v>948</v>
      </c>
      <c r="J427" s="76">
        <v>10000</v>
      </c>
      <c r="K427" s="59" t="s">
        <v>28</v>
      </c>
      <c r="L427" s="59" t="s">
        <v>57</v>
      </c>
      <c r="M427" s="89" t="s">
        <v>30</v>
      </c>
      <c r="N427" s="65">
        <v>10000</v>
      </c>
      <c r="O427" s="65">
        <f t="shared" si="21"/>
        <v>0</v>
      </c>
      <c r="P427" s="66">
        <v>44790</v>
      </c>
      <c r="Q427" s="61">
        <f t="shared" si="20"/>
        <v>44790</v>
      </c>
      <c r="R427" s="59"/>
      <c r="S427" s="59"/>
      <c r="T427" s="59"/>
      <c r="U427" s="59"/>
      <c r="V427" s="59"/>
      <c r="W427" s="59"/>
      <c r="X427" s="59"/>
    </row>
    <row r="428" s="20" customFormat="1" ht="24" hidden="1" spans="1:24">
      <c r="A428" s="59">
        <v>427</v>
      </c>
      <c r="B428" s="60" t="s">
        <v>1004</v>
      </c>
      <c r="C428" s="61">
        <v>44743</v>
      </c>
      <c r="D428" s="62" t="str">
        <f ca="1" t="shared" si="19"/>
        <v>一年以上</v>
      </c>
      <c r="E428" s="66">
        <v>44770</v>
      </c>
      <c r="F428" s="89" t="s">
        <v>632</v>
      </c>
      <c r="G428" s="89" t="s">
        <v>993</v>
      </c>
      <c r="H428" s="91" t="s">
        <v>1005</v>
      </c>
      <c r="I428" s="63" t="s">
        <v>1005</v>
      </c>
      <c r="J428" s="76">
        <v>10000</v>
      </c>
      <c r="K428" s="59" t="s">
        <v>356</v>
      </c>
      <c r="L428" s="59" t="s">
        <v>458</v>
      </c>
      <c r="M428" s="89" t="s">
        <v>30</v>
      </c>
      <c r="N428" s="111">
        <v>10000</v>
      </c>
      <c r="O428" s="65">
        <f t="shared" si="21"/>
        <v>0</v>
      </c>
      <c r="P428" s="66">
        <v>44978</v>
      </c>
      <c r="Q428" s="61">
        <f t="shared" si="20"/>
        <v>44978</v>
      </c>
      <c r="R428" s="59"/>
      <c r="S428" s="59" t="s">
        <v>1006</v>
      </c>
      <c r="T428" s="59" t="s">
        <v>381</v>
      </c>
      <c r="U428" s="59"/>
      <c r="V428" s="59"/>
      <c r="W428" s="59"/>
      <c r="X428" s="59"/>
    </row>
    <row r="429" s="20" customFormat="1" ht="24" hidden="1" spans="1:24">
      <c r="A429" s="59">
        <v>426</v>
      </c>
      <c r="B429" s="60" t="s">
        <v>1007</v>
      </c>
      <c r="C429" s="61">
        <v>44743</v>
      </c>
      <c r="D429" s="62" t="str">
        <f ca="1" t="shared" si="19"/>
        <v>一年以上</v>
      </c>
      <c r="E429" s="66">
        <v>44771</v>
      </c>
      <c r="F429" s="66" t="s">
        <v>632</v>
      </c>
      <c r="G429" s="59" t="s">
        <v>993</v>
      </c>
      <c r="H429" s="91" t="s">
        <v>1008</v>
      </c>
      <c r="I429" s="63" t="s">
        <v>1008</v>
      </c>
      <c r="J429" s="64">
        <v>100</v>
      </c>
      <c r="K429" s="59" t="s">
        <v>28</v>
      </c>
      <c r="L429" s="59" t="s">
        <v>57</v>
      </c>
      <c r="M429" s="59" t="s">
        <v>515</v>
      </c>
      <c r="N429" s="65">
        <v>100</v>
      </c>
      <c r="O429" s="65">
        <f t="shared" si="21"/>
        <v>0</v>
      </c>
      <c r="P429" s="66"/>
      <c r="Q429" s="61">
        <f t="shared" si="20"/>
        <v>0</v>
      </c>
      <c r="R429" s="59" t="s">
        <v>1009</v>
      </c>
      <c r="S429" s="59"/>
      <c r="T429" s="59"/>
      <c r="U429" s="59"/>
      <c r="V429" s="59"/>
      <c r="W429" s="59"/>
      <c r="X429" s="59"/>
    </row>
    <row r="430" s="20" customFormat="1" ht="24" hidden="1" spans="1:24">
      <c r="A430" s="59">
        <v>428</v>
      </c>
      <c r="B430" s="60" t="s">
        <v>1010</v>
      </c>
      <c r="C430" s="61">
        <f t="shared" ref="C430:C493" si="22">E430</f>
        <v>44774</v>
      </c>
      <c r="D430" s="62" t="str">
        <f ca="1" t="shared" si="19"/>
        <v>一年以上</v>
      </c>
      <c r="E430" s="66">
        <v>44774</v>
      </c>
      <c r="F430" s="89" t="s">
        <v>632</v>
      </c>
      <c r="G430" s="89" t="s">
        <v>450</v>
      </c>
      <c r="H430" s="91" t="s">
        <v>379</v>
      </c>
      <c r="I430" s="63" t="s">
        <v>379</v>
      </c>
      <c r="J430" s="76">
        <v>1000</v>
      </c>
      <c r="K430" s="59" t="s">
        <v>356</v>
      </c>
      <c r="L430" s="59" t="s">
        <v>458</v>
      </c>
      <c r="M430" s="89" t="s">
        <v>30</v>
      </c>
      <c r="N430" s="111">
        <v>1000</v>
      </c>
      <c r="O430" s="65">
        <f t="shared" si="21"/>
        <v>0</v>
      </c>
      <c r="P430" s="66">
        <v>44830</v>
      </c>
      <c r="Q430" s="61">
        <f t="shared" si="20"/>
        <v>44830</v>
      </c>
      <c r="R430" s="59"/>
      <c r="S430" s="59"/>
      <c r="T430" s="59"/>
      <c r="U430" s="59"/>
      <c r="V430" s="59"/>
      <c r="W430" s="59"/>
      <c r="X430" s="59"/>
    </row>
    <row r="431" s="20" customFormat="1" ht="24" hidden="1" spans="1:24">
      <c r="A431" s="59">
        <v>429</v>
      </c>
      <c r="B431" s="60" t="s">
        <v>1011</v>
      </c>
      <c r="C431" s="61">
        <f t="shared" si="22"/>
        <v>44777</v>
      </c>
      <c r="D431" s="62" t="str">
        <f ca="1" t="shared" si="19"/>
        <v>一年以上</v>
      </c>
      <c r="E431" s="66">
        <v>44777</v>
      </c>
      <c r="F431" s="89" t="s">
        <v>632</v>
      </c>
      <c r="G431" s="89" t="s">
        <v>993</v>
      </c>
      <c r="H431" s="60" t="s">
        <v>1012</v>
      </c>
      <c r="I431" s="63" t="s">
        <v>1012</v>
      </c>
      <c r="J431" s="76">
        <v>500</v>
      </c>
      <c r="K431" s="59" t="s">
        <v>28</v>
      </c>
      <c r="L431" s="59" t="s">
        <v>57</v>
      </c>
      <c r="M431" s="89" t="s">
        <v>30</v>
      </c>
      <c r="N431" s="111">
        <v>500</v>
      </c>
      <c r="O431" s="65">
        <f t="shared" si="21"/>
        <v>0</v>
      </c>
      <c r="P431" s="66">
        <v>44832</v>
      </c>
      <c r="Q431" s="61">
        <f t="shared" si="20"/>
        <v>44832</v>
      </c>
      <c r="R431" s="59"/>
      <c r="S431" s="59"/>
      <c r="T431" s="59"/>
      <c r="U431" s="59"/>
      <c r="V431" s="59"/>
      <c r="W431" s="59"/>
      <c r="X431" s="59"/>
    </row>
    <row r="432" s="18" customFormat="1" hidden="1" spans="1:24">
      <c r="A432" s="59">
        <v>430</v>
      </c>
      <c r="B432" s="60" t="s">
        <v>1013</v>
      </c>
      <c r="C432" s="61">
        <f t="shared" si="22"/>
        <v>44778</v>
      </c>
      <c r="D432" s="62" t="str">
        <f ca="1" t="shared" si="19"/>
        <v>一年以上</v>
      </c>
      <c r="E432" s="66">
        <v>44778</v>
      </c>
      <c r="F432" s="89" t="s">
        <v>632</v>
      </c>
      <c r="G432" s="89" t="s">
        <v>450</v>
      </c>
      <c r="H432" s="373" t="s">
        <v>938</v>
      </c>
      <c r="I432" s="63" t="s">
        <v>938</v>
      </c>
      <c r="J432" s="76">
        <v>1000</v>
      </c>
      <c r="K432" s="59" t="s">
        <v>28</v>
      </c>
      <c r="L432" s="59" t="s">
        <v>57</v>
      </c>
      <c r="M432" s="89" t="s">
        <v>30</v>
      </c>
      <c r="N432" s="111">
        <v>1000</v>
      </c>
      <c r="O432" s="65">
        <f t="shared" si="21"/>
        <v>0</v>
      </c>
      <c r="P432" s="66">
        <v>44887</v>
      </c>
      <c r="Q432" s="61">
        <f t="shared" si="20"/>
        <v>44887</v>
      </c>
      <c r="R432" s="59"/>
      <c r="S432" s="59"/>
      <c r="T432" s="59"/>
      <c r="U432" s="59"/>
      <c r="V432" s="59"/>
      <c r="W432" s="50"/>
      <c r="X432" s="50"/>
    </row>
    <row r="433" s="20" customFormat="1" ht="36" hidden="1" spans="1:24">
      <c r="A433" s="59">
        <v>433</v>
      </c>
      <c r="B433" s="60" t="s">
        <v>1014</v>
      </c>
      <c r="C433" s="61">
        <f t="shared" si="22"/>
        <v>44783</v>
      </c>
      <c r="D433" s="62" t="str">
        <f ca="1" t="shared" si="19"/>
        <v>一年以上</v>
      </c>
      <c r="E433" s="66">
        <v>44783</v>
      </c>
      <c r="F433" s="66" t="s">
        <v>130</v>
      </c>
      <c r="G433" s="59" t="s">
        <v>371</v>
      </c>
      <c r="H433" s="91" t="s">
        <v>1015</v>
      </c>
      <c r="I433" s="63" t="s">
        <v>1015</v>
      </c>
      <c r="J433" s="64">
        <v>10013</v>
      </c>
      <c r="K433" s="59" t="s">
        <v>28</v>
      </c>
      <c r="L433" s="59" t="s">
        <v>57</v>
      </c>
      <c r="M433" s="59" t="s">
        <v>836</v>
      </c>
      <c r="N433" s="65">
        <v>10013</v>
      </c>
      <c r="O433" s="65">
        <f t="shared" si="21"/>
        <v>0</v>
      </c>
      <c r="P433" s="66">
        <v>44855</v>
      </c>
      <c r="Q433" s="61">
        <f t="shared" si="20"/>
        <v>44855</v>
      </c>
      <c r="R433" s="59" t="s">
        <v>1016</v>
      </c>
      <c r="S433" s="59"/>
      <c r="T433" s="59"/>
      <c r="U433" s="59"/>
      <c r="V433" s="59"/>
      <c r="W433" s="59"/>
      <c r="X433" s="59"/>
    </row>
    <row r="434" s="20" customFormat="1" ht="24" hidden="1" spans="1:24">
      <c r="A434" s="59">
        <v>431</v>
      </c>
      <c r="B434" s="60" t="s">
        <v>1017</v>
      </c>
      <c r="C434" s="61">
        <f t="shared" si="22"/>
        <v>44784</v>
      </c>
      <c r="D434" s="62" t="str">
        <f ca="1" t="shared" si="19"/>
        <v>一年以上</v>
      </c>
      <c r="E434" s="66">
        <v>44784</v>
      </c>
      <c r="F434" s="66" t="s">
        <v>632</v>
      </c>
      <c r="G434" s="59" t="s">
        <v>450</v>
      </c>
      <c r="H434" s="91" t="s">
        <v>1008</v>
      </c>
      <c r="I434" s="63" t="s">
        <v>1008</v>
      </c>
      <c r="J434" s="64">
        <v>100</v>
      </c>
      <c r="K434" s="59" t="s">
        <v>28</v>
      </c>
      <c r="L434" s="59" t="s">
        <v>57</v>
      </c>
      <c r="M434" s="59" t="s">
        <v>515</v>
      </c>
      <c r="N434" s="65">
        <v>100</v>
      </c>
      <c r="O434" s="65">
        <f t="shared" si="21"/>
        <v>0</v>
      </c>
      <c r="P434" s="66">
        <v>44999</v>
      </c>
      <c r="Q434" s="61">
        <f t="shared" si="20"/>
        <v>44999</v>
      </c>
      <c r="R434" s="59" t="s">
        <v>951</v>
      </c>
      <c r="S434" s="59" t="s">
        <v>1018</v>
      </c>
      <c r="T434" s="59"/>
      <c r="U434" s="59"/>
      <c r="V434" s="59"/>
      <c r="W434" s="59"/>
      <c r="X434" s="59"/>
    </row>
    <row r="435" s="20" customFormat="1" ht="24" hidden="1" spans="1:24">
      <c r="A435" s="59">
        <v>432</v>
      </c>
      <c r="B435" s="60" t="s">
        <v>1019</v>
      </c>
      <c r="C435" s="61">
        <f t="shared" si="22"/>
        <v>44785</v>
      </c>
      <c r="D435" s="62" t="str">
        <f ca="1" t="shared" si="19"/>
        <v>一年以上</v>
      </c>
      <c r="E435" s="66">
        <v>44785</v>
      </c>
      <c r="F435" s="66" t="s">
        <v>632</v>
      </c>
      <c r="G435" s="59" t="s">
        <v>450</v>
      </c>
      <c r="H435" s="91" t="s">
        <v>842</v>
      </c>
      <c r="I435" s="63" t="s">
        <v>842</v>
      </c>
      <c r="J435" s="64">
        <v>500</v>
      </c>
      <c r="K435" s="59" t="s">
        <v>28</v>
      </c>
      <c r="L435" s="59" t="s">
        <v>57</v>
      </c>
      <c r="M435" s="59" t="s">
        <v>515</v>
      </c>
      <c r="N435" s="65">
        <v>500</v>
      </c>
      <c r="O435" s="65">
        <f t="shared" si="21"/>
        <v>0</v>
      </c>
      <c r="P435" s="66"/>
      <c r="Q435" s="61">
        <f t="shared" si="20"/>
        <v>0</v>
      </c>
      <c r="R435" s="59"/>
      <c r="S435" s="59" t="s">
        <v>1020</v>
      </c>
      <c r="T435" s="59"/>
      <c r="U435" s="59"/>
      <c r="V435" s="59"/>
      <c r="W435" s="59"/>
      <c r="X435" s="59"/>
    </row>
    <row r="436" s="20" customFormat="1" ht="24" hidden="1" spans="1:24">
      <c r="A436" s="59">
        <v>434</v>
      </c>
      <c r="B436" s="60" t="s">
        <v>1021</v>
      </c>
      <c r="C436" s="61">
        <f t="shared" si="22"/>
        <v>44792</v>
      </c>
      <c r="D436" s="62" t="str">
        <f ca="1" t="shared" si="19"/>
        <v>一年以上</v>
      </c>
      <c r="E436" s="66">
        <v>44792</v>
      </c>
      <c r="F436" s="89" t="s">
        <v>70</v>
      </c>
      <c r="G436" s="89" t="s">
        <v>1022</v>
      </c>
      <c r="H436" s="91" t="s">
        <v>1023</v>
      </c>
      <c r="I436" s="63" t="s">
        <v>1023</v>
      </c>
      <c r="J436" s="76">
        <v>2100</v>
      </c>
      <c r="K436" s="59" t="s">
        <v>28</v>
      </c>
      <c r="L436" s="59" t="s">
        <v>57</v>
      </c>
      <c r="M436" s="89" t="s">
        <v>65</v>
      </c>
      <c r="N436" s="111">
        <v>2100</v>
      </c>
      <c r="O436" s="65">
        <f t="shared" si="21"/>
        <v>0</v>
      </c>
      <c r="P436" s="66">
        <v>44943</v>
      </c>
      <c r="Q436" s="61">
        <f t="shared" si="20"/>
        <v>44943</v>
      </c>
      <c r="R436" s="59"/>
      <c r="S436" s="59" t="s">
        <v>1024</v>
      </c>
      <c r="T436" s="59" t="s">
        <v>171</v>
      </c>
      <c r="U436" s="59"/>
      <c r="V436" s="59" t="s">
        <v>1024</v>
      </c>
      <c r="W436" s="59"/>
      <c r="X436" s="59"/>
    </row>
    <row r="437" s="20" customFormat="1" ht="24" hidden="1" spans="1:24">
      <c r="A437" s="59">
        <v>435</v>
      </c>
      <c r="B437" s="60" t="s">
        <v>1025</v>
      </c>
      <c r="C437" s="61">
        <f t="shared" si="22"/>
        <v>44795</v>
      </c>
      <c r="D437" s="62" t="str">
        <f ca="1" t="shared" si="19"/>
        <v>一年以上</v>
      </c>
      <c r="E437" s="66">
        <v>44795</v>
      </c>
      <c r="F437" s="89" t="s">
        <v>70</v>
      </c>
      <c r="G437" s="89" t="s">
        <v>104</v>
      </c>
      <c r="H437" s="91" t="s">
        <v>291</v>
      </c>
      <c r="I437" s="63" t="s">
        <v>291</v>
      </c>
      <c r="J437" s="76">
        <v>2600</v>
      </c>
      <c r="K437" s="59" t="s">
        <v>356</v>
      </c>
      <c r="L437" s="59" t="s">
        <v>458</v>
      </c>
      <c r="M437" s="89" t="s">
        <v>65</v>
      </c>
      <c r="N437" s="111">
        <v>2600</v>
      </c>
      <c r="O437" s="65">
        <f t="shared" si="21"/>
        <v>0</v>
      </c>
      <c r="P437" s="66">
        <v>44921</v>
      </c>
      <c r="Q437" s="61">
        <f t="shared" si="20"/>
        <v>44921</v>
      </c>
      <c r="R437" s="59"/>
      <c r="S437" s="59" t="s">
        <v>1026</v>
      </c>
      <c r="T437" s="59"/>
      <c r="U437" s="59"/>
      <c r="V437" s="59" t="s">
        <v>1026</v>
      </c>
      <c r="W437" s="59"/>
      <c r="X437" s="59"/>
    </row>
    <row r="438" s="20" customFormat="1" ht="24" hidden="1" spans="1:24">
      <c r="A438" s="59">
        <v>436</v>
      </c>
      <c r="B438" s="60" t="s">
        <v>1027</v>
      </c>
      <c r="C438" s="61">
        <f t="shared" si="22"/>
        <v>44795</v>
      </c>
      <c r="D438" s="62" t="str">
        <f ca="1" t="shared" si="19"/>
        <v>一年以上</v>
      </c>
      <c r="E438" s="66">
        <v>44795</v>
      </c>
      <c r="F438" s="66" t="s">
        <v>632</v>
      </c>
      <c r="G438" s="89" t="s">
        <v>450</v>
      </c>
      <c r="H438" s="100" t="s">
        <v>1028</v>
      </c>
      <c r="I438" s="63" t="s">
        <v>1028</v>
      </c>
      <c r="J438" s="76">
        <v>5000</v>
      </c>
      <c r="K438" s="59" t="s">
        <v>28</v>
      </c>
      <c r="L438" s="59" t="s">
        <v>57</v>
      </c>
      <c r="M438" s="89" t="s">
        <v>30</v>
      </c>
      <c r="N438" s="111">
        <v>5000</v>
      </c>
      <c r="O438" s="65">
        <f t="shared" si="21"/>
        <v>0</v>
      </c>
      <c r="P438" s="66">
        <v>44873</v>
      </c>
      <c r="Q438" s="61">
        <f t="shared" si="20"/>
        <v>44873</v>
      </c>
      <c r="R438" s="59"/>
      <c r="S438" s="59"/>
      <c r="T438" s="59"/>
      <c r="U438" s="59"/>
      <c r="V438" s="59"/>
      <c r="W438" s="59"/>
      <c r="X438" s="59"/>
    </row>
    <row r="439" s="20" customFormat="1" ht="24" hidden="1" spans="1:24">
      <c r="A439" s="59">
        <v>437</v>
      </c>
      <c r="B439" s="60" t="s">
        <v>1029</v>
      </c>
      <c r="C439" s="61">
        <f t="shared" si="22"/>
        <v>44795</v>
      </c>
      <c r="D439" s="62" t="str">
        <f ca="1" t="shared" si="19"/>
        <v>一年以上</v>
      </c>
      <c r="E439" s="66">
        <v>44795</v>
      </c>
      <c r="F439" s="66" t="s">
        <v>632</v>
      </c>
      <c r="G439" s="89" t="s">
        <v>450</v>
      </c>
      <c r="H439" s="100" t="s">
        <v>1028</v>
      </c>
      <c r="I439" s="63" t="s">
        <v>1028</v>
      </c>
      <c r="J439" s="64">
        <v>100</v>
      </c>
      <c r="K439" s="59" t="s">
        <v>28</v>
      </c>
      <c r="L439" s="59" t="s">
        <v>57</v>
      </c>
      <c r="M439" s="89" t="s">
        <v>515</v>
      </c>
      <c r="N439" s="111">
        <v>100</v>
      </c>
      <c r="O439" s="65">
        <f t="shared" si="21"/>
        <v>0</v>
      </c>
      <c r="P439" s="66">
        <v>44880</v>
      </c>
      <c r="Q439" s="61">
        <f t="shared" si="20"/>
        <v>44880</v>
      </c>
      <c r="R439" s="59" t="s">
        <v>951</v>
      </c>
      <c r="S439" s="59"/>
      <c r="T439" s="59"/>
      <c r="U439" s="59"/>
      <c r="V439" s="59"/>
      <c r="W439" s="59"/>
      <c r="X439" s="59"/>
    </row>
    <row r="440" s="20" customFormat="1" ht="24" hidden="1" spans="1:24">
      <c r="A440" s="59">
        <v>438</v>
      </c>
      <c r="B440" s="60" t="s">
        <v>1030</v>
      </c>
      <c r="C440" s="61">
        <f t="shared" si="22"/>
        <v>44796</v>
      </c>
      <c r="D440" s="62" t="str">
        <f ca="1" t="shared" si="19"/>
        <v>一年以上</v>
      </c>
      <c r="E440" s="66">
        <v>44796</v>
      </c>
      <c r="F440" s="66" t="s">
        <v>632</v>
      </c>
      <c r="G440" s="89" t="s">
        <v>450</v>
      </c>
      <c r="H440" s="100" t="s">
        <v>1031</v>
      </c>
      <c r="I440" s="63" t="s">
        <v>1031</v>
      </c>
      <c r="J440" s="76">
        <v>100</v>
      </c>
      <c r="K440" s="59" t="s">
        <v>28</v>
      </c>
      <c r="L440" s="59" t="s">
        <v>57</v>
      </c>
      <c r="M440" s="89" t="s">
        <v>515</v>
      </c>
      <c r="N440" s="111">
        <v>100</v>
      </c>
      <c r="O440" s="111">
        <f t="shared" si="21"/>
        <v>0</v>
      </c>
      <c r="P440" s="66">
        <v>44880</v>
      </c>
      <c r="Q440" s="61">
        <f t="shared" si="20"/>
        <v>44880</v>
      </c>
      <c r="R440" s="59" t="s">
        <v>951</v>
      </c>
      <c r="S440" s="59"/>
      <c r="T440" s="59"/>
      <c r="U440" s="59"/>
      <c r="V440" s="59"/>
      <c r="W440" s="59"/>
      <c r="X440" s="59"/>
    </row>
    <row r="441" s="20" customFormat="1" ht="24" hidden="1" spans="1:24">
      <c r="A441" s="59">
        <v>439</v>
      </c>
      <c r="B441" s="60" t="s">
        <v>1032</v>
      </c>
      <c r="C441" s="61">
        <f t="shared" si="22"/>
        <v>44796</v>
      </c>
      <c r="D441" s="62" t="str">
        <f ca="1" t="shared" si="19"/>
        <v>一年以上</v>
      </c>
      <c r="E441" s="66">
        <v>44796</v>
      </c>
      <c r="F441" s="66" t="s">
        <v>632</v>
      </c>
      <c r="G441" s="89" t="s">
        <v>450</v>
      </c>
      <c r="H441" s="100" t="s">
        <v>1031</v>
      </c>
      <c r="I441" s="63" t="s">
        <v>1031</v>
      </c>
      <c r="J441" s="76">
        <v>10000</v>
      </c>
      <c r="K441" s="59" t="s">
        <v>28</v>
      </c>
      <c r="L441" s="59" t="s">
        <v>57</v>
      </c>
      <c r="M441" s="89" t="s">
        <v>30</v>
      </c>
      <c r="N441" s="111">
        <v>10000</v>
      </c>
      <c r="O441" s="111">
        <f t="shared" si="21"/>
        <v>0</v>
      </c>
      <c r="P441" s="66">
        <v>44827</v>
      </c>
      <c r="Q441" s="61">
        <f t="shared" si="20"/>
        <v>44827</v>
      </c>
      <c r="R441" s="59"/>
      <c r="S441" s="59"/>
      <c r="T441" s="59"/>
      <c r="U441" s="59"/>
      <c r="V441" s="59"/>
      <c r="W441" s="59"/>
      <c r="X441" s="59"/>
    </row>
    <row r="442" s="20" customFormat="1" hidden="1" spans="1:24">
      <c r="A442" s="59">
        <v>440</v>
      </c>
      <c r="B442" s="60" t="s">
        <v>1033</v>
      </c>
      <c r="C442" s="61">
        <f t="shared" si="22"/>
        <v>44796</v>
      </c>
      <c r="D442" s="62" t="str">
        <f ca="1" t="shared" si="19"/>
        <v>一年以上</v>
      </c>
      <c r="E442" s="66">
        <v>44796</v>
      </c>
      <c r="F442" s="66" t="s">
        <v>632</v>
      </c>
      <c r="G442" s="89" t="s">
        <v>450</v>
      </c>
      <c r="H442" s="100" t="s">
        <v>1034</v>
      </c>
      <c r="I442" s="63" t="s">
        <v>1034</v>
      </c>
      <c r="J442" s="76">
        <v>800</v>
      </c>
      <c r="K442" s="59" t="s">
        <v>28</v>
      </c>
      <c r="L442" s="59" t="s">
        <v>96</v>
      </c>
      <c r="M442" s="89" t="s">
        <v>515</v>
      </c>
      <c r="N442" s="111">
        <v>800</v>
      </c>
      <c r="O442" s="111">
        <f t="shared" si="21"/>
        <v>0</v>
      </c>
      <c r="P442" s="66">
        <v>44932</v>
      </c>
      <c r="Q442" s="61">
        <f t="shared" si="20"/>
        <v>44932</v>
      </c>
      <c r="R442" s="59" t="s">
        <v>951</v>
      </c>
      <c r="S442" s="59"/>
      <c r="T442" s="59"/>
      <c r="U442" s="59"/>
      <c r="V442" s="59"/>
      <c r="W442" s="59"/>
      <c r="X442" s="59"/>
    </row>
    <row r="443" s="20" customFormat="1" hidden="1" spans="1:24">
      <c r="A443" s="59">
        <v>441</v>
      </c>
      <c r="B443" s="60" t="s">
        <v>1035</v>
      </c>
      <c r="C443" s="61">
        <f t="shared" si="22"/>
        <v>44796</v>
      </c>
      <c r="D443" s="62" t="str">
        <f ca="1" t="shared" si="19"/>
        <v>一年以上</v>
      </c>
      <c r="E443" s="66">
        <v>44796</v>
      </c>
      <c r="F443" s="66" t="s">
        <v>632</v>
      </c>
      <c r="G443" s="89" t="s">
        <v>993</v>
      </c>
      <c r="H443" s="100" t="s">
        <v>926</v>
      </c>
      <c r="I443" s="63" t="s">
        <v>926</v>
      </c>
      <c r="J443" s="76">
        <v>20000</v>
      </c>
      <c r="K443" s="59" t="s">
        <v>28</v>
      </c>
      <c r="L443" s="59" t="s">
        <v>57</v>
      </c>
      <c r="M443" s="89" t="s">
        <v>30</v>
      </c>
      <c r="N443" s="111">
        <v>20000</v>
      </c>
      <c r="O443" s="111">
        <f t="shared" si="21"/>
        <v>0</v>
      </c>
      <c r="P443" s="66">
        <v>44817</v>
      </c>
      <c r="Q443" s="61">
        <f t="shared" si="20"/>
        <v>44817</v>
      </c>
      <c r="R443" s="59"/>
      <c r="S443" s="59"/>
      <c r="T443" s="59"/>
      <c r="U443" s="59"/>
      <c r="V443" s="59"/>
      <c r="W443" s="59"/>
      <c r="X443" s="59"/>
    </row>
    <row r="444" s="20" customFormat="1" ht="24" hidden="1" spans="1:24">
      <c r="A444" s="59">
        <v>442</v>
      </c>
      <c r="B444" s="60" t="s">
        <v>1036</v>
      </c>
      <c r="C444" s="61">
        <f t="shared" si="22"/>
        <v>44797</v>
      </c>
      <c r="D444" s="62" t="str">
        <f ca="1" t="shared" si="19"/>
        <v>一年以上</v>
      </c>
      <c r="E444" s="66">
        <v>44797</v>
      </c>
      <c r="F444" s="66" t="s">
        <v>632</v>
      </c>
      <c r="G444" s="89" t="s">
        <v>450</v>
      </c>
      <c r="H444" s="100" t="s">
        <v>1037</v>
      </c>
      <c r="I444" s="63" t="s">
        <v>1037</v>
      </c>
      <c r="J444" s="76">
        <v>100</v>
      </c>
      <c r="K444" s="59" t="s">
        <v>28</v>
      </c>
      <c r="L444" s="59" t="s">
        <v>57</v>
      </c>
      <c r="M444" s="89" t="s">
        <v>515</v>
      </c>
      <c r="N444" s="111">
        <v>100</v>
      </c>
      <c r="O444" s="111">
        <f t="shared" si="21"/>
        <v>0</v>
      </c>
      <c r="P444" s="66">
        <v>44880</v>
      </c>
      <c r="Q444" s="61">
        <f t="shared" si="20"/>
        <v>44880</v>
      </c>
      <c r="R444" s="59" t="s">
        <v>951</v>
      </c>
      <c r="S444" s="59"/>
      <c r="T444" s="59"/>
      <c r="U444" s="59"/>
      <c r="V444" s="59"/>
      <c r="W444" s="59"/>
      <c r="X444" s="59"/>
    </row>
    <row r="445" s="20" customFormat="1" ht="24" hidden="1" spans="1:24">
      <c r="A445" s="59">
        <v>443</v>
      </c>
      <c r="B445" s="60" t="s">
        <v>1038</v>
      </c>
      <c r="C445" s="61">
        <f t="shared" si="22"/>
        <v>44797</v>
      </c>
      <c r="D445" s="62" t="str">
        <f ca="1" t="shared" si="19"/>
        <v>一年以上</v>
      </c>
      <c r="E445" s="66">
        <v>44797</v>
      </c>
      <c r="F445" s="66" t="s">
        <v>632</v>
      </c>
      <c r="G445" s="89" t="s">
        <v>450</v>
      </c>
      <c r="H445" s="100" t="s">
        <v>1037</v>
      </c>
      <c r="I445" s="63" t="s">
        <v>1037</v>
      </c>
      <c r="J445" s="76">
        <v>10000</v>
      </c>
      <c r="K445" s="59" t="s">
        <v>28</v>
      </c>
      <c r="L445" s="59" t="s">
        <v>57</v>
      </c>
      <c r="M445" s="89" t="s">
        <v>30</v>
      </c>
      <c r="N445" s="111">
        <v>10000</v>
      </c>
      <c r="O445" s="111">
        <f t="shared" si="21"/>
        <v>0</v>
      </c>
      <c r="P445" s="66">
        <v>44862</v>
      </c>
      <c r="Q445" s="61">
        <f t="shared" si="20"/>
        <v>44862</v>
      </c>
      <c r="R445" s="59"/>
      <c r="S445" s="59"/>
      <c r="T445" s="59"/>
      <c r="U445" s="59"/>
      <c r="V445" s="59"/>
      <c r="W445" s="59"/>
      <c r="X445" s="59"/>
    </row>
    <row r="446" s="20" customFormat="1" ht="24" hidden="1" spans="1:24">
      <c r="A446" s="59">
        <v>444</v>
      </c>
      <c r="B446" s="60" t="s">
        <v>1039</v>
      </c>
      <c r="C446" s="61">
        <f t="shared" si="22"/>
        <v>44797</v>
      </c>
      <c r="D446" s="62" t="str">
        <f ca="1" t="shared" si="19"/>
        <v>一年以上</v>
      </c>
      <c r="E446" s="66">
        <v>44797</v>
      </c>
      <c r="F446" s="66" t="s">
        <v>632</v>
      </c>
      <c r="G446" s="89" t="s">
        <v>450</v>
      </c>
      <c r="H446" s="100" t="s">
        <v>1040</v>
      </c>
      <c r="I446" s="63" t="s">
        <v>1040</v>
      </c>
      <c r="J446" s="76">
        <v>10000</v>
      </c>
      <c r="K446" s="59" t="s">
        <v>356</v>
      </c>
      <c r="L446" s="59" t="s">
        <v>458</v>
      </c>
      <c r="M446" s="89" t="s">
        <v>30</v>
      </c>
      <c r="N446" s="111">
        <v>10000</v>
      </c>
      <c r="O446" s="111">
        <f t="shared" si="21"/>
        <v>0</v>
      </c>
      <c r="P446" s="66">
        <v>44818</v>
      </c>
      <c r="Q446" s="61">
        <f t="shared" si="20"/>
        <v>44818</v>
      </c>
      <c r="R446" s="59"/>
      <c r="S446" s="59"/>
      <c r="T446" s="59"/>
      <c r="U446" s="59"/>
      <c r="V446" s="59"/>
      <c r="W446" s="59"/>
      <c r="X446" s="59"/>
    </row>
    <row r="447" s="20" customFormat="1" ht="24" hidden="1" spans="1:24">
      <c r="A447" s="59">
        <v>445</v>
      </c>
      <c r="B447" s="60" t="s">
        <v>1041</v>
      </c>
      <c r="C447" s="61">
        <f t="shared" si="22"/>
        <v>44797</v>
      </c>
      <c r="D447" s="62" t="str">
        <f ca="1" t="shared" si="19"/>
        <v>一年以上</v>
      </c>
      <c r="E447" s="66">
        <v>44797</v>
      </c>
      <c r="F447" s="66" t="s">
        <v>632</v>
      </c>
      <c r="G447" s="89" t="s">
        <v>1042</v>
      </c>
      <c r="H447" s="100" t="s">
        <v>1043</v>
      </c>
      <c r="I447" s="63" t="s">
        <v>1043</v>
      </c>
      <c r="J447" s="76">
        <v>10000</v>
      </c>
      <c r="K447" s="59" t="s">
        <v>28</v>
      </c>
      <c r="L447" s="59" t="s">
        <v>57</v>
      </c>
      <c r="M447" s="89" t="s">
        <v>133</v>
      </c>
      <c r="N447" s="111">
        <v>10000</v>
      </c>
      <c r="O447" s="111">
        <f t="shared" si="21"/>
        <v>0</v>
      </c>
      <c r="P447" s="66">
        <v>44903</v>
      </c>
      <c r="Q447" s="61">
        <f t="shared" si="20"/>
        <v>44903</v>
      </c>
      <c r="R447" s="59"/>
      <c r="S447" s="59"/>
      <c r="T447" s="59"/>
      <c r="U447" s="59"/>
      <c r="V447" s="59"/>
      <c r="W447" s="59"/>
      <c r="X447" s="59"/>
    </row>
    <row r="448" s="20" customFormat="1" hidden="1" spans="1:24">
      <c r="A448" s="59">
        <v>446</v>
      </c>
      <c r="B448" s="60" t="s">
        <v>1044</v>
      </c>
      <c r="C448" s="61">
        <f t="shared" si="22"/>
        <v>44802</v>
      </c>
      <c r="D448" s="62" t="str">
        <f ca="1" t="shared" si="19"/>
        <v>一年以上</v>
      </c>
      <c r="E448" s="66">
        <v>44802</v>
      </c>
      <c r="F448" s="66" t="s">
        <v>632</v>
      </c>
      <c r="G448" s="89" t="s">
        <v>993</v>
      </c>
      <c r="H448" s="100" t="s">
        <v>863</v>
      </c>
      <c r="I448" s="63" t="s">
        <v>863</v>
      </c>
      <c r="J448" s="76">
        <v>500</v>
      </c>
      <c r="K448" s="59" t="s">
        <v>28</v>
      </c>
      <c r="L448" s="59" t="s">
        <v>57</v>
      </c>
      <c r="M448" s="89" t="s">
        <v>515</v>
      </c>
      <c r="N448" s="111">
        <v>500</v>
      </c>
      <c r="O448" s="111">
        <f t="shared" si="21"/>
        <v>0</v>
      </c>
      <c r="P448" s="66">
        <v>44880</v>
      </c>
      <c r="Q448" s="61">
        <f t="shared" si="20"/>
        <v>44880</v>
      </c>
      <c r="R448" s="59" t="s">
        <v>951</v>
      </c>
      <c r="S448" s="60"/>
      <c r="T448" s="59"/>
      <c r="U448" s="59"/>
      <c r="V448" s="59"/>
      <c r="W448" s="59"/>
      <c r="X448" s="59"/>
    </row>
    <row r="449" s="20" customFormat="1" ht="24" hidden="1" spans="1:24">
      <c r="A449" s="59">
        <v>447</v>
      </c>
      <c r="B449" s="60" t="s">
        <v>1045</v>
      </c>
      <c r="C449" s="61">
        <f t="shared" si="22"/>
        <v>44805</v>
      </c>
      <c r="D449" s="62" t="str">
        <f ca="1" t="shared" si="19"/>
        <v>一年以上</v>
      </c>
      <c r="E449" s="66">
        <v>44805</v>
      </c>
      <c r="F449" s="66" t="s">
        <v>632</v>
      </c>
      <c r="G449" s="89" t="s">
        <v>993</v>
      </c>
      <c r="H449" s="100" t="s">
        <v>1046</v>
      </c>
      <c r="I449" s="63" t="s">
        <v>1046</v>
      </c>
      <c r="J449" s="76">
        <v>10000</v>
      </c>
      <c r="K449" s="59" t="s">
        <v>356</v>
      </c>
      <c r="L449" s="59" t="s">
        <v>458</v>
      </c>
      <c r="M449" s="89" t="s">
        <v>30</v>
      </c>
      <c r="N449" s="111">
        <v>10000</v>
      </c>
      <c r="O449" s="111">
        <f t="shared" si="21"/>
        <v>0</v>
      </c>
      <c r="P449" s="66">
        <v>44853</v>
      </c>
      <c r="Q449" s="61">
        <f t="shared" si="20"/>
        <v>44853</v>
      </c>
      <c r="R449" s="59"/>
      <c r="S449" s="59"/>
      <c r="T449" s="59"/>
      <c r="U449" s="59"/>
      <c r="V449" s="59"/>
      <c r="W449" s="59"/>
      <c r="X449" s="59"/>
    </row>
    <row r="450" s="20" customFormat="1" ht="24" hidden="1" spans="1:24">
      <c r="A450" s="59">
        <v>448</v>
      </c>
      <c r="B450" s="60" t="s">
        <v>1047</v>
      </c>
      <c r="C450" s="61">
        <f t="shared" si="22"/>
        <v>44806</v>
      </c>
      <c r="D450" s="62" t="str">
        <f ca="1" t="shared" si="19"/>
        <v>一年以上</v>
      </c>
      <c r="E450" s="66">
        <v>44806</v>
      </c>
      <c r="F450" s="66" t="s">
        <v>632</v>
      </c>
      <c r="G450" s="89" t="s">
        <v>993</v>
      </c>
      <c r="H450" s="100" t="s">
        <v>1048</v>
      </c>
      <c r="I450" s="63" t="s">
        <v>1048</v>
      </c>
      <c r="J450" s="76">
        <v>10000</v>
      </c>
      <c r="K450" s="59" t="s">
        <v>28</v>
      </c>
      <c r="L450" s="59" t="s">
        <v>57</v>
      </c>
      <c r="M450" s="89" t="s">
        <v>30</v>
      </c>
      <c r="N450" s="111">
        <v>10000</v>
      </c>
      <c r="O450" s="111">
        <f t="shared" si="21"/>
        <v>0</v>
      </c>
      <c r="P450" s="66">
        <v>44846</v>
      </c>
      <c r="Q450" s="61">
        <f t="shared" si="20"/>
        <v>44846</v>
      </c>
      <c r="R450" s="59"/>
      <c r="S450" s="59" t="s">
        <v>1049</v>
      </c>
      <c r="T450" s="59"/>
      <c r="U450" s="59"/>
      <c r="V450" s="59"/>
      <c r="W450" s="59"/>
      <c r="X450" s="59"/>
    </row>
    <row r="451" s="20" customFormat="1" ht="36" hidden="1" spans="1:24">
      <c r="A451" s="59">
        <v>449</v>
      </c>
      <c r="B451" s="60" t="s">
        <v>1050</v>
      </c>
      <c r="C451" s="61">
        <f t="shared" si="22"/>
        <v>44806</v>
      </c>
      <c r="D451" s="62" t="str">
        <f ca="1" t="shared" ref="D451:D514" si="23">IF(TODAY()-E451&lt;60,"2个月内",IF(TODAY()-E451&lt;180,"3-6个月",IF(TODAY()-E451&lt;360,"6个月-1年","一年以上")))</f>
        <v>一年以上</v>
      </c>
      <c r="E451" s="66">
        <v>44806</v>
      </c>
      <c r="F451" s="66" t="s">
        <v>632</v>
      </c>
      <c r="G451" s="89" t="s">
        <v>450</v>
      </c>
      <c r="H451" s="100" t="s">
        <v>1051</v>
      </c>
      <c r="I451" s="63" t="s">
        <v>1051</v>
      </c>
      <c r="J451" s="76">
        <v>28000</v>
      </c>
      <c r="K451" s="59" t="s">
        <v>28</v>
      </c>
      <c r="L451" s="59" t="s">
        <v>57</v>
      </c>
      <c r="M451" s="89" t="s">
        <v>30</v>
      </c>
      <c r="N451" s="111">
        <v>28000</v>
      </c>
      <c r="O451" s="111">
        <f t="shared" si="21"/>
        <v>0</v>
      </c>
      <c r="P451" s="66">
        <v>44888</v>
      </c>
      <c r="Q451" s="61">
        <f t="shared" ref="Q451:Q514" si="24">P451</f>
        <v>44888</v>
      </c>
      <c r="R451" s="59"/>
      <c r="S451" s="59" t="s">
        <v>1052</v>
      </c>
      <c r="T451" s="59"/>
      <c r="U451" s="59"/>
      <c r="V451" s="59"/>
      <c r="W451" s="59"/>
      <c r="X451" s="59"/>
    </row>
    <row r="452" s="20" customFormat="1" ht="24" hidden="1" spans="1:24">
      <c r="A452" s="59">
        <v>450</v>
      </c>
      <c r="B452" s="60" t="s">
        <v>1053</v>
      </c>
      <c r="C452" s="61">
        <f t="shared" si="22"/>
        <v>44806</v>
      </c>
      <c r="D452" s="62" t="str">
        <f ca="1" t="shared" si="23"/>
        <v>一年以上</v>
      </c>
      <c r="E452" s="66">
        <v>44806</v>
      </c>
      <c r="F452" s="66" t="s">
        <v>70</v>
      </c>
      <c r="G452" s="89" t="s">
        <v>1054</v>
      </c>
      <c r="H452" s="100" t="s">
        <v>1043</v>
      </c>
      <c r="I452" s="63" t="s">
        <v>1043</v>
      </c>
      <c r="J452" s="76">
        <v>10000</v>
      </c>
      <c r="K452" s="59" t="s">
        <v>28</v>
      </c>
      <c r="L452" s="59" t="s">
        <v>57</v>
      </c>
      <c r="M452" s="89" t="s">
        <v>65</v>
      </c>
      <c r="N452" s="111">
        <v>10000</v>
      </c>
      <c r="O452" s="111">
        <f t="shared" si="21"/>
        <v>0</v>
      </c>
      <c r="P452" s="66">
        <v>44921</v>
      </c>
      <c r="Q452" s="61">
        <f t="shared" si="24"/>
        <v>44921</v>
      </c>
      <c r="R452" s="59"/>
      <c r="S452" s="59" t="s">
        <v>1055</v>
      </c>
      <c r="T452" s="59"/>
      <c r="U452" s="59"/>
      <c r="V452" s="59"/>
      <c r="W452" s="59"/>
      <c r="X452" s="59"/>
    </row>
    <row r="453" s="20" customFormat="1" ht="24" hidden="1" spans="1:24">
      <c r="A453" s="59">
        <v>451</v>
      </c>
      <c r="B453" s="60" t="s">
        <v>1056</v>
      </c>
      <c r="C453" s="61">
        <f t="shared" si="22"/>
        <v>44806</v>
      </c>
      <c r="D453" s="62" t="str">
        <f ca="1" t="shared" si="23"/>
        <v>一年以上</v>
      </c>
      <c r="E453" s="66">
        <v>44806</v>
      </c>
      <c r="F453" s="66" t="s">
        <v>70</v>
      </c>
      <c r="G453" s="89" t="s">
        <v>1054</v>
      </c>
      <c r="H453" s="100" t="s">
        <v>1043</v>
      </c>
      <c r="I453" s="63" t="s">
        <v>1043</v>
      </c>
      <c r="J453" s="76">
        <v>5000</v>
      </c>
      <c r="K453" s="59" t="s">
        <v>28</v>
      </c>
      <c r="L453" s="59" t="s">
        <v>57</v>
      </c>
      <c r="M453" s="89" t="s">
        <v>65</v>
      </c>
      <c r="N453" s="111">
        <v>5000</v>
      </c>
      <c r="O453" s="111">
        <f t="shared" si="21"/>
        <v>0</v>
      </c>
      <c r="P453" s="66">
        <v>44921</v>
      </c>
      <c r="Q453" s="61">
        <f t="shared" si="24"/>
        <v>44921</v>
      </c>
      <c r="R453" s="59"/>
      <c r="S453" s="59" t="s">
        <v>1055</v>
      </c>
      <c r="T453" s="59"/>
      <c r="U453" s="59"/>
      <c r="V453" s="59"/>
      <c r="W453" s="59"/>
      <c r="X453" s="59"/>
    </row>
    <row r="454" s="20" customFormat="1" hidden="1" spans="1:24">
      <c r="A454" s="59">
        <v>452</v>
      </c>
      <c r="B454" s="60" t="s">
        <v>1057</v>
      </c>
      <c r="C454" s="61">
        <f t="shared" si="22"/>
        <v>44809</v>
      </c>
      <c r="D454" s="62" t="str">
        <f ca="1" t="shared" si="23"/>
        <v>一年以上</v>
      </c>
      <c r="E454" s="66">
        <v>44809</v>
      </c>
      <c r="F454" s="66" t="s">
        <v>632</v>
      </c>
      <c r="G454" s="89" t="s">
        <v>993</v>
      </c>
      <c r="H454" s="100" t="s">
        <v>863</v>
      </c>
      <c r="I454" s="63" t="s">
        <v>863</v>
      </c>
      <c r="J454" s="76">
        <v>20000</v>
      </c>
      <c r="K454" s="59" t="s">
        <v>28</v>
      </c>
      <c r="L454" s="59" t="s">
        <v>57</v>
      </c>
      <c r="M454" s="89" t="s">
        <v>30</v>
      </c>
      <c r="N454" s="111">
        <v>20000</v>
      </c>
      <c r="O454" s="111">
        <f t="shared" si="21"/>
        <v>0</v>
      </c>
      <c r="P454" s="66">
        <v>44883</v>
      </c>
      <c r="Q454" s="61">
        <f t="shared" si="24"/>
        <v>44883</v>
      </c>
      <c r="R454" s="59"/>
      <c r="S454" s="60" t="s">
        <v>1058</v>
      </c>
      <c r="T454" s="59"/>
      <c r="U454" s="59"/>
      <c r="V454" s="59"/>
      <c r="W454" s="59"/>
      <c r="X454" s="59"/>
    </row>
    <row r="455" s="20" customFormat="1" ht="24" hidden="1" spans="1:24">
      <c r="A455" s="59">
        <v>453</v>
      </c>
      <c r="B455" s="60" t="s">
        <v>1059</v>
      </c>
      <c r="C455" s="61">
        <f t="shared" si="22"/>
        <v>44809</v>
      </c>
      <c r="D455" s="62" t="str">
        <f ca="1" t="shared" si="23"/>
        <v>一年以上</v>
      </c>
      <c r="E455" s="66">
        <v>44809</v>
      </c>
      <c r="F455" s="66" t="s">
        <v>70</v>
      </c>
      <c r="G455" s="89" t="s">
        <v>335</v>
      </c>
      <c r="H455" s="100" t="s">
        <v>505</v>
      </c>
      <c r="I455" s="63" t="s">
        <v>505</v>
      </c>
      <c r="J455" s="76">
        <v>2000</v>
      </c>
      <c r="K455" s="59" t="s">
        <v>356</v>
      </c>
      <c r="L455" s="59" t="s">
        <v>96</v>
      </c>
      <c r="M455" s="89" t="s">
        <v>65</v>
      </c>
      <c r="N455" s="111">
        <v>2000</v>
      </c>
      <c r="O455" s="111">
        <f t="shared" si="21"/>
        <v>0</v>
      </c>
      <c r="P455" s="66">
        <v>45014</v>
      </c>
      <c r="Q455" s="61">
        <f t="shared" si="24"/>
        <v>45014</v>
      </c>
      <c r="R455" s="59"/>
      <c r="S455" s="59" t="s">
        <v>1060</v>
      </c>
      <c r="T455" s="59" t="s">
        <v>44</v>
      </c>
      <c r="U455" s="59"/>
      <c r="V455" s="59"/>
      <c r="W455" s="59"/>
      <c r="X455" s="59"/>
    </row>
    <row r="456" s="20" customFormat="1" ht="24" hidden="1" spans="1:24">
      <c r="A456" s="59">
        <v>454</v>
      </c>
      <c r="B456" s="60" t="s">
        <v>1061</v>
      </c>
      <c r="C456" s="61">
        <f t="shared" si="22"/>
        <v>44812</v>
      </c>
      <c r="D456" s="62" t="str">
        <f ca="1" t="shared" si="23"/>
        <v>一年以上</v>
      </c>
      <c r="E456" s="66">
        <v>44812</v>
      </c>
      <c r="F456" s="66" t="s">
        <v>632</v>
      </c>
      <c r="G456" s="89" t="s">
        <v>450</v>
      </c>
      <c r="H456" s="100" t="s">
        <v>577</v>
      </c>
      <c r="I456" s="63" t="s">
        <v>578</v>
      </c>
      <c r="J456" s="76">
        <v>2000</v>
      </c>
      <c r="K456" s="59" t="s">
        <v>28</v>
      </c>
      <c r="L456" s="59" t="s">
        <v>57</v>
      </c>
      <c r="M456" s="89" t="s">
        <v>30</v>
      </c>
      <c r="N456" s="111">
        <v>2000</v>
      </c>
      <c r="O456" s="111">
        <f t="shared" si="21"/>
        <v>0</v>
      </c>
      <c r="P456" s="66">
        <v>44813</v>
      </c>
      <c r="Q456" s="61">
        <f t="shared" si="24"/>
        <v>44813</v>
      </c>
      <c r="R456" s="59"/>
      <c r="S456" s="59" t="s">
        <v>1062</v>
      </c>
      <c r="T456" s="59"/>
      <c r="U456" s="59"/>
      <c r="V456" s="59"/>
      <c r="W456" s="59"/>
      <c r="X456" s="59"/>
    </row>
    <row r="457" s="20" customFormat="1" ht="24" spans="1:24">
      <c r="A457" s="59">
        <v>455</v>
      </c>
      <c r="B457" s="60" t="s">
        <v>1063</v>
      </c>
      <c r="C457" s="61">
        <f t="shared" si="22"/>
        <v>44812</v>
      </c>
      <c r="D457" s="62" t="str">
        <f ca="1" t="shared" si="23"/>
        <v>一年以上</v>
      </c>
      <c r="E457" s="66">
        <v>44812</v>
      </c>
      <c r="F457" s="89" t="s">
        <v>632</v>
      </c>
      <c r="G457" s="89" t="s">
        <v>993</v>
      </c>
      <c r="H457" s="60" t="s">
        <v>1012</v>
      </c>
      <c r="I457" s="63" t="s">
        <v>1012</v>
      </c>
      <c r="J457" s="76">
        <v>2000</v>
      </c>
      <c r="K457" s="59" t="s">
        <v>28</v>
      </c>
      <c r="L457" s="59" t="s">
        <v>57</v>
      </c>
      <c r="M457" s="89" t="s">
        <v>30</v>
      </c>
      <c r="N457" s="111"/>
      <c r="O457" s="112">
        <f t="shared" si="21"/>
        <v>2000</v>
      </c>
      <c r="P457" s="66"/>
      <c r="Q457" s="61">
        <f t="shared" si="24"/>
        <v>0</v>
      </c>
      <c r="R457" s="59"/>
      <c r="S457" s="59"/>
      <c r="T457" s="59" t="s">
        <v>32</v>
      </c>
      <c r="U457" s="59" t="str">
        <f>VLOOKUP(T457,[1]区域划分!$A$1:$C$39,3,0)</f>
        <v>方渊</v>
      </c>
      <c r="V457" s="59"/>
      <c r="W457" s="59"/>
      <c r="X457" s="59"/>
    </row>
    <row r="458" s="20" customFormat="1" ht="24" hidden="1" spans="1:24">
      <c r="A458" s="59">
        <v>456</v>
      </c>
      <c r="B458" s="60" t="s">
        <v>1064</v>
      </c>
      <c r="C458" s="61">
        <f t="shared" si="22"/>
        <v>44812</v>
      </c>
      <c r="D458" s="62" t="str">
        <f ca="1" t="shared" si="23"/>
        <v>一年以上</v>
      </c>
      <c r="E458" s="66">
        <v>44812</v>
      </c>
      <c r="F458" s="89" t="s">
        <v>632</v>
      </c>
      <c r="G458" s="89" t="s">
        <v>993</v>
      </c>
      <c r="H458" s="60" t="s">
        <v>1012</v>
      </c>
      <c r="I458" s="63" t="s">
        <v>1012</v>
      </c>
      <c r="J458" s="76">
        <v>100</v>
      </c>
      <c r="K458" s="59" t="s">
        <v>28</v>
      </c>
      <c r="L458" s="59" t="s">
        <v>57</v>
      </c>
      <c r="M458" s="89" t="s">
        <v>515</v>
      </c>
      <c r="N458" s="111">
        <v>100</v>
      </c>
      <c r="O458" s="111">
        <f t="shared" si="21"/>
        <v>0</v>
      </c>
      <c r="P458" s="66">
        <v>44880</v>
      </c>
      <c r="Q458" s="61">
        <f t="shared" si="24"/>
        <v>44880</v>
      </c>
      <c r="R458" s="59" t="s">
        <v>951</v>
      </c>
      <c r="S458" s="59"/>
      <c r="T458" s="59"/>
      <c r="U458" s="59"/>
      <c r="V458" s="59"/>
      <c r="W458" s="59"/>
      <c r="X458" s="59"/>
    </row>
    <row r="459" s="20" customFormat="1" ht="24" hidden="1" spans="1:24">
      <c r="A459" s="59">
        <v>457</v>
      </c>
      <c r="B459" s="60" t="s">
        <v>1065</v>
      </c>
      <c r="C459" s="61">
        <f t="shared" si="22"/>
        <v>44812</v>
      </c>
      <c r="D459" s="62" t="str">
        <f ca="1" t="shared" si="23"/>
        <v>一年以上</v>
      </c>
      <c r="E459" s="66">
        <v>44812</v>
      </c>
      <c r="F459" s="66" t="s">
        <v>632</v>
      </c>
      <c r="G459" s="89" t="s">
        <v>450</v>
      </c>
      <c r="H459" s="100" t="s">
        <v>577</v>
      </c>
      <c r="I459" s="63" t="s">
        <v>578</v>
      </c>
      <c r="J459" s="76">
        <v>2000</v>
      </c>
      <c r="K459" s="59" t="s">
        <v>28</v>
      </c>
      <c r="L459" s="113" t="s">
        <v>57</v>
      </c>
      <c r="M459" s="89" t="s">
        <v>30</v>
      </c>
      <c r="N459" s="104">
        <v>2000</v>
      </c>
      <c r="O459" s="111">
        <f t="shared" si="21"/>
        <v>0</v>
      </c>
      <c r="P459" s="66">
        <v>45349</v>
      </c>
      <c r="Q459" s="61">
        <f t="shared" si="24"/>
        <v>45349</v>
      </c>
      <c r="R459" s="59"/>
      <c r="S459" s="60" t="s">
        <v>1062</v>
      </c>
      <c r="T459" s="59" t="s">
        <v>581</v>
      </c>
      <c r="U459" s="59" t="str">
        <f>VLOOKUP(T459,[1]区域划分!$A$1:$C$39,3,0)</f>
        <v>新疆</v>
      </c>
      <c r="V459" s="59"/>
      <c r="W459" s="59"/>
      <c r="X459" s="59"/>
    </row>
    <row r="460" s="20" customFormat="1" ht="24" hidden="1" spans="1:24">
      <c r="A460" s="59">
        <v>458</v>
      </c>
      <c r="B460" s="60" t="s">
        <v>1066</v>
      </c>
      <c r="C460" s="61">
        <f t="shared" si="22"/>
        <v>44817</v>
      </c>
      <c r="D460" s="62" t="str">
        <f ca="1" t="shared" si="23"/>
        <v>一年以上</v>
      </c>
      <c r="E460" s="66">
        <v>44817</v>
      </c>
      <c r="F460" s="66" t="s">
        <v>130</v>
      </c>
      <c r="G460" s="89" t="s">
        <v>993</v>
      </c>
      <c r="H460" s="100" t="s">
        <v>996</v>
      </c>
      <c r="I460" s="63" t="s">
        <v>996</v>
      </c>
      <c r="J460" s="76">
        <v>3000</v>
      </c>
      <c r="K460" s="59" t="s">
        <v>28</v>
      </c>
      <c r="L460" s="59" t="s">
        <v>57</v>
      </c>
      <c r="M460" s="89" t="s">
        <v>1067</v>
      </c>
      <c r="N460" s="111">
        <v>3000</v>
      </c>
      <c r="O460" s="111">
        <f t="shared" si="21"/>
        <v>0</v>
      </c>
      <c r="P460" s="66">
        <v>44877</v>
      </c>
      <c r="Q460" s="61">
        <f t="shared" si="24"/>
        <v>44877</v>
      </c>
      <c r="R460" s="59"/>
      <c r="S460" s="59" t="s">
        <v>1068</v>
      </c>
      <c r="T460" s="59"/>
      <c r="U460" s="59"/>
      <c r="V460" s="59"/>
      <c r="W460" s="59"/>
      <c r="X460" s="59"/>
    </row>
    <row r="461" s="20" customFormat="1" ht="24" hidden="1" spans="1:24">
      <c r="A461" s="59">
        <v>459</v>
      </c>
      <c r="B461" s="60" t="s">
        <v>1069</v>
      </c>
      <c r="C461" s="114">
        <f t="shared" si="22"/>
        <v>44819</v>
      </c>
      <c r="D461" s="62" t="str">
        <f ca="1" t="shared" si="23"/>
        <v>一年以上</v>
      </c>
      <c r="E461" s="115">
        <v>44819</v>
      </c>
      <c r="F461" s="66" t="s">
        <v>632</v>
      </c>
      <c r="G461" s="89" t="s">
        <v>450</v>
      </c>
      <c r="H461" s="100" t="s">
        <v>1070</v>
      </c>
      <c r="I461" s="63" t="s">
        <v>1070</v>
      </c>
      <c r="J461" s="116">
        <v>800</v>
      </c>
      <c r="K461" s="59" t="s">
        <v>28</v>
      </c>
      <c r="L461" s="59" t="s">
        <v>57</v>
      </c>
      <c r="M461" s="89" t="s">
        <v>515</v>
      </c>
      <c r="N461" s="117">
        <v>800</v>
      </c>
      <c r="O461" s="117">
        <f t="shared" si="21"/>
        <v>0</v>
      </c>
      <c r="P461" s="66">
        <v>44880</v>
      </c>
      <c r="Q461" s="61">
        <f t="shared" si="24"/>
        <v>44880</v>
      </c>
      <c r="R461" s="59" t="s">
        <v>951</v>
      </c>
      <c r="S461" s="72"/>
      <c r="T461" s="105"/>
      <c r="U461" s="68"/>
      <c r="V461" s="68"/>
      <c r="W461" s="59"/>
      <c r="X461" s="59"/>
    </row>
    <row r="462" s="20" customFormat="1" ht="24" hidden="1" spans="1:24">
      <c r="A462" s="59">
        <v>461</v>
      </c>
      <c r="B462" s="60" t="s">
        <v>1071</v>
      </c>
      <c r="C462" s="114">
        <f t="shared" si="22"/>
        <v>44819</v>
      </c>
      <c r="D462" s="62" t="str">
        <f ca="1" t="shared" si="23"/>
        <v>一年以上</v>
      </c>
      <c r="E462" s="115">
        <v>44819</v>
      </c>
      <c r="F462" s="66" t="s">
        <v>130</v>
      </c>
      <c r="G462" s="89" t="s">
        <v>569</v>
      </c>
      <c r="H462" s="100" t="s">
        <v>863</v>
      </c>
      <c r="I462" s="63" t="s">
        <v>863</v>
      </c>
      <c r="J462" s="116">
        <v>9450</v>
      </c>
      <c r="K462" s="59" t="s">
        <v>28</v>
      </c>
      <c r="L462" s="59" t="s">
        <v>57</v>
      </c>
      <c r="M462" s="59" t="s">
        <v>941</v>
      </c>
      <c r="N462" s="117">
        <v>9450</v>
      </c>
      <c r="O462" s="117">
        <f t="shared" si="21"/>
        <v>0</v>
      </c>
      <c r="P462" s="66">
        <v>44925</v>
      </c>
      <c r="Q462" s="61">
        <f t="shared" si="24"/>
        <v>44925</v>
      </c>
      <c r="R462" s="68"/>
      <c r="S462" s="60" t="s">
        <v>1072</v>
      </c>
      <c r="T462" s="105"/>
      <c r="U462" s="68"/>
      <c r="V462" s="60" t="s">
        <v>1073</v>
      </c>
      <c r="W462" s="59"/>
      <c r="X462" s="59"/>
    </row>
    <row r="463" s="20" customFormat="1" hidden="1" spans="1:24">
      <c r="A463" s="59">
        <v>462</v>
      </c>
      <c r="B463" s="60" t="s">
        <v>1074</v>
      </c>
      <c r="C463" s="114">
        <f t="shared" si="22"/>
        <v>44819</v>
      </c>
      <c r="D463" s="62" t="str">
        <f ca="1" t="shared" si="23"/>
        <v>一年以上</v>
      </c>
      <c r="E463" s="115">
        <v>44819</v>
      </c>
      <c r="F463" s="66" t="s">
        <v>130</v>
      </c>
      <c r="G463" s="89" t="s">
        <v>569</v>
      </c>
      <c r="H463" s="100" t="s">
        <v>863</v>
      </c>
      <c r="I463" s="63" t="s">
        <v>863</v>
      </c>
      <c r="J463" s="116">
        <v>9450</v>
      </c>
      <c r="K463" s="59" t="s">
        <v>28</v>
      </c>
      <c r="L463" s="59" t="s">
        <v>57</v>
      </c>
      <c r="M463" s="89" t="s">
        <v>133</v>
      </c>
      <c r="N463" s="117">
        <v>9450</v>
      </c>
      <c r="O463" s="117">
        <f t="shared" ref="O463:O526" si="25">J463-N463</f>
        <v>0</v>
      </c>
      <c r="P463" s="66">
        <v>44925</v>
      </c>
      <c r="Q463" s="61">
        <f t="shared" si="24"/>
        <v>44925</v>
      </c>
      <c r="R463" s="68"/>
      <c r="S463" s="60" t="s">
        <v>1075</v>
      </c>
      <c r="T463" s="105"/>
      <c r="U463" s="68"/>
      <c r="V463" s="60" t="s">
        <v>1073</v>
      </c>
      <c r="W463" s="59"/>
      <c r="X463" s="59"/>
    </row>
    <row r="464" s="20" customFormat="1" hidden="1" spans="1:24">
      <c r="A464" s="59">
        <v>463</v>
      </c>
      <c r="B464" s="60" t="s">
        <v>1076</v>
      </c>
      <c r="C464" s="114">
        <f t="shared" si="22"/>
        <v>44819</v>
      </c>
      <c r="D464" s="62" t="str">
        <f ca="1" t="shared" si="23"/>
        <v>一年以上</v>
      </c>
      <c r="E464" s="115">
        <v>44819</v>
      </c>
      <c r="F464" s="66" t="s">
        <v>130</v>
      </c>
      <c r="G464" s="89" t="s">
        <v>569</v>
      </c>
      <c r="H464" s="100" t="s">
        <v>863</v>
      </c>
      <c r="I464" s="63" t="s">
        <v>863</v>
      </c>
      <c r="J464" s="116">
        <v>10500</v>
      </c>
      <c r="K464" s="59" t="s">
        <v>28</v>
      </c>
      <c r="L464" s="59" t="s">
        <v>57</v>
      </c>
      <c r="M464" s="89" t="s">
        <v>133</v>
      </c>
      <c r="N464" s="117">
        <v>10500</v>
      </c>
      <c r="O464" s="117">
        <f t="shared" si="25"/>
        <v>0</v>
      </c>
      <c r="P464" s="115">
        <v>45230</v>
      </c>
      <c r="Q464" s="61">
        <f t="shared" si="24"/>
        <v>45230</v>
      </c>
      <c r="R464" s="68" t="s">
        <v>1077</v>
      </c>
      <c r="S464" s="60" t="s">
        <v>1078</v>
      </c>
      <c r="T464" s="105" t="s">
        <v>972</v>
      </c>
      <c r="U464" s="68"/>
      <c r="V464" s="60" t="s">
        <v>1073</v>
      </c>
      <c r="W464" s="59"/>
      <c r="X464" s="59"/>
    </row>
    <row r="465" s="23" customFormat="1" ht="24" hidden="1" spans="1:24">
      <c r="A465" s="118">
        <v>464</v>
      </c>
      <c r="B465" s="119" t="s">
        <v>1079</v>
      </c>
      <c r="C465" s="120">
        <f t="shared" si="22"/>
        <v>44819</v>
      </c>
      <c r="D465" s="121" t="str">
        <f ca="1" t="shared" si="23"/>
        <v>一年以上</v>
      </c>
      <c r="E465" s="122">
        <v>44819</v>
      </c>
      <c r="F465" s="123" t="s">
        <v>130</v>
      </c>
      <c r="G465" s="124" t="s">
        <v>569</v>
      </c>
      <c r="H465" s="125" t="s">
        <v>863</v>
      </c>
      <c r="I465" s="126" t="s">
        <v>863</v>
      </c>
      <c r="J465" s="127">
        <v>20063.75</v>
      </c>
      <c r="K465" s="118" t="s">
        <v>28</v>
      </c>
      <c r="L465" s="118" t="s">
        <v>57</v>
      </c>
      <c r="M465" s="118" t="s">
        <v>941</v>
      </c>
      <c r="N465" s="128">
        <v>20063.75</v>
      </c>
      <c r="O465" s="128">
        <f t="shared" si="25"/>
        <v>0</v>
      </c>
      <c r="P465" s="122" t="s">
        <v>2657</v>
      </c>
      <c r="Q465" s="129" t="str">
        <f t="shared" si="24"/>
        <v>2024.7.26</v>
      </c>
      <c r="R465" s="130"/>
      <c r="S465" s="119" t="s">
        <v>1080</v>
      </c>
      <c r="T465" s="131" t="s">
        <v>972</v>
      </c>
      <c r="U465" s="118" t="str">
        <f>VLOOKUP(T465,[1]区域划分!$A$1:$C$39,3,0)</f>
        <v>曾江利</v>
      </c>
      <c r="V465" s="119" t="s">
        <v>1073</v>
      </c>
      <c r="W465" s="118"/>
      <c r="X465" s="118"/>
    </row>
    <row r="466" s="23" customFormat="1" hidden="1" spans="1:24">
      <c r="A466" s="118">
        <v>465</v>
      </c>
      <c r="B466" s="119" t="s">
        <v>1081</v>
      </c>
      <c r="C466" s="120">
        <f t="shared" si="22"/>
        <v>44819</v>
      </c>
      <c r="D466" s="121" t="str">
        <f ca="1" t="shared" si="23"/>
        <v>一年以上</v>
      </c>
      <c r="E466" s="122">
        <v>44819</v>
      </c>
      <c r="F466" s="123" t="s">
        <v>130</v>
      </c>
      <c r="G466" s="124" t="s">
        <v>569</v>
      </c>
      <c r="H466" s="125" t="s">
        <v>863</v>
      </c>
      <c r="I466" s="126" t="s">
        <v>863</v>
      </c>
      <c r="J466" s="127">
        <v>20063.75</v>
      </c>
      <c r="K466" s="118" t="s">
        <v>28</v>
      </c>
      <c r="L466" s="118" t="s">
        <v>57</v>
      </c>
      <c r="M466" s="124" t="s">
        <v>133</v>
      </c>
      <c r="N466" s="128">
        <v>20063.75</v>
      </c>
      <c r="O466" s="128">
        <f t="shared" si="25"/>
        <v>0</v>
      </c>
      <c r="P466" s="122" t="s">
        <v>2657</v>
      </c>
      <c r="Q466" s="129" t="str">
        <f t="shared" si="24"/>
        <v>2024.7.26</v>
      </c>
      <c r="R466" s="130"/>
      <c r="S466" s="119" t="s">
        <v>1082</v>
      </c>
      <c r="T466" s="131" t="s">
        <v>972</v>
      </c>
      <c r="U466" s="118" t="str">
        <f>VLOOKUP(T466,[1]区域划分!$A$1:$C$39,3,0)</f>
        <v>曾江利</v>
      </c>
      <c r="V466" s="119" t="s">
        <v>1073</v>
      </c>
      <c r="W466" s="118"/>
      <c r="X466" s="118"/>
    </row>
    <row r="467" s="20" customFormat="1" ht="24" hidden="1" spans="1:24">
      <c r="A467" s="59">
        <v>460</v>
      </c>
      <c r="B467" s="60" t="s">
        <v>1083</v>
      </c>
      <c r="C467" s="114">
        <f t="shared" si="22"/>
        <v>44820</v>
      </c>
      <c r="D467" s="62" t="str">
        <f ca="1" t="shared" si="23"/>
        <v>一年以上</v>
      </c>
      <c r="E467" s="115">
        <v>44820</v>
      </c>
      <c r="F467" s="66" t="s">
        <v>632</v>
      </c>
      <c r="G467" s="89" t="s">
        <v>450</v>
      </c>
      <c r="H467" s="100" t="s">
        <v>1084</v>
      </c>
      <c r="I467" s="63" t="s">
        <v>1084</v>
      </c>
      <c r="J467" s="116">
        <v>20000</v>
      </c>
      <c r="K467" s="59" t="s">
        <v>28</v>
      </c>
      <c r="L467" s="59" t="s">
        <v>57</v>
      </c>
      <c r="M467" s="89" t="s">
        <v>30</v>
      </c>
      <c r="N467" s="117">
        <f>10000+10000</f>
        <v>20000</v>
      </c>
      <c r="O467" s="117">
        <f t="shared" si="25"/>
        <v>0</v>
      </c>
      <c r="P467" s="66">
        <v>44881</v>
      </c>
      <c r="Q467" s="61">
        <f t="shared" si="24"/>
        <v>44881</v>
      </c>
      <c r="R467" s="68"/>
      <c r="S467" s="72" t="s">
        <v>1085</v>
      </c>
      <c r="T467" s="105"/>
      <c r="U467" s="68"/>
      <c r="V467" s="68"/>
      <c r="W467" s="59"/>
      <c r="X467" s="59"/>
    </row>
    <row r="468" s="20" customFormat="1" ht="24" hidden="1" spans="1:24">
      <c r="A468" s="59">
        <v>466</v>
      </c>
      <c r="B468" s="60" t="s">
        <v>1086</v>
      </c>
      <c r="C468" s="114">
        <f t="shared" si="22"/>
        <v>44824</v>
      </c>
      <c r="D468" s="62" t="str">
        <f ca="1" t="shared" si="23"/>
        <v>一年以上</v>
      </c>
      <c r="E468" s="115">
        <v>44824</v>
      </c>
      <c r="F468" s="66" t="s">
        <v>130</v>
      </c>
      <c r="G468" s="89" t="s">
        <v>208</v>
      </c>
      <c r="H468" s="100" t="s">
        <v>346</v>
      </c>
      <c r="I468" s="63" t="s">
        <v>346</v>
      </c>
      <c r="J468" s="116">
        <v>6000</v>
      </c>
      <c r="K468" s="59" t="s">
        <v>28</v>
      </c>
      <c r="L468" s="59" t="s">
        <v>57</v>
      </c>
      <c r="M468" s="89" t="s">
        <v>133</v>
      </c>
      <c r="N468" s="117">
        <v>6000</v>
      </c>
      <c r="O468" s="117">
        <f t="shared" si="25"/>
        <v>0</v>
      </c>
      <c r="P468" s="115">
        <v>44923</v>
      </c>
      <c r="Q468" s="61">
        <f t="shared" si="24"/>
        <v>44923</v>
      </c>
      <c r="R468" s="68"/>
      <c r="S468" s="72"/>
      <c r="T468" s="105"/>
      <c r="U468" s="68"/>
      <c r="V468" s="68"/>
      <c r="W468" s="59"/>
      <c r="X468" s="59"/>
    </row>
    <row r="469" s="20" customFormat="1" ht="24" hidden="1" spans="1:24">
      <c r="A469" s="59">
        <v>467</v>
      </c>
      <c r="B469" s="60" t="s">
        <v>1087</v>
      </c>
      <c r="C469" s="114">
        <f t="shared" si="22"/>
        <v>44824</v>
      </c>
      <c r="D469" s="62" t="str">
        <f ca="1" t="shared" si="23"/>
        <v>一年以上</v>
      </c>
      <c r="E469" s="115">
        <v>44824</v>
      </c>
      <c r="F469" s="66" t="s">
        <v>130</v>
      </c>
      <c r="G469" s="89" t="s">
        <v>1088</v>
      </c>
      <c r="H469" s="100" t="s">
        <v>1089</v>
      </c>
      <c r="I469" s="63" t="s">
        <v>1089</v>
      </c>
      <c r="J469" s="116">
        <v>60</v>
      </c>
      <c r="K469" s="59" t="s">
        <v>28</v>
      </c>
      <c r="L469" s="59" t="s">
        <v>96</v>
      </c>
      <c r="M469" s="89" t="s">
        <v>515</v>
      </c>
      <c r="N469" s="117">
        <v>60</v>
      </c>
      <c r="O469" s="117">
        <f t="shared" si="25"/>
        <v>0</v>
      </c>
      <c r="P469" s="115"/>
      <c r="Q469" s="61">
        <f t="shared" si="24"/>
        <v>0</v>
      </c>
      <c r="R469" s="68"/>
      <c r="S469" s="72"/>
      <c r="T469" s="105"/>
      <c r="U469" s="68"/>
      <c r="V469" s="68"/>
      <c r="W469" s="59"/>
      <c r="X469" s="59"/>
    </row>
    <row r="470" s="20" customFormat="1" hidden="1" spans="1:24">
      <c r="A470" s="59">
        <v>468</v>
      </c>
      <c r="B470" s="60" t="s">
        <v>1090</v>
      </c>
      <c r="C470" s="114">
        <f t="shared" si="22"/>
        <v>44824</v>
      </c>
      <c r="D470" s="62" t="str">
        <f ca="1" t="shared" si="23"/>
        <v>一年以上</v>
      </c>
      <c r="E470" s="115">
        <v>44824</v>
      </c>
      <c r="F470" s="66" t="s">
        <v>632</v>
      </c>
      <c r="G470" s="89" t="s">
        <v>450</v>
      </c>
      <c r="H470" s="100" t="s">
        <v>34</v>
      </c>
      <c r="I470" s="63" t="s">
        <v>34</v>
      </c>
      <c r="J470" s="116">
        <v>50000</v>
      </c>
      <c r="K470" s="59" t="s">
        <v>28</v>
      </c>
      <c r="L470" s="59" t="s">
        <v>57</v>
      </c>
      <c r="M470" s="89" t="s">
        <v>30</v>
      </c>
      <c r="N470" s="117">
        <v>50000</v>
      </c>
      <c r="O470" s="117">
        <f t="shared" si="25"/>
        <v>0</v>
      </c>
      <c r="P470" s="66">
        <v>45257</v>
      </c>
      <c r="Q470" s="61">
        <f t="shared" si="24"/>
        <v>45257</v>
      </c>
      <c r="R470" s="68"/>
      <c r="S470" s="72" t="s">
        <v>1091</v>
      </c>
      <c r="T470" s="105" t="s">
        <v>311</v>
      </c>
      <c r="U470" s="59" t="str">
        <f>VLOOKUP(T470,[1]区域划分!$A$1:$C$39,3,0)</f>
        <v>牛国庆</v>
      </c>
      <c r="V470" s="68"/>
      <c r="W470" s="59"/>
      <c r="X470" s="59"/>
    </row>
    <row r="471" s="20" customFormat="1" hidden="1" spans="1:24">
      <c r="A471" s="59">
        <v>469</v>
      </c>
      <c r="B471" s="60" t="s">
        <v>1092</v>
      </c>
      <c r="C471" s="114">
        <f t="shared" si="22"/>
        <v>44824</v>
      </c>
      <c r="D471" s="62" t="str">
        <f ca="1" t="shared" si="23"/>
        <v>一年以上</v>
      </c>
      <c r="E471" s="115">
        <v>44824</v>
      </c>
      <c r="F471" s="66" t="s">
        <v>632</v>
      </c>
      <c r="G471" s="89" t="s">
        <v>450</v>
      </c>
      <c r="H471" s="100" t="s">
        <v>34</v>
      </c>
      <c r="I471" s="63" t="s">
        <v>34</v>
      </c>
      <c r="J471" s="116">
        <v>50000</v>
      </c>
      <c r="K471" s="59" t="s">
        <v>28</v>
      </c>
      <c r="L471" s="59" t="s">
        <v>57</v>
      </c>
      <c r="M471" s="89" t="s">
        <v>30</v>
      </c>
      <c r="N471" s="117">
        <v>50000</v>
      </c>
      <c r="O471" s="117">
        <f t="shared" si="25"/>
        <v>0</v>
      </c>
      <c r="P471" s="115">
        <v>44895</v>
      </c>
      <c r="Q471" s="61">
        <f t="shared" si="24"/>
        <v>44895</v>
      </c>
      <c r="R471" s="68"/>
      <c r="S471" s="72" t="s">
        <v>1093</v>
      </c>
      <c r="T471" s="105"/>
      <c r="U471" s="68"/>
      <c r="V471" s="68"/>
      <c r="W471" s="59"/>
      <c r="X471" s="59"/>
    </row>
    <row r="472" s="20" customFormat="1" ht="24" hidden="1" spans="1:24">
      <c r="A472" s="59">
        <v>470</v>
      </c>
      <c r="B472" s="60" t="s">
        <v>1094</v>
      </c>
      <c r="C472" s="114">
        <f t="shared" si="22"/>
        <v>44824</v>
      </c>
      <c r="D472" s="62" t="str">
        <f ca="1" t="shared" si="23"/>
        <v>一年以上</v>
      </c>
      <c r="E472" s="115">
        <v>44824</v>
      </c>
      <c r="F472" s="66" t="s">
        <v>632</v>
      </c>
      <c r="G472" s="89" t="s">
        <v>450</v>
      </c>
      <c r="H472" s="100" t="s">
        <v>379</v>
      </c>
      <c r="I472" s="63" t="s">
        <v>379</v>
      </c>
      <c r="J472" s="116">
        <v>10000</v>
      </c>
      <c r="K472" s="59" t="s">
        <v>356</v>
      </c>
      <c r="L472" s="59" t="s">
        <v>458</v>
      </c>
      <c r="M472" s="89" t="s">
        <v>30</v>
      </c>
      <c r="N472" s="117">
        <v>10000</v>
      </c>
      <c r="O472" s="117">
        <f t="shared" si="25"/>
        <v>0</v>
      </c>
      <c r="P472" s="115">
        <v>44855</v>
      </c>
      <c r="Q472" s="61">
        <f t="shared" si="24"/>
        <v>44855</v>
      </c>
      <c r="R472" s="68"/>
      <c r="S472" s="72"/>
      <c r="T472" s="105"/>
      <c r="U472" s="68"/>
      <c r="V472" s="68"/>
      <c r="W472" s="59"/>
      <c r="X472" s="59"/>
    </row>
    <row r="473" s="20" customFormat="1" ht="24" hidden="1" spans="1:24">
      <c r="A473" s="59">
        <v>471</v>
      </c>
      <c r="B473" s="60" t="s">
        <v>1095</v>
      </c>
      <c r="C473" s="114">
        <f t="shared" si="22"/>
        <v>44826</v>
      </c>
      <c r="D473" s="62" t="str">
        <f ca="1" t="shared" si="23"/>
        <v>一年以上</v>
      </c>
      <c r="E473" s="115">
        <v>44826</v>
      </c>
      <c r="F473" s="66" t="s">
        <v>632</v>
      </c>
      <c r="G473" s="89" t="s">
        <v>450</v>
      </c>
      <c r="H473" s="100" t="s">
        <v>1096</v>
      </c>
      <c r="I473" s="63" t="s">
        <v>1096</v>
      </c>
      <c r="J473" s="116">
        <v>4136</v>
      </c>
      <c r="K473" s="59" t="s">
        <v>28</v>
      </c>
      <c r="L473" s="59" t="s">
        <v>96</v>
      </c>
      <c r="M473" s="89" t="s">
        <v>968</v>
      </c>
      <c r="N473" s="117">
        <f>3816+320</f>
        <v>4136</v>
      </c>
      <c r="O473" s="117">
        <f t="shared" si="25"/>
        <v>0</v>
      </c>
      <c r="P473" s="115">
        <v>44942</v>
      </c>
      <c r="Q473" s="61">
        <f t="shared" si="24"/>
        <v>44942</v>
      </c>
      <c r="R473" s="68" t="s">
        <v>1097</v>
      </c>
      <c r="S473" s="72"/>
      <c r="T473" s="105"/>
      <c r="U473" s="68"/>
      <c r="V473" s="68"/>
      <c r="W473" s="59"/>
      <c r="X473" s="59"/>
    </row>
    <row r="474" s="20" customFormat="1" ht="24" hidden="1" spans="1:24">
      <c r="A474" s="59">
        <v>472</v>
      </c>
      <c r="B474" s="60" t="s">
        <v>1098</v>
      </c>
      <c r="C474" s="114">
        <f t="shared" si="22"/>
        <v>44826</v>
      </c>
      <c r="D474" s="62" t="str">
        <f ca="1" t="shared" si="23"/>
        <v>一年以上</v>
      </c>
      <c r="E474" s="115">
        <v>44826</v>
      </c>
      <c r="F474" s="66" t="s">
        <v>632</v>
      </c>
      <c r="G474" s="89" t="s">
        <v>450</v>
      </c>
      <c r="H474" s="100" t="s">
        <v>366</v>
      </c>
      <c r="I474" s="63" t="s">
        <v>366</v>
      </c>
      <c r="J474" s="116">
        <v>5000</v>
      </c>
      <c r="K474" s="59" t="s">
        <v>356</v>
      </c>
      <c r="L474" s="59" t="s">
        <v>458</v>
      </c>
      <c r="M474" s="59" t="s">
        <v>30</v>
      </c>
      <c r="N474" s="117">
        <v>5000</v>
      </c>
      <c r="O474" s="117">
        <f t="shared" si="25"/>
        <v>0</v>
      </c>
      <c r="P474" s="115">
        <v>44859</v>
      </c>
      <c r="Q474" s="61">
        <f t="shared" si="24"/>
        <v>44859</v>
      </c>
      <c r="R474" s="68"/>
      <c r="S474" s="72" t="s">
        <v>1099</v>
      </c>
      <c r="T474" s="105"/>
      <c r="U474" s="68"/>
      <c r="V474" s="68"/>
      <c r="W474" s="59"/>
      <c r="X474" s="59"/>
    </row>
    <row r="475" s="20" customFormat="1" hidden="1" spans="1:24">
      <c r="A475" s="59">
        <v>473</v>
      </c>
      <c r="B475" s="60" t="s">
        <v>1100</v>
      </c>
      <c r="C475" s="114">
        <f t="shared" si="22"/>
        <v>44827</v>
      </c>
      <c r="D475" s="62" t="str">
        <f ca="1" t="shared" si="23"/>
        <v>一年以上</v>
      </c>
      <c r="E475" s="115">
        <v>44827</v>
      </c>
      <c r="F475" s="66" t="s">
        <v>632</v>
      </c>
      <c r="G475" s="89" t="s">
        <v>450</v>
      </c>
      <c r="H475" s="100" t="s">
        <v>1101</v>
      </c>
      <c r="I475" s="63" t="s">
        <v>1101</v>
      </c>
      <c r="J475" s="116">
        <v>5000</v>
      </c>
      <c r="K475" s="59" t="s">
        <v>356</v>
      </c>
      <c r="L475" s="59" t="s">
        <v>458</v>
      </c>
      <c r="M475" s="59" t="s">
        <v>30</v>
      </c>
      <c r="N475" s="117">
        <v>5000</v>
      </c>
      <c r="O475" s="117">
        <f t="shared" si="25"/>
        <v>0</v>
      </c>
      <c r="P475" s="115">
        <v>45253</v>
      </c>
      <c r="Q475" s="61">
        <f t="shared" si="24"/>
        <v>45253</v>
      </c>
      <c r="R475" s="68"/>
      <c r="S475" s="72" t="s">
        <v>1102</v>
      </c>
      <c r="T475" s="105" t="s">
        <v>388</v>
      </c>
      <c r="U475" s="59" t="str">
        <f>VLOOKUP(T475,[1]区域划分!$A$1:$C$39,3,0)</f>
        <v>林维</v>
      </c>
      <c r="V475" s="68"/>
      <c r="W475" s="59"/>
      <c r="X475" s="59"/>
    </row>
    <row r="476" s="20" customFormat="1" hidden="1" spans="1:24">
      <c r="A476" s="59">
        <v>474</v>
      </c>
      <c r="B476" s="60" t="s">
        <v>1103</v>
      </c>
      <c r="C476" s="114">
        <f t="shared" si="22"/>
        <v>44827</v>
      </c>
      <c r="D476" s="62" t="str">
        <f ca="1" t="shared" si="23"/>
        <v>一年以上</v>
      </c>
      <c r="E476" s="115">
        <v>44827</v>
      </c>
      <c r="F476" s="66" t="s">
        <v>632</v>
      </c>
      <c r="G476" s="89" t="s">
        <v>450</v>
      </c>
      <c r="H476" s="100" t="s">
        <v>1104</v>
      </c>
      <c r="I476" s="63" t="s">
        <v>1104</v>
      </c>
      <c r="J476" s="116">
        <v>5000</v>
      </c>
      <c r="K476" s="59" t="s">
        <v>28</v>
      </c>
      <c r="L476" s="59" t="s">
        <v>57</v>
      </c>
      <c r="M476" s="59" t="s">
        <v>30</v>
      </c>
      <c r="N476" s="117">
        <v>5000</v>
      </c>
      <c r="O476" s="117">
        <f t="shared" si="25"/>
        <v>0</v>
      </c>
      <c r="P476" s="115">
        <v>45282</v>
      </c>
      <c r="Q476" s="61">
        <f t="shared" si="24"/>
        <v>45282</v>
      </c>
      <c r="R476" s="68"/>
      <c r="S476" s="72" t="s">
        <v>1105</v>
      </c>
      <c r="T476" s="105" t="s">
        <v>32</v>
      </c>
      <c r="U476" s="59" t="str">
        <f>VLOOKUP(T476,[1]区域划分!$A$1:$C$39,3,0)</f>
        <v>方渊</v>
      </c>
      <c r="V476" s="68"/>
      <c r="W476" s="59"/>
      <c r="X476" s="59"/>
    </row>
    <row r="477" s="17" customFormat="1" hidden="1" spans="1:24">
      <c r="A477" s="59">
        <v>475</v>
      </c>
      <c r="B477" s="60" t="s">
        <v>1106</v>
      </c>
      <c r="C477" s="114">
        <f t="shared" si="22"/>
        <v>44827</v>
      </c>
      <c r="D477" s="62" t="str">
        <f ca="1" t="shared" si="23"/>
        <v>一年以上</v>
      </c>
      <c r="E477" s="115">
        <v>44827</v>
      </c>
      <c r="F477" s="66" t="s">
        <v>632</v>
      </c>
      <c r="G477" s="89" t="s">
        <v>450</v>
      </c>
      <c r="H477" s="100" t="s">
        <v>648</v>
      </c>
      <c r="I477" s="63" t="s">
        <v>648</v>
      </c>
      <c r="J477" s="116">
        <v>5000</v>
      </c>
      <c r="K477" s="59" t="s">
        <v>28</v>
      </c>
      <c r="L477" s="59" t="s">
        <v>57</v>
      </c>
      <c r="M477" s="59" t="s">
        <v>30</v>
      </c>
      <c r="N477" s="117">
        <v>5000</v>
      </c>
      <c r="O477" s="117">
        <f t="shared" si="25"/>
        <v>0</v>
      </c>
      <c r="P477" s="115">
        <v>44882</v>
      </c>
      <c r="Q477" s="61">
        <f t="shared" si="24"/>
        <v>44882</v>
      </c>
      <c r="R477" s="68"/>
      <c r="S477" s="72" t="s">
        <v>1107</v>
      </c>
      <c r="T477" s="105"/>
      <c r="U477" s="68"/>
      <c r="V477" s="68"/>
      <c r="W477" s="68"/>
      <c r="X477" s="68"/>
    </row>
    <row r="478" s="17" customFormat="1" ht="24" hidden="1" spans="1:24">
      <c r="A478" s="59">
        <v>476</v>
      </c>
      <c r="B478" s="60" t="s">
        <v>1108</v>
      </c>
      <c r="C478" s="114">
        <f t="shared" si="22"/>
        <v>44830</v>
      </c>
      <c r="D478" s="62" t="str">
        <f ca="1" t="shared" si="23"/>
        <v>一年以上</v>
      </c>
      <c r="E478" s="115">
        <v>44830</v>
      </c>
      <c r="F478" s="66" t="s">
        <v>632</v>
      </c>
      <c r="G478" s="89" t="s">
        <v>993</v>
      </c>
      <c r="H478" s="60" t="s">
        <v>476</v>
      </c>
      <c r="I478" s="63" t="s">
        <v>476</v>
      </c>
      <c r="J478" s="116">
        <v>9800</v>
      </c>
      <c r="K478" s="59" t="s">
        <v>28</v>
      </c>
      <c r="L478" s="59" t="s">
        <v>57</v>
      </c>
      <c r="M478" s="59" t="s">
        <v>30</v>
      </c>
      <c r="N478" s="117">
        <v>9800</v>
      </c>
      <c r="O478" s="117">
        <f t="shared" si="25"/>
        <v>0</v>
      </c>
      <c r="P478" s="115">
        <v>44882</v>
      </c>
      <c r="Q478" s="61">
        <f t="shared" si="24"/>
        <v>44882</v>
      </c>
      <c r="R478" s="68"/>
      <c r="S478" s="72"/>
      <c r="T478" s="105"/>
      <c r="U478" s="68"/>
      <c r="V478" s="68"/>
      <c r="W478" s="68"/>
      <c r="X478" s="68"/>
    </row>
    <row r="479" s="17" customFormat="1" spans="1:24">
      <c r="A479" s="59">
        <v>477</v>
      </c>
      <c r="B479" s="60" t="s">
        <v>1109</v>
      </c>
      <c r="C479" s="114">
        <f t="shared" si="22"/>
        <v>44830</v>
      </c>
      <c r="D479" s="62" t="str">
        <f ca="1" t="shared" si="23"/>
        <v>一年以上</v>
      </c>
      <c r="E479" s="115">
        <v>44830</v>
      </c>
      <c r="F479" s="66" t="s">
        <v>632</v>
      </c>
      <c r="G479" s="89" t="s">
        <v>450</v>
      </c>
      <c r="H479" s="100" t="s">
        <v>209</v>
      </c>
      <c r="I479" s="63" t="s">
        <v>209</v>
      </c>
      <c r="J479" s="116">
        <v>1000</v>
      </c>
      <c r="K479" s="59" t="s">
        <v>28</v>
      </c>
      <c r="L479" s="59" t="s">
        <v>57</v>
      </c>
      <c r="M479" s="59" t="s">
        <v>515</v>
      </c>
      <c r="N479" s="117"/>
      <c r="O479" s="117">
        <f t="shared" si="25"/>
        <v>1000</v>
      </c>
      <c r="P479" s="115"/>
      <c r="Q479" s="61">
        <f t="shared" si="24"/>
        <v>0</v>
      </c>
      <c r="R479" s="68"/>
      <c r="S479" s="72" t="s">
        <v>1110</v>
      </c>
      <c r="T479" s="105" t="s">
        <v>171</v>
      </c>
      <c r="U479" s="59" t="str">
        <f>VLOOKUP(T479,[1]区域划分!$A$1:$C$39,3,0)</f>
        <v>牛国庆</v>
      </c>
      <c r="V479" s="68"/>
      <c r="W479" s="68"/>
      <c r="X479" s="68"/>
    </row>
    <row r="480" s="17" customFormat="1" hidden="1" spans="1:24">
      <c r="A480" s="59">
        <v>478</v>
      </c>
      <c r="B480" s="60" t="s">
        <v>1111</v>
      </c>
      <c r="C480" s="114">
        <f t="shared" si="22"/>
        <v>44831</v>
      </c>
      <c r="D480" s="62" t="str">
        <f ca="1" t="shared" si="23"/>
        <v>一年以上</v>
      </c>
      <c r="E480" s="115">
        <v>44831</v>
      </c>
      <c r="F480" s="66" t="s">
        <v>632</v>
      </c>
      <c r="G480" s="89" t="s">
        <v>450</v>
      </c>
      <c r="H480" s="100" t="s">
        <v>1101</v>
      </c>
      <c r="I480" s="63" t="s">
        <v>1101</v>
      </c>
      <c r="J480" s="116">
        <v>2000</v>
      </c>
      <c r="K480" s="59" t="s">
        <v>356</v>
      </c>
      <c r="L480" s="59" t="s">
        <v>458</v>
      </c>
      <c r="M480" s="59" t="s">
        <v>30</v>
      </c>
      <c r="N480" s="117">
        <v>2000</v>
      </c>
      <c r="O480" s="117">
        <f t="shared" si="25"/>
        <v>0</v>
      </c>
      <c r="P480" s="115">
        <v>45258</v>
      </c>
      <c r="Q480" s="61">
        <f t="shared" si="24"/>
        <v>45258</v>
      </c>
      <c r="R480" s="68"/>
      <c r="S480" s="72" t="s">
        <v>1112</v>
      </c>
      <c r="T480" s="105" t="s">
        <v>388</v>
      </c>
      <c r="U480" s="59" t="str">
        <f>VLOOKUP(T480,[1]区域划分!$A$1:$C$39,3,0)</f>
        <v>林维</v>
      </c>
      <c r="V480" s="68"/>
      <c r="W480" s="68"/>
      <c r="X480" s="68"/>
    </row>
    <row r="481" s="17" customFormat="1" hidden="1" spans="1:24">
      <c r="A481" s="59">
        <v>479</v>
      </c>
      <c r="B481" s="60" t="s">
        <v>1113</v>
      </c>
      <c r="C481" s="114">
        <f t="shared" si="22"/>
        <v>44832</v>
      </c>
      <c r="D481" s="62" t="str">
        <f ca="1" t="shared" si="23"/>
        <v>一年以上</v>
      </c>
      <c r="E481" s="115">
        <v>44832</v>
      </c>
      <c r="F481" s="66" t="s">
        <v>632</v>
      </c>
      <c r="G481" s="89" t="s">
        <v>993</v>
      </c>
      <c r="H481" s="100" t="s">
        <v>1101</v>
      </c>
      <c r="I481" s="63" t="s">
        <v>1101</v>
      </c>
      <c r="J481" s="116">
        <v>5000</v>
      </c>
      <c r="K481" s="59" t="s">
        <v>356</v>
      </c>
      <c r="L481" s="59" t="s">
        <v>458</v>
      </c>
      <c r="M481" s="59" t="s">
        <v>30</v>
      </c>
      <c r="N481" s="117">
        <v>5000</v>
      </c>
      <c r="O481" s="117">
        <f t="shared" si="25"/>
        <v>0</v>
      </c>
      <c r="P481" s="115">
        <v>44945</v>
      </c>
      <c r="Q481" s="61">
        <f t="shared" si="24"/>
        <v>44945</v>
      </c>
      <c r="R481" s="68"/>
      <c r="S481" s="72" t="s">
        <v>1114</v>
      </c>
      <c r="T481" s="105" t="s">
        <v>388</v>
      </c>
      <c r="U481" s="68"/>
      <c r="V481" s="68"/>
      <c r="W481" s="68"/>
      <c r="X481" s="68"/>
    </row>
    <row r="482" s="17" customFormat="1" ht="48" hidden="1" spans="1:24">
      <c r="A482" s="59">
        <v>480</v>
      </c>
      <c r="B482" s="60" t="s">
        <v>1115</v>
      </c>
      <c r="C482" s="114">
        <f t="shared" si="22"/>
        <v>44833</v>
      </c>
      <c r="D482" s="62" t="str">
        <f ca="1" t="shared" si="23"/>
        <v>一年以上</v>
      </c>
      <c r="E482" s="115">
        <v>44833</v>
      </c>
      <c r="F482" s="66" t="s">
        <v>632</v>
      </c>
      <c r="G482" s="89" t="s">
        <v>450</v>
      </c>
      <c r="H482" s="100" t="s">
        <v>209</v>
      </c>
      <c r="I482" s="63" t="s">
        <v>209</v>
      </c>
      <c r="J482" s="116">
        <v>50000</v>
      </c>
      <c r="K482" s="59" t="s">
        <v>28</v>
      </c>
      <c r="L482" s="59" t="s">
        <v>57</v>
      </c>
      <c r="M482" s="59" t="s">
        <v>30</v>
      </c>
      <c r="N482" s="117">
        <v>50000</v>
      </c>
      <c r="O482" s="117">
        <f t="shared" si="25"/>
        <v>0</v>
      </c>
      <c r="P482" s="115">
        <v>44943</v>
      </c>
      <c r="Q482" s="61">
        <f t="shared" si="24"/>
        <v>44943</v>
      </c>
      <c r="R482" s="72" t="s">
        <v>1116</v>
      </c>
      <c r="S482" s="72" t="s">
        <v>1110</v>
      </c>
      <c r="T482" s="105" t="s">
        <v>171</v>
      </c>
      <c r="U482" s="68"/>
      <c r="V482" s="68"/>
      <c r="W482" s="68"/>
      <c r="X482" s="68"/>
    </row>
    <row r="483" s="17" customFormat="1" hidden="1" spans="1:24">
      <c r="A483" s="59">
        <v>481</v>
      </c>
      <c r="B483" s="60" t="s">
        <v>1117</v>
      </c>
      <c r="C483" s="114">
        <f t="shared" si="22"/>
        <v>44834</v>
      </c>
      <c r="D483" s="62" t="str">
        <f ca="1" t="shared" si="23"/>
        <v>一年以上</v>
      </c>
      <c r="E483" s="115">
        <v>44834</v>
      </c>
      <c r="F483" s="66" t="s">
        <v>632</v>
      </c>
      <c r="G483" s="89" t="s">
        <v>993</v>
      </c>
      <c r="H483" s="100" t="s">
        <v>863</v>
      </c>
      <c r="I483" s="63" t="s">
        <v>863</v>
      </c>
      <c r="J483" s="116">
        <v>500</v>
      </c>
      <c r="K483" s="59" t="s">
        <v>28</v>
      </c>
      <c r="L483" s="59" t="s">
        <v>57</v>
      </c>
      <c r="M483" s="59" t="s">
        <v>515</v>
      </c>
      <c r="N483" s="117">
        <v>500</v>
      </c>
      <c r="O483" s="117">
        <f t="shared" si="25"/>
        <v>0</v>
      </c>
      <c r="P483" s="66">
        <v>44880</v>
      </c>
      <c r="Q483" s="61">
        <f t="shared" si="24"/>
        <v>44880</v>
      </c>
      <c r="R483" s="59" t="s">
        <v>951</v>
      </c>
      <c r="S483" s="60" t="s">
        <v>1118</v>
      </c>
      <c r="T483" s="105"/>
      <c r="U483" s="68"/>
      <c r="V483" s="68"/>
      <c r="W483" s="68"/>
      <c r="X483" s="68"/>
    </row>
    <row r="484" s="17" customFormat="1" hidden="1" spans="1:24">
      <c r="A484" s="59">
        <v>482</v>
      </c>
      <c r="B484" s="60" t="s">
        <v>1119</v>
      </c>
      <c r="C484" s="114">
        <f t="shared" si="22"/>
        <v>44841</v>
      </c>
      <c r="D484" s="62" t="str">
        <f ca="1" t="shared" si="23"/>
        <v>一年以上</v>
      </c>
      <c r="E484" s="115">
        <v>44841</v>
      </c>
      <c r="F484" s="66" t="s">
        <v>632</v>
      </c>
      <c r="G484" s="89" t="s">
        <v>993</v>
      </c>
      <c r="H484" s="100" t="s">
        <v>863</v>
      </c>
      <c r="I484" s="63" t="s">
        <v>863</v>
      </c>
      <c r="J484" s="116">
        <v>20000</v>
      </c>
      <c r="K484" s="59" t="s">
        <v>28</v>
      </c>
      <c r="L484" s="59" t="s">
        <v>57</v>
      </c>
      <c r="M484" s="89" t="s">
        <v>30</v>
      </c>
      <c r="N484" s="117">
        <v>20000</v>
      </c>
      <c r="O484" s="117">
        <f t="shared" si="25"/>
        <v>0</v>
      </c>
      <c r="P484" s="115">
        <v>45038</v>
      </c>
      <c r="Q484" s="61">
        <f t="shared" si="24"/>
        <v>45038</v>
      </c>
      <c r="R484" s="68"/>
      <c r="S484" s="60" t="s">
        <v>1118</v>
      </c>
      <c r="T484" s="105" t="s">
        <v>972</v>
      </c>
      <c r="U484" s="68"/>
      <c r="V484" s="68"/>
      <c r="W484" s="68"/>
      <c r="X484" s="68"/>
    </row>
    <row r="485" s="17" customFormat="1" ht="24" hidden="1" spans="1:24">
      <c r="A485" s="59">
        <v>483</v>
      </c>
      <c r="B485" s="60" t="s">
        <v>1120</v>
      </c>
      <c r="C485" s="114">
        <f t="shared" si="22"/>
        <v>44848</v>
      </c>
      <c r="D485" s="62" t="str">
        <f ca="1" t="shared" si="23"/>
        <v>一年以上</v>
      </c>
      <c r="E485" s="115">
        <v>44848</v>
      </c>
      <c r="F485" s="66" t="s">
        <v>632</v>
      </c>
      <c r="G485" s="132" t="s">
        <v>450</v>
      </c>
      <c r="H485" s="100" t="s">
        <v>1121</v>
      </c>
      <c r="I485" s="63" t="s">
        <v>1121</v>
      </c>
      <c r="J485" s="116">
        <v>2100</v>
      </c>
      <c r="K485" s="59" t="s">
        <v>28</v>
      </c>
      <c r="L485" s="59" t="s">
        <v>57</v>
      </c>
      <c r="M485" s="89" t="s">
        <v>515</v>
      </c>
      <c r="N485" s="117">
        <v>2100</v>
      </c>
      <c r="O485" s="117">
        <f t="shared" si="25"/>
        <v>0</v>
      </c>
      <c r="P485" s="115">
        <v>44927</v>
      </c>
      <c r="Q485" s="61">
        <f t="shared" si="24"/>
        <v>44927</v>
      </c>
      <c r="R485" s="68"/>
      <c r="S485" s="72" t="s">
        <v>1118</v>
      </c>
      <c r="T485" s="105"/>
      <c r="U485" s="68"/>
      <c r="V485" s="68"/>
      <c r="W485" s="68"/>
      <c r="X485" s="68"/>
    </row>
    <row r="486" s="17" customFormat="1" ht="24" hidden="1" spans="1:24">
      <c r="A486" s="59">
        <v>484</v>
      </c>
      <c r="B486" s="60" t="s">
        <v>1122</v>
      </c>
      <c r="C486" s="114">
        <f t="shared" si="22"/>
        <v>44851</v>
      </c>
      <c r="D486" s="62" t="str">
        <f ca="1" t="shared" si="23"/>
        <v>一年以上</v>
      </c>
      <c r="E486" s="115">
        <v>44851</v>
      </c>
      <c r="F486" s="66" t="s">
        <v>632</v>
      </c>
      <c r="G486" s="132" t="s">
        <v>450</v>
      </c>
      <c r="H486" s="100" t="s">
        <v>1123</v>
      </c>
      <c r="I486" s="63" t="s">
        <v>1123</v>
      </c>
      <c r="J486" s="116">
        <v>4800</v>
      </c>
      <c r="K486" s="59" t="s">
        <v>28</v>
      </c>
      <c r="L486" s="59" t="s">
        <v>57</v>
      </c>
      <c r="M486" s="89" t="s">
        <v>968</v>
      </c>
      <c r="N486" s="117">
        <v>4800</v>
      </c>
      <c r="O486" s="117">
        <f t="shared" si="25"/>
        <v>0</v>
      </c>
      <c r="P486" s="115">
        <v>44853</v>
      </c>
      <c r="Q486" s="61">
        <f t="shared" si="24"/>
        <v>44853</v>
      </c>
      <c r="R486" s="68"/>
      <c r="S486" s="72" t="s">
        <v>968</v>
      </c>
      <c r="T486" s="105"/>
      <c r="U486" s="68"/>
      <c r="V486" s="68"/>
      <c r="W486" s="68"/>
      <c r="X486" s="68"/>
    </row>
    <row r="487" s="17" customFormat="1" ht="36" hidden="1" customHeight="1" spans="1:24">
      <c r="A487" s="59">
        <v>485</v>
      </c>
      <c r="B487" s="60" t="s">
        <v>1124</v>
      </c>
      <c r="C487" s="114">
        <f t="shared" si="22"/>
        <v>44851</v>
      </c>
      <c r="D487" s="62" t="str">
        <f ca="1" t="shared" si="23"/>
        <v>一年以上</v>
      </c>
      <c r="E487" s="115">
        <v>44851</v>
      </c>
      <c r="F487" s="66" t="s">
        <v>632</v>
      </c>
      <c r="G487" s="132" t="s">
        <v>450</v>
      </c>
      <c r="H487" s="100" t="s">
        <v>1125</v>
      </c>
      <c r="I487" s="63" t="s">
        <v>1125</v>
      </c>
      <c r="J487" s="116">
        <v>3000</v>
      </c>
      <c r="K487" s="59" t="s">
        <v>28</v>
      </c>
      <c r="L487" s="59" t="s">
        <v>57</v>
      </c>
      <c r="M487" s="89" t="s">
        <v>30</v>
      </c>
      <c r="N487" s="117">
        <v>3000</v>
      </c>
      <c r="O487" s="117">
        <f t="shared" si="25"/>
        <v>0</v>
      </c>
      <c r="P487" s="115">
        <v>44883</v>
      </c>
      <c r="Q487" s="61">
        <f t="shared" si="24"/>
        <v>44883</v>
      </c>
      <c r="R487" s="68"/>
      <c r="S487" s="72" t="s">
        <v>1126</v>
      </c>
      <c r="T487" s="105"/>
      <c r="U487" s="68"/>
      <c r="V487" s="68"/>
      <c r="W487" s="68"/>
      <c r="X487" s="68"/>
    </row>
    <row r="488" s="17" customFormat="1" ht="36" hidden="1" customHeight="1" spans="1:24">
      <c r="A488" s="59">
        <v>486</v>
      </c>
      <c r="B488" s="60" t="s">
        <v>1127</v>
      </c>
      <c r="C488" s="114">
        <f t="shared" si="22"/>
        <v>44851</v>
      </c>
      <c r="D488" s="62" t="str">
        <f ca="1" t="shared" si="23"/>
        <v>一年以上</v>
      </c>
      <c r="E488" s="115">
        <v>44851</v>
      </c>
      <c r="F488" s="66" t="s">
        <v>632</v>
      </c>
      <c r="G488" s="132" t="s">
        <v>450</v>
      </c>
      <c r="H488" s="100" t="s">
        <v>1125</v>
      </c>
      <c r="I488" s="63" t="s">
        <v>1125</v>
      </c>
      <c r="J488" s="116">
        <v>4000</v>
      </c>
      <c r="K488" s="59" t="s">
        <v>28</v>
      </c>
      <c r="L488" s="59" t="s">
        <v>57</v>
      </c>
      <c r="M488" s="89" t="s">
        <v>30</v>
      </c>
      <c r="N488" s="117">
        <v>4000</v>
      </c>
      <c r="O488" s="117">
        <f t="shared" si="25"/>
        <v>0</v>
      </c>
      <c r="P488" s="115">
        <v>44883</v>
      </c>
      <c r="Q488" s="61">
        <f t="shared" si="24"/>
        <v>44883</v>
      </c>
      <c r="R488" s="68"/>
      <c r="S488" s="72" t="s">
        <v>1128</v>
      </c>
      <c r="T488" s="105"/>
      <c r="U488" s="68"/>
      <c r="V488" s="68"/>
      <c r="W488" s="68"/>
      <c r="X488" s="68"/>
    </row>
    <row r="489" s="17" customFormat="1" ht="36" hidden="1" customHeight="1" spans="1:24">
      <c r="A489" s="59">
        <v>487</v>
      </c>
      <c r="B489" s="60" t="s">
        <v>1129</v>
      </c>
      <c r="C489" s="114">
        <f t="shared" si="22"/>
        <v>44851</v>
      </c>
      <c r="D489" s="62" t="str">
        <f ca="1" t="shared" si="23"/>
        <v>一年以上</v>
      </c>
      <c r="E489" s="115">
        <v>44851</v>
      </c>
      <c r="F489" s="66" t="s">
        <v>632</v>
      </c>
      <c r="G489" s="132" t="s">
        <v>450</v>
      </c>
      <c r="H489" s="100" t="s">
        <v>1125</v>
      </c>
      <c r="I489" s="63" t="s">
        <v>1125</v>
      </c>
      <c r="J489" s="116">
        <v>5000</v>
      </c>
      <c r="K489" s="59" t="s">
        <v>28</v>
      </c>
      <c r="L489" s="59" t="s">
        <v>57</v>
      </c>
      <c r="M489" s="89" t="s">
        <v>30</v>
      </c>
      <c r="N489" s="117">
        <v>5000</v>
      </c>
      <c r="O489" s="117">
        <f t="shared" si="25"/>
        <v>0</v>
      </c>
      <c r="P489" s="115">
        <v>44883</v>
      </c>
      <c r="Q489" s="61">
        <f t="shared" si="24"/>
        <v>44883</v>
      </c>
      <c r="R489" s="68"/>
      <c r="S489" s="72" t="s">
        <v>1130</v>
      </c>
      <c r="T489" s="105"/>
      <c r="U489" s="68"/>
      <c r="V489" s="68"/>
      <c r="W489" s="68"/>
      <c r="X489" s="68"/>
    </row>
    <row r="490" s="17" customFormat="1" ht="36" hidden="1" customHeight="1" spans="1:24">
      <c r="A490" s="59">
        <v>488</v>
      </c>
      <c r="B490" s="60" t="s">
        <v>1131</v>
      </c>
      <c r="C490" s="114">
        <f t="shared" si="22"/>
        <v>44851</v>
      </c>
      <c r="D490" s="62" t="str">
        <f ca="1" t="shared" si="23"/>
        <v>一年以上</v>
      </c>
      <c r="E490" s="115">
        <v>44851</v>
      </c>
      <c r="F490" s="66" t="s">
        <v>632</v>
      </c>
      <c r="G490" s="132" t="s">
        <v>450</v>
      </c>
      <c r="H490" s="100" t="s">
        <v>1125</v>
      </c>
      <c r="I490" s="63" t="s">
        <v>1125</v>
      </c>
      <c r="J490" s="116">
        <v>7000</v>
      </c>
      <c r="K490" s="59" t="s">
        <v>28</v>
      </c>
      <c r="L490" s="59" t="s">
        <v>57</v>
      </c>
      <c r="M490" s="89" t="s">
        <v>30</v>
      </c>
      <c r="N490" s="117">
        <f>5320+1680</f>
        <v>7000</v>
      </c>
      <c r="O490" s="117">
        <f t="shared" si="25"/>
        <v>0</v>
      </c>
      <c r="P490" s="115">
        <v>44883</v>
      </c>
      <c r="Q490" s="61">
        <f t="shared" si="24"/>
        <v>44883</v>
      </c>
      <c r="R490" s="68" t="s">
        <v>1132</v>
      </c>
      <c r="S490" s="72" t="s">
        <v>1133</v>
      </c>
      <c r="T490" s="105" t="s">
        <v>86</v>
      </c>
      <c r="U490" s="68"/>
      <c r="V490" s="68"/>
      <c r="W490" s="68"/>
      <c r="X490" s="68"/>
    </row>
    <row r="491" s="17" customFormat="1" ht="36" hidden="1" customHeight="1" spans="1:24">
      <c r="A491" s="59">
        <v>489</v>
      </c>
      <c r="B491" s="60" t="s">
        <v>1134</v>
      </c>
      <c r="C491" s="114">
        <f t="shared" si="22"/>
        <v>44851</v>
      </c>
      <c r="D491" s="62" t="str">
        <f ca="1" t="shared" si="23"/>
        <v>一年以上</v>
      </c>
      <c r="E491" s="115">
        <v>44851</v>
      </c>
      <c r="F491" s="66" t="s">
        <v>632</v>
      </c>
      <c r="G491" s="132" t="s">
        <v>450</v>
      </c>
      <c r="H491" s="100" t="s">
        <v>1135</v>
      </c>
      <c r="I491" s="63" t="s">
        <v>1135</v>
      </c>
      <c r="J491" s="116">
        <v>15000</v>
      </c>
      <c r="K491" s="59" t="s">
        <v>28</v>
      </c>
      <c r="L491" s="59" t="s">
        <v>57</v>
      </c>
      <c r="M491" s="89" t="s">
        <v>30</v>
      </c>
      <c r="N491" s="117">
        <f>8550+6450</f>
        <v>15000</v>
      </c>
      <c r="O491" s="117">
        <f t="shared" si="25"/>
        <v>0</v>
      </c>
      <c r="P491" s="115">
        <v>44869</v>
      </c>
      <c r="Q491" s="61">
        <f t="shared" si="24"/>
        <v>44869</v>
      </c>
      <c r="R491" s="68" t="s">
        <v>1136</v>
      </c>
      <c r="S491" s="72" t="s">
        <v>1137</v>
      </c>
      <c r="T491" s="105" t="s">
        <v>86</v>
      </c>
      <c r="U491" s="68"/>
      <c r="V491" s="68"/>
      <c r="W491" s="68"/>
      <c r="X491" s="68"/>
    </row>
    <row r="492" s="17" customFormat="1" ht="36" hidden="1" customHeight="1" spans="1:24">
      <c r="A492" s="59">
        <v>490</v>
      </c>
      <c r="B492" s="60" t="s">
        <v>1138</v>
      </c>
      <c r="C492" s="114">
        <f t="shared" si="22"/>
        <v>44851</v>
      </c>
      <c r="D492" s="62" t="str">
        <f ca="1" t="shared" si="23"/>
        <v>一年以上</v>
      </c>
      <c r="E492" s="115">
        <v>44851</v>
      </c>
      <c r="F492" s="66" t="s">
        <v>632</v>
      </c>
      <c r="G492" s="132" t="s">
        <v>450</v>
      </c>
      <c r="H492" s="100" t="s">
        <v>1135</v>
      </c>
      <c r="I492" s="63" t="s">
        <v>1135</v>
      </c>
      <c r="J492" s="116">
        <v>10000</v>
      </c>
      <c r="K492" s="59" t="s">
        <v>28</v>
      </c>
      <c r="L492" s="59" t="s">
        <v>57</v>
      </c>
      <c r="M492" s="89" t="s">
        <v>30</v>
      </c>
      <c r="N492" s="117">
        <v>10000</v>
      </c>
      <c r="O492" s="117">
        <f t="shared" si="25"/>
        <v>0</v>
      </c>
      <c r="P492" s="115">
        <v>44869</v>
      </c>
      <c r="Q492" s="61">
        <f t="shared" si="24"/>
        <v>44869</v>
      </c>
      <c r="R492" s="68"/>
      <c r="S492" s="72" t="s">
        <v>1139</v>
      </c>
      <c r="T492" s="105"/>
      <c r="U492" s="68"/>
      <c r="V492" s="68"/>
      <c r="W492" s="68"/>
      <c r="X492" s="68"/>
    </row>
    <row r="493" s="17" customFormat="1" ht="33" hidden="1" customHeight="1" spans="1:24">
      <c r="A493" s="59">
        <v>491</v>
      </c>
      <c r="B493" s="60" t="s">
        <v>1140</v>
      </c>
      <c r="C493" s="114">
        <f t="shared" si="22"/>
        <v>44852</v>
      </c>
      <c r="D493" s="62" t="str">
        <f ca="1" t="shared" si="23"/>
        <v>一年以上</v>
      </c>
      <c r="E493" s="115">
        <v>44852</v>
      </c>
      <c r="F493" s="66" t="s">
        <v>632</v>
      </c>
      <c r="G493" s="132" t="s">
        <v>993</v>
      </c>
      <c r="H493" s="100" t="s">
        <v>1141</v>
      </c>
      <c r="I493" s="63" t="s">
        <v>1141</v>
      </c>
      <c r="J493" s="116">
        <v>300</v>
      </c>
      <c r="K493" s="59" t="s">
        <v>28</v>
      </c>
      <c r="L493" s="59" t="s">
        <v>57</v>
      </c>
      <c r="M493" s="89" t="s">
        <v>515</v>
      </c>
      <c r="N493" s="117">
        <v>300</v>
      </c>
      <c r="O493" s="117">
        <f t="shared" si="25"/>
        <v>0</v>
      </c>
      <c r="P493" s="66">
        <v>44880</v>
      </c>
      <c r="Q493" s="61">
        <f t="shared" si="24"/>
        <v>44880</v>
      </c>
      <c r="R493" s="59" t="s">
        <v>951</v>
      </c>
      <c r="S493" s="72" t="s">
        <v>1142</v>
      </c>
      <c r="T493" s="105"/>
      <c r="U493" s="68"/>
      <c r="V493" s="68"/>
      <c r="W493" s="68"/>
      <c r="X493" s="68"/>
    </row>
    <row r="494" s="17" customFormat="1" hidden="1" spans="1:24">
      <c r="A494" s="59">
        <v>492</v>
      </c>
      <c r="B494" s="60" t="s">
        <v>1143</v>
      </c>
      <c r="C494" s="114">
        <f t="shared" ref="C494:C557" si="26">E494</f>
        <v>44854</v>
      </c>
      <c r="D494" s="62" t="str">
        <f ca="1" t="shared" si="23"/>
        <v>一年以上</v>
      </c>
      <c r="E494" s="115">
        <v>44854</v>
      </c>
      <c r="F494" s="66" t="s">
        <v>632</v>
      </c>
      <c r="G494" s="132" t="s">
        <v>993</v>
      </c>
      <c r="H494" s="100" t="s">
        <v>863</v>
      </c>
      <c r="I494" s="63" t="s">
        <v>863</v>
      </c>
      <c r="J494" s="116">
        <v>500</v>
      </c>
      <c r="K494" s="59" t="s">
        <v>28</v>
      </c>
      <c r="L494" s="59" t="s">
        <v>57</v>
      </c>
      <c r="M494" s="89" t="s">
        <v>515</v>
      </c>
      <c r="N494" s="117">
        <v>500</v>
      </c>
      <c r="O494" s="117">
        <f t="shared" si="25"/>
        <v>0</v>
      </c>
      <c r="P494" s="66">
        <v>44880</v>
      </c>
      <c r="Q494" s="61">
        <f t="shared" si="24"/>
        <v>44880</v>
      </c>
      <c r="R494" s="59" t="s">
        <v>951</v>
      </c>
      <c r="S494" s="60" t="s">
        <v>1144</v>
      </c>
      <c r="T494" s="105"/>
      <c r="U494" s="68"/>
      <c r="V494" s="68"/>
      <c r="W494" s="68"/>
      <c r="X494" s="68"/>
    </row>
    <row r="495" s="17" customFormat="1" hidden="1" spans="1:24">
      <c r="A495" s="59">
        <v>493</v>
      </c>
      <c r="B495" s="60" t="s">
        <v>1145</v>
      </c>
      <c r="C495" s="114">
        <f t="shared" si="26"/>
        <v>44855</v>
      </c>
      <c r="D495" s="62" t="str">
        <f ca="1" t="shared" si="23"/>
        <v>一年以上</v>
      </c>
      <c r="E495" s="115">
        <v>44855</v>
      </c>
      <c r="F495" s="66" t="s">
        <v>632</v>
      </c>
      <c r="G495" s="132" t="s">
        <v>993</v>
      </c>
      <c r="H495" s="100" t="s">
        <v>863</v>
      </c>
      <c r="I495" s="63" t="s">
        <v>863</v>
      </c>
      <c r="J495" s="116">
        <v>20000</v>
      </c>
      <c r="K495" s="59" t="s">
        <v>28</v>
      </c>
      <c r="L495" s="59" t="s">
        <v>57</v>
      </c>
      <c r="M495" s="89" t="s">
        <v>30</v>
      </c>
      <c r="N495" s="117">
        <v>20000</v>
      </c>
      <c r="O495" s="117">
        <f t="shared" si="25"/>
        <v>0</v>
      </c>
      <c r="P495" s="115">
        <v>44924</v>
      </c>
      <c r="Q495" s="61">
        <f t="shared" si="24"/>
        <v>44924</v>
      </c>
      <c r="R495" s="68"/>
      <c r="S495" s="60" t="s">
        <v>1146</v>
      </c>
      <c r="T495" s="105"/>
      <c r="U495" s="68"/>
      <c r="V495" s="68"/>
      <c r="W495" s="68"/>
      <c r="X495" s="68"/>
    </row>
    <row r="496" s="17" customFormat="1" ht="24" hidden="1" spans="1:24">
      <c r="A496" s="59">
        <v>494</v>
      </c>
      <c r="B496" s="60" t="s">
        <v>1147</v>
      </c>
      <c r="C496" s="114">
        <f t="shared" si="26"/>
        <v>44858</v>
      </c>
      <c r="D496" s="62" t="str">
        <f ca="1" t="shared" si="23"/>
        <v>一年以上</v>
      </c>
      <c r="E496" s="115">
        <v>44858</v>
      </c>
      <c r="F496" s="66" t="s">
        <v>632</v>
      </c>
      <c r="G496" s="132" t="s">
        <v>993</v>
      </c>
      <c r="H496" s="100" t="s">
        <v>315</v>
      </c>
      <c r="I496" s="63" t="s">
        <v>315</v>
      </c>
      <c r="J496" s="116">
        <v>10000</v>
      </c>
      <c r="K496" s="59" t="s">
        <v>28</v>
      </c>
      <c r="L496" s="59" t="s">
        <v>57</v>
      </c>
      <c r="M496" s="89" t="s">
        <v>30</v>
      </c>
      <c r="N496" s="117">
        <v>10000</v>
      </c>
      <c r="O496" s="117">
        <f t="shared" si="25"/>
        <v>0</v>
      </c>
      <c r="P496" s="115">
        <v>44908</v>
      </c>
      <c r="Q496" s="61">
        <f t="shared" si="24"/>
        <v>44908</v>
      </c>
      <c r="R496" s="68"/>
      <c r="S496" s="72" t="s">
        <v>1148</v>
      </c>
      <c r="T496" s="105"/>
      <c r="U496" s="68"/>
      <c r="V496" s="68"/>
      <c r="W496" s="68"/>
      <c r="X496" s="68"/>
    </row>
    <row r="497" s="17" customFormat="1" ht="28" hidden="1" customHeight="1" spans="1:24">
      <c r="A497" s="59">
        <v>495</v>
      </c>
      <c r="B497" s="60" t="s">
        <v>1149</v>
      </c>
      <c r="C497" s="114">
        <f t="shared" si="26"/>
        <v>44858</v>
      </c>
      <c r="D497" s="62" t="str">
        <f ca="1" t="shared" si="23"/>
        <v>一年以上</v>
      </c>
      <c r="E497" s="115">
        <v>44858</v>
      </c>
      <c r="F497" s="115" t="s">
        <v>70</v>
      </c>
      <c r="G497" s="132" t="s">
        <v>146</v>
      </c>
      <c r="H497" s="100" t="s">
        <v>1150</v>
      </c>
      <c r="I497" s="63" t="s">
        <v>1150</v>
      </c>
      <c r="J497" s="133">
        <v>5000</v>
      </c>
      <c r="K497" s="105" t="s">
        <v>28</v>
      </c>
      <c r="L497" s="105" t="s">
        <v>73</v>
      </c>
      <c r="M497" s="89" t="s">
        <v>65</v>
      </c>
      <c r="N497" s="117">
        <v>5000</v>
      </c>
      <c r="O497" s="117">
        <f t="shared" si="25"/>
        <v>0</v>
      </c>
      <c r="P497" s="115">
        <v>45069</v>
      </c>
      <c r="Q497" s="61">
        <f t="shared" si="24"/>
        <v>45069</v>
      </c>
      <c r="R497" s="68"/>
      <c r="S497" s="72" t="s">
        <v>1151</v>
      </c>
      <c r="T497" s="105" t="s">
        <v>1152</v>
      </c>
      <c r="U497" s="68"/>
      <c r="V497" s="68"/>
      <c r="W497" s="68"/>
      <c r="X497" s="68"/>
    </row>
    <row r="498" s="17" customFormat="1" ht="36" hidden="1" customHeight="1" spans="1:24">
      <c r="A498" s="59">
        <v>496</v>
      </c>
      <c r="B498" s="60" t="s">
        <v>1153</v>
      </c>
      <c r="C498" s="114">
        <f t="shared" si="26"/>
        <v>44858</v>
      </c>
      <c r="D498" s="62" t="str">
        <f ca="1" t="shared" si="23"/>
        <v>一年以上</v>
      </c>
      <c r="E498" s="115">
        <v>44858</v>
      </c>
      <c r="F498" s="115" t="s">
        <v>632</v>
      </c>
      <c r="G498" s="132" t="s">
        <v>993</v>
      </c>
      <c r="H498" s="100" t="s">
        <v>1154</v>
      </c>
      <c r="I498" s="63" t="s">
        <v>1154</v>
      </c>
      <c r="J498" s="116">
        <v>400</v>
      </c>
      <c r="K498" s="105" t="s">
        <v>28</v>
      </c>
      <c r="L498" s="105" t="s">
        <v>73</v>
      </c>
      <c r="M498" s="89" t="s">
        <v>515</v>
      </c>
      <c r="N498" s="117">
        <v>400</v>
      </c>
      <c r="O498" s="117">
        <f t="shared" si="25"/>
        <v>0</v>
      </c>
      <c r="P498" s="66">
        <v>44880</v>
      </c>
      <c r="Q498" s="61">
        <f t="shared" si="24"/>
        <v>44880</v>
      </c>
      <c r="R498" s="59" t="s">
        <v>951</v>
      </c>
      <c r="S498" s="72" t="s">
        <v>1155</v>
      </c>
      <c r="T498" s="105"/>
      <c r="U498" s="68"/>
      <c r="V498" s="68"/>
      <c r="W498" s="68"/>
      <c r="X498" s="68"/>
    </row>
    <row r="499" s="17" customFormat="1" ht="24" spans="1:24">
      <c r="A499" s="59">
        <v>497</v>
      </c>
      <c r="B499" s="60" t="s">
        <v>1156</v>
      </c>
      <c r="C499" s="114">
        <f t="shared" si="26"/>
        <v>44860</v>
      </c>
      <c r="D499" s="62" t="str">
        <f ca="1" t="shared" si="23"/>
        <v>一年以上</v>
      </c>
      <c r="E499" s="115">
        <v>44860</v>
      </c>
      <c r="F499" s="115" t="s">
        <v>632</v>
      </c>
      <c r="G499" s="132" t="s">
        <v>450</v>
      </c>
      <c r="H499" s="100" t="s">
        <v>1157</v>
      </c>
      <c r="I499" s="63" t="s">
        <v>1157</v>
      </c>
      <c r="J499" s="116">
        <v>15000</v>
      </c>
      <c r="K499" s="105" t="s">
        <v>28</v>
      </c>
      <c r="L499" s="105" t="s">
        <v>73</v>
      </c>
      <c r="M499" s="89" t="s">
        <v>30</v>
      </c>
      <c r="N499" s="117"/>
      <c r="O499" s="134">
        <f t="shared" si="25"/>
        <v>15000</v>
      </c>
      <c r="P499" s="115"/>
      <c r="Q499" s="61">
        <f t="shared" si="24"/>
        <v>0</v>
      </c>
      <c r="R499" s="68"/>
      <c r="S499" s="72" t="s">
        <v>1159</v>
      </c>
      <c r="T499" s="105" t="s">
        <v>49</v>
      </c>
      <c r="U499" s="59" t="str">
        <f>VLOOKUP(T499,[1]区域划分!$A$1:$C$39,3,0)</f>
        <v>龚运谱</v>
      </c>
      <c r="V499" s="68"/>
      <c r="W499" s="68"/>
      <c r="X499" s="68"/>
    </row>
    <row r="500" s="17" customFormat="1" ht="48" hidden="1" spans="1:24">
      <c r="A500" s="59">
        <v>498</v>
      </c>
      <c r="B500" s="60" t="s">
        <v>1160</v>
      </c>
      <c r="C500" s="114">
        <f t="shared" si="26"/>
        <v>44860</v>
      </c>
      <c r="D500" s="62" t="str">
        <f ca="1" t="shared" si="23"/>
        <v>一年以上</v>
      </c>
      <c r="E500" s="115">
        <v>44860</v>
      </c>
      <c r="F500" s="115" t="s">
        <v>632</v>
      </c>
      <c r="G500" s="132" t="s">
        <v>993</v>
      </c>
      <c r="H500" s="100" t="s">
        <v>1154</v>
      </c>
      <c r="I500" s="63" t="s">
        <v>1154</v>
      </c>
      <c r="J500" s="116">
        <v>10000</v>
      </c>
      <c r="K500" s="105" t="s">
        <v>28</v>
      </c>
      <c r="L500" s="105" t="s">
        <v>73</v>
      </c>
      <c r="M500" s="89" t="s">
        <v>30</v>
      </c>
      <c r="N500" s="117">
        <v>10000</v>
      </c>
      <c r="O500" s="117">
        <f t="shared" si="25"/>
        <v>0</v>
      </c>
      <c r="P500" s="115">
        <v>44879</v>
      </c>
      <c r="Q500" s="61">
        <f t="shared" si="24"/>
        <v>44879</v>
      </c>
      <c r="R500" s="68"/>
      <c r="S500" s="72" t="s">
        <v>1155</v>
      </c>
      <c r="T500" s="105"/>
      <c r="U500" s="68"/>
      <c r="V500" s="68"/>
      <c r="W500" s="68"/>
      <c r="X500" s="68"/>
    </row>
    <row r="501" s="17" customFormat="1" ht="36" hidden="1" spans="1:24">
      <c r="A501" s="59">
        <v>499</v>
      </c>
      <c r="B501" s="60" t="s">
        <v>1161</v>
      </c>
      <c r="C501" s="114">
        <f t="shared" si="26"/>
        <v>44861</v>
      </c>
      <c r="D501" s="62" t="str">
        <f ca="1" t="shared" si="23"/>
        <v>一年以上</v>
      </c>
      <c r="E501" s="115">
        <v>44861</v>
      </c>
      <c r="F501" s="115" t="s">
        <v>632</v>
      </c>
      <c r="G501" s="132" t="s">
        <v>993</v>
      </c>
      <c r="H501" s="100" t="s">
        <v>1141</v>
      </c>
      <c r="I501" s="63" t="s">
        <v>1141</v>
      </c>
      <c r="J501" s="116">
        <v>4600</v>
      </c>
      <c r="K501" s="105" t="s">
        <v>28</v>
      </c>
      <c r="L501" s="105" t="s">
        <v>73</v>
      </c>
      <c r="M501" s="89" t="s">
        <v>30</v>
      </c>
      <c r="N501" s="117">
        <v>4600</v>
      </c>
      <c r="O501" s="117">
        <f t="shared" si="25"/>
        <v>0</v>
      </c>
      <c r="P501" s="115">
        <v>44869</v>
      </c>
      <c r="Q501" s="61">
        <f t="shared" si="24"/>
        <v>44869</v>
      </c>
      <c r="R501" s="68"/>
      <c r="S501" s="72" t="s">
        <v>1142</v>
      </c>
      <c r="T501" s="105"/>
      <c r="U501" s="68"/>
      <c r="V501" s="68"/>
      <c r="W501" s="68"/>
      <c r="X501" s="68"/>
    </row>
    <row r="502" s="17" customFormat="1" hidden="1" spans="1:24">
      <c r="A502" s="59">
        <v>500</v>
      </c>
      <c r="B502" s="60" t="s">
        <v>1162</v>
      </c>
      <c r="C502" s="114">
        <f t="shared" si="26"/>
        <v>44862</v>
      </c>
      <c r="D502" s="62" t="str">
        <f ca="1" t="shared" si="23"/>
        <v>一年以上</v>
      </c>
      <c r="E502" s="115">
        <v>44862</v>
      </c>
      <c r="F502" s="115" t="s">
        <v>632</v>
      </c>
      <c r="G502" s="132" t="s">
        <v>450</v>
      </c>
      <c r="H502" s="100" t="s">
        <v>634</v>
      </c>
      <c r="I502" s="63" t="s">
        <v>634</v>
      </c>
      <c r="J502" s="116">
        <v>200</v>
      </c>
      <c r="K502" s="105" t="s">
        <v>28</v>
      </c>
      <c r="L502" s="105" t="s">
        <v>73</v>
      </c>
      <c r="M502" s="89" t="s">
        <v>515</v>
      </c>
      <c r="N502" s="117">
        <v>200</v>
      </c>
      <c r="O502" s="117">
        <f t="shared" si="25"/>
        <v>0</v>
      </c>
      <c r="P502" s="115">
        <v>44862</v>
      </c>
      <c r="Q502" s="61">
        <f t="shared" si="24"/>
        <v>44862</v>
      </c>
      <c r="R502" s="68"/>
      <c r="S502" s="72" t="s">
        <v>1163</v>
      </c>
      <c r="T502" s="105"/>
      <c r="U502" s="68"/>
      <c r="V502" s="68"/>
      <c r="W502" s="68"/>
      <c r="X502" s="68"/>
    </row>
    <row r="503" s="17" customFormat="1" hidden="1" spans="1:24">
      <c r="A503" s="59">
        <v>501</v>
      </c>
      <c r="B503" s="60" t="s">
        <v>1164</v>
      </c>
      <c r="C503" s="114">
        <f t="shared" si="26"/>
        <v>44862</v>
      </c>
      <c r="D503" s="62" t="str">
        <f ca="1" t="shared" si="23"/>
        <v>一年以上</v>
      </c>
      <c r="E503" s="115">
        <v>44862</v>
      </c>
      <c r="F503" s="115" t="s">
        <v>632</v>
      </c>
      <c r="G503" s="132" t="s">
        <v>450</v>
      </c>
      <c r="H503" s="100" t="s">
        <v>634</v>
      </c>
      <c r="I503" s="63" t="s">
        <v>634</v>
      </c>
      <c r="J503" s="116">
        <v>20000</v>
      </c>
      <c r="K503" s="105" t="s">
        <v>28</v>
      </c>
      <c r="L503" s="105" t="s">
        <v>73</v>
      </c>
      <c r="M503" s="89" t="s">
        <v>30</v>
      </c>
      <c r="N503" s="117">
        <v>20000</v>
      </c>
      <c r="O503" s="117">
        <f t="shared" si="25"/>
        <v>0</v>
      </c>
      <c r="P503" s="115">
        <v>44872</v>
      </c>
      <c r="Q503" s="61">
        <f t="shared" si="24"/>
        <v>44872</v>
      </c>
      <c r="R503" s="68"/>
      <c r="S503" s="72" t="s">
        <v>1163</v>
      </c>
      <c r="T503" s="105"/>
      <c r="U503" s="68"/>
      <c r="V503" s="68"/>
      <c r="W503" s="68"/>
      <c r="X503" s="68"/>
    </row>
    <row r="504" s="17" customFormat="1" ht="48" hidden="1" spans="1:24">
      <c r="A504" s="59">
        <v>502</v>
      </c>
      <c r="B504" s="60" t="s">
        <v>1165</v>
      </c>
      <c r="C504" s="114">
        <f t="shared" si="26"/>
        <v>44862</v>
      </c>
      <c r="D504" s="62" t="str">
        <f ca="1" t="shared" si="23"/>
        <v>一年以上</v>
      </c>
      <c r="E504" s="115">
        <v>44862</v>
      </c>
      <c r="F504" s="115" t="s">
        <v>632</v>
      </c>
      <c r="G504" s="132" t="s">
        <v>450</v>
      </c>
      <c r="H504" s="374" t="s">
        <v>1166</v>
      </c>
      <c r="I504" s="63" t="s">
        <v>1166</v>
      </c>
      <c r="J504" s="116">
        <v>6000</v>
      </c>
      <c r="K504" s="105" t="s">
        <v>28</v>
      </c>
      <c r="L504" s="105" t="s">
        <v>73</v>
      </c>
      <c r="M504" s="89" t="s">
        <v>30</v>
      </c>
      <c r="N504" s="117">
        <v>6000</v>
      </c>
      <c r="O504" s="117">
        <f t="shared" si="25"/>
        <v>0</v>
      </c>
      <c r="P504" s="115">
        <v>45102</v>
      </c>
      <c r="Q504" s="61">
        <f t="shared" si="24"/>
        <v>45102</v>
      </c>
      <c r="R504" s="68"/>
      <c r="S504" s="72" t="s">
        <v>1167</v>
      </c>
      <c r="T504" s="105" t="s">
        <v>267</v>
      </c>
      <c r="U504" s="68"/>
      <c r="V504" s="68"/>
      <c r="W504" s="68"/>
      <c r="X504" s="68"/>
    </row>
    <row r="505" s="17" customFormat="1" ht="24" hidden="1" spans="1:24">
      <c r="A505" s="59">
        <v>503</v>
      </c>
      <c r="B505" s="60" t="s">
        <v>1168</v>
      </c>
      <c r="C505" s="114">
        <f t="shared" si="26"/>
        <v>44865</v>
      </c>
      <c r="D505" s="62" t="str">
        <f ca="1" t="shared" si="23"/>
        <v>一年以上</v>
      </c>
      <c r="E505" s="115">
        <v>44865</v>
      </c>
      <c r="F505" s="115" t="s">
        <v>632</v>
      </c>
      <c r="G505" s="132" t="s">
        <v>993</v>
      </c>
      <c r="H505" s="100" t="s">
        <v>1169</v>
      </c>
      <c r="I505" s="63" t="s">
        <v>1169</v>
      </c>
      <c r="J505" s="116">
        <v>10000</v>
      </c>
      <c r="K505" s="105" t="s">
        <v>28</v>
      </c>
      <c r="L505" s="105" t="s">
        <v>73</v>
      </c>
      <c r="M505" s="89" t="s">
        <v>30</v>
      </c>
      <c r="N505" s="117">
        <v>10000</v>
      </c>
      <c r="O505" s="117">
        <f t="shared" si="25"/>
        <v>0</v>
      </c>
      <c r="P505" s="115">
        <v>45280</v>
      </c>
      <c r="Q505" s="61">
        <f t="shared" si="24"/>
        <v>45280</v>
      </c>
      <c r="R505" s="68"/>
      <c r="S505" s="72" t="s">
        <v>1170</v>
      </c>
      <c r="T505" s="94" t="s">
        <v>396</v>
      </c>
      <c r="U505" s="59" t="str">
        <f>VLOOKUP(T505,[1]区域划分!$A$1:$C$39,3,0)</f>
        <v>牛国庆</v>
      </c>
      <c r="V505" s="68"/>
      <c r="W505" s="68"/>
      <c r="X505" s="68"/>
    </row>
    <row r="506" s="17" customFormat="1" ht="36" hidden="1" spans="1:24">
      <c r="A506" s="59">
        <v>504</v>
      </c>
      <c r="B506" s="60" t="s">
        <v>1171</v>
      </c>
      <c r="C506" s="114">
        <f t="shared" si="26"/>
        <v>44869</v>
      </c>
      <c r="D506" s="62" t="str">
        <f ca="1" t="shared" si="23"/>
        <v>一年以上</v>
      </c>
      <c r="E506" s="115">
        <v>44869</v>
      </c>
      <c r="F506" s="115" t="s">
        <v>632</v>
      </c>
      <c r="G506" s="132" t="s">
        <v>450</v>
      </c>
      <c r="H506" s="100" t="s">
        <v>1172</v>
      </c>
      <c r="I506" s="63" t="s">
        <v>1172</v>
      </c>
      <c r="J506" s="116">
        <v>5000</v>
      </c>
      <c r="K506" s="105" t="s">
        <v>28</v>
      </c>
      <c r="L506" s="105" t="s">
        <v>73</v>
      </c>
      <c r="M506" s="89" t="s">
        <v>30</v>
      </c>
      <c r="N506" s="117">
        <v>5000</v>
      </c>
      <c r="O506" s="117">
        <f t="shared" si="25"/>
        <v>0</v>
      </c>
      <c r="P506" s="115">
        <v>45059</v>
      </c>
      <c r="Q506" s="61">
        <f t="shared" si="24"/>
        <v>45059</v>
      </c>
      <c r="R506" s="68"/>
      <c r="S506" s="72" t="s">
        <v>1173</v>
      </c>
      <c r="T506" s="105" t="s">
        <v>86</v>
      </c>
      <c r="U506" s="68"/>
      <c r="V506" s="68"/>
      <c r="W506" s="68"/>
      <c r="X506" s="68"/>
    </row>
    <row r="507" s="17" customFormat="1" hidden="1" spans="1:24">
      <c r="A507" s="59">
        <v>505</v>
      </c>
      <c r="B507" s="60" t="s">
        <v>1174</v>
      </c>
      <c r="C507" s="114">
        <f t="shared" si="26"/>
        <v>44872</v>
      </c>
      <c r="D507" s="62" t="str">
        <f ca="1" t="shared" si="23"/>
        <v>一年以上</v>
      </c>
      <c r="E507" s="115">
        <v>44872</v>
      </c>
      <c r="F507" s="115" t="s">
        <v>632</v>
      </c>
      <c r="G507" s="132" t="s">
        <v>450</v>
      </c>
      <c r="H507" s="100" t="s">
        <v>577</v>
      </c>
      <c r="I507" s="63" t="s">
        <v>578</v>
      </c>
      <c r="J507" s="116">
        <v>10000</v>
      </c>
      <c r="K507" s="105" t="s">
        <v>28</v>
      </c>
      <c r="L507" s="105" t="s">
        <v>73</v>
      </c>
      <c r="M507" s="89" t="s">
        <v>30</v>
      </c>
      <c r="N507" s="117">
        <v>10000</v>
      </c>
      <c r="O507" s="117">
        <f t="shared" si="25"/>
        <v>0</v>
      </c>
      <c r="P507" s="115">
        <v>44880</v>
      </c>
      <c r="Q507" s="61">
        <f t="shared" si="24"/>
        <v>44880</v>
      </c>
      <c r="R507" s="68"/>
      <c r="S507" s="72" t="s">
        <v>1175</v>
      </c>
      <c r="T507" s="105"/>
      <c r="U507" s="68"/>
      <c r="V507" s="68"/>
      <c r="W507" s="68"/>
      <c r="X507" s="68"/>
    </row>
    <row r="508" s="17" customFormat="1" hidden="1" spans="1:24">
      <c r="A508" s="59">
        <v>506</v>
      </c>
      <c r="B508" s="60" t="s">
        <v>1176</v>
      </c>
      <c r="C508" s="114">
        <f t="shared" si="26"/>
        <v>44872</v>
      </c>
      <c r="D508" s="62" t="str">
        <f ca="1" t="shared" si="23"/>
        <v>一年以上</v>
      </c>
      <c r="E508" s="115">
        <v>44872</v>
      </c>
      <c r="F508" s="115" t="s">
        <v>632</v>
      </c>
      <c r="G508" s="132" t="s">
        <v>450</v>
      </c>
      <c r="H508" s="100" t="s">
        <v>577</v>
      </c>
      <c r="I508" s="63" t="s">
        <v>578</v>
      </c>
      <c r="J508" s="116">
        <v>200</v>
      </c>
      <c r="K508" s="105" t="s">
        <v>28</v>
      </c>
      <c r="L508" s="105" t="s">
        <v>73</v>
      </c>
      <c r="M508" s="89" t="s">
        <v>515</v>
      </c>
      <c r="N508" s="117">
        <v>200</v>
      </c>
      <c r="O508" s="117">
        <f t="shared" si="25"/>
        <v>0</v>
      </c>
      <c r="P508" s="115">
        <v>44872</v>
      </c>
      <c r="Q508" s="61">
        <f t="shared" si="24"/>
        <v>44872</v>
      </c>
      <c r="R508" s="68"/>
      <c r="S508" s="72" t="s">
        <v>1175</v>
      </c>
      <c r="T508" s="105"/>
      <c r="U508" s="68"/>
      <c r="V508" s="68"/>
      <c r="W508" s="68"/>
      <c r="X508" s="68"/>
    </row>
    <row r="509" s="17" customFormat="1" ht="24" hidden="1" spans="1:24">
      <c r="A509" s="59">
        <v>507</v>
      </c>
      <c r="B509" s="60" t="s">
        <v>1177</v>
      </c>
      <c r="C509" s="114">
        <f t="shared" si="26"/>
        <v>44872</v>
      </c>
      <c r="D509" s="62" t="str">
        <f ca="1" t="shared" si="23"/>
        <v>一年以上</v>
      </c>
      <c r="E509" s="115">
        <v>44872</v>
      </c>
      <c r="F509" s="115" t="s">
        <v>632</v>
      </c>
      <c r="G509" s="132" t="s">
        <v>450</v>
      </c>
      <c r="H509" s="100" t="s">
        <v>1178</v>
      </c>
      <c r="I509" s="63" t="s">
        <v>1178</v>
      </c>
      <c r="J509" s="116">
        <v>10000</v>
      </c>
      <c r="K509" s="105" t="s">
        <v>28</v>
      </c>
      <c r="L509" s="105" t="s">
        <v>73</v>
      </c>
      <c r="M509" s="89" t="s">
        <v>30</v>
      </c>
      <c r="N509" s="117">
        <v>10000</v>
      </c>
      <c r="O509" s="117">
        <f t="shared" si="25"/>
        <v>0</v>
      </c>
      <c r="P509" s="115">
        <v>44880</v>
      </c>
      <c r="Q509" s="61">
        <f t="shared" si="24"/>
        <v>44880</v>
      </c>
      <c r="R509" s="68"/>
      <c r="S509" s="72" t="s">
        <v>1179</v>
      </c>
      <c r="T509" s="105"/>
      <c r="U509" s="68"/>
      <c r="V509" s="68"/>
      <c r="W509" s="68"/>
      <c r="X509" s="68"/>
    </row>
    <row r="510" s="17" customFormat="1" ht="24" hidden="1" spans="1:24">
      <c r="A510" s="59">
        <v>508</v>
      </c>
      <c r="B510" s="60" t="s">
        <v>1180</v>
      </c>
      <c r="C510" s="114">
        <f t="shared" si="26"/>
        <v>44872</v>
      </c>
      <c r="D510" s="62" t="str">
        <f ca="1" t="shared" si="23"/>
        <v>一年以上</v>
      </c>
      <c r="E510" s="115">
        <v>44872</v>
      </c>
      <c r="F510" s="115" t="s">
        <v>632</v>
      </c>
      <c r="G510" s="132" t="s">
        <v>450</v>
      </c>
      <c r="H510" s="100" t="s">
        <v>1178</v>
      </c>
      <c r="I510" s="63" t="s">
        <v>1178</v>
      </c>
      <c r="J510" s="116">
        <v>200</v>
      </c>
      <c r="K510" s="105" t="s">
        <v>28</v>
      </c>
      <c r="L510" s="105" t="s">
        <v>73</v>
      </c>
      <c r="M510" s="89" t="s">
        <v>515</v>
      </c>
      <c r="N510" s="117">
        <v>200</v>
      </c>
      <c r="O510" s="117">
        <f t="shared" si="25"/>
        <v>0</v>
      </c>
      <c r="P510" s="115">
        <v>44872</v>
      </c>
      <c r="Q510" s="61">
        <f t="shared" si="24"/>
        <v>44872</v>
      </c>
      <c r="R510" s="68"/>
      <c r="S510" s="72" t="s">
        <v>1179</v>
      </c>
      <c r="T510" s="105"/>
      <c r="U510" s="68"/>
      <c r="V510" s="68"/>
      <c r="W510" s="68"/>
      <c r="X510" s="68"/>
    </row>
    <row r="511" s="17" customFormat="1" ht="24" hidden="1" spans="1:24">
      <c r="A511" s="59">
        <v>509</v>
      </c>
      <c r="B511" s="60" t="s">
        <v>1181</v>
      </c>
      <c r="C511" s="114">
        <f t="shared" si="26"/>
        <v>44872</v>
      </c>
      <c r="D511" s="62" t="str">
        <f ca="1" t="shared" si="23"/>
        <v>一年以上</v>
      </c>
      <c r="E511" s="115">
        <v>44872</v>
      </c>
      <c r="F511" s="115" t="s">
        <v>632</v>
      </c>
      <c r="G511" s="132" t="s">
        <v>450</v>
      </c>
      <c r="H511" s="100" t="s">
        <v>366</v>
      </c>
      <c r="I511" s="63" t="s">
        <v>366</v>
      </c>
      <c r="J511" s="116">
        <v>5000</v>
      </c>
      <c r="K511" s="59" t="s">
        <v>356</v>
      </c>
      <c r="L511" s="59" t="s">
        <v>458</v>
      </c>
      <c r="M511" s="59" t="s">
        <v>30</v>
      </c>
      <c r="N511" s="117">
        <v>5000</v>
      </c>
      <c r="O511" s="117">
        <f t="shared" si="25"/>
        <v>0</v>
      </c>
      <c r="P511" s="115">
        <v>44887</v>
      </c>
      <c r="Q511" s="61">
        <f t="shared" si="24"/>
        <v>44887</v>
      </c>
      <c r="R511" s="68"/>
      <c r="S511" s="72" t="s">
        <v>1182</v>
      </c>
      <c r="T511" s="105"/>
      <c r="U511" s="68"/>
      <c r="V511" s="68"/>
      <c r="W511" s="68"/>
      <c r="X511" s="68"/>
    </row>
    <row r="512" s="24" customFormat="1" hidden="1" spans="1:24">
      <c r="A512" s="118">
        <v>510</v>
      </c>
      <c r="B512" s="119" t="s">
        <v>1183</v>
      </c>
      <c r="C512" s="120">
        <f t="shared" si="26"/>
        <v>44872</v>
      </c>
      <c r="D512" s="121" t="str">
        <f ca="1" t="shared" si="23"/>
        <v>一年以上</v>
      </c>
      <c r="E512" s="122">
        <v>44872</v>
      </c>
      <c r="F512" s="122" t="s">
        <v>130</v>
      </c>
      <c r="G512" s="135" t="s">
        <v>569</v>
      </c>
      <c r="H512" s="125" t="s">
        <v>863</v>
      </c>
      <c r="I512" s="126" t="s">
        <v>863</v>
      </c>
      <c r="J512" s="127">
        <v>52088</v>
      </c>
      <c r="K512" s="131" t="s">
        <v>28</v>
      </c>
      <c r="L512" s="131" t="s">
        <v>57</v>
      </c>
      <c r="M512" s="124" t="s">
        <v>133</v>
      </c>
      <c r="N512" s="128">
        <v>52088</v>
      </c>
      <c r="O512" s="128">
        <f t="shared" si="25"/>
        <v>0</v>
      </c>
      <c r="P512" s="122" t="s">
        <v>2657</v>
      </c>
      <c r="Q512" s="129" t="str">
        <f t="shared" si="24"/>
        <v>2024.7.26</v>
      </c>
      <c r="R512" s="130"/>
      <c r="S512" s="119" t="s">
        <v>1118</v>
      </c>
      <c r="T512" s="131" t="s">
        <v>972</v>
      </c>
      <c r="U512" s="118" t="str">
        <f>VLOOKUP(T512,[1]区域划分!$A$1:$C$39,3,0)</f>
        <v>曾江利</v>
      </c>
      <c r="V512" s="130"/>
      <c r="W512" s="130"/>
      <c r="X512" s="130"/>
    </row>
    <row r="513" s="17" customFormat="1" ht="72" hidden="1" spans="1:24">
      <c r="A513" s="59">
        <v>511</v>
      </c>
      <c r="B513" s="60" t="s">
        <v>1184</v>
      </c>
      <c r="C513" s="114">
        <f t="shared" si="26"/>
        <v>44872</v>
      </c>
      <c r="D513" s="62" t="str">
        <f ca="1" t="shared" si="23"/>
        <v>一年以上</v>
      </c>
      <c r="E513" s="115">
        <v>44872</v>
      </c>
      <c r="F513" s="115" t="s">
        <v>70</v>
      </c>
      <c r="G513" s="132" t="s">
        <v>146</v>
      </c>
      <c r="H513" s="100" t="s">
        <v>305</v>
      </c>
      <c r="I513" s="63" t="s">
        <v>305</v>
      </c>
      <c r="J513" s="116">
        <v>3000</v>
      </c>
      <c r="K513" s="105" t="s">
        <v>28</v>
      </c>
      <c r="L513" s="105" t="s">
        <v>57</v>
      </c>
      <c r="M513" s="89" t="s">
        <v>65</v>
      </c>
      <c r="N513" s="117">
        <v>3000</v>
      </c>
      <c r="O513" s="117">
        <f t="shared" si="25"/>
        <v>0</v>
      </c>
      <c r="P513" s="115">
        <v>44945</v>
      </c>
      <c r="Q513" s="61">
        <f t="shared" si="24"/>
        <v>44945</v>
      </c>
      <c r="R513" s="72" t="s">
        <v>1185</v>
      </c>
      <c r="S513" s="72" t="s">
        <v>1186</v>
      </c>
      <c r="T513" s="105" t="s">
        <v>293</v>
      </c>
      <c r="U513" s="68"/>
      <c r="V513" s="68"/>
      <c r="W513" s="68"/>
      <c r="X513" s="68"/>
    </row>
    <row r="514" s="17" customFormat="1" hidden="1" spans="1:24">
      <c r="A514" s="59">
        <v>512</v>
      </c>
      <c r="B514" s="60" t="s">
        <v>1187</v>
      </c>
      <c r="C514" s="114">
        <f t="shared" si="26"/>
        <v>44873</v>
      </c>
      <c r="D514" s="62" t="str">
        <f ca="1" t="shared" si="23"/>
        <v>一年以上</v>
      </c>
      <c r="E514" s="115">
        <v>44873</v>
      </c>
      <c r="F514" s="115" t="s">
        <v>632</v>
      </c>
      <c r="G514" s="132" t="s">
        <v>450</v>
      </c>
      <c r="H514" s="100" t="s">
        <v>674</v>
      </c>
      <c r="I514" s="63" t="s">
        <v>1188</v>
      </c>
      <c r="J514" s="116">
        <v>5000</v>
      </c>
      <c r="K514" s="105" t="s">
        <v>28</v>
      </c>
      <c r="L514" s="105" t="s">
        <v>57</v>
      </c>
      <c r="M514" s="59" t="s">
        <v>30</v>
      </c>
      <c r="N514" s="134">
        <v>5000</v>
      </c>
      <c r="O514" s="117">
        <f t="shared" si="25"/>
        <v>0</v>
      </c>
      <c r="P514" s="115">
        <v>45287</v>
      </c>
      <c r="Q514" s="61">
        <f t="shared" si="24"/>
        <v>45287</v>
      </c>
      <c r="R514" s="68" t="s">
        <v>1189</v>
      </c>
      <c r="S514" s="72" t="s">
        <v>1190</v>
      </c>
      <c r="T514" s="105" t="s">
        <v>581</v>
      </c>
      <c r="U514" s="59" t="str">
        <f>VLOOKUP(T514,[1]区域划分!$A$1:$C$39,3,0)</f>
        <v>新疆</v>
      </c>
      <c r="V514" s="68"/>
      <c r="W514" s="68"/>
      <c r="X514" s="68"/>
    </row>
    <row r="515" s="17" customFormat="1" hidden="1" spans="1:24">
      <c r="A515" s="59">
        <v>513</v>
      </c>
      <c r="B515" s="60" t="s">
        <v>1191</v>
      </c>
      <c r="C515" s="114">
        <f t="shared" si="26"/>
        <v>44873</v>
      </c>
      <c r="D515" s="62" t="str">
        <f ca="1" t="shared" ref="D515:D578" si="27">IF(TODAY()-E515&lt;60,"2个月内",IF(TODAY()-E515&lt;180,"3-6个月",IF(TODAY()-E515&lt;360,"6个月-1年","一年以上")))</f>
        <v>一年以上</v>
      </c>
      <c r="E515" s="115">
        <v>44873</v>
      </c>
      <c r="F515" s="115" t="s">
        <v>632</v>
      </c>
      <c r="G515" s="132" t="s">
        <v>450</v>
      </c>
      <c r="H515" s="100" t="s">
        <v>674</v>
      </c>
      <c r="I515" s="63" t="s">
        <v>674</v>
      </c>
      <c r="J515" s="116">
        <v>200</v>
      </c>
      <c r="K515" s="105" t="s">
        <v>28</v>
      </c>
      <c r="L515" s="105" t="s">
        <v>57</v>
      </c>
      <c r="M515" s="59" t="s">
        <v>515</v>
      </c>
      <c r="N515" s="117">
        <v>200</v>
      </c>
      <c r="O515" s="117">
        <f t="shared" si="25"/>
        <v>0</v>
      </c>
      <c r="P515" s="115"/>
      <c r="Q515" s="61">
        <f t="shared" ref="Q515:Q578" si="28">P515</f>
        <v>0</v>
      </c>
      <c r="R515" s="68"/>
      <c r="S515" s="72" t="s">
        <v>1190</v>
      </c>
      <c r="T515" s="105"/>
      <c r="U515" s="68"/>
      <c r="V515" s="68"/>
      <c r="W515" s="68"/>
      <c r="X515" s="68"/>
    </row>
    <row r="516" s="17" customFormat="1" hidden="1" spans="1:24">
      <c r="A516" s="59">
        <v>514</v>
      </c>
      <c r="B516" s="60" t="s">
        <v>1192</v>
      </c>
      <c r="C516" s="114">
        <f t="shared" si="26"/>
        <v>44874</v>
      </c>
      <c r="D516" s="62" t="str">
        <f ca="1" t="shared" si="27"/>
        <v>一年以上</v>
      </c>
      <c r="E516" s="115">
        <v>44874</v>
      </c>
      <c r="F516" s="115" t="s">
        <v>632</v>
      </c>
      <c r="G516" s="132" t="s">
        <v>450</v>
      </c>
      <c r="H516" s="100" t="s">
        <v>1101</v>
      </c>
      <c r="I516" s="63" t="s">
        <v>1101</v>
      </c>
      <c r="J516" s="116">
        <v>5000</v>
      </c>
      <c r="K516" s="105" t="s">
        <v>356</v>
      </c>
      <c r="L516" s="105" t="s">
        <v>458</v>
      </c>
      <c r="M516" s="89" t="s">
        <v>30</v>
      </c>
      <c r="N516" s="117">
        <v>5000</v>
      </c>
      <c r="O516" s="117">
        <f t="shared" si="25"/>
        <v>0</v>
      </c>
      <c r="P516" s="115">
        <v>45258</v>
      </c>
      <c r="Q516" s="61">
        <f t="shared" si="28"/>
        <v>45258</v>
      </c>
      <c r="R516" s="68"/>
      <c r="S516" s="72" t="s">
        <v>1193</v>
      </c>
      <c r="T516" s="105" t="s">
        <v>388</v>
      </c>
      <c r="U516" s="59" t="str">
        <f>VLOOKUP(T516,[1]区域划分!$A$1:$C$39,3,0)</f>
        <v>林维</v>
      </c>
      <c r="V516" s="68"/>
      <c r="W516" s="68"/>
      <c r="X516" s="68"/>
    </row>
    <row r="517" s="17" customFormat="1" spans="1:24">
      <c r="A517" s="59">
        <v>515</v>
      </c>
      <c r="B517" s="60" t="s">
        <v>1194</v>
      </c>
      <c r="C517" s="114">
        <f t="shared" si="26"/>
        <v>44874</v>
      </c>
      <c r="D517" s="62" t="str">
        <f ca="1" t="shared" si="27"/>
        <v>一年以上</v>
      </c>
      <c r="E517" s="115">
        <v>44874</v>
      </c>
      <c r="F517" s="115" t="s">
        <v>632</v>
      </c>
      <c r="G517" s="132" t="s">
        <v>450</v>
      </c>
      <c r="H517" s="100" t="s">
        <v>1101</v>
      </c>
      <c r="I517" s="63" t="s">
        <v>1101</v>
      </c>
      <c r="J517" s="116">
        <v>9000</v>
      </c>
      <c r="K517" s="105" t="s">
        <v>356</v>
      </c>
      <c r="L517" s="105" t="s">
        <v>458</v>
      </c>
      <c r="M517" s="89" t="s">
        <v>30</v>
      </c>
      <c r="N517" s="117"/>
      <c r="O517" s="134">
        <f t="shared" si="25"/>
        <v>9000</v>
      </c>
      <c r="P517" s="115"/>
      <c r="Q517" s="61">
        <f t="shared" si="28"/>
        <v>0</v>
      </c>
      <c r="R517" s="68"/>
      <c r="S517" s="72" t="s">
        <v>1196</v>
      </c>
      <c r="T517" s="105" t="s">
        <v>388</v>
      </c>
      <c r="U517" s="59" t="str">
        <f>VLOOKUP(T517,[1]区域划分!$A$1:$C$39,3,0)</f>
        <v>林维</v>
      </c>
      <c r="V517" s="68"/>
      <c r="W517" s="68"/>
      <c r="X517" s="68"/>
    </row>
    <row r="518" s="17" customFormat="1" ht="24" hidden="1" spans="1:24">
      <c r="A518" s="59">
        <v>516</v>
      </c>
      <c r="B518" s="60" t="s">
        <v>1197</v>
      </c>
      <c r="C518" s="114">
        <f t="shared" si="26"/>
        <v>44874</v>
      </c>
      <c r="D518" s="62" t="str">
        <f ca="1" t="shared" si="27"/>
        <v>一年以上</v>
      </c>
      <c r="E518" s="115">
        <v>44874</v>
      </c>
      <c r="F518" s="115" t="s">
        <v>632</v>
      </c>
      <c r="G518" s="132" t="s">
        <v>450</v>
      </c>
      <c r="H518" s="100" t="s">
        <v>495</v>
      </c>
      <c r="I518" s="63" t="s">
        <v>495</v>
      </c>
      <c r="J518" s="116">
        <v>2000</v>
      </c>
      <c r="K518" s="105" t="s">
        <v>356</v>
      </c>
      <c r="L518" s="105" t="s">
        <v>458</v>
      </c>
      <c r="M518" s="89" t="s">
        <v>30</v>
      </c>
      <c r="N518" s="117">
        <v>2000</v>
      </c>
      <c r="O518" s="117">
        <f t="shared" si="25"/>
        <v>0</v>
      </c>
      <c r="P518" s="115">
        <v>44932</v>
      </c>
      <c r="Q518" s="61">
        <f t="shared" si="28"/>
        <v>44932</v>
      </c>
      <c r="R518" s="68"/>
      <c r="S518" s="72" t="s">
        <v>1198</v>
      </c>
      <c r="T518" s="105" t="s">
        <v>182</v>
      </c>
      <c r="U518" s="68"/>
      <c r="V518" s="68"/>
      <c r="W518" s="68"/>
      <c r="X518" s="68"/>
    </row>
    <row r="519" s="17" customFormat="1" ht="24" hidden="1" spans="1:24">
      <c r="A519" s="59">
        <v>517</v>
      </c>
      <c r="B519" s="60" t="s">
        <v>1199</v>
      </c>
      <c r="C519" s="114">
        <f t="shared" si="26"/>
        <v>44875</v>
      </c>
      <c r="D519" s="62" t="str">
        <f ca="1" t="shared" si="27"/>
        <v>一年以上</v>
      </c>
      <c r="E519" s="115">
        <v>44875</v>
      </c>
      <c r="F519" s="115" t="s">
        <v>632</v>
      </c>
      <c r="G519" s="132" t="s">
        <v>450</v>
      </c>
      <c r="H519" s="100" t="s">
        <v>1200</v>
      </c>
      <c r="I519" s="63" t="s">
        <v>1200</v>
      </c>
      <c r="J519" s="116">
        <v>10500</v>
      </c>
      <c r="K519" s="105" t="s">
        <v>28</v>
      </c>
      <c r="L519" s="105" t="s">
        <v>57</v>
      </c>
      <c r="M519" s="89" t="s">
        <v>968</v>
      </c>
      <c r="N519" s="117">
        <v>10500</v>
      </c>
      <c r="O519" s="117">
        <f t="shared" si="25"/>
        <v>0</v>
      </c>
      <c r="P519" s="115">
        <v>44960</v>
      </c>
      <c r="Q519" s="61">
        <f t="shared" si="28"/>
        <v>44960</v>
      </c>
      <c r="R519" s="68" t="s">
        <v>951</v>
      </c>
      <c r="S519" s="72"/>
      <c r="T519" s="105"/>
      <c r="U519" s="68"/>
      <c r="V519" s="68"/>
      <c r="W519" s="68"/>
      <c r="X519" s="68"/>
    </row>
    <row r="520" s="17" customFormat="1" hidden="1" spans="1:24">
      <c r="A520" s="59">
        <v>518</v>
      </c>
      <c r="B520" s="60" t="s">
        <v>1201</v>
      </c>
      <c r="C520" s="114">
        <f t="shared" si="26"/>
        <v>44875</v>
      </c>
      <c r="D520" s="62" t="str">
        <f ca="1" t="shared" si="27"/>
        <v>一年以上</v>
      </c>
      <c r="E520" s="115">
        <v>44875</v>
      </c>
      <c r="F520" s="115" t="s">
        <v>70</v>
      </c>
      <c r="G520" s="132" t="s">
        <v>1202</v>
      </c>
      <c r="H520" s="100" t="s">
        <v>1203</v>
      </c>
      <c r="I520" s="63" t="s">
        <v>1203</v>
      </c>
      <c r="J520" s="116">
        <v>30000</v>
      </c>
      <c r="K520" s="105" t="s">
        <v>28</v>
      </c>
      <c r="L520" s="105" t="s">
        <v>57</v>
      </c>
      <c r="M520" s="89" t="s">
        <v>65</v>
      </c>
      <c r="N520" s="117">
        <v>30000</v>
      </c>
      <c r="O520" s="117">
        <f t="shared" si="25"/>
        <v>0</v>
      </c>
      <c r="P520" s="115">
        <v>45215</v>
      </c>
      <c r="Q520" s="61">
        <f t="shared" si="28"/>
        <v>45215</v>
      </c>
      <c r="R520" s="68" t="s">
        <v>1204</v>
      </c>
      <c r="S520" s="72"/>
      <c r="T520" s="105" t="s">
        <v>86</v>
      </c>
      <c r="U520" s="68"/>
      <c r="V520" s="68"/>
      <c r="W520" s="68"/>
      <c r="X520" s="68"/>
    </row>
    <row r="521" s="17" customFormat="1" ht="24" hidden="1" spans="1:24">
      <c r="A521" s="59">
        <v>519</v>
      </c>
      <c r="B521" s="60" t="s">
        <v>1205</v>
      </c>
      <c r="C521" s="114">
        <f t="shared" si="26"/>
        <v>44879</v>
      </c>
      <c r="D521" s="62" t="str">
        <f ca="1" t="shared" si="27"/>
        <v>一年以上</v>
      </c>
      <c r="E521" s="115">
        <v>44879</v>
      </c>
      <c r="F521" s="115" t="s">
        <v>130</v>
      </c>
      <c r="G521" s="132" t="s">
        <v>239</v>
      </c>
      <c r="H521" s="100" t="s">
        <v>1005</v>
      </c>
      <c r="I521" s="63" t="s">
        <v>1005</v>
      </c>
      <c r="J521" s="116">
        <v>10000</v>
      </c>
      <c r="K521" s="105" t="s">
        <v>356</v>
      </c>
      <c r="L521" s="105" t="s">
        <v>1206</v>
      </c>
      <c r="M521" s="89" t="s">
        <v>30</v>
      </c>
      <c r="N521" s="117">
        <v>10000</v>
      </c>
      <c r="O521" s="117">
        <f t="shared" si="25"/>
        <v>0</v>
      </c>
      <c r="P521" s="115">
        <v>45013</v>
      </c>
      <c r="Q521" s="61">
        <f t="shared" si="28"/>
        <v>45013</v>
      </c>
      <c r="R521" s="68" t="s">
        <v>1207</v>
      </c>
      <c r="S521" s="72" t="s">
        <v>1208</v>
      </c>
      <c r="T521" s="105" t="s">
        <v>381</v>
      </c>
      <c r="U521" s="68"/>
      <c r="V521" s="68"/>
      <c r="W521" s="68"/>
      <c r="X521" s="68"/>
    </row>
    <row r="522" s="17" customFormat="1" ht="24" hidden="1" spans="1:24">
      <c r="A522" s="59">
        <v>520</v>
      </c>
      <c r="B522" s="60" t="s">
        <v>1209</v>
      </c>
      <c r="C522" s="114">
        <f t="shared" si="26"/>
        <v>44879</v>
      </c>
      <c r="D522" s="62" t="str">
        <f ca="1" t="shared" si="27"/>
        <v>一年以上</v>
      </c>
      <c r="E522" s="115">
        <v>44879</v>
      </c>
      <c r="F522" s="115" t="s">
        <v>632</v>
      </c>
      <c r="G522" s="132" t="s">
        <v>450</v>
      </c>
      <c r="H522" s="100" t="s">
        <v>696</v>
      </c>
      <c r="I522" s="63" t="s">
        <v>696</v>
      </c>
      <c r="J522" s="116">
        <v>3000</v>
      </c>
      <c r="K522" s="105" t="s">
        <v>356</v>
      </c>
      <c r="L522" s="105" t="s">
        <v>458</v>
      </c>
      <c r="M522" s="89" t="s">
        <v>30</v>
      </c>
      <c r="N522" s="117">
        <v>3000</v>
      </c>
      <c r="O522" s="117">
        <f t="shared" si="25"/>
        <v>0</v>
      </c>
      <c r="P522" s="115">
        <v>44923</v>
      </c>
      <c r="Q522" s="61">
        <f t="shared" si="28"/>
        <v>44923</v>
      </c>
      <c r="R522" s="68"/>
      <c r="S522" s="72" t="s">
        <v>1210</v>
      </c>
      <c r="T522" s="105"/>
      <c r="U522" s="68"/>
      <c r="V522" s="68"/>
      <c r="W522" s="68"/>
      <c r="X522" s="68"/>
    </row>
    <row r="523" s="17" customFormat="1" hidden="1" spans="1:24">
      <c r="A523" s="59">
        <v>521</v>
      </c>
      <c r="B523" s="60" t="s">
        <v>1211</v>
      </c>
      <c r="C523" s="114">
        <f t="shared" si="26"/>
        <v>44880</v>
      </c>
      <c r="D523" s="62" t="str">
        <f ca="1" t="shared" si="27"/>
        <v>一年以上</v>
      </c>
      <c r="E523" s="115">
        <v>44880</v>
      </c>
      <c r="F523" s="115" t="s">
        <v>632</v>
      </c>
      <c r="G523" s="132" t="s">
        <v>450</v>
      </c>
      <c r="H523" s="100" t="s">
        <v>1101</v>
      </c>
      <c r="I523" s="63" t="s">
        <v>1101</v>
      </c>
      <c r="J523" s="116">
        <v>4000</v>
      </c>
      <c r="K523" s="105" t="s">
        <v>356</v>
      </c>
      <c r="L523" s="105" t="s">
        <v>458</v>
      </c>
      <c r="M523" s="89" t="s">
        <v>30</v>
      </c>
      <c r="N523" s="117">
        <v>4000</v>
      </c>
      <c r="O523" s="117">
        <f t="shared" si="25"/>
        <v>0</v>
      </c>
      <c r="P523" s="115">
        <v>45226</v>
      </c>
      <c r="Q523" s="61">
        <f t="shared" si="28"/>
        <v>45226</v>
      </c>
      <c r="R523" s="68"/>
      <c r="S523" s="72" t="s">
        <v>1212</v>
      </c>
      <c r="T523" s="105" t="s">
        <v>388</v>
      </c>
      <c r="U523" s="68"/>
      <c r="V523" s="68"/>
      <c r="W523" s="68"/>
      <c r="X523" s="68"/>
    </row>
    <row r="524" s="17" customFormat="1" hidden="1" spans="1:24">
      <c r="A524" s="59">
        <v>522</v>
      </c>
      <c r="B524" s="60" t="s">
        <v>1213</v>
      </c>
      <c r="C524" s="114">
        <f t="shared" si="26"/>
        <v>44880</v>
      </c>
      <c r="D524" s="62" t="str">
        <f ca="1" t="shared" si="27"/>
        <v>一年以上</v>
      </c>
      <c r="E524" s="115">
        <v>44880</v>
      </c>
      <c r="F524" s="115" t="s">
        <v>70</v>
      </c>
      <c r="G524" s="132" t="s">
        <v>149</v>
      </c>
      <c r="H524" s="100" t="s">
        <v>283</v>
      </c>
      <c r="I524" s="63" t="s">
        <v>283</v>
      </c>
      <c r="J524" s="116">
        <v>2500</v>
      </c>
      <c r="K524" s="105" t="s">
        <v>356</v>
      </c>
      <c r="L524" s="136" t="s">
        <v>458</v>
      </c>
      <c r="M524" s="89" t="s">
        <v>65</v>
      </c>
      <c r="N524" s="104">
        <v>2500</v>
      </c>
      <c r="O524" s="117">
        <f t="shared" si="25"/>
        <v>0</v>
      </c>
      <c r="P524" s="115">
        <v>45313</v>
      </c>
      <c r="Q524" s="61">
        <f t="shared" si="28"/>
        <v>45313</v>
      </c>
      <c r="R524" s="68"/>
      <c r="S524" s="72" t="s">
        <v>1214</v>
      </c>
      <c r="T524" s="105" t="s">
        <v>182</v>
      </c>
      <c r="U524" s="59" t="str">
        <f>VLOOKUP(T524,[1]区域划分!$A$1:$C$39,3,0)</f>
        <v>汪瑞青</v>
      </c>
      <c r="V524" s="68"/>
      <c r="W524" s="68"/>
      <c r="X524" s="68"/>
    </row>
    <row r="525" s="24" customFormat="1" ht="24" hidden="1" spans="1:24">
      <c r="A525" s="118">
        <v>523</v>
      </c>
      <c r="B525" s="119" t="s">
        <v>1215</v>
      </c>
      <c r="C525" s="120">
        <f t="shared" si="26"/>
        <v>44880</v>
      </c>
      <c r="D525" s="121" t="str">
        <f ca="1" t="shared" si="27"/>
        <v>一年以上</v>
      </c>
      <c r="E525" s="122">
        <v>44880</v>
      </c>
      <c r="F525" s="122" t="s">
        <v>70</v>
      </c>
      <c r="G525" s="135" t="s">
        <v>940</v>
      </c>
      <c r="H525" s="125" t="s">
        <v>863</v>
      </c>
      <c r="I525" s="126" t="s">
        <v>863</v>
      </c>
      <c r="J525" s="127">
        <v>52088</v>
      </c>
      <c r="K525" s="131" t="s">
        <v>28</v>
      </c>
      <c r="L525" s="131" t="s">
        <v>57</v>
      </c>
      <c r="M525" s="124" t="s">
        <v>941</v>
      </c>
      <c r="N525" s="128">
        <v>52088</v>
      </c>
      <c r="O525" s="128">
        <f t="shared" si="25"/>
        <v>0</v>
      </c>
      <c r="P525" s="122" t="s">
        <v>2657</v>
      </c>
      <c r="Q525" s="129" t="str">
        <f t="shared" si="28"/>
        <v>2024.7.26</v>
      </c>
      <c r="R525" s="130"/>
      <c r="S525" s="119" t="s">
        <v>1216</v>
      </c>
      <c r="T525" s="131" t="s">
        <v>972</v>
      </c>
      <c r="U525" s="118" t="str">
        <f>VLOOKUP(T525,[1]区域划分!$A$1:$C$39,3,0)</f>
        <v>曾江利</v>
      </c>
      <c r="V525" s="130" t="s">
        <v>1217</v>
      </c>
      <c r="W525" s="130"/>
      <c r="X525" s="130"/>
    </row>
    <row r="526" s="17" customFormat="1" hidden="1" spans="1:24">
      <c r="A526" s="59">
        <v>524</v>
      </c>
      <c r="B526" s="60" t="s">
        <v>1218</v>
      </c>
      <c r="C526" s="114">
        <f t="shared" si="26"/>
        <v>44886</v>
      </c>
      <c r="D526" s="62" t="str">
        <f ca="1" t="shared" si="27"/>
        <v>一年以上</v>
      </c>
      <c r="E526" s="115">
        <v>44886</v>
      </c>
      <c r="F526" s="115" t="s">
        <v>632</v>
      </c>
      <c r="G526" s="132" t="s">
        <v>450</v>
      </c>
      <c r="H526" s="100" t="s">
        <v>1101</v>
      </c>
      <c r="I526" s="63" t="s">
        <v>1101</v>
      </c>
      <c r="J526" s="116">
        <v>4000</v>
      </c>
      <c r="K526" s="105" t="s">
        <v>356</v>
      </c>
      <c r="L526" s="105" t="s">
        <v>458</v>
      </c>
      <c r="M526" s="89" t="s">
        <v>30</v>
      </c>
      <c r="N526" s="117">
        <v>4000</v>
      </c>
      <c r="O526" s="117">
        <f t="shared" si="25"/>
        <v>0</v>
      </c>
      <c r="P526" s="115">
        <v>45253</v>
      </c>
      <c r="Q526" s="61">
        <f t="shared" si="28"/>
        <v>45253</v>
      </c>
      <c r="R526" s="68"/>
      <c r="S526" s="72" t="s">
        <v>1219</v>
      </c>
      <c r="T526" s="105" t="s">
        <v>388</v>
      </c>
      <c r="U526" s="59" t="str">
        <f>VLOOKUP(T526,[1]区域划分!$A$1:$C$39,3,0)</f>
        <v>林维</v>
      </c>
      <c r="V526" s="68"/>
      <c r="W526" s="68"/>
      <c r="X526" s="68"/>
    </row>
    <row r="527" s="17" customFormat="1" ht="24" hidden="1" spans="1:24">
      <c r="A527" s="59">
        <v>525</v>
      </c>
      <c r="B527" s="60" t="s">
        <v>1220</v>
      </c>
      <c r="C527" s="114">
        <f t="shared" si="26"/>
        <v>44887</v>
      </c>
      <c r="D527" s="62" t="str">
        <f ca="1" t="shared" si="27"/>
        <v>一年以上</v>
      </c>
      <c r="E527" s="115">
        <v>44887</v>
      </c>
      <c r="F527" s="115" t="s">
        <v>632</v>
      </c>
      <c r="G527" s="132" t="s">
        <v>993</v>
      </c>
      <c r="H527" s="100" t="s">
        <v>1221</v>
      </c>
      <c r="I527" s="63" t="s">
        <v>1221</v>
      </c>
      <c r="J527" s="116">
        <v>3000</v>
      </c>
      <c r="K527" s="105" t="s">
        <v>28</v>
      </c>
      <c r="L527" s="105" t="s">
        <v>57</v>
      </c>
      <c r="M527" s="89" t="s">
        <v>30</v>
      </c>
      <c r="N527" s="117">
        <v>3000</v>
      </c>
      <c r="O527" s="117">
        <f t="shared" ref="O527:O590" si="29">J527-N527</f>
        <v>0</v>
      </c>
      <c r="P527" s="115">
        <v>44923</v>
      </c>
      <c r="Q527" s="61">
        <f t="shared" si="28"/>
        <v>44923</v>
      </c>
      <c r="R527" s="68"/>
      <c r="S527" s="72" t="s">
        <v>1222</v>
      </c>
      <c r="T527" s="105" t="s">
        <v>330</v>
      </c>
      <c r="U527" s="68"/>
      <c r="V527" s="68"/>
      <c r="W527" s="68"/>
      <c r="X527" s="68"/>
    </row>
    <row r="528" s="17" customFormat="1" ht="24" hidden="1" spans="1:24">
      <c r="A528" s="59">
        <v>526</v>
      </c>
      <c r="B528" s="60" t="s">
        <v>1223</v>
      </c>
      <c r="C528" s="114">
        <f t="shared" si="26"/>
        <v>44890</v>
      </c>
      <c r="D528" s="62" t="str">
        <f ca="1" t="shared" si="27"/>
        <v>一年以上</v>
      </c>
      <c r="E528" s="115">
        <v>44890</v>
      </c>
      <c r="F528" s="115" t="s">
        <v>632</v>
      </c>
      <c r="G528" s="132" t="s">
        <v>1088</v>
      </c>
      <c r="H528" s="100" t="s">
        <v>346</v>
      </c>
      <c r="I528" s="63" t="s">
        <v>346</v>
      </c>
      <c r="J528" s="116">
        <v>36000</v>
      </c>
      <c r="K528" s="105" t="s">
        <v>28</v>
      </c>
      <c r="L528" s="105" t="s">
        <v>57</v>
      </c>
      <c r="M528" s="89" t="s">
        <v>30</v>
      </c>
      <c r="N528" s="117">
        <v>36000</v>
      </c>
      <c r="O528" s="137">
        <f t="shared" si="29"/>
        <v>0</v>
      </c>
      <c r="P528" s="115">
        <v>44973</v>
      </c>
      <c r="Q528" s="61">
        <f t="shared" si="28"/>
        <v>44973</v>
      </c>
      <c r="R528" s="68"/>
      <c r="S528" s="72" t="s">
        <v>1224</v>
      </c>
      <c r="T528" s="105" t="s">
        <v>720</v>
      </c>
      <c r="U528" s="68"/>
      <c r="V528" s="68"/>
      <c r="W528" s="68"/>
      <c r="X528" s="68"/>
    </row>
    <row r="529" s="17" customFormat="1" hidden="1" spans="1:24">
      <c r="A529" s="59">
        <v>527</v>
      </c>
      <c r="B529" s="60" t="s">
        <v>1225</v>
      </c>
      <c r="C529" s="114">
        <f t="shared" si="26"/>
        <v>44893</v>
      </c>
      <c r="D529" s="62" t="str">
        <f ca="1" t="shared" si="27"/>
        <v>一年以上</v>
      </c>
      <c r="E529" s="115">
        <v>44893</v>
      </c>
      <c r="F529" s="115" t="s">
        <v>70</v>
      </c>
      <c r="G529" s="132" t="s">
        <v>1226</v>
      </c>
      <c r="H529" s="100" t="s">
        <v>1227</v>
      </c>
      <c r="I529" s="63" t="s">
        <v>1227</v>
      </c>
      <c r="J529" s="116">
        <v>5000</v>
      </c>
      <c r="K529" s="105" t="s">
        <v>28</v>
      </c>
      <c r="L529" s="105" t="s">
        <v>57</v>
      </c>
      <c r="M529" s="89" t="s">
        <v>65</v>
      </c>
      <c r="N529" s="117">
        <v>5000</v>
      </c>
      <c r="O529" s="137">
        <f t="shared" si="29"/>
        <v>0</v>
      </c>
      <c r="P529" s="115">
        <v>45040</v>
      </c>
      <c r="Q529" s="61">
        <f t="shared" si="28"/>
        <v>45040</v>
      </c>
      <c r="R529" s="68"/>
      <c r="S529" s="72" t="s">
        <v>1228</v>
      </c>
      <c r="T529" s="105" t="s">
        <v>86</v>
      </c>
      <c r="U529" s="68"/>
      <c r="V529" s="68"/>
      <c r="W529" s="68"/>
      <c r="X529" s="68"/>
    </row>
    <row r="530" s="17" customFormat="1" ht="36" spans="1:24">
      <c r="A530" s="59">
        <v>528</v>
      </c>
      <c r="B530" s="60" t="s">
        <v>1229</v>
      </c>
      <c r="C530" s="114">
        <f t="shared" si="26"/>
        <v>44894</v>
      </c>
      <c r="D530" s="62" t="str">
        <f ca="1" t="shared" si="27"/>
        <v>一年以上</v>
      </c>
      <c r="E530" s="115">
        <v>44894</v>
      </c>
      <c r="F530" s="115" t="s">
        <v>632</v>
      </c>
      <c r="G530" s="132" t="s">
        <v>1088</v>
      </c>
      <c r="H530" s="100" t="s">
        <v>1230</v>
      </c>
      <c r="I530" s="63" t="s">
        <v>1230</v>
      </c>
      <c r="J530" s="116">
        <v>300</v>
      </c>
      <c r="K530" s="105" t="s">
        <v>28</v>
      </c>
      <c r="L530" s="105" t="s">
        <v>57</v>
      </c>
      <c r="M530" s="89" t="s">
        <v>515</v>
      </c>
      <c r="N530" s="117"/>
      <c r="O530" s="137">
        <f t="shared" si="29"/>
        <v>300</v>
      </c>
      <c r="P530" s="115"/>
      <c r="Q530" s="61">
        <f t="shared" si="28"/>
        <v>0</v>
      </c>
      <c r="R530" s="68"/>
      <c r="S530" s="72" t="s">
        <v>1231</v>
      </c>
      <c r="T530" s="105" t="s">
        <v>86</v>
      </c>
      <c r="U530" s="59" t="str">
        <f>VLOOKUP(T530,[1]区域划分!$A$1:$C$39,3,0)</f>
        <v>朱利勇</v>
      </c>
      <c r="V530" s="68"/>
      <c r="W530" s="68"/>
      <c r="X530" s="68"/>
    </row>
    <row r="531" s="17" customFormat="1" ht="36" hidden="1" spans="1:24">
      <c r="A531" s="59">
        <v>529</v>
      </c>
      <c r="B531" s="60" t="s">
        <v>1232</v>
      </c>
      <c r="C531" s="114">
        <f t="shared" si="26"/>
        <v>44894</v>
      </c>
      <c r="D531" s="62" t="str">
        <f ca="1" t="shared" si="27"/>
        <v>一年以上</v>
      </c>
      <c r="E531" s="115">
        <v>44894</v>
      </c>
      <c r="F531" s="115" t="s">
        <v>632</v>
      </c>
      <c r="G531" s="132" t="s">
        <v>1088</v>
      </c>
      <c r="H531" s="100" t="s">
        <v>1230</v>
      </c>
      <c r="I531" s="63" t="s">
        <v>1230</v>
      </c>
      <c r="J531" s="116">
        <v>4200</v>
      </c>
      <c r="K531" s="105" t="s">
        <v>28</v>
      </c>
      <c r="L531" s="105" t="s">
        <v>57</v>
      </c>
      <c r="M531" s="89" t="s">
        <v>30</v>
      </c>
      <c r="N531" s="117">
        <v>4200</v>
      </c>
      <c r="O531" s="137">
        <f t="shared" si="29"/>
        <v>0</v>
      </c>
      <c r="P531" s="115">
        <v>44900</v>
      </c>
      <c r="Q531" s="61">
        <f t="shared" si="28"/>
        <v>44900</v>
      </c>
      <c r="R531" s="68"/>
      <c r="S531" s="72" t="s">
        <v>1231</v>
      </c>
      <c r="T531" s="105"/>
      <c r="U531" s="68"/>
      <c r="V531" s="68"/>
      <c r="W531" s="68"/>
      <c r="X531" s="68"/>
    </row>
    <row r="532" s="17" customFormat="1" ht="36" hidden="1" spans="1:24">
      <c r="A532" s="59">
        <v>530</v>
      </c>
      <c r="B532" s="60" t="s">
        <v>1233</v>
      </c>
      <c r="C532" s="114">
        <f t="shared" si="26"/>
        <v>44894</v>
      </c>
      <c r="D532" s="62" t="str">
        <f ca="1" t="shared" si="27"/>
        <v>一年以上</v>
      </c>
      <c r="E532" s="115">
        <v>44894</v>
      </c>
      <c r="F532" s="115" t="s">
        <v>632</v>
      </c>
      <c r="G532" s="132" t="s">
        <v>1088</v>
      </c>
      <c r="H532" s="100" t="s">
        <v>1230</v>
      </c>
      <c r="I532" s="63" t="s">
        <v>1230</v>
      </c>
      <c r="J532" s="116">
        <v>4000</v>
      </c>
      <c r="K532" s="105" t="s">
        <v>28</v>
      </c>
      <c r="L532" s="105" t="s">
        <v>57</v>
      </c>
      <c r="M532" s="89" t="s">
        <v>30</v>
      </c>
      <c r="N532" s="117">
        <v>4000</v>
      </c>
      <c r="O532" s="137">
        <f t="shared" si="29"/>
        <v>0</v>
      </c>
      <c r="P532" s="115">
        <v>44900</v>
      </c>
      <c r="Q532" s="61">
        <f t="shared" si="28"/>
        <v>44900</v>
      </c>
      <c r="R532" s="68"/>
      <c r="S532" s="72" t="s">
        <v>1234</v>
      </c>
      <c r="T532" s="105"/>
      <c r="U532" s="68"/>
      <c r="V532" s="68"/>
      <c r="W532" s="68"/>
      <c r="X532" s="68"/>
    </row>
    <row r="533" s="17" customFormat="1" ht="36" spans="1:24">
      <c r="A533" s="59">
        <v>531</v>
      </c>
      <c r="B533" s="60" t="s">
        <v>1235</v>
      </c>
      <c r="C533" s="114">
        <f t="shared" si="26"/>
        <v>44894</v>
      </c>
      <c r="D533" s="62" t="str">
        <f ca="1" t="shared" si="27"/>
        <v>一年以上</v>
      </c>
      <c r="E533" s="115">
        <v>44894</v>
      </c>
      <c r="F533" s="115" t="s">
        <v>632</v>
      </c>
      <c r="G533" s="132" t="s">
        <v>1088</v>
      </c>
      <c r="H533" s="100" t="s">
        <v>1230</v>
      </c>
      <c r="I533" s="63" t="s">
        <v>1230</v>
      </c>
      <c r="J533" s="116">
        <v>300</v>
      </c>
      <c r="K533" s="105" t="s">
        <v>28</v>
      </c>
      <c r="L533" s="105" t="s">
        <v>57</v>
      </c>
      <c r="M533" s="89" t="s">
        <v>515</v>
      </c>
      <c r="N533" s="117"/>
      <c r="O533" s="137">
        <f t="shared" si="29"/>
        <v>300</v>
      </c>
      <c r="P533" s="115"/>
      <c r="Q533" s="61">
        <f t="shared" si="28"/>
        <v>0</v>
      </c>
      <c r="R533" s="68"/>
      <c r="S533" s="72" t="s">
        <v>1234</v>
      </c>
      <c r="T533" s="105" t="s">
        <v>86</v>
      </c>
      <c r="U533" s="59" t="str">
        <f>VLOOKUP(T533,[1]区域划分!$A$1:$C$39,3,0)</f>
        <v>朱利勇</v>
      </c>
      <c r="V533" s="68"/>
      <c r="W533" s="68"/>
      <c r="X533" s="68"/>
    </row>
    <row r="534" s="17" customFormat="1" ht="36" spans="1:24">
      <c r="A534" s="59">
        <v>532</v>
      </c>
      <c r="B534" s="60" t="s">
        <v>1236</v>
      </c>
      <c r="C534" s="114">
        <f t="shared" si="26"/>
        <v>44894</v>
      </c>
      <c r="D534" s="62" t="str">
        <f ca="1" t="shared" si="27"/>
        <v>一年以上</v>
      </c>
      <c r="E534" s="115">
        <v>44894</v>
      </c>
      <c r="F534" s="115" t="s">
        <v>632</v>
      </c>
      <c r="G534" s="132" t="s">
        <v>1088</v>
      </c>
      <c r="H534" s="100" t="s">
        <v>1230</v>
      </c>
      <c r="I534" s="63" t="s">
        <v>1230</v>
      </c>
      <c r="J534" s="116">
        <v>300</v>
      </c>
      <c r="K534" s="105" t="s">
        <v>28</v>
      </c>
      <c r="L534" s="105" t="s">
        <v>57</v>
      </c>
      <c r="M534" s="89" t="s">
        <v>515</v>
      </c>
      <c r="N534" s="117"/>
      <c r="O534" s="137">
        <f t="shared" si="29"/>
        <v>300</v>
      </c>
      <c r="P534" s="115"/>
      <c r="Q534" s="61">
        <f t="shared" si="28"/>
        <v>0</v>
      </c>
      <c r="R534" s="68"/>
      <c r="S534" s="72" t="s">
        <v>1237</v>
      </c>
      <c r="T534" s="105" t="s">
        <v>86</v>
      </c>
      <c r="U534" s="59" t="str">
        <f>VLOOKUP(T534,[1]区域划分!$A$1:$C$39,3,0)</f>
        <v>朱利勇</v>
      </c>
      <c r="V534" s="68"/>
      <c r="W534" s="68"/>
      <c r="X534" s="68"/>
    </row>
    <row r="535" s="17" customFormat="1" ht="36" hidden="1" spans="1:24">
      <c r="A535" s="59">
        <v>533</v>
      </c>
      <c r="B535" s="60" t="s">
        <v>1238</v>
      </c>
      <c r="C535" s="114">
        <f t="shared" si="26"/>
        <v>44894</v>
      </c>
      <c r="D535" s="62" t="str">
        <f ca="1" t="shared" si="27"/>
        <v>一年以上</v>
      </c>
      <c r="E535" s="115">
        <v>44894</v>
      </c>
      <c r="F535" s="115" t="s">
        <v>632</v>
      </c>
      <c r="G535" s="132" t="s">
        <v>1088</v>
      </c>
      <c r="H535" s="100" t="s">
        <v>1230</v>
      </c>
      <c r="I535" s="63" t="s">
        <v>1230</v>
      </c>
      <c r="J535" s="116">
        <v>3800</v>
      </c>
      <c r="K535" s="105" t="s">
        <v>28</v>
      </c>
      <c r="L535" s="105" t="s">
        <v>57</v>
      </c>
      <c r="M535" s="89" t="s">
        <v>30</v>
      </c>
      <c r="N535" s="117">
        <v>3800</v>
      </c>
      <c r="O535" s="137">
        <f t="shared" si="29"/>
        <v>0</v>
      </c>
      <c r="P535" s="115">
        <v>44900</v>
      </c>
      <c r="Q535" s="61">
        <f t="shared" si="28"/>
        <v>44900</v>
      </c>
      <c r="R535" s="68"/>
      <c r="S535" s="72" t="s">
        <v>1237</v>
      </c>
      <c r="T535" s="105"/>
      <c r="U535" s="68"/>
      <c r="V535" s="68"/>
      <c r="W535" s="68"/>
      <c r="X535" s="68"/>
    </row>
    <row r="536" s="17" customFormat="1" ht="24" hidden="1" spans="1:24">
      <c r="A536" s="59">
        <v>534</v>
      </c>
      <c r="B536" s="60" t="s">
        <v>1239</v>
      </c>
      <c r="C536" s="114">
        <f t="shared" si="26"/>
        <v>44896</v>
      </c>
      <c r="D536" s="62" t="str">
        <f ca="1" t="shared" si="27"/>
        <v>一年以上</v>
      </c>
      <c r="E536" s="115">
        <v>44896</v>
      </c>
      <c r="F536" s="115" t="s">
        <v>632</v>
      </c>
      <c r="G536" s="132" t="s">
        <v>1088</v>
      </c>
      <c r="H536" s="100" t="s">
        <v>1240</v>
      </c>
      <c r="I536" s="63" t="s">
        <v>1240</v>
      </c>
      <c r="J536" s="116">
        <v>190</v>
      </c>
      <c r="K536" s="105" t="s">
        <v>28</v>
      </c>
      <c r="L536" s="105" t="s">
        <v>1241</v>
      </c>
      <c r="M536" s="89" t="s">
        <v>968</v>
      </c>
      <c r="N536" s="117">
        <v>190</v>
      </c>
      <c r="O536" s="137">
        <f t="shared" si="29"/>
        <v>0</v>
      </c>
      <c r="P536" s="115">
        <v>44896</v>
      </c>
      <c r="Q536" s="61">
        <f t="shared" si="28"/>
        <v>44896</v>
      </c>
      <c r="R536" s="68" t="s">
        <v>951</v>
      </c>
      <c r="S536" s="72" t="s">
        <v>1242</v>
      </c>
      <c r="T536" s="105"/>
      <c r="U536" s="68"/>
      <c r="V536" s="68"/>
      <c r="W536" s="68"/>
      <c r="X536" s="68"/>
    </row>
    <row r="537" s="17" customFormat="1" ht="36" hidden="1" spans="1:24">
      <c r="A537" s="59">
        <v>535</v>
      </c>
      <c r="B537" s="60" t="s">
        <v>1243</v>
      </c>
      <c r="C537" s="114">
        <f t="shared" si="26"/>
        <v>44896</v>
      </c>
      <c r="D537" s="62" t="str">
        <f ca="1" t="shared" si="27"/>
        <v>一年以上</v>
      </c>
      <c r="E537" s="115">
        <v>44896</v>
      </c>
      <c r="F537" s="115" t="s">
        <v>632</v>
      </c>
      <c r="G537" s="132" t="s">
        <v>993</v>
      </c>
      <c r="H537" s="100" t="s">
        <v>1244</v>
      </c>
      <c r="I537" s="63" t="s">
        <v>1244</v>
      </c>
      <c r="J537" s="116">
        <v>300</v>
      </c>
      <c r="K537" s="105" t="s">
        <v>28</v>
      </c>
      <c r="L537" s="105" t="s">
        <v>57</v>
      </c>
      <c r="M537" s="89" t="s">
        <v>515</v>
      </c>
      <c r="N537" s="117">
        <v>300</v>
      </c>
      <c r="O537" s="137">
        <f t="shared" si="29"/>
        <v>0</v>
      </c>
      <c r="P537" s="115">
        <v>44956</v>
      </c>
      <c r="Q537" s="61">
        <f t="shared" si="28"/>
        <v>44956</v>
      </c>
      <c r="R537" s="68" t="s">
        <v>951</v>
      </c>
      <c r="S537" s="72" t="s">
        <v>1245</v>
      </c>
      <c r="T537" s="105"/>
      <c r="U537" s="68"/>
      <c r="V537" s="68"/>
      <c r="W537" s="68"/>
      <c r="X537" s="68"/>
    </row>
    <row r="538" s="17" customFormat="1" ht="36" hidden="1" spans="1:24">
      <c r="A538" s="59">
        <v>536</v>
      </c>
      <c r="B538" s="60" t="s">
        <v>1246</v>
      </c>
      <c r="C538" s="114">
        <f t="shared" si="26"/>
        <v>44896</v>
      </c>
      <c r="D538" s="62" t="str">
        <f ca="1" t="shared" si="27"/>
        <v>一年以上</v>
      </c>
      <c r="E538" s="115">
        <v>44896</v>
      </c>
      <c r="F538" s="115" t="s">
        <v>632</v>
      </c>
      <c r="G538" s="132" t="s">
        <v>993</v>
      </c>
      <c r="H538" s="100" t="s">
        <v>1244</v>
      </c>
      <c r="I538" s="63" t="s">
        <v>1244</v>
      </c>
      <c r="J538" s="116">
        <v>10000</v>
      </c>
      <c r="K538" s="105" t="s">
        <v>28</v>
      </c>
      <c r="L538" s="105" t="s">
        <v>57</v>
      </c>
      <c r="M538" s="89" t="s">
        <v>30</v>
      </c>
      <c r="N538" s="117">
        <v>10000</v>
      </c>
      <c r="O538" s="137">
        <f t="shared" si="29"/>
        <v>0</v>
      </c>
      <c r="P538" s="115">
        <v>45118</v>
      </c>
      <c r="Q538" s="61">
        <f t="shared" si="28"/>
        <v>45118</v>
      </c>
      <c r="R538" s="68"/>
      <c r="S538" s="72" t="s">
        <v>1245</v>
      </c>
      <c r="T538" s="105" t="s">
        <v>86</v>
      </c>
      <c r="U538" s="68"/>
      <c r="V538" s="68"/>
      <c r="W538" s="68"/>
      <c r="X538" s="68"/>
    </row>
    <row r="539" s="17" customFormat="1" hidden="1" spans="1:24">
      <c r="A539" s="59">
        <v>537</v>
      </c>
      <c r="B539" s="60" t="s">
        <v>1247</v>
      </c>
      <c r="C539" s="114">
        <f t="shared" si="26"/>
        <v>44896</v>
      </c>
      <c r="D539" s="62" t="str">
        <f ca="1" t="shared" si="27"/>
        <v>一年以上</v>
      </c>
      <c r="E539" s="115">
        <v>44896</v>
      </c>
      <c r="F539" s="115" t="s">
        <v>632</v>
      </c>
      <c r="G539" s="132" t="s">
        <v>993</v>
      </c>
      <c r="H539" s="100" t="s">
        <v>577</v>
      </c>
      <c r="I539" s="63" t="s">
        <v>578</v>
      </c>
      <c r="J539" s="116">
        <v>10000</v>
      </c>
      <c r="K539" s="105" t="s">
        <v>28</v>
      </c>
      <c r="L539" s="105" t="s">
        <v>57</v>
      </c>
      <c r="M539" s="89" t="s">
        <v>30</v>
      </c>
      <c r="N539" s="117">
        <v>10000</v>
      </c>
      <c r="O539" s="137">
        <f t="shared" si="29"/>
        <v>0</v>
      </c>
      <c r="P539" s="115">
        <v>44902</v>
      </c>
      <c r="Q539" s="61">
        <f t="shared" si="28"/>
        <v>44902</v>
      </c>
      <c r="R539" s="68"/>
      <c r="S539" s="72" t="s">
        <v>1248</v>
      </c>
      <c r="T539" s="105"/>
      <c r="U539" s="68"/>
      <c r="V539" s="68"/>
      <c r="W539" s="68"/>
      <c r="X539" s="68"/>
    </row>
    <row r="540" s="17" customFormat="1" hidden="1" spans="1:24">
      <c r="A540" s="59">
        <v>538</v>
      </c>
      <c r="B540" s="60" t="s">
        <v>1249</v>
      </c>
      <c r="C540" s="114">
        <f t="shared" si="26"/>
        <v>44896</v>
      </c>
      <c r="D540" s="62" t="str">
        <f ca="1" t="shared" si="27"/>
        <v>一年以上</v>
      </c>
      <c r="E540" s="115">
        <v>44896</v>
      </c>
      <c r="F540" s="115" t="s">
        <v>632</v>
      </c>
      <c r="G540" s="132" t="s">
        <v>993</v>
      </c>
      <c r="H540" s="100" t="s">
        <v>577</v>
      </c>
      <c r="I540" s="63" t="s">
        <v>578</v>
      </c>
      <c r="J540" s="116">
        <v>200</v>
      </c>
      <c r="K540" s="105" t="s">
        <v>28</v>
      </c>
      <c r="L540" s="105" t="s">
        <v>57</v>
      </c>
      <c r="M540" s="89" t="s">
        <v>515</v>
      </c>
      <c r="N540" s="117">
        <v>200</v>
      </c>
      <c r="O540" s="137">
        <f t="shared" si="29"/>
        <v>0</v>
      </c>
      <c r="P540" s="115">
        <v>44896</v>
      </c>
      <c r="Q540" s="61">
        <f t="shared" si="28"/>
        <v>44896</v>
      </c>
      <c r="R540" s="68" t="s">
        <v>1250</v>
      </c>
      <c r="S540" s="72" t="s">
        <v>1248</v>
      </c>
      <c r="T540" s="105"/>
      <c r="U540" s="68"/>
      <c r="V540" s="68"/>
      <c r="W540" s="68"/>
      <c r="X540" s="68"/>
    </row>
    <row r="541" s="17" customFormat="1" ht="24" hidden="1" spans="1:24">
      <c r="A541" s="59">
        <v>539</v>
      </c>
      <c r="B541" s="60" t="s">
        <v>1251</v>
      </c>
      <c r="C541" s="114">
        <f t="shared" si="26"/>
        <v>44900</v>
      </c>
      <c r="D541" s="62" t="str">
        <f ca="1" t="shared" si="27"/>
        <v>一年以上</v>
      </c>
      <c r="E541" s="115">
        <v>44900</v>
      </c>
      <c r="F541" s="115" t="s">
        <v>632</v>
      </c>
      <c r="G541" s="132" t="s">
        <v>450</v>
      </c>
      <c r="H541" s="100" t="s">
        <v>1252</v>
      </c>
      <c r="I541" s="63" t="s">
        <v>1252</v>
      </c>
      <c r="J541" s="116">
        <v>200</v>
      </c>
      <c r="K541" s="105" t="s">
        <v>28</v>
      </c>
      <c r="L541" s="105" t="s">
        <v>57</v>
      </c>
      <c r="M541" s="89" t="s">
        <v>515</v>
      </c>
      <c r="N541" s="117">
        <v>200</v>
      </c>
      <c r="O541" s="137">
        <f t="shared" si="29"/>
        <v>0</v>
      </c>
      <c r="P541" s="115"/>
      <c r="Q541" s="61">
        <f t="shared" si="28"/>
        <v>0</v>
      </c>
      <c r="R541" s="68" t="s">
        <v>951</v>
      </c>
      <c r="S541" s="72" t="s">
        <v>1253</v>
      </c>
      <c r="T541" s="105"/>
      <c r="U541" s="68"/>
      <c r="V541" s="68"/>
      <c r="W541" s="68"/>
      <c r="X541" s="68"/>
    </row>
    <row r="542" s="17" customFormat="1" hidden="1" spans="1:24">
      <c r="A542" s="59">
        <v>540</v>
      </c>
      <c r="B542" s="60" t="s">
        <v>1254</v>
      </c>
      <c r="C542" s="114">
        <f t="shared" si="26"/>
        <v>44900</v>
      </c>
      <c r="D542" s="62" t="str">
        <f ca="1" t="shared" si="27"/>
        <v>一年以上</v>
      </c>
      <c r="E542" s="115">
        <v>44900</v>
      </c>
      <c r="F542" s="115" t="s">
        <v>632</v>
      </c>
      <c r="G542" s="132" t="s">
        <v>993</v>
      </c>
      <c r="H542" s="100" t="s">
        <v>650</v>
      </c>
      <c r="I542" s="63" t="s">
        <v>650</v>
      </c>
      <c r="J542" s="116">
        <v>200</v>
      </c>
      <c r="K542" s="105" t="s">
        <v>28</v>
      </c>
      <c r="L542" s="105" t="s">
        <v>57</v>
      </c>
      <c r="M542" s="89" t="s">
        <v>515</v>
      </c>
      <c r="N542" s="117">
        <v>200</v>
      </c>
      <c r="O542" s="137">
        <f t="shared" si="29"/>
        <v>0</v>
      </c>
      <c r="P542" s="115">
        <v>44901</v>
      </c>
      <c r="Q542" s="61">
        <f t="shared" si="28"/>
        <v>44901</v>
      </c>
      <c r="R542" s="68" t="s">
        <v>1250</v>
      </c>
      <c r="S542" s="72" t="s">
        <v>1255</v>
      </c>
      <c r="T542" s="105"/>
      <c r="U542" s="68"/>
      <c r="V542" s="68"/>
      <c r="W542" s="68"/>
      <c r="X542" s="68"/>
    </row>
    <row r="543" s="17" customFormat="1" hidden="1" spans="1:24">
      <c r="A543" s="59">
        <v>541</v>
      </c>
      <c r="B543" s="60" t="s">
        <v>1256</v>
      </c>
      <c r="C543" s="114">
        <f t="shared" si="26"/>
        <v>44900</v>
      </c>
      <c r="D543" s="62" t="str">
        <f ca="1" t="shared" si="27"/>
        <v>一年以上</v>
      </c>
      <c r="E543" s="115">
        <v>44900</v>
      </c>
      <c r="F543" s="115" t="s">
        <v>130</v>
      </c>
      <c r="G543" s="132" t="s">
        <v>239</v>
      </c>
      <c r="H543" s="100" t="s">
        <v>650</v>
      </c>
      <c r="I543" s="63" t="s">
        <v>650</v>
      </c>
      <c r="J543" s="116">
        <v>1000</v>
      </c>
      <c r="K543" s="105" t="s">
        <v>28</v>
      </c>
      <c r="L543" s="105" t="s">
        <v>1206</v>
      </c>
      <c r="M543" s="89" t="s">
        <v>515</v>
      </c>
      <c r="N543" s="117">
        <v>1000</v>
      </c>
      <c r="O543" s="137">
        <f t="shared" si="29"/>
        <v>0</v>
      </c>
      <c r="P543" s="115">
        <v>44939</v>
      </c>
      <c r="Q543" s="61">
        <f t="shared" si="28"/>
        <v>44939</v>
      </c>
      <c r="R543" s="68" t="s">
        <v>951</v>
      </c>
      <c r="S543" s="72" t="s">
        <v>1257</v>
      </c>
      <c r="T543" s="105"/>
      <c r="U543" s="68"/>
      <c r="V543" s="68"/>
      <c r="W543" s="68"/>
      <c r="X543" s="68"/>
    </row>
    <row r="544" s="17" customFormat="1" ht="24" hidden="1" spans="1:24">
      <c r="A544" s="59">
        <v>542</v>
      </c>
      <c r="B544" s="60" t="s">
        <v>1258</v>
      </c>
      <c r="C544" s="114">
        <f t="shared" si="26"/>
        <v>44900</v>
      </c>
      <c r="D544" s="62" t="str">
        <f ca="1" t="shared" si="27"/>
        <v>一年以上</v>
      </c>
      <c r="E544" s="115">
        <v>44900</v>
      </c>
      <c r="F544" s="115" t="s">
        <v>632</v>
      </c>
      <c r="G544" s="132" t="s">
        <v>1088</v>
      </c>
      <c r="H544" s="100" t="s">
        <v>1259</v>
      </c>
      <c r="I544" s="63" t="s">
        <v>1259</v>
      </c>
      <c r="J544" s="116">
        <v>3000</v>
      </c>
      <c r="K544" s="105" t="s">
        <v>28</v>
      </c>
      <c r="L544" s="105" t="s">
        <v>57</v>
      </c>
      <c r="M544" s="89" t="s">
        <v>30</v>
      </c>
      <c r="N544" s="117">
        <v>3000</v>
      </c>
      <c r="O544" s="137">
        <f t="shared" si="29"/>
        <v>0</v>
      </c>
      <c r="P544" s="115">
        <v>45060</v>
      </c>
      <c r="Q544" s="61">
        <f t="shared" si="28"/>
        <v>45060</v>
      </c>
      <c r="R544" s="68" t="s">
        <v>1260</v>
      </c>
      <c r="S544" s="100" t="s">
        <v>1261</v>
      </c>
      <c r="T544" s="105" t="s">
        <v>32</v>
      </c>
      <c r="U544" s="68"/>
      <c r="V544" s="68"/>
      <c r="W544" s="68"/>
      <c r="X544" s="68"/>
    </row>
    <row r="545" s="17" customFormat="1" hidden="1" spans="1:24">
      <c r="A545" s="59">
        <v>543</v>
      </c>
      <c r="B545" s="60" t="s">
        <v>1262</v>
      </c>
      <c r="C545" s="114">
        <f t="shared" si="26"/>
        <v>44900</v>
      </c>
      <c r="D545" s="62" t="str">
        <f ca="1" t="shared" si="27"/>
        <v>一年以上</v>
      </c>
      <c r="E545" s="115">
        <v>44900</v>
      </c>
      <c r="F545" s="115" t="s">
        <v>632</v>
      </c>
      <c r="G545" s="132" t="s">
        <v>450</v>
      </c>
      <c r="H545" s="100" t="s">
        <v>1263</v>
      </c>
      <c r="I545" s="63" t="s">
        <v>1263</v>
      </c>
      <c r="J545" s="116">
        <v>50</v>
      </c>
      <c r="K545" s="105" t="s">
        <v>28</v>
      </c>
      <c r="L545" s="105" t="s">
        <v>57</v>
      </c>
      <c r="M545" s="89" t="s">
        <v>968</v>
      </c>
      <c r="N545" s="117">
        <v>50</v>
      </c>
      <c r="O545" s="137">
        <f t="shared" si="29"/>
        <v>0</v>
      </c>
      <c r="P545" s="115">
        <v>44897</v>
      </c>
      <c r="Q545" s="61">
        <f t="shared" si="28"/>
        <v>44897</v>
      </c>
      <c r="R545" s="68" t="s">
        <v>951</v>
      </c>
      <c r="S545" s="72" t="s">
        <v>1264</v>
      </c>
      <c r="T545" s="105"/>
      <c r="U545" s="68"/>
      <c r="V545" s="68"/>
      <c r="W545" s="68"/>
      <c r="X545" s="68"/>
    </row>
    <row r="546" s="17" customFormat="1" ht="24" hidden="1" spans="1:24">
      <c r="A546" s="59">
        <v>544</v>
      </c>
      <c r="B546" s="60" t="s">
        <v>1265</v>
      </c>
      <c r="C546" s="114">
        <f t="shared" si="26"/>
        <v>44900</v>
      </c>
      <c r="D546" s="62" t="str">
        <f ca="1" t="shared" si="27"/>
        <v>一年以上</v>
      </c>
      <c r="E546" s="115">
        <v>44900</v>
      </c>
      <c r="F546" s="115" t="s">
        <v>632</v>
      </c>
      <c r="G546" s="132" t="s">
        <v>993</v>
      </c>
      <c r="H546" s="100" t="s">
        <v>1266</v>
      </c>
      <c r="I546" s="63" t="s">
        <v>1266</v>
      </c>
      <c r="J546" s="116">
        <v>10000</v>
      </c>
      <c r="K546" s="105" t="s">
        <v>28</v>
      </c>
      <c r="L546" s="105" t="s">
        <v>57</v>
      </c>
      <c r="M546" s="89" t="s">
        <v>30</v>
      </c>
      <c r="N546" s="117">
        <v>10000</v>
      </c>
      <c r="O546" s="137">
        <f t="shared" si="29"/>
        <v>0</v>
      </c>
      <c r="P546" s="115">
        <v>44937</v>
      </c>
      <c r="Q546" s="61">
        <f t="shared" si="28"/>
        <v>44937</v>
      </c>
      <c r="R546" s="68"/>
      <c r="S546" s="72" t="s">
        <v>1267</v>
      </c>
      <c r="T546" s="105" t="s">
        <v>267</v>
      </c>
      <c r="U546" s="68"/>
      <c r="V546" s="68"/>
      <c r="W546" s="68"/>
      <c r="X546" s="68"/>
    </row>
    <row r="547" s="17" customFormat="1" ht="24" hidden="1" spans="1:24">
      <c r="A547" s="59">
        <v>545</v>
      </c>
      <c r="B547" s="60" t="s">
        <v>1268</v>
      </c>
      <c r="C547" s="114">
        <f t="shared" si="26"/>
        <v>44900</v>
      </c>
      <c r="D547" s="62" t="str">
        <f ca="1" t="shared" si="27"/>
        <v>一年以上</v>
      </c>
      <c r="E547" s="115">
        <v>44900</v>
      </c>
      <c r="F547" s="115" t="s">
        <v>632</v>
      </c>
      <c r="G547" s="132" t="s">
        <v>83</v>
      </c>
      <c r="H547" s="100" t="s">
        <v>1101</v>
      </c>
      <c r="I547" s="63" t="s">
        <v>1101</v>
      </c>
      <c r="J547" s="116">
        <v>15000</v>
      </c>
      <c r="K547" s="105" t="s">
        <v>356</v>
      </c>
      <c r="L547" s="105" t="s">
        <v>458</v>
      </c>
      <c r="M547" s="89" t="s">
        <v>65</v>
      </c>
      <c r="N547" s="117">
        <f>3000+12000</f>
        <v>15000</v>
      </c>
      <c r="O547" s="137">
        <f t="shared" si="29"/>
        <v>0</v>
      </c>
      <c r="P547" s="115">
        <v>45281</v>
      </c>
      <c r="Q547" s="61">
        <f t="shared" si="28"/>
        <v>45281</v>
      </c>
      <c r="R547" s="68"/>
      <c r="S547" s="72" t="s">
        <v>1269</v>
      </c>
      <c r="T547" s="105" t="s">
        <v>388</v>
      </c>
      <c r="U547" s="59" t="str">
        <f>VLOOKUP(T547,[1]区域划分!$A$1:$C$39,3,0)</f>
        <v>林维</v>
      </c>
      <c r="V547" s="68"/>
      <c r="W547" s="68"/>
      <c r="X547" s="68"/>
    </row>
    <row r="548" s="17" customFormat="1" ht="24" spans="1:24">
      <c r="A548" s="59">
        <v>546</v>
      </c>
      <c r="B548" s="60" t="s">
        <v>1270</v>
      </c>
      <c r="C548" s="114">
        <f t="shared" si="26"/>
        <v>44901</v>
      </c>
      <c r="D548" s="62" t="str">
        <f ca="1" t="shared" si="27"/>
        <v>一年以上</v>
      </c>
      <c r="E548" s="115">
        <v>44901</v>
      </c>
      <c r="F548" s="115" t="s">
        <v>632</v>
      </c>
      <c r="G548" s="132" t="s">
        <v>993</v>
      </c>
      <c r="H548" s="100" t="s">
        <v>650</v>
      </c>
      <c r="I548" s="63" t="s">
        <v>651</v>
      </c>
      <c r="J548" s="116">
        <v>4000</v>
      </c>
      <c r="K548" s="105" t="s">
        <v>28</v>
      </c>
      <c r="L548" s="105" t="s">
        <v>57</v>
      </c>
      <c r="M548" s="89" t="s">
        <v>30</v>
      </c>
      <c r="N548" s="117"/>
      <c r="O548" s="138">
        <f t="shared" si="29"/>
        <v>4000</v>
      </c>
      <c r="P548" s="115"/>
      <c r="Q548" s="61">
        <f t="shared" si="28"/>
        <v>0</v>
      </c>
      <c r="R548" s="68"/>
      <c r="S548" s="72" t="s">
        <v>1255</v>
      </c>
      <c r="T548" s="105" t="s">
        <v>581</v>
      </c>
      <c r="U548" s="59" t="str">
        <f>VLOOKUP(T548,[1]区域划分!$A$1:$C$39,3,0)</f>
        <v>新疆</v>
      </c>
      <c r="V548" s="68"/>
      <c r="W548" s="68"/>
      <c r="X548" s="68"/>
    </row>
    <row r="549" s="17" customFormat="1" hidden="1" spans="1:24">
      <c r="A549" s="59">
        <v>547</v>
      </c>
      <c r="B549" s="60" t="s">
        <v>1272</v>
      </c>
      <c r="C549" s="114">
        <f t="shared" si="26"/>
        <v>44901</v>
      </c>
      <c r="D549" s="62" t="str">
        <f ca="1" t="shared" si="27"/>
        <v>一年以上</v>
      </c>
      <c r="E549" s="115">
        <v>44901</v>
      </c>
      <c r="F549" s="115" t="s">
        <v>130</v>
      </c>
      <c r="G549" s="132" t="s">
        <v>239</v>
      </c>
      <c r="H549" s="100" t="s">
        <v>650</v>
      </c>
      <c r="I549" s="63" t="s">
        <v>650</v>
      </c>
      <c r="J549" s="116">
        <v>1000</v>
      </c>
      <c r="K549" s="105" t="s">
        <v>28</v>
      </c>
      <c r="L549" s="105" t="s">
        <v>1206</v>
      </c>
      <c r="M549" s="89" t="s">
        <v>515</v>
      </c>
      <c r="N549" s="117">
        <v>1000</v>
      </c>
      <c r="O549" s="137">
        <f t="shared" si="29"/>
        <v>0</v>
      </c>
      <c r="P549" s="115">
        <v>44939</v>
      </c>
      <c r="Q549" s="61">
        <f t="shared" si="28"/>
        <v>44939</v>
      </c>
      <c r="R549" s="68" t="s">
        <v>951</v>
      </c>
      <c r="S549" s="72" t="s">
        <v>1257</v>
      </c>
      <c r="T549" s="105"/>
      <c r="U549" s="68"/>
      <c r="V549" s="68"/>
      <c r="W549" s="68"/>
      <c r="X549" s="68"/>
    </row>
    <row r="550" s="17" customFormat="1" ht="36" hidden="1" spans="1:24">
      <c r="A550" s="59">
        <v>548</v>
      </c>
      <c r="B550" s="60" t="s">
        <v>1273</v>
      </c>
      <c r="C550" s="114">
        <f t="shared" si="26"/>
        <v>44901</v>
      </c>
      <c r="D550" s="62" t="str">
        <f ca="1" t="shared" si="27"/>
        <v>一年以上</v>
      </c>
      <c r="E550" s="115">
        <v>44901</v>
      </c>
      <c r="F550" s="115" t="s">
        <v>632</v>
      </c>
      <c r="G550" s="132" t="s">
        <v>993</v>
      </c>
      <c r="H550" s="100" t="s">
        <v>1274</v>
      </c>
      <c r="I550" s="63" t="s">
        <v>1274</v>
      </c>
      <c r="J550" s="116">
        <v>300</v>
      </c>
      <c r="K550" s="105" t="s">
        <v>28</v>
      </c>
      <c r="L550" s="105" t="s">
        <v>57</v>
      </c>
      <c r="M550" s="89" t="s">
        <v>515</v>
      </c>
      <c r="N550" s="117">
        <v>300</v>
      </c>
      <c r="O550" s="137">
        <f t="shared" si="29"/>
        <v>0</v>
      </c>
      <c r="P550" s="115">
        <v>44956</v>
      </c>
      <c r="Q550" s="61">
        <f t="shared" si="28"/>
        <v>44956</v>
      </c>
      <c r="R550" s="68" t="s">
        <v>951</v>
      </c>
      <c r="S550" s="72" t="s">
        <v>1275</v>
      </c>
      <c r="T550" s="105"/>
      <c r="U550" s="68"/>
      <c r="V550" s="68"/>
      <c r="W550" s="68"/>
      <c r="X550" s="68"/>
    </row>
    <row r="551" s="17" customFormat="1" ht="36" hidden="1" spans="1:24">
      <c r="A551" s="59">
        <v>549</v>
      </c>
      <c r="B551" s="60" t="s">
        <v>1276</v>
      </c>
      <c r="C551" s="114">
        <f t="shared" si="26"/>
        <v>44901</v>
      </c>
      <c r="D551" s="62" t="str">
        <f ca="1" t="shared" si="27"/>
        <v>一年以上</v>
      </c>
      <c r="E551" s="115">
        <v>44901</v>
      </c>
      <c r="F551" s="115" t="s">
        <v>632</v>
      </c>
      <c r="G551" s="132" t="s">
        <v>993</v>
      </c>
      <c r="H551" s="100" t="s">
        <v>1274</v>
      </c>
      <c r="I551" s="63" t="s">
        <v>1274</v>
      </c>
      <c r="J551" s="116">
        <v>10000</v>
      </c>
      <c r="K551" s="105" t="s">
        <v>28</v>
      </c>
      <c r="L551" s="105" t="s">
        <v>57</v>
      </c>
      <c r="M551" s="89" t="s">
        <v>30</v>
      </c>
      <c r="N551" s="117">
        <v>10000</v>
      </c>
      <c r="O551" s="137">
        <f t="shared" si="29"/>
        <v>0</v>
      </c>
      <c r="P551" s="115">
        <v>45058</v>
      </c>
      <c r="Q551" s="61">
        <f t="shared" si="28"/>
        <v>45058</v>
      </c>
      <c r="R551" s="68"/>
      <c r="S551" s="72" t="s">
        <v>1275</v>
      </c>
      <c r="T551" s="105" t="s">
        <v>86</v>
      </c>
      <c r="U551" s="68"/>
      <c r="V551" s="68"/>
      <c r="W551" s="68"/>
      <c r="X551" s="68"/>
    </row>
    <row r="552" s="17" customFormat="1" spans="1:24">
      <c r="A552" s="59">
        <v>550</v>
      </c>
      <c r="B552" s="60" t="s">
        <v>1277</v>
      </c>
      <c r="C552" s="114">
        <f t="shared" si="26"/>
        <v>44902</v>
      </c>
      <c r="D552" s="62" t="str">
        <f ca="1" t="shared" si="27"/>
        <v>一年以上</v>
      </c>
      <c r="E552" s="115">
        <v>44902</v>
      </c>
      <c r="F552" s="115" t="s">
        <v>632</v>
      </c>
      <c r="G552" s="132" t="s">
        <v>450</v>
      </c>
      <c r="H552" s="100" t="s">
        <v>209</v>
      </c>
      <c r="I552" s="63" t="s">
        <v>209</v>
      </c>
      <c r="J552" s="116">
        <v>50000</v>
      </c>
      <c r="K552" s="105" t="s">
        <v>28</v>
      </c>
      <c r="L552" s="105" t="s">
        <v>57</v>
      </c>
      <c r="M552" s="89" t="s">
        <v>133</v>
      </c>
      <c r="N552" s="117"/>
      <c r="O552" s="137">
        <f t="shared" si="29"/>
        <v>50000</v>
      </c>
      <c r="P552" s="115"/>
      <c r="Q552" s="61">
        <f t="shared" si="28"/>
        <v>0</v>
      </c>
      <c r="R552" s="68"/>
      <c r="S552" s="72" t="s">
        <v>1278</v>
      </c>
      <c r="T552" s="105" t="s">
        <v>171</v>
      </c>
      <c r="U552" s="59" t="str">
        <f>VLOOKUP(T552,[1]区域划分!$A$1:$C$39,3,0)</f>
        <v>牛国庆</v>
      </c>
      <c r="V552" s="68"/>
      <c r="W552" s="68"/>
      <c r="X552" s="68"/>
    </row>
    <row r="553" s="17" customFormat="1" ht="24" hidden="1" spans="1:24">
      <c r="A553" s="59">
        <v>551</v>
      </c>
      <c r="B553" s="60" t="s">
        <v>1279</v>
      </c>
      <c r="C553" s="114">
        <f t="shared" si="26"/>
        <v>44904</v>
      </c>
      <c r="D553" s="62" t="str">
        <f ca="1" t="shared" si="27"/>
        <v>一年以上</v>
      </c>
      <c r="E553" s="115">
        <v>44904</v>
      </c>
      <c r="F553" s="115" t="s">
        <v>632</v>
      </c>
      <c r="G553" s="132" t="s">
        <v>450</v>
      </c>
      <c r="H553" s="100" t="s">
        <v>1252</v>
      </c>
      <c r="I553" s="63" t="s">
        <v>1252</v>
      </c>
      <c r="J553" s="116">
        <v>3150</v>
      </c>
      <c r="K553" s="105" t="s">
        <v>28</v>
      </c>
      <c r="L553" s="105" t="s">
        <v>57</v>
      </c>
      <c r="M553" s="89" t="s">
        <v>836</v>
      </c>
      <c r="N553" s="117">
        <v>3150</v>
      </c>
      <c r="O553" s="137">
        <f t="shared" si="29"/>
        <v>0</v>
      </c>
      <c r="P553" s="115">
        <v>44999</v>
      </c>
      <c r="Q553" s="61">
        <f t="shared" si="28"/>
        <v>44999</v>
      </c>
      <c r="R553" s="68" t="s">
        <v>951</v>
      </c>
      <c r="S553" s="72" t="s">
        <v>1280</v>
      </c>
      <c r="T553" s="105"/>
      <c r="U553" s="68"/>
      <c r="V553" s="68"/>
      <c r="W553" s="68"/>
      <c r="X553" s="68"/>
    </row>
    <row r="554" s="17" customFormat="1" ht="24" hidden="1" spans="1:24">
      <c r="A554" s="59">
        <v>552</v>
      </c>
      <c r="B554" s="60" t="s">
        <v>1281</v>
      </c>
      <c r="C554" s="114">
        <f t="shared" si="26"/>
        <v>44904</v>
      </c>
      <c r="D554" s="62" t="str">
        <f ca="1" t="shared" si="27"/>
        <v>一年以上</v>
      </c>
      <c r="E554" s="115">
        <v>44904</v>
      </c>
      <c r="F554" s="115" t="s">
        <v>632</v>
      </c>
      <c r="G554" s="132" t="s">
        <v>993</v>
      </c>
      <c r="H554" s="100" t="s">
        <v>362</v>
      </c>
      <c r="I554" s="63" t="s">
        <v>362</v>
      </c>
      <c r="J554" s="116">
        <v>200</v>
      </c>
      <c r="K554" s="105" t="s">
        <v>28</v>
      </c>
      <c r="L554" s="105" t="s">
        <v>57</v>
      </c>
      <c r="M554" s="89" t="s">
        <v>515</v>
      </c>
      <c r="N554" s="117">
        <v>200</v>
      </c>
      <c r="O554" s="137">
        <f t="shared" si="29"/>
        <v>0</v>
      </c>
      <c r="P554" s="115">
        <v>44918</v>
      </c>
      <c r="Q554" s="61">
        <f t="shared" si="28"/>
        <v>44918</v>
      </c>
      <c r="R554" s="68" t="s">
        <v>1250</v>
      </c>
      <c r="S554" s="72" t="s">
        <v>1282</v>
      </c>
      <c r="T554" s="105"/>
      <c r="U554" s="68"/>
      <c r="V554" s="68"/>
      <c r="W554" s="68"/>
      <c r="X554" s="68"/>
    </row>
    <row r="555" s="17" customFormat="1" ht="24" hidden="1" spans="1:24">
      <c r="A555" s="59">
        <v>553</v>
      </c>
      <c r="B555" s="60" t="s">
        <v>1283</v>
      </c>
      <c r="C555" s="114">
        <f t="shared" si="26"/>
        <v>44904</v>
      </c>
      <c r="D555" s="62" t="str">
        <f ca="1" t="shared" si="27"/>
        <v>一年以上</v>
      </c>
      <c r="E555" s="115">
        <v>44904</v>
      </c>
      <c r="F555" s="115" t="s">
        <v>632</v>
      </c>
      <c r="G555" s="132" t="s">
        <v>993</v>
      </c>
      <c r="H555" s="100" t="s">
        <v>362</v>
      </c>
      <c r="I555" s="63" t="s">
        <v>362</v>
      </c>
      <c r="J555" s="116">
        <v>15000</v>
      </c>
      <c r="K555" s="105" t="s">
        <v>28</v>
      </c>
      <c r="L555" s="105" t="s">
        <v>57</v>
      </c>
      <c r="M555" s="89" t="s">
        <v>30</v>
      </c>
      <c r="N555" s="117">
        <v>15000</v>
      </c>
      <c r="O555" s="137">
        <f t="shared" si="29"/>
        <v>0</v>
      </c>
      <c r="P555" s="115">
        <v>44921</v>
      </c>
      <c r="Q555" s="61">
        <f t="shared" si="28"/>
        <v>44921</v>
      </c>
      <c r="R555" s="68"/>
      <c r="S555" s="72" t="s">
        <v>1282</v>
      </c>
      <c r="T555" s="105"/>
      <c r="U555" s="68"/>
      <c r="V555" s="68"/>
      <c r="W555" s="68"/>
      <c r="X555" s="68"/>
    </row>
    <row r="556" s="17" customFormat="1" ht="24" hidden="1" spans="1:24">
      <c r="A556" s="59">
        <v>554</v>
      </c>
      <c r="B556" s="60" t="s">
        <v>1284</v>
      </c>
      <c r="C556" s="114">
        <f t="shared" si="26"/>
        <v>44907</v>
      </c>
      <c r="D556" s="62" t="str">
        <f ca="1" t="shared" si="27"/>
        <v>一年以上</v>
      </c>
      <c r="E556" s="115">
        <v>44907</v>
      </c>
      <c r="F556" s="115" t="s">
        <v>632</v>
      </c>
      <c r="G556" s="132" t="s">
        <v>993</v>
      </c>
      <c r="H556" s="100" t="s">
        <v>362</v>
      </c>
      <c r="I556" s="63" t="s">
        <v>362</v>
      </c>
      <c r="J556" s="116">
        <v>200</v>
      </c>
      <c r="K556" s="105" t="s">
        <v>28</v>
      </c>
      <c r="L556" s="105" t="s">
        <v>57</v>
      </c>
      <c r="M556" s="89" t="s">
        <v>515</v>
      </c>
      <c r="N556" s="117">
        <v>200</v>
      </c>
      <c r="O556" s="137">
        <f t="shared" si="29"/>
        <v>0</v>
      </c>
      <c r="P556" s="115">
        <v>44918</v>
      </c>
      <c r="Q556" s="61">
        <f t="shared" si="28"/>
        <v>44918</v>
      </c>
      <c r="R556" s="68" t="s">
        <v>1250</v>
      </c>
      <c r="S556" s="72" t="s">
        <v>1285</v>
      </c>
      <c r="T556" s="105"/>
      <c r="U556" s="68"/>
      <c r="V556" s="68"/>
      <c r="W556" s="68"/>
      <c r="X556" s="68"/>
    </row>
    <row r="557" s="17" customFormat="1" ht="24" hidden="1" spans="1:24">
      <c r="A557" s="59">
        <v>555</v>
      </c>
      <c r="B557" s="60" t="s">
        <v>1286</v>
      </c>
      <c r="C557" s="114">
        <f t="shared" si="26"/>
        <v>44907</v>
      </c>
      <c r="D557" s="62" t="str">
        <f ca="1" t="shared" si="27"/>
        <v>一年以上</v>
      </c>
      <c r="E557" s="115">
        <v>44907</v>
      </c>
      <c r="F557" s="115" t="s">
        <v>632</v>
      </c>
      <c r="G557" s="132" t="s">
        <v>993</v>
      </c>
      <c r="H557" s="100" t="s">
        <v>362</v>
      </c>
      <c r="I557" s="63" t="s">
        <v>362</v>
      </c>
      <c r="J557" s="116">
        <v>12000</v>
      </c>
      <c r="K557" s="105" t="s">
        <v>28</v>
      </c>
      <c r="L557" s="105" t="s">
        <v>57</v>
      </c>
      <c r="M557" s="89" t="s">
        <v>30</v>
      </c>
      <c r="N557" s="117">
        <v>12000</v>
      </c>
      <c r="O557" s="137">
        <f t="shared" si="29"/>
        <v>0</v>
      </c>
      <c r="P557" s="115">
        <v>44918</v>
      </c>
      <c r="Q557" s="61">
        <f t="shared" si="28"/>
        <v>44918</v>
      </c>
      <c r="R557" s="68"/>
      <c r="S557" s="72" t="s">
        <v>1285</v>
      </c>
      <c r="T557" s="105"/>
      <c r="U557" s="68"/>
      <c r="V557" s="68"/>
      <c r="W557" s="68"/>
      <c r="X557" s="68"/>
    </row>
    <row r="558" s="17" customFormat="1" ht="24" hidden="1" spans="1:24">
      <c r="A558" s="59">
        <v>556</v>
      </c>
      <c r="B558" s="60" t="s">
        <v>1287</v>
      </c>
      <c r="C558" s="114">
        <f t="shared" ref="C558:C621" si="30">E558</f>
        <v>44915</v>
      </c>
      <c r="D558" s="62" t="str">
        <f ca="1" t="shared" si="27"/>
        <v>一年以上</v>
      </c>
      <c r="E558" s="115">
        <v>44915</v>
      </c>
      <c r="F558" s="115" t="s">
        <v>632</v>
      </c>
      <c r="G558" s="132" t="s">
        <v>450</v>
      </c>
      <c r="H558" s="100" t="s">
        <v>1288</v>
      </c>
      <c r="I558" s="63" t="s">
        <v>1288</v>
      </c>
      <c r="J558" s="116">
        <v>1000</v>
      </c>
      <c r="K558" s="105" t="s">
        <v>28</v>
      </c>
      <c r="L558" s="105" t="s">
        <v>57</v>
      </c>
      <c r="M558" s="89" t="s">
        <v>515</v>
      </c>
      <c r="N558" s="117">
        <v>1000</v>
      </c>
      <c r="O558" s="137">
        <f t="shared" si="29"/>
        <v>0</v>
      </c>
      <c r="P558" s="115"/>
      <c r="Q558" s="61">
        <f t="shared" si="28"/>
        <v>0</v>
      </c>
      <c r="R558" s="68" t="s">
        <v>951</v>
      </c>
      <c r="S558" s="72"/>
      <c r="T558" s="105"/>
      <c r="U558" s="68"/>
      <c r="V558" s="68"/>
      <c r="W558" s="68"/>
      <c r="X558" s="68"/>
    </row>
    <row r="559" s="17" customFormat="1" ht="24" hidden="1" spans="1:24">
      <c r="A559" s="59">
        <v>557</v>
      </c>
      <c r="B559" s="60" t="s">
        <v>1289</v>
      </c>
      <c r="C559" s="114">
        <f t="shared" si="30"/>
        <v>44916</v>
      </c>
      <c r="D559" s="62" t="str">
        <f ca="1" t="shared" si="27"/>
        <v>一年以上</v>
      </c>
      <c r="E559" s="115">
        <v>44916</v>
      </c>
      <c r="F559" s="115" t="s">
        <v>632</v>
      </c>
      <c r="G559" s="132" t="s">
        <v>450</v>
      </c>
      <c r="H559" s="100" t="s">
        <v>1290</v>
      </c>
      <c r="I559" s="63" t="s">
        <v>1290</v>
      </c>
      <c r="J559" s="116">
        <v>10000</v>
      </c>
      <c r="K559" s="105" t="s">
        <v>28</v>
      </c>
      <c r="L559" s="105" t="s">
        <v>1206</v>
      </c>
      <c r="M559" s="89" t="s">
        <v>30</v>
      </c>
      <c r="N559" s="117">
        <v>10000</v>
      </c>
      <c r="O559" s="137">
        <f t="shared" si="29"/>
        <v>0</v>
      </c>
      <c r="P559" s="115">
        <v>44958</v>
      </c>
      <c r="Q559" s="61">
        <f t="shared" si="28"/>
        <v>44958</v>
      </c>
      <c r="R559" s="68"/>
      <c r="S559" s="72" t="s">
        <v>1291</v>
      </c>
      <c r="T559" s="105" t="s">
        <v>311</v>
      </c>
      <c r="U559" s="68"/>
      <c r="V559" s="68"/>
      <c r="W559" s="68"/>
      <c r="X559" s="68"/>
    </row>
    <row r="560" s="17" customFormat="1" ht="24" hidden="1" spans="1:24">
      <c r="A560" s="59">
        <v>558</v>
      </c>
      <c r="B560" s="60" t="s">
        <v>1292</v>
      </c>
      <c r="C560" s="114">
        <f t="shared" si="30"/>
        <v>44916</v>
      </c>
      <c r="D560" s="62" t="str">
        <f ca="1" t="shared" si="27"/>
        <v>一年以上</v>
      </c>
      <c r="E560" s="115">
        <v>44916</v>
      </c>
      <c r="F560" s="115" t="s">
        <v>632</v>
      </c>
      <c r="G560" s="132" t="s">
        <v>450</v>
      </c>
      <c r="H560" s="100" t="s">
        <v>1290</v>
      </c>
      <c r="I560" s="63" t="s">
        <v>1290</v>
      </c>
      <c r="J560" s="116">
        <v>300</v>
      </c>
      <c r="K560" s="105" t="s">
        <v>28</v>
      </c>
      <c r="L560" s="105" t="s">
        <v>1206</v>
      </c>
      <c r="M560" s="89" t="s">
        <v>515</v>
      </c>
      <c r="N560" s="117">
        <v>300</v>
      </c>
      <c r="O560" s="137">
        <f t="shared" si="29"/>
        <v>0</v>
      </c>
      <c r="P560" s="115">
        <v>44977</v>
      </c>
      <c r="Q560" s="61">
        <f t="shared" si="28"/>
        <v>44977</v>
      </c>
      <c r="R560" s="68" t="s">
        <v>951</v>
      </c>
      <c r="S560" s="72" t="s">
        <v>1291</v>
      </c>
      <c r="T560" s="105"/>
      <c r="U560" s="68"/>
      <c r="V560" s="68"/>
      <c r="W560" s="68"/>
      <c r="X560" s="68"/>
    </row>
    <row r="561" s="17" customFormat="1" ht="24" hidden="1" spans="1:24">
      <c r="A561" s="59">
        <v>559</v>
      </c>
      <c r="B561" s="60" t="s">
        <v>1293</v>
      </c>
      <c r="C561" s="114">
        <f t="shared" si="30"/>
        <v>44918</v>
      </c>
      <c r="D561" s="62" t="str">
        <f ca="1" t="shared" si="27"/>
        <v>一年以上</v>
      </c>
      <c r="E561" s="115">
        <v>44918</v>
      </c>
      <c r="F561" s="115" t="s">
        <v>632</v>
      </c>
      <c r="G561" s="132" t="s">
        <v>450</v>
      </c>
      <c r="H561" s="100" t="s">
        <v>495</v>
      </c>
      <c r="I561" s="63" t="s">
        <v>495</v>
      </c>
      <c r="J561" s="116">
        <v>2000</v>
      </c>
      <c r="K561" s="105" t="s">
        <v>356</v>
      </c>
      <c r="L561" s="105" t="s">
        <v>73</v>
      </c>
      <c r="M561" s="89" t="s">
        <v>30</v>
      </c>
      <c r="N561" s="117">
        <v>2000</v>
      </c>
      <c r="O561" s="137">
        <f t="shared" si="29"/>
        <v>0</v>
      </c>
      <c r="P561" s="115">
        <v>44932</v>
      </c>
      <c r="Q561" s="61">
        <f t="shared" si="28"/>
        <v>44932</v>
      </c>
      <c r="R561" s="68"/>
      <c r="S561" s="72" t="s">
        <v>1294</v>
      </c>
      <c r="T561" s="105" t="s">
        <v>182</v>
      </c>
      <c r="U561" s="68"/>
      <c r="V561" s="68"/>
      <c r="W561" s="68"/>
      <c r="X561" s="68"/>
    </row>
    <row r="562" s="17" customFormat="1" ht="24" spans="1:24">
      <c r="A562" s="59">
        <v>560</v>
      </c>
      <c r="B562" s="60" t="s">
        <v>1295</v>
      </c>
      <c r="C562" s="114">
        <f t="shared" si="30"/>
        <v>44922</v>
      </c>
      <c r="D562" s="62" t="str">
        <f ca="1" t="shared" si="27"/>
        <v>一年以上</v>
      </c>
      <c r="E562" s="115">
        <v>44922</v>
      </c>
      <c r="F562" s="115" t="s">
        <v>70</v>
      </c>
      <c r="G562" s="132" t="s">
        <v>1202</v>
      </c>
      <c r="H562" s="100" t="s">
        <v>1252</v>
      </c>
      <c r="I562" s="63" t="s">
        <v>1252</v>
      </c>
      <c r="J562" s="116">
        <v>50000</v>
      </c>
      <c r="K562" s="105" t="s">
        <v>28</v>
      </c>
      <c r="L562" s="105" t="s">
        <v>73</v>
      </c>
      <c r="M562" s="89" t="s">
        <v>65</v>
      </c>
      <c r="N562" s="117"/>
      <c r="O562" s="138">
        <f t="shared" si="29"/>
        <v>50000</v>
      </c>
      <c r="P562" s="115"/>
      <c r="Q562" s="61">
        <f t="shared" si="28"/>
        <v>0</v>
      </c>
      <c r="R562" s="68"/>
      <c r="S562" s="72" t="s">
        <v>1296</v>
      </c>
      <c r="T562" s="105" t="s">
        <v>1152</v>
      </c>
      <c r="U562" s="59" t="str">
        <f>VLOOKUP(T562,[1]区域划分!$A$1:$C$39,3,0)</f>
        <v>饶亚龙</v>
      </c>
      <c r="V562" s="68"/>
      <c r="W562" s="68"/>
      <c r="X562" s="68"/>
    </row>
    <row r="563" s="17" customFormat="1" ht="24" hidden="1" spans="1:24">
      <c r="A563" s="59">
        <v>561</v>
      </c>
      <c r="B563" s="60" t="s">
        <v>1297</v>
      </c>
      <c r="C563" s="114">
        <f t="shared" si="30"/>
        <v>44925</v>
      </c>
      <c r="D563" s="62" t="str">
        <f ca="1" t="shared" si="27"/>
        <v>一年以上</v>
      </c>
      <c r="E563" s="115">
        <v>44925</v>
      </c>
      <c r="F563" s="115" t="s">
        <v>70</v>
      </c>
      <c r="G563" s="132" t="s">
        <v>460</v>
      </c>
      <c r="H563" s="100" t="s">
        <v>867</v>
      </c>
      <c r="I563" s="63" t="s">
        <v>867</v>
      </c>
      <c r="J563" s="116">
        <v>2000</v>
      </c>
      <c r="K563" s="105" t="s">
        <v>356</v>
      </c>
      <c r="L563" s="105" t="s">
        <v>458</v>
      </c>
      <c r="M563" s="89" t="s">
        <v>65</v>
      </c>
      <c r="N563" s="117">
        <v>2000</v>
      </c>
      <c r="O563" s="137">
        <f t="shared" si="29"/>
        <v>0</v>
      </c>
      <c r="P563" s="115">
        <v>44999</v>
      </c>
      <c r="Q563" s="61">
        <f t="shared" si="28"/>
        <v>44999</v>
      </c>
      <c r="R563" s="68"/>
      <c r="S563" s="72" t="s">
        <v>1298</v>
      </c>
      <c r="T563" s="105" t="s">
        <v>182</v>
      </c>
      <c r="U563" s="68"/>
      <c r="V563" s="68"/>
      <c r="W563" s="68"/>
      <c r="X563" s="68"/>
    </row>
    <row r="564" s="17" customFormat="1" ht="24" hidden="1" spans="1:24">
      <c r="A564" s="59">
        <v>562</v>
      </c>
      <c r="B564" s="60" t="s">
        <v>1299</v>
      </c>
      <c r="C564" s="114">
        <f t="shared" si="30"/>
        <v>44935</v>
      </c>
      <c r="D564" s="62" t="str">
        <f ca="1" t="shared" si="27"/>
        <v>一年以上</v>
      </c>
      <c r="E564" s="115">
        <v>44935</v>
      </c>
      <c r="F564" s="115" t="s">
        <v>632</v>
      </c>
      <c r="G564" s="132" t="s">
        <v>993</v>
      </c>
      <c r="H564" s="100" t="s">
        <v>996</v>
      </c>
      <c r="I564" s="63" t="s">
        <v>996</v>
      </c>
      <c r="J564" s="116">
        <v>1000</v>
      </c>
      <c r="K564" s="105" t="s">
        <v>356</v>
      </c>
      <c r="L564" s="105" t="s">
        <v>458</v>
      </c>
      <c r="M564" s="89" t="s">
        <v>30</v>
      </c>
      <c r="N564" s="117">
        <v>1000</v>
      </c>
      <c r="O564" s="137">
        <f t="shared" si="29"/>
        <v>0</v>
      </c>
      <c r="P564" s="115">
        <v>44966</v>
      </c>
      <c r="Q564" s="61">
        <f t="shared" si="28"/>
        <v>44966</v>
      </c>
      <c r="R564" s="68"/>
      <c r="S564" s="72" t="s">
        <v>1300</v>
      </c>
      <c r="T564" s="105" t="s">
        <v>44</v>
      </c>
      <c r="U564" s="68"/>
      <c r="V564" s="68"/>
      <c r="W564" s="68"/>
      <c r="X564" s="68"/>
    </row>
    <row r="565" s="17" customFormat="1" ht="24" hidden="1" spans="1:24">
      <c r="A565" s="59">
        <v>563</v>
      </c>
      <c r="B565" s="60" t="s">
        <v>1301</v>
      </c>
      <c r="C565" s="114">
        <f t="shared" si="30"/>
        <v>44935</v>
      </c>
      <c r="D565" s="62" t="str">
        <f ca="1" t="shared" si="27"/>
        <v>一年以上</v>
      </c>
      <c r="E565" s="115">
        <v>44935</v>
      </c>
      <c r="F565" s="115" t="s">
        <v>632</v>
      </c>
      <c r="G565" s="132" t="s">
        <v>993</v>
      </c>
      <c r="H565" s="100" t="s">
        <v>1302</v>
      </c>
      <c r="I565" s="63" t="s">
        <v>1302</v>
      </c>
      <c r="J565" s="139">
        <v>30328</v>
      </c>
      <c r="K565" s="105" t="s">
        <v>28</v>
      </c>
      <c r="L565" s="105" t="s">
        <v>57</v>
      </c>
      <c r="M565" s="89" t="s">
        <v>30</v>
      </c>
      <c r="N565" s="117">
        <v>30328</v>
      </c>
      <c r="O565" s="137">
        <f t="shared" si="29"/>
        <v>0</v>
      </c>
      <c r="P565" s="115">
        <v>45258</v>
      </c>
      <c r="Q565" s="61">
        <f t="shared" si="28"/>
        <v>45258</v>
      </c>
      <c r="R565" s="68" t="s">
        <v>1303</v>
      </c>
      <c r="S565" s="72" t="s">
        <v>1304</v>
      </c>
      <c r="T565" s="105" t="s">
        <v>171</v>
      </c>
      <c r="U565" s="59" t="str">
        <f>VLOOKUP(T565,[1]区域划分!$A$1:$C$39,3,0)</f>
        <v>牛国庆</v>
      </c>
      <c r="V565" s="68"/>
      <c r="W565" s="68"/>
      <c r="X565" s="68"/>
    </row>
    <row r="566" s="17" customFormat="1" ht="36" hidden="1" spans="1:24">
      <c r="A566" s="59">
        <v>564</v>
      </c>
      <c r="B566" s="60" t="s">
        <v>1305</v>
      </c>
      <c r="C566" s="114">
        <f t="shared" si="30"/>
        <v>44935</v>
      </c>
      <c r="D566" s="62" t="str">
        <f ca="1" t="shared" si="27"/>
        <v>一年以上</v>
      </c>
      <c r="E566" s="115">
        <v>44935</v>
      </c>
      <c r="F566" s="115" t="s">
        <v>632</v>
      </c>
      <c r="G566" s="132" t="s">
        <v>993</v>
      </c>
      <c r="H566" s="100" t="s">
        <v>1306</v>
      </c>
      <c r="I566" s="63" t="s">
        <v>1306</v>
      </c>
      <c r="J566" s="116">
        <v>10000</v>
      </c>
      <c r="K566" s="105" t="s">
        <v>28</v>
      </c>
      <c r="L566" s="105" t="s">
        <v>57</v>
      </c>
      <c r="M566" s="89" t="s">
        <v>30</v>
      </c>
      <c r="N566" s="117">
        <v>10000</v>
      </c>
      <c r="O566" s="137">
        <f t="shared" si="29"/>
        <v>0</v>
      </c>
      <c r="P566" s="115">
        <v>45072</v>
      </c>
      <c r="Q566" s="61">
        <f t="shared" si="28"/>
        <v>45072</v>
      </c>
      <c r="R566" s="68"/>
      <c r="S566" s="72" t="s">
        <v>1307</v>
      </c>
      <c r="T566" s="105" t="s">
        <v>44</v>
      </c>
      <c r="U566" s="68"/>
      <c r="V566" s="68"/>
      <c r="W566" s="68"/>
      <c r="X566" s="68"/>
    </row>
    <row r="567" s="17" customFormat="1" ht="36" hidden="1" spans="1:24">
      <c r="A567" s="59">
        <v>565</v>
      </c>
      <c r="B567" s="60" t="s">
        <v>1308</v>
      </c>
      <c r="C567" s="114">
        <f t="shared" si="30"/>
        <v>44935</v>
      </c>
      <c r="D567" s="62" t="str">
        <f ca="1" t="shared" si="27"/>
        <v>一年以上</v>
      </c>
      <c r="E567" s="115">
        <v>44935</v>
      </c>
      <c r="F567" s="115" t="s">
        <v>632</v>
      </c>
      <c r="G567" s="132" t="s">
        <v>993</v>
      </c>
      <c r="H567" s="100" t="s">
        <v>1306</v>
      </c>
      <c r="I567" s="63" t="s">
        <v>1306</v>
      </c>
      <c r="J567" s="116">
        <v>600</v>
      </c>
      <c r="K567" s="105" t="s">
        <v>28</v>
      </c>
      <c r="L567" s="105" t="s">
        <v>57</v>
      </c>
      <c r="M567" s="89" t="s">
        <v>515</v>
      </c>
      <c r="N567" s="117">
        <v>600</v>
      </c>
      <c r="O567" s="137">
        <f t="shared" si="29"/>
        <v>0</v>
      </c>
      <c r="P567" s="115">
        <v>44977</v>
      </c>
      <c r="Q567" s="61">
        <f t="shared" si="28"/>
        <v>44977</v>
      </c>
      <c r="R567" s="68" t="s">
        <v>951</v>
      </c>
      <c r="S567" s="72" t="s">
        <v>1307</v>
      </c>
      <c r="T567" s="105"/>
      <c r="U567" s="68"/>
      <c r="V567" s="68"/>
      <c r="W567" s="68"/>
      <c r="X567" s="68"/>
    </row>
    <row r="568" s="17" customFormat="1" hidden="1" spans="1:24">
      <c r="A568" s="59">
        <v>566</v>
      </c>
      <c r="B568" s="60" t="s">
        <v>1309</v>
      </c>
      <c r="C568" s="114">
        <f t="shared" si="30"/>
        <v>44936</v>
      </c>
      <c r="D568" s="62" t="str">
        <f ca="1" t="shared" si="27"/>
        <v>一年以上</v>
      </c>
      <c r="E568" s="115">
        <v>44936</v>
      </c>
      <c r="F568" s="115" t="s">
        <v>130</v>
      </c>
      <c r="G568" s="132" t="s">
        <v>569</v>
      </c>
      <c r="H568" s="100" t="s">
        <v>863</v>
      </c>
      <c r="I568" s="63" t="s">
        <v>863</v>
      </c>
      <c r="J568" s="116">
        <v>6650</v>
      </c>
      <c r="K568" s="105" t="s">
        <v>28</v>
      </c>
      <c r="L568" s="105" t="s">
        <v>57</v>
      </c>
      <c r="M568" s="89" t="s">
        <v>133</v>
      </c>
      <c r="N568" s="117">
        <v>6650</v>
      </c>
      <c r="O568" s="137">
        <f t="shared" si="29"/>
        <v>0</v>
      </c>
      <c r="P568" s="115">
        <v>45285</v>
      </c>
      <c r="Q568" s="61">
        <f t="shared" si="28"/>
        <v>45285</v>
      </c>
      <c r="R568" s="68"/>
      <c r="S568" s="60" t="s">
        <v>1310</v>
      </c>
      <c r="T568" s="105" t="s">
        <v>972</v>
      </c>
      <c r="U568" s="59" t="str">
        <f>VLOOKUP(T568,[1]区域划分!$A$1:$C$39,3,0)</f>
        <v>曾江利</v>
      </c>
      <c r="V568" s="68"/>
      <c r="W568" s="68"/>
      <c r="X568" s="68"/>
    </row>
    <row r="569" s="17" customFormat="1" hidden="1" spans="1:24">
      <c r="A569" s="59">
        <v>567</v>
      </c>
      <c r="B569" s="60" t="s">
        <v>1311</v>
      </c>
      <c r="C569" s="114">
        <f t="shared" si="30"/>
        <v>44937</v>
      </c>
      <c r="D569" s="62" t="str">
        <f ca="1" t="shared" si="27"/>
        <v>一年以上</v>
      </c>
      <c r="E569" s="115">
        <v>44937</v>
      </c>
      <c r="F569" s="115" t="s">
        <v>70</v>
      </c>
      <c r="G569" s="132" t="s">
        <v>1312</v>
      </c>
      <c r="H569" s="100" t="s">
        <v>1313</v>
      </c>
      <c r="I569" s="63" t="s">
        <v>1313</v>
      </c>
      <c r="J569" s="116">
        <v>5000</v>
      </c>
      <c r="K569" s="105" t="s">
        <v>28</v>
      </c>
      <c r="L569" s="105" t="s">
        <v>57</v>
      </c>
      <c r="M569" s="89" t="s">
        <v>65</v>
      </c>
      <c r="N569" s="117">
        <v>5000</v>
      </c>
      <c r="O569" s="137">
        <f t="shared" si="29"/>
        <v>0</v>
      </c>
      <c r="P569" s="115">
        <v>45008</v>
      </c>
      <c r="Q569" s="61">
        <f t="shared" si="28"/>
        <v>45008</v>
      </c>
      <c r="R569" s="68"/>
      <c r="S569" s="60"/>
      <c r="T569" s="105"/>
      <c r="U569" s="68"/>
      <c r="V569" s="68"/>
      <c r="W569" s="68"/>
      <c r="X569" s="68"/>
    </row>
    <row r="570" s="17" customFormat="1" ht="36" hidden="1" spans="1:24">
      <c r="A570" s="59">
        <v>568</v>
      </c>
      <c r="B570" s="60" t="s">
        <v>1314</v>
      </c>
      <c r="C570" s="114">
        <f t="shared" si="30"/>
        <v>44939</v>
      </c>
      <c r="D570" s="62" t="str">
        <f ca="1" t="shared" si="27"/>
        <v>一年以上</v>
      </c>
      <c r="E570" s="115">
        <v>44939</v>
      </c>
      <c r="F570" s="115" t="s">
        <v>632</v>
      </c>
      <c r="G570" s="132" t="s">
        <v>450</v>
      </c>
      <c r="H570" s="100" t="s">
        <v>1315</v>
      </c>
      <c r="I570" s="63" t="s">
        <v>1315</v>
      </c>
      <c r="J570" s="116">
        <v>2800</v>
      </c>
      <c r="K570" s="105" t="s">
        <v>28</v>
      </c>
      <c r="L570" s="105" t="s">
        <v>57</v>
      </c>
      <c r="M570" s="89" t="s">
        <v>30</v>
      </c>
      <c r="N570" s="117">
        <v>2800</v>
      </c>
      <c r="O570" s="137">
        <f t="shared" si="29"/>
        <v>0</v>
      </c>
      <c r="P570" s="115">
        <v>44957</v>
      </c>
      <c r="Q570" s="61">
        <f t="shared" si="28"/>
        <v>44957</v>
      </c>
      <c r="R570" s="68"/>
      <c r="S570" s="72" t="s">
        <v>1316</v>
      </c>
      <c r="T570" s="105" t="s">
        <v>38</v>
      </c>
      <c r="U570" s="68"/>
      <c r="V570" s="68"/>
      <c r="W570" s="68"/>
      <c r="X570" s="68"/>
    </row>
    <row r="571" s="17" customFormat="1" ht="24" hidden="1" spans="1:24">
      <c r="A571" s="59">
        <v>569</v>
      </c>
      <c r="B571" s="60" t="s">
        <v>1317</v>
      </c>
      <c r="C571" s="114">
        <f t="shared" si="30"/>
        <v>44943</v>
      </c>
      <c r="D571" s="62" t="str">
        <f ca="1" t="shared" si="27"/>
        <v>一年以上</v>
      </c>
      <c r="E571" s="115">
        <v>44943</v>
      </c>
      <c r="F571" s="115" t="s">
        <v>632</v>
      </c>
      <c r="G571" s="132" t="s">
        <v>993</v>
      </c>
      <c r="H571" s="100" t="s">
        <v>1318</v>
      </c>
      <c r="I571" s="63" t="s">
        <v>1318</v>
      </c>
      <c r="J571" s="116">
        <v>2000</v>
      </c>
      <c r="K571" s="105" t="s">
        <v>28</v>
      </c>
      <c r="L571" s="105" t="s">
        <v>57</v>
      </c>
      <c r="M571" s="89" t="s">
        <v>30</v>
      </c>
      <c r="N571" s="117">
        <v>2000</v>
      </c>
      <c r="O571" s="137">
        <f t="shared" si="29"/>
        <v>0</v>
      </c>
      <c r="P571" s="115">
        <v>44975</v>
      </c>
      <c r="Q571" s="61">
        <f t="shared" si="28"/>
        <v>44975</v>
      </c>
      <c r="R571" s="68"/>
      <c r="S571" s="72" t="s">
        <v>1319</v>
      </c>
      <c r="T571" s="105" t="s">
        <v>1320</v>
      </c>
      <c r="U571" s="68"/>
      <c r="V571" s="68"/>
      <c r="W571" s="68"/>
      <c r="X571" s="68"/>
    </row>
    <row r="572" s="17" customFormat="1" ht="24" hidden="1" spans="1:24">
      <c r="A572" s="59">
        <v>570</v>
      </c>
      <c r="B572" s="60" t="s">
        <v>1321</v>
      </c>
      <c r="C572" s="114">
        <f t="shared" si="30"/>
        <v>44944</v>
      </c>
      <c r="D572" s="62" t="str">
        <f ca="1" t="shared" si="27"/>
        <v>一年以上</v>
      </c>
      <c r="E572" s="115">
        <v>44944</v>
      </c>
      <c r="F572" s="115" t="s">
        <v>130</v>
      </c>
      <c r="G572" s="132" t="s">
        <v>208</v>
      </c>
      <c r="H572" s="100" t="s">
        <v>132</v>
      </c>
      <c r="I572" s="63" t="s">
        <v>132</v>
      </c>
      <c r="J572" s="116">
        <v>21560</v>
      </c>
      <c r="K572" s="105" t="s">
        <v>28</v>
      </c>
      <c r="L572" s="136" t="s">
        <v>57</v>
      </c>
      <c r="M572" s="89" t="s">
        <v>133</v>
      </c>
      <c r="N572" s="104">
        <v>21560</v>
      </c>
      <c r="O572" s="137">
        <f t="shared" si="29"/>
        <v>0</v>
      </c>
      <c r="P572" s="115">
        <v>45308</v>
      </c>
      <c r="Q572" s="61">
        <f t="shared" si="28"/>
        <v>45308</v>
      </c>
      <c r="R572" s="68"/>
      <c r="S572" s="72" t="s">
        <v>1322</v>
      </c>
      <c r="T572" s="105" t="s">
        <v>720</v>
      </c>
      <c r="U572" s="59" t="str">
        <f>VLOOKUP(T572,[1]区域划分!$A$1:$C$39,3,0)</f>
        <v>杨春龙</v>
      </c>
      <c r="V572" s="68"/>
      <c r="W572" s="68"/>
      <c r="X572" s="68"/>
    </row>
    <row r="573" s="17" customFormat="1" spans="1:24">
      <c r="A573" s="59">
        <v>571</v>
      </c>
      <c r="B573" s="60" t="s">
        <v>1323</v>
      </c>
      <c r="C573" s="114">
        <f t="shared" si="30"/>
        <v>44945</v>
      </c>
      <c r="D573" s="62" t="str">
        <f ca="1" t="shared" si="27"/>
        <v>一年以上</v>
      </c>
      <c r="E573" s="115">
        <v>44945</v>
      </c>
      <c r="F573" s="115" t="s">
        <v>632</v>
      </c>
      <c r="G573" s="132" t="s">
        <v>993</v>
      </c>
      <c r="H573" s="100" t="s">
        <v>863</v>
      </c>
      <c r="I573" s="63" t="s">
        <v>863</v>
      </c>
      <c r="J573" s="127">
        <v>500</v>
      </c>
      <c r="K573" s="105" t="s">
        <v>28</v>
      </c>
      <c r="L573" s="105" t="s">
        <v>57</v>
      </c>
      <c r="M573" s="89" t="s">
        <v>515</v>
      </c>
      <c r="N573" s="117"/>
      <c r="O573" s="140">
        <f t="shared" si="29"/>
        <v>500</v>
      </c>
      <c r="P573" s="115"/>
      <c r="Q573" s="61">
        <f t="shared" si="28"/>
        <v>0</v>
      </c>
      <c r="R573" s="68"/>
      <c r="S573" s="60" t="s">
        <v>1324</v>
      </c>
      <c r="T573" s="105" t="s">
        <v>720</v>
      </c>
      <c r="U573" s="59" t="str">
        <f>VLOOKUP(T573,[1]区域划分!$A$1:$C$39,3,0)</f>
        <v>杨春龙</v>
      </c>
      <c r="V573" s="68"/>
      <c r="W573" s="68"/>
      <c r="X573" s="68"/>
    </row>
    <row r="574" s="17" customFormat="1" hidden="1" spans="1:24">
      <c r="A574" s="59">
        <v>572</v>
      </c>
      <c r="B574" s="60" t="s">
        <v>1325</v>
      </c>
      <c r="C574" s="114">
        <f t="shared" si="30"/>
        <v>44953</v>
      </c>
      <c r="D574" s="62" t="str">
        <f ca="1" t="shared" si="27"/>
        <v>一年以上</v>
      </c>
      <c r="E574" s="115">
        <v>44953</v>
      </c>
      <c r="F574" s="115" t="s">
        <v>632</v>
      </c>
      <c r="G574" s="132" t="s">
        <v>450</v>
      </c>
      <c r="H574" s="100" t="s">
        <v>406</v>
      </c>
      <c r="I574" s="63" t="s">
        <v>406</v>
      </c>
      <c r="J574" s="116">
        <v>800</v>
      </c>
      <c r="K574" s="105" t="s">
        <v>28</v>
      </c>
      <c r="L574" s="105" t="s">
        <v>57</v>
      </c>
      <c r="M574" s="89" t="s">
        <v>515</v>
      </c>
      <c r="N574" s="117">
        <v>800</v>
      </c>
      <c r="O574" s="137">
        <f t="shared" si="29"/>
        <v>0</v>
      </c>
      <c r="P574" s="115">
        <v>44989</v>
      </c>
      <c r="Q574" s="61">
        <f t="shared" si="28"/>
        <v>44989</v>
      </c>
      <c r="R574" s="68"/>
      <c r="S574" s="72" t="s">
        <v>1326</v>
      </c>
      <c r="T574" s="105"/>
      <c r="U574" s="68"/>
      <c r="V574" s="68"/>
      <c r="W574" s="68"/>
      <c r="X574" s="68"/>
    </row>
    <row r="575" s="17" customFormat="1" hidden="1" spans="1:24">
      <c r="A575" s="59">
        <v>573</v>
      </c>
      <c r="B575" s="60" t="s">
        <v>1327</v>
      </c>
      <c r="C575" s="114">
        <f t="shared" si="30"/>
        <v>44954</v>
      </c>
      <c r="D575" s="62" t="str">
        <f ca="1" t="shared" si="27"/>
        <v>一年以上</v>
      </c>
      <c r="E575" s="115">
        <v>44954</v>
      </c>
      <c r="F575" s="115" t="s">
        <v>70</v>
      </c>
      <c r="G575" s="132" t="s">
        <v>119</v>
      </c>
      <c r="H575" s="100" t="s">
        <v>1328</v>
      </c>
      <c r="I575" s="63" t="s">
        <v>1328</v>
      </c>
      <c r="J575" s="116">
        <v>14000</v>
      </c>
      <c r="K575" s="105" t="s">
        <v>28</v>
      </c>
      <c r="L575" s="136" t="s">
        <v>57</v>
      </c>
      <c r="M575" s="89" t="s">
        <v>65</v>
      </c>
      <c r="N575" s="104">
        <f>10000+4000</f>
        <v>14000</v>
      </c>
      <c r="O575" s="137">
        <f t="shared" si="29"/>
        <v>0</v>
      </c>
      <c r="P575" s="66">
        <v>45315</v>
      </c>
      <c r="Q575" s="61">
        <f t="shared" si="28"/>
        <v>45315</v>
      </c>
      <c r="R575" s="68"/>
      <c r="S575" s="72" t="s">
        <v>1329</v>
      </c>
      <c r="T575" s="105" t="s">
        <v>86</v>
      </c>
      <c r="U575" s="59" t="str">
        <f>VLOOKUP(T575,[1]区域划分!$A$1:$C$39,3,0)</f>
        <v>朱利勇</v>
      </c>
      <c r="V575" s="68"/>
      <c r="W575" s="68"/>
      <c r="X575" s="68"/>
    </row>
    <row r="576" s="17" customFormat="1" ht="24" hidden="1" spans="1:24">
      <c r="A576" s="59">
        <v>574</v>
      </c>
      <c r="B576" s="60" t="s">
        <v>1330</v>
      </c>
      <c r="C576" s="114">
        <f t="shared" si="30"/>
        <v>44954</v>
      </c>
      <c r="D576" s="62" t="str">
        <f ca="1" t="shared" si="27"/>
        <v>一年以上</v>
      </c>
      <c r="E576" s="115">
        <v>44954</v>
      </c>
      <c r="F576" s="115" t="s">
        <v>632</v>
      </c>
      <c r="G576" s="132" t="s">
        <v>450</v>
      </c>
      <c r="H576" s="100" t="s">
        <v>708</v>
      </c>
      <c r="I576" s="63" t="s">
        <v>708</v>
      </c>
      <c r="J576" s="116">
        <v>500</v>
      </c>
      <c r="K576" s="105" t="s">
        <v>28</v>
      </c>
      <c r="L576" s="105" t="s">
        <v>57</v>
      </c>
      <c r="M576" s="89" t="s">
        <v>515</v>
      </c>
      <c r="N576" s="117">
        <v>500</v>
      </c>
      <c r="O576" s="137">
        <f t="shared" si="29"/>
        <v>0</v>
      </c>
      <c r="P576" s="115">
        <v>44957</v>
      </c>
      <c r="Q576" s="61">
        <f t="shared" si="28"/>
        <v>44957</v>
      </c>
      <c r="R576" s="68" t="s">
        <v>951</v>
      </c>
      <c r="S576" s="72" t="s">
        <v>1167</v>
      </c>
      <c r="T576" s="105"/>
      <c r="U576" s="68"/>
      <c r="V576" s="68"/>
      <c r="W576" s="68"/>
      <c r="X576" s="68"/>
    </row>
    <row r="577" s="17" customFormat="1" hidden="1" spans="1:24">
      <c r="A577" s="59">
        <v>575</v>
      </c>
      <c r="B577" s="60" t="s">
        <v>1331</v>
      </c>
      <c r="C577" s="114">
        <f t="shared" si="30"/>
        <v>44955</v>
      </c>
      <c r="D577" s="62" t="str">
        <f ca="1" t="shared" si="27"/>
        <v>一年以上</v>
      </c>
      <c r="E577" s="115">
        <v>44955</v>
      </c>
      <c r="F577" s="115" t="s">
        <v>632</v>
      </c>
      <c r="G577" s="132" t="s">
        <v>450</v>
      </c>
      <c r="H577" s="100" t="s">
        <v>863</v>
      </c>
      <c r="I577" s="63" t="s">
        <v>863</v>
      </c>
      <c r="J577" s="141">
        <v>10000</v>
      </c>
      <c r="K577" s="105" t="s">
        <v>28</v>
      </c>
      <c r="L577" s="105" t="s">
        <v>57</v>
      </c>
      <c r="M577" s="89" t="s">
        <v>30</v>
      </c>
      <c r="N577" s="117">
        <v>10000</v>
      </c>
      <c r="O577" s="137">
        <f t="shared" si="29"/>
        <v>0</v>
      </c>
      <c r="P577" s="115">
        <v>45039</v>
      </c>
      <c r="Q577" s="61">
        <f t="shared" si="28"/>
        <v>45039</v>
      </c>
      <c r="R577" s="68"/>
      <c r="S577" s="60" t="s">
        <v>1324</v>
      </c>
      <c r="T577" s="105" t="s">
        <v>972</v>
      </c>
      <c r="U577" s="68"/>
      <c r="V577" s="68"/>
      <c r="W577" s="68"/>
      <c r="X577" s="68"/>
    </row>
    <row r="578" s="17" customFormat="1" hidden="1" spans="1:24">
      <c r="A578" s="59">
        <v>576</v>
      </c>
      <c r="B578" s="60" t="s">
        <v>1332</v>
      </c>
      <c r="C578" s="114">
        <f t="shared" si="30"/>
        <v>44956</v>
      </c>
      <c r="D578" s="62" t="str">
        <f ca="1" t="shared" si="27"/>
        <v>一年以上</v>
      </c>
      <c r="E578" s="115">
        <v>44956</v>
      </c>
      <c r="F578" s="115" t="s">
        <v>70</v>
      </c>
      <c r="G578" s="132" t="s">
        <v>1333</v>
      </c>
      <c r="H578" s="100" t="s">
        <v>179</v>
      </c>
      <c r="I578" s="63" t="s">
        <v>179</v>
      </c>
      <c r="J578" s="116">
        <v>2650</v>
      </c>
      <c r="K578" s="105" t="s">
        <v>28</v>
      </c>
      <c r="L578" s="105" t="s">
        <v>57</v>
      </c>
      <c r="M578" s="89" t="s">
        <v>65</v>
      </c>
      <c r="N578" s="117">
        <v>2650</v>
      </c>
      <c r="O578" s="137">
        <f t="shared" si="29"/>
        <v>0</v>
      </c>
      <c r="P578" s="115">
        <v>45069</v>
      </c>
      <c r="Q578" s="61">
        <f t="shared" si="28"/>
        <v>45069</v>
      </c>
      <c r="R578" s="68"/>
      <c r="S578" s="72" t="s">
        <v>1334</v>
      </c>
      <c r="T578" s="105"/>
      <c r="U578" s="68"/>
      <c r="V578" s="68"/>
      <c r="W578" s="68"/>
      <c r="X578" s="68"/>
    </row>
    <row r="579" s="17" customFormat="1" ht="24" hidden="1" spans="1:24">
      <c r="A579" s="59">
        <v>577</v>
      </c>
      <c r="B579" s="60" t="s">
        <v>1335</v>
      </c>
      <c r="C579" s="114">
        <f t="shared" si="30"/>
        <v>44958</v>
      </c>
      <c r="D579" s="62" t="str">
        <f ca="1" t="shared" ref="D579:D642" si="31">IF(TODAY()-E579&lt;60,"2个月内",IF(TODAY()-E579&lt;180,"3-6个月",IF(TODAY()-E579&lt;360,"6个月-1年","一年以上")))</f>
        <v>一年以上</v>
      </c>
      <c r="E579" s="115">
        <v>44958</v>
      </c>
      <c r="F579" s="115" t="s">
        <v>632</v>
      </c>
      <c r="G579" s="132" t="s">
        <v>450</v>
      </c>
      <c r="H579" s="100" t="s">
        <v>1336</v>
      </c>
      <c r="I579" s="60" t="s">
        <v>1336</v>
      </c>
      <c r="J579" s="116">
        <v>1000</v>
      </c>
      <c r="K579" s="105" t="s">
        <v>28</v>
      </c>
      <c r="L579" s="105" t="s">
        <v>57</v>
      </c>
      <c r="M579" s="89" t="s">
        <v>515</v>
      </c>
      <c r="N579" s="117">
        <v>1000</v>
      </c>
      <c r="O579" s="137">
        <f t="shared" si="29"/>
        <v>0</v>
      </c>
      <c r="P579" s="115">
        <v>44960</v>
      </c>
      <c r="Q579" s="61">
        <f t="shared" ref="Q579:Q642" si="32">P579</f>
        <v>44960</v>
      </c>
      <c r="R579" s="68" t="s">
        <v>951</v>
      </c>
      <c r="S579" s="142" t="s">
        <v>1337</v>
      </c>
      <c r="T579" s="105"/>
      <c r="U579" s="68"/>
      <c r="V579" s="68"/>
      <c r="W579" s="68"/>
      <c r="X579" s="68"/>
    </row>
    <row r="580" s="17" customFormat="1" ht="24" hidden="1" spans="1:24">
      <c r="A580" s="59">
        <v>578</v>
      </c>
      <c r="B580" s="60" t="s">
        <v>1338</v>
      </c>
      <c r="C580" s="114">
        <f t="shared" si="30"/>
        <v>44959</v>
      </c>
      <c r="D580" s="62" t="str">
        <f ca="1" t="shared" si="31"/>
        <v>一年以上</v>
      </c>
      <c r="E580" s="115">
        <v>44959</v>
      </c>
      <c r="F580" s="115" t="s">
        <v>632</v>
      </c>
      <c r="G580" s="132" t="s">
        <v>450</v>
      </c>
      <c r="H580" s="100" t="s">
        <v>495</v>
      </c>
      <c r="I580" s="60" t="s">
        <v>495</v>
      </c>
      <c r="J580" s="116">
        <v>2000</v>
      </c>
      <c r="K580" s="105" t="s">
        <v>356</v>
      </c>
      <c r="L580" s="105" t="s">
        <v>458</v>
      </c>
      <c r="M580" s="89" t="s">
        <v>30</v>
      </c>
      <c r="N580" s="117">
        <v>2000</v>
      </c>
      <c r="O580" s="137">
        <f t="shared" si="29"/>
        <v>0</v>
      </c>
      <c r="P580" s="115">
        <v>44974</v>
      </c>
      <c r="Q580" s="61">
        <f t="shared" si="32"/>
        <v>44974</v>
      </c>
      <c r="R580" s="68"/>
      <c r="S580" s="72" t="s">
        <v>1294</v>
      </c>
      <c r="T580" s="105" t="s">
        <v>182</v>
      </c>
      <c r="U580" s="68"/>
      <c r="V580" s="68"/>
      <c r="W580" s="68"/>
      <c r="X580" s="68"/>
    </row>
    <row r="581" s="17" customFormat="1" ht="24" hidden="1" spans="1:24">
      <c r="A581" s="59">
        <v>579</v>
      </c>
      <c r="B581" s="60" t="s">
        <v>1339</v>
      </c>
      <c r="C581" s="114">
        <f t="shared" si="30"/>
        <v>44960</v>
      </c>
      <c r="D581" s="62" t="str">
        <f ca="1" t="shared" si="31"/>
        <v>一年以上</v>
      </c>
      <c r="E581" s="115">
        <v>44960</v>
      </c>
      <c r="F581" s="66" t="s">
        <v>632</v>
      </c>
      <c r="G581" s="59" t="s">
        <v>450</v>
      </c>
      <c r="H581" s="100" t="s">
        <v>967</v>
      </c>
      <c r="I581" s="60" t="s">
        <v>967</v>
      </c>
      <c r="J581" s="116">
        <v>6000</v>
      </c>
      <c r="K581" s="105" t="s">
        <v>28</v>
      </c>
      <c r="L581" s="105" t="s">
        <v>57</v>
      </c>
      <c r="M581" s="89" t="s">
        <v>968</v>
      </c>
      <c r="N581" s="117">
        <v>6000</v>
      </c>
      <c r="O581" s="137">
        <f t="shared" si="29"/>
        <v>0</v>
      </c>
      <c r="P581" s="115">
        <v>44960</v>
      </c>
      <c r="Q581" s="61">
        <f t="shared" si="32"/>
        <v>44960</v>
      </c>
      <c r="R581" s="68" t="s">
        <v>951</v>
      </c>
      <c r="S581" s="59" t="s">
        <v>1340</v>
      </c>
      <c r="T581" s="105"/>
      <c r="U581" s="68"/>
      <c r="V581" s="68"/>
      <c r="W581" s="68"/>
      <c r="X581" s="68"/>
    </row>
    <row r="582" s="17" customFormat="1" ht="24" hidden="1" spans="1:24">
      <c r="A582" s="59">
        <v>580</v>
      </c>
      <c r="B582" s="60" t="s">
        <v>1341</v>
      </c>
      <c r="C582" s="114">
        <f t="shared" si="30"/>
        <v>44963</v>
      </c>
      <c r="D582" s="62" t="str">
        <f ca="1" t="shared" si="31"/>
        <v>一年以上</v>
      </c>
      <c r="E582" s="115">
        <v>44963</v>
      </c>
      <c r="F582" s="66" t="s">
        <v>70</v>
      </c>
      <c r="G582" s="59" t="s">
        <v>1342</v>
      </c>
      <c r="H582" s="100" t="s">
        <v>1343</v>
      </c>
      <c r="I582" s="60" t="s">
        <v>1343</v>
      </c>
      <c r="J582" s="116">
        <v>54479.6</v>
      </c>
      <c r="K582" s="105" t="s">
        <v>356</v>
      </c>
      <c r="L582" s="105" t="s">
        <v>458</v>
      </c>
      <c r="M582" s="89" t="s">
        <v>65</v>
      </c>
      <c r="N582" s="117">
        <v>54479.6</v>
      </c>
      <c r="O582" s="137">
        <f t="shared" si="29"/>
        <v>0</v>
      </c>
      <c r="P582" s="115">
        <v>45044</v>
      </c>
      <c r="Q582" s="61">
        <f t="shared" si="32"/>
        <v>45044</v>
      </c>
      <c r="R582" s="68"/>
      <c r="S582" s="72" t="s">
        <v>1344</v>
      </c>
      <c r="T582" s="105"/>
      <c r="U582" s="68"/>
      <c r="V582" s="68"/>
      <c r="W582" s="68"/>
      <c r="X582" s="68"/>
    </row>
    <row r="583" s="17" customFormat="1" ht="24" hidden="1" spans="1:24">
      <c r="A583" s="59">
        <v>581</v>
      </c>
      <c r="B583" s="60" t="s">
        <v>1345</v>
      </c>
      <c r="C583" s="114">
        <f t="shared" si="30"/>
        <v>44963</v>
      </c>
      <c r="D583" s="62" t="str">
        <f ca="1" t="shared" si="31"/>
        <v>一年以上</v>
      </c>
      <c r="E583" s="115">
        <v>44963</v>
      </c>
      <c r="F583" s="66" t="s">
        <v>632</v>
      </c>
      <c r="G583" s="132" t="s">
        <v>993</v>
      </c>
      <c r="H583" s="100" t="s">
        <v>1318</v>
      </c>
      <c r="I583" s="60" t="s">
        <v>1318</v>
      </c>
      <c r="J583" s="116">
        <v>3000</v>
      </c>
      <c r="K583" s="105" t="s">
        <v>28</v>
      </c>
      <c r="L583" s="105" t="s">
        <v>57</v>
      </c>
      <c r="M583" s="89" t="s">
        <v>30</v>
      </c>
      <c r="N583" s="117">
        <v>3000</v>
      </c>
      <c r="O583" s="137">
        <f t="shared" si="29"/>
        <v>0</v>
      </c>
      <c r="P583" s="115">
        <v>44982</v>
      </c>
      <c r="Q583" s="61">
        <f t="shared" si="32"/>
        <v>44982</v>
      </c>
      <c r="R583" s="68"/>
      <c r="S583" s="72" t="s">
        <v>1346</v>
      </c>
      <c r="T583" s="105"/>
      <c r="U583" s="68"/>
      <c r="V583" s="68"/>
      <c r="W583" s="68"/>
      <c r="X583" s="68"/>
    </row>
    <row r="584" s="17" customFormat="1" hidden="1" spans="1:24">
      <c r="A584" s="59">
        <v>582</v>
      </c>
      <c r="B584" s="60" t="s">
        <v>1347</v>
      </c>
      <c r="C584" s="114">
        <f t="shared" si="30"/>
        <v>44964</v>
      </c>
      <c r="D584" s="62" t="str">
        <f ca="1" t="shared" si="31"/>
        <v>一年以上</v>
      </c>
      <c r="E584" s="115">
        <v>44964</v>
      </c>
      <c r="F584" s="66" t="s">
        <v>632</v>
      </c>
      <c r="G584" s="132" t="s">
        <v>450</v>
      </c>
      <c r="H584" s="100" t="s">
        <v>679</v>
      </c>
      <c r="I584" s="60" t="s">
        <v>679</v>
      </c>
      <c r="J584" s="116">
        <v>4000</v>
      </c>
      <c r="K584" s="105" t="s">
        <v>28</v>
      </c>
      <c r="L584" s="105" t="s">
        <v>57</v>
      </c>
      <c r="M584" s="89" t="s">
        <v>30</v>
      </c>
      <c r="N584" s="117">
        <v>4000</v>
      </c>
      <c r="O584" s="137">
        <f t="shared" si="29"/>
        <v>0</v>
      </c>
      <c r="P584" s="115">
        <v>45075</v>
      </c>
      <c r="Q584" s="61">
        <f t="shared" si="32"/>
        <v>45075</v>
      </c>
      <c r="R584" s="68"/>
      <c r="S584" s="72" t="s">
        <v>1348</v>
      </c>
      <c r="T584" s="105"/>
      <c r="U584" s="68"/>
      <c r="V584" s="68"/>
      <c r="W584" s="68"/>
      <c r="X584" s="68"/>
    </row>
    <row r="585" s="17" customFormat="1" spans="1:24">
      <c r="A585" s="59">
        <v>583</v>
      </c>
      <c r="B585" s="60" t="s">
        <v>1349</v>
      </c>
      <c r="C585" s="114">
        <f t="shared" si="30"/>
        <v>44964</v>
      </c>
      <c r="D585" s="62" t="str">
        <f ca="1" t="shared" si="31"/>
        <v>一年以上</v>
      </c>
      <c r="E585" s="115">
        <v>44964</v>
      </c>
      <c r="F585" s="66" t="s">
        <v>632</v>
      </c>
      <c r="G585" s="132" t="s">
        <v>450</v>
      </c>
      <c r="H585" s="100" t="s">
        <v>679</v>
      </c>
      <c r="I585" s="60" t="s">
        <v>679</v>
      </c>
      <c r="J585" s="116">
        <v>500</v>
      </c>
      <c r="K585" s="105" t="s">
        <v>28</v>
      </c>
      <c r="L585" s="105" t="s">
        <v>57</v>
      </c>
      <c r="M585" s="89" t="s">
        <v>515</v>
      </c>
      <c r="N585" s="117"/>
      <c r="O585" s="137">
        <f t="shared" si="29"/>
        <v>500</v>
      </c>
      <c r="P585" s="115"/>
      <c r="Q585" s="61">
        <f t="shared" si="32"/>
        <v>0</v>
      </c>
      <c r="R585" s="68"/>
      <c r="S585" s="72" t="s">
        <v>515</v>
      </c>
      <c r="T585" s="101" t="s">
        <v>44</v>
      </c>
      <c r="U585" s="59" t="str">
        <f>VLOOKUP(T585,[1]区域划分!$A$1:$C$39,3,0)</f>
        <v>殷坤鹏</v>
      </c>
      <c r="V585" s="68"/>
      <c r="W585" s="68"/>
      <c r="X585" s="68"/>
    </row>
    <row r="586" s="17" customFormat="1" ht="24" hidden="1" spans="1:24">
      <c r="A586" s="59">
        <v>584</v>
      </c>
      <c r="B586" s="60" t="s">
        <v>1350</v>
      </c>
      <c r="C586" s="114">
        <f t="shared" si="30"/>
        <v>44964</v>
      </c>
      <c r="D586" s="62" t="str">
        <f ca="1" t="shared" si="31"/>
        <v>一年以上</v>
      </c>
      <c r="E586" s="115">
        <v>44964</v>
      </c>
      <c r="F586" s="66" t="s">
        <v>632</v>
      </c>
      <c r="G586" s="132" t="s">
        <v>450</v>
      </c>
      <c r="H586" s="100" t="s">
        <v>1351</v>
      </c>
      <c r="I586" s="60" t="s">
        <v>1351</v>
      </c>
      <c r="J586" s="116">
        <v>300</v>
      </c>
      <c r="K586" s="105" t="s">
        <v>28</v>
      </c>
      <c r="L586" s="105" t="s">
        <v>57</v>
      </c>
      <c r="M586" s="89" t="s">
        <v>968</v>
      </c>
      <c r="N586" s="117">
        <v>300</v>
      </c>
      <c r="O586" s="137">
        <f t="shared" si="29"/>
        <v>0</v>
      </c>
      <c r="P586" s="115">
        <v>44967</v>
      </c>
      <c r="Q586" s="61">
        <f t="shared" si="32"/>
        <v>44967</v>
      </c>
      <c r="R586" s="68" t="s">
        <v>1352</v>
      </c>
      <c r="S586" s="72" t="s">
        <v>1353</v>
      </c>
      <c r="T586" s="105"/>
      <c r="U586" s="68"/>
      <c r="V586" s="68"/>
      <c r="W586" s="68"/>
      <c r="X586" s="68"/>
    </row>
    <row r="587" s="17" customFormat="1" ht="24" hidden="1" spans="1:24">
      <c r="A587" s="59">
        <v>585</v>
      </c>
      <c r="B587" s="60" t="s">
        <v>1354</v>
      </c>
      <c r="C587" s="114">
        <f t="shared" si="30"/>
        <v>44967</v>
      </c>
      <c r="D587" s="62" t="str">
        <f ca="1" t="shared" si="31"/>
        <v>一年以上</v>
      </c>
      <c r="E587" s="115">
        <v>44967</v>
      </c>
      <c r="F587" s="66" t="s">
        <v>632</v>
      </c>
      <c r="G587" s="132" t="s">
        <v>450</v>
      </c>
      <c r="H587" s="100" t="s">
        <v>1355</v>
      </c>
      <c r="I587" s="60" t="s">
        <v>1355</v>
      </c>
      <c r="J587" s="116">
        <v>50000</v>
      </c>
      <c r="K587" s="105" t="s">
        <v>28</v>
      </c>
      <c r="L587" s="105" t="s">
        <v>57</v>
      </c>
      <c r="M587" s="89" t="s">
        <v>30</v>
      </c>
      <c r="N587" s="117">
        <v>50000</v>
      </c>
      <c r="O587" s="137">
        <f t="shared" si="29"/>
        <v>0</v>
      </c>
      <c r="P587" s="115">
        <v>45007</v>
      </c>
      <c r="Q587" s="61">
        <f t="shared" si="32"/>
        <v>45007</v>
      </c>
      <c r="R587" s="68"/>
      <c r="S587" s="72" t="s">
        <v>1356</v>
      </c>
      <c r="T587" s="105"/>
      <c r="U587" s="68"/>
      <c r="V587" s="68"/>
      <c r="W587" s="68"/>
      <c r="X587" s="68"/>
    </row>
    <row r="588" s="17" customFormat="1" ht="36" hidden="1" spans="1:24">
      <c r="A588" s="59">
        <v>586</v>
      </c>
      <c r="B588" s="60" t="s">
        <v>1357</v>
      </c>
      <c r="C588" s="114">
        <f t="shared" si="30"/>
        <v>44973</v>
      </c>
      <c r="D588" s="62" t="str">
        <f ca="1" t="shared" si="31"/>
        <v>一年以上</v>
      </c>
      <c r="E588" s="115">
        <v>44973</v>
      </c>
      <c r="F588" s="66" t="s">
        <v>632</v>
      </c>
      <c r="G588" s="132" t="s">
        <v>450</v>
      </c>
      <c r="H588" s="100" t="s">
        <v>577</v>
      </c>
      <c r="I588" s="60" t="s">
        <v>578</v>
      </c>
      <c r="J588" s="116">
        <v>200</v>
      </c>
      <c r="K588" s="105" t="s">
        <v>28</v>
      </c>
      <c r="L588" s="105" t="s">
        <v>57</v>
      </c>
      <c r="M588" s="89" t="s">
        <v>515</v>
      </c>
      <c r="N588" s="117">
        <v>200</v>
      </c>
      <c r="O588" s="137">
        <f t="shared" si="29"/>
        <v>0</v>
      </c>
      <c r="P588" s="115">
        <v>44976</v>
      </c>
      <c r="Q588" s="61">
        <f t="shared" si="32"/>
        <v>44976</v>
      </c>
      <c r="R588" s="68" t="s">
        <v>1250</v>
      </c>
      <c r="S588" s="72" t="s">
        <v>1358</v>
      </c>
      <c r="T588" s="105"/>
      <c r="U588" s="68"/>
      <c r="V588" s="68"/>
      <c r="W588" s="68"/>
      <c r="X588" s="68"/>
    </row>
    <row r="589" s="17" customFormat="1" ht="36" hidden="1" spans="1:24">
      <c r="A589" s="59">
        <v>587</v>
      </c>
      <c r="B589" s="60" t="s">
        <v>1359</v>
      </c>
      <c r="C589" s="114">
        <f t="shared" si="30"/>
        <v>44973</v>
      </c>
      <c r="D589" s="62" t="str">
        <f ca="1" t="shared" si="31"/>
        <v>一年以上</v>
      </c>
      <c r="E589" s="115">
        <v>44973</v>
      </c>
      <c r="F589" s="66" t="s">
        <v>632</v>
      </c>
      <c r="G589" s="132" t="s">
        <v>450</v>
      </c>
      <c r="H589" s="100" t="s">
        <v>577</v>
      </c>
      <c r="I589" s="60" t="s">
        <v>578</v>
      </c>
      <c r="J589" s="116">
        <v>10000</v>
      </c>
      <c r="K589" s="105" t="s">
        <v>28</v>
      </c>
      <c r="L589" s="143" t="s">
        <v>57</v>
      </c>
      <c r="M589" s="89" t="s">
        <v>30</v>
      </c>
      <c r="N589" s="104">
        <v>10000</v>
      </c>
      <c r="O589" s="137">
        <f t="shared" si="29"/>
        <v>0</v>
      </c>
      <c r="P589" s="115">
        <v>45349</v>
      </c>
      <c r="Q589" s="61">
        <f t="shared" si="32"/>
        <v>45349</v>
      </c>
      <c r="R589" s="68"/>
      <c r="S589" s="72" t="s">
        <v>1358</v>
      </c>
      <c r="T589" s="105" t="s">
        <v>581</v>
      </c>
      <c r="U589" s="59" t="str">
        <f>VLOOKUP(T589,[1]区域划分!$A$1:$C$39,3,0)</f>
        <v>新疆</v>
      </c>
      <c r="V589" s="68"/>
      <c r="W589" s="68"/>
      <c r="X589" s="68"/>
    </row>
    <row r="590" s="17" customFormat="1" hidden="1" spans="1:24">
      <c r="A590" s="59">
        <v>588</v>
      </c>
      <c r="B590" s="60" t="s">
        <v>1360</v>
      </c>
      <c r="C590" s="114">
        <f t="shared" si="30"/>
        <v>44974</v>
      </c>
      <c r="D590" s="62" t="str">
        <f ca="1" t="shared" si="31"/>
        <v>一年以上</v>
      </c>
      <c r="E590" s="115">
        <v>44974</v>
      </c>
      <c r="F590" s="66" t="s">
        <v>70</v>
      </c>
      <c r="G590" s="132" t="s">
        <v>246</v>
      </c>
      <c r="H590" s="100" t="s">
        <v>341</v>
      </c>
      <c r="I590" s="60" t="s">
        <v>341</v>
      </c>
      <c r="J590" s="116">
        <v>2000</v>
      </c>
      <c r="K590" s="105" t="s">
        <v>28</v>
      </c>
      <c r="L590" s="105" t="s">
        <v>57</v>
      </c>
      <c r="M590" s="89" t="s">
        <v>65</v>
      </c>
      <c r="N590" s="117">
        <v>2000</v>
      </c>
      <c r="O590" s="137">
        <f t="shared" si="29"/>
        <v>0</v>
      </c>
      <c r="P590" s="115">
        <v>45006</v>
      </c>
      <c r="Q590" s="61">
        <f t="shared" si="32"/>
        <v>45006</v>
      </c>
      <c r="R590" s="68"/>
      <c r="S590" s="72"/>
      <c r="T590" s="105"/>
      <c r="U590" s="68"/>
      <c r="V590" s="68"/>
      <c r="W590" s="68"/>
      <c r="X590" s="68"/>
    </row>
    <row r="591" s="17" customFormat="1" ht="24" hidden="1" spans="1:24">
      <c r="A591" s="59">
        <v>589</v>
      </c>
      <c r="B591" s="60" t="s">
        <v>1361</v>
      </c>
      <c r="C591" s="114">
        <f t="shared" si="30"/>
        <v>44978</v>
      </c>
      <c r="D591" s="62" t="str">
        <f ca="1" t="shared" si="31"/>
        <v>一年以上</v>
      </c>
      <c r="E591" s="115">
        <v>44978</v>
      </c>
      <c r="F591" s="115" t="s">
        <v>632</v>
      </c>
      <c r="G591" s="132" t="s">
        <v>450</v>
      </c>
      <c r="H591" s="100" t="s">
        <v>1362</v>
      </c>
      <c r="I591" s="60" t="s">
        <v>1363</v>
      </c>
      <c r="J591" s="116">
        <v>10000</v>
      </c>
      <c r="K591" s="105" t="s">
        <v>28</v>
      </c>
      <c r="L591" s="105" t="s">
        <v>73</v>
      </c>
      <c r="M591" s="89" t="s">
        <v>30</v>
      </c>
      <c r="N591" s="117">
        <v>10000</v>
      </c>
      <c r="O591" s="138">
        <f t="shared" ref="O591:O654" si="33">J591-N591</f>
        <v>0</v>
      </c>
      <c r="P591" s="144">
        <v>45440</v>
      </c>
      <c r="Q591" s="61">
        <f t="shared" si="32"/>
        <v>45440</v>
      </c>
      <c r="R591" s="68"/>
      <c r="S591" s="72" t="s">
        <v>1364</v>
      </c>
      <c r="T591" s="105" t="s">
        <v>1365</v>
      </c>
      <c r="U591" s="59" t="str">
        <f>VLOOKUP(T591,[1]区域划分!$A$1:$C$39,3,0)</f>
        <v>方渊</v>
      </c>
      <c r="V591" s="68"/>
      <c r="W591" s="68"/>
      <c r="X591" s="68"/>
    </row>
    <row r="592" s="17" customFormat="1" ht="24" hidden="1" spans="1:24">
      <c r="A592" s="59">
        <v>590</v>
      </c>
      <c r="B592" s="60" t="s">
        <v>1366</v>
      </c>
      <c r="C592" s="114">
        <f t="shared" si="30"/>
        <v>44978</v>
      </c>
      <c r="D592" s="62" t="str">
        <f ca="1" t="shared" si="31"/>
        <v>一年以上</v>
      </c>
      <c r="E592" s="115">
        <v>44978</v>
      </c>
      <c r="F592" s="115" t="s">
        <v>632</v>
      </c>
      <c r="G592" s="132" t="s">
        <v>450</v>
      </c>
      <c r="H592" s="100" t="s">
        <v>1362</v>
      </c>
      <c r="I592" s="60" t="s">
        <v>1362</v>
      </c>
      <c r="J592" s="116">
        <v>200</v>
      </c>
      <c r="K592" s="105" t="s">
        <v>28</v>
      </c>
      <c r="L592" s="105" t="s">
        <v>73</v>
      </c>
      <c r="M592" s="89" t="s">
        <v>515</v>
      </c>
      <c r="N592" s="117">
        <v>200</v>
      </c>
      <c r="O592" s="137">
        <f t="shared" si="33"/>
        <v>0</v>
      </c>
      <c r="P592" s="115">
        <v>44991</v>
      </c>
      <c r="Q592" s="61">
        <f t="shared" si="32"/>
        <v>44991</v>
      </c>
      <c r="R592" s="68" t="s">
        <v>951</v>
      </c>
      <c r="S592" s="72" t="s">
        <v>1364</v>
      </c>
      <c r="T592" s="105"/>
      <c r="U592" s="68"/>
      <c r="V592" s="68"/>
      <c r="W592" s="68"/>
      <c r="X592" s="68"/>
    </row>
    <row r="593" s="17" customFormat="1" ht="24" hidden="1" spans="1:24">
      <c r="A593" s="59">
        <v>591</v>
      </c>
      <c r="B593" s="60" t="s">
        <v>1367</v>
      </c>
      <c r="C593" s="114">
        <f t="shared" si="30"/>
        <v>44978</v>
      </c>
      <c r="D593" s="62" t="str">
        <f ca="1" t="shared" si="31"/>
        <v>一年以上</v>
      </c>
      <c r="E593" s="115">
        <v>44978</v>
      </c>
      <c r="F593" s="115" t="s">
        <v>632</v>
      </c>
      <c r="G593" s="132" t="s">
        <v>450</v>
      </c>
      <c r="H593" s="100" t="s">
        <v>1368</v>
      </c>
      <c r="I593" s="60" t="s">
        <v>1368</v>
      </c>
      <c r="J593" s="116">
        <v>1000</v>
      </c>
      <c r="K593" s="105" t="s">
        <v>28</v>
      </c>
      <c r="L593" s="105" t="s">
        <v>73</v>
      </c>
      <c r="M593" s="89" t="s">
        <v>968</v>
      </c>
      <c r="N593" s="117">
        <v>1000</v>
      </c>
      <c r="O593" s="137">
        <f t="shared" si="33"/>
        <v>0</v>
      </c>
      <c r="P593" s="115">
        <v>45023</v>
      </c>
      <c r="Q593" s="61">
        <f t="shared" si="32"/>
        <v>45023</v>
      </c>
      <c r="R593" s="68"/>
      <c r="S593" s="72" t="s">
        <v>1369</v>
      </c>
      <c r="T593" s="105"/>
      <c r="U593" s="68"/>
      <c r="V593" s="68"/>
      <c r="W593" s="68"/>
      <c r="X593" s="68"/>
    </row>
    <row r="594" s="17" customFormat="1" ht="24" hidden="1" spans="1:24">
      <c r="A594" s="59">
        <v>592</v>
      </c>
      <c r="B594" s="60" t="s">
        <v>1370</v>
      </c>
      <c r="C594" s="114">
        <f t="shared" si="30"/>
        <v>44978</v>
      </c>
      <c r="D594" s="62" t="str">
        <f ca="1" t="shared" si="31"/>
        <v>一年以上</v>
      </c>
      <c r="E594" s="115">
        <v>44978</v>
      </c>
      <c r="F594" s="115" t="s">
        <v>632</v>
      </c>
      <c r="G594" s="132" t="s">
        <v>450</v>
      </c>
      <c r="H594" s="100" t="s">
        <v>495</v>
      </c>
      <c r="I594" s="60" t="s">
        <v>495</v>
      </c>
      <c r="J594" s="116">
        <v>2000</v>
      </c>
      <c r="K594" s="105" t="s">
        <v>356</v>
      </c>
      <c r="L594" s="105" t="s">
        <v>73</v>
      </c>
      <c r="M594" s="89" t="s">
        <v>30</v>
      </c>
      <c r="N594" s="117">
        <v>2000</v>
      </c>
      <c r="O594" s="137">
        <f t="shared" si="33"/>
        <v>0</v>
      </c>
      <c r="P594" s="115">
        <v>44985</v>
      </c>
      <c r="Q594" s="61">
        <f t="shared" si="32"/>
        <v>44985</v>
      </c>
      <c r="R594" s="68"/>
      <c r="S594" s="72" t="s">
        <v>1294</v>
      </c>
      <c r="T594" s="105" t="s">
        <v>182</v>
      </c>
      <c r="U594" s="68"/>
      <c r="V594" s="68"/>
      <c r="W594" s="68"/>
      <c r="X594" s="68"/>
    </row>
    <row r="595" s="17" customFormat="1" ht="24" hidden="1" spans="1:24">
      <c r="A595" s="59">
        <v>593</v>
      </c>
      <c r="B595" s="60" t="s">
        <v>1371</v>
      </c>
      <c r="C595" s="114">
        <f t="shared" si="30"/>
        <v>44979</v>
      </c>
      <c r="D595" s="62" t="str">
        <f ca="1" t="shared" si="31"/>
        <v>一年以上</v>
      </c>
      <c r="E595" s="115">
        <v>44979</v>
      </c>
      <c r="F595" s="66" t="s">
        <v>130</v>
      </c>
      <c r="G595" s="132" t="s">
        <v>1372</v>
      </c>
      <c r="H595" s="100" t="s">
        <v>863</v>
      </c>
      <c r="I595" s="60" t="s">
        <v>863</v>
      </c>
      <c r="J595" s="116">
        <v>5400</v>
      </c>
      <c r="K595" s="105" t="s">
        <v>28</v>
      </c>
      <c r="L595" s="105" t="s">
        <v>73</v>
      </c>
      <c r="M595" s="89" t="s">
        <v>133</v>
      </c>
      <c r="N595" s="117">
        <v>5400</v>
      </c>
      <c r="O595" s="137">
        <f t="shared" si="33"/>
        <v>0</v>
      </c>
      <c r="P595" s="115">
        <v>45230</v>
      </c>
      <c r="Q595" s="61">
        <f t="shared" si="32"/>
        <v>45230</v>
      </c>
      <c r="R595" s="68" t="s">
        <v>1077</v>
      </c>
      <c r="S595" s="60" t="s">
        <v>1373</v>
      </c>
      <c r="T595" s="105"/>
      <c r="U595" s="68"/>
      <c r="V595" s="68"/>
      <c r="W595" s="68"/>
      <c r="X595" s="68"/>
    </row>
    <row r="596" s="17" customFormat="1" ht="36" hidden="1" spans="1:24">
      <c r="A596" s="59">
        <v>594</v>
      </c>
      <c r="B596" s="60" t="s">
        <v>1374</v>
      </c>
      <c r="C596" s="114">
        <f t="shared" si="30"/>
        <v>44979</v>
      </c>
      <c r="D596" s="62" t="str">
        <f ca="1" t="shared" si="31"/>
        <v>一年以上</v>
      </c>
      <c r="E596" s="115">
        <v>44979</v>
      </c>
      <c r="F596" s="66" t="s">
        <v>130</v>
      </c>
      <c r="G596" s="132" t="s">
        <v>1372</v>
      </c>
      <c r="H596" s="100" t="s">
        <v>863</v>
      </c>
      <c r="I596" s="60" t="s">
        <v>863</v>
      </c>
      <c r="J596" s="116">
        <v>6400</v>
      </c>
      <c r="K596" s="105" t="s">
        <v>28</v>
      </c>
      <c r="L596" s="105" t="s">
        <v>73</v>
      </c>
      <c r="M596" s="89" t="s">
        <v>133</v>
      </c>
      <c r="N596" s="117">
        <v>6400</v>
      </c>
      <c r="O596" s="137">
        <f t="shared" si="33"/>
        <v>0</v>
      </c>
      <c r="P596" s="115">
        <v>45230</v>
      </c>
      <c r="Q596" s="61">
        <f t="shared" si="32"/>
        <v>45230</v>
      </c>
      <c r="R596" s="68" t="s">
        <v>1077</v>
      </c>
      <c r="S596" s="60" t="s">
        <v>1375</v>
      </c>
      <c r="T596" s="105"/>
      <c r="U596" s="68"/>
      <c r="V596" s="68"/>
      <c r="W596" s="68"/>
      <c r="X596" s="68"/>
    </row>
    <row r="597" s="24" customFormat="1" hidden="1" spans="1:24">
      <c r="A597" s="118">
        <v>595</v>
      </c>
      <c r="B597" s="119" t="s">
        <v>1376</v>
      </c>
      <c r="C597" s="120">
        <f t="shared" si="30"/>
        <v>44979</v>
      </c>
      <c r="D597" s="121" t="str">
        <f ca="1" t="shared" si="31"/>
        <v>一年以上</v>
      </c>
      <c r="E597" s="122">
        <v>44979</v>
      </c>
      <c r="F597" s="123" t="s">
        <v>130</v>
      </c>
      <c r="G597" s="135" t="s">
        <v>1372</v>
      </c>
      <c r="H597" s="100" t="s">
        <v>863</v>
      </c>
      <c r="I597" s="119" t="s">
        <v>863</v>
      </c>
      <c r="J597" s="127">
        <v>3100</v>
      </c>
      <c r="K597" s="131" t="s">
        <v>28</v>
      </c>
      <c r="L597" s="131" t="s">
        <v>73</v>
      </c>
      <c r="M597" s="124" t="s">
        <v>133</v>
      </c>
      <c r="N597" s="128">
        <v>3100</v>
      </c>
      <c r="O597" s="140">
        <f t="shared" si="33"/>
        <v>0</v>
      </c>
      <c r="P597" s="122" t="s">
        <v>2657</v>
      </c>
      <c r="Q597" s="129" t="str">
        <f t="shared" si="32"/>
        <v>2024.7.26</v>
      </c>
      <c r="R597" s="130" t="s">
        <v>1377</v>
      </c>
      <c r="S597" s="119" t="s">
        <v>1378</v>
      </c>
      <c r="T597" s="131" t="s">
        <v>972</v>
      </c>
      <c r="U597" s="118" t="str">
        <f>VLOOKUP(T597,[1]区域划分!$A$1:$C$39,3,0)</f>
        <v>曾江利</v>
      </c>
      <c r="V597" s="130"/>
      <c r="W597" s="130"/>
      <c r="X597" s="130"/>
    </row>
    <row r="598" s="17" customFormat="1" hidden="1" spans="1:24">
      <c r="A598" s="59">
        <v>596</v>
      </c>
      <c r="B598" s="60" t="s">
        <v>1379</v>
      </c>
      <c r="C598" s="114">
        <f t="shared" si="30"/>
        <v>44979</v>
      </c>
      <c r="D598" s="62" t="str">
        <f ca="1" t="shared" si="31"/>
        <v>一年以上</v>
      </c>
      <c r="E598" s="115">
        <v>44979</v>
      </c>
      <c r="F598" s="66" t="s">
        <v>130</v>
      </c>
      <c r="G598" s="132" t="s">
        <v>1372</v>
      </c>
      <c r="H598" s="100" t="s">
        <v>863</v>
      </c>
      <c r="I598" s="60" t="s">
        <v>863</v>
      </c>
      <c r="J598" s="116">
        <v>4500</v>
      </c>
      <c r="K598" s="105" t="s">
        <v>28</v>
      </c>
      <c r="L598" s="105" t="s">
        <v>73</v>
      </c>
      <c r="M598" s="89" t="s">
        <v>133</v>
      </c>
      <c r="N598" s="117">
        <v>4500</v>
      </c>
      <c r="O598" s="137">
        <f t="shared" si="33"/>
        <v>0</v>
      </c>
      <c r="P598" s="115">
        <v>45230</v>
      </c>
      <c r="Q598" s="61">
        <f t="shared" si="32"/>
        <v>45230</v>
      </c>
      <c r="R598" s="68" t="s">
        <v>1077</v>
      </c>
      <c r="S598" s="60" t="s">
        <v>1380</v>
      </c>
      <c r="T598" s="105"/>
      <c r="U598" s="68"/>
      <c r="V598" s="68"/>
      <c r="W598" s="68"/>
      <c r="X598" s="68"/>
    </row>
    <row r="599" s="17" customFormat="1" ht="24" spans="1:24">
      <c r="A599" s="59">
        <v>597</v>
      </c>
      <c r="B599" s="60" t="s">
        <v>1381</v>
      </c>
      <c r="C599" s="114">
        <f t="shared" si="30"/>
        <v>44979</v>
      </c>
      <c r="D599" s="62" t="str">
        <f ca="1" t="shared" si="31"/>
        <v>一年以上</v>
      </c>
      <c r="E599" s="115">
        <v>44979</v>
      </c>
      <c r="F599" s="66" t="s">
        <v>130</v>
      </c>
      <c r="G599" s="132" t="s">
        <v>456</v>
      </c>
      <c r="H599" s="60" t="s">
        <v>457</v>
      </c>
      <c r="I599" s="60" t="s">
        <v>1382</v>
      </c>
      <c r="J599" s="116">
        <v>15800</v>
      </c>
      <c r="K599" s="105" t="s">
        <v>28</v>
      </c>
      <c r="L599" s="105" t="s">
        <v>73</v>
      </c>
      <c r="M599" s="89" t="s">
        <v>133</v>
      </c>
      <c r="N599" s="117"/>
      <c r="O599" s="137">
        <f t="shared" si="33"/>
        <v>15800</v>
      </c>
      <c r="P599" s="115"/>
      <c r="Q599" s="61">
        <f t="shared" si="32"/>
        <v>0</v>
      </c>
      <c r="R599" s="68"/>
      <c r="S599" s="72" t="s">
        <v>1383</v>
      </c>
      <c r="T599" s="105" t="s">
        <v>1152</v>
      </c>
      <c r="U599" s="59" t="str">
        <f>VLOOKUP(T599,[1]区域划分!$A$1:$C$39,3,0)</f>
        <v>饶亚龙</v>
      </c>
      <c r="V599" s="68"/>
      <c r="W599" s="68"/>
      <c r="X599" s="68"/>
    </row>
    <row r="600" s="17" customFormat="1" hidden="1" spans="1:24">
      <c r="A600" s="59">
        <v>598</v>
      </c>
      <c r="B600" s="60" t="s">
        <v>1384</v>
      </c>
      <c r="C600" s="114">
        <f t="shared" si="30"/>
        <v>44979</v>
      </c>
      <c r="D600" s="62" t="str">
        <f ca="1" t="shared" si="31"/>
        <v>一年以上</v>
      </c>
      <c r="E600" s="115">
        <v>44979</v>
      </c>
      <c r="F600" s="115" t="s">
        <v>632</v>
      </c>
      <c r="G600" s="132" t="s">
        <v>450</v>
      </c>
      <c r="H600" s="100" t="s">
        <v>1385</v>
      </c>
      <c r="I600" s="60" t="s">
        <v>1385</v>
      </c>
      <c r="J600" s="116">
        <v>300</v>
      </c>
      <c r="K600" s="105" t="s">
        <v>28</v>
      </c>
      <c r="L600" s="105" t="s">
        <v>73</v>
      </c>
      <c r="M600" s="89" t="s">
        <v>968</v>
      </c>
      <c r="N600" s="117">
        <v>300</v>
      </c>
      <c r="O600" s="137">
        <f t="shared" si="33"/>
        <v>0</v>
      </c>
      <c r="P600" s="115">
        <v>44987</v>
      </c>
      <c r="Q600" s="61">
        <f t="shared" si="32"/>
        <v>44987</v>
      </c>
      <c r="R600" s="68"/>
      <c r="S600" s="72" t="s">
        <v>1386</v>
      </c>
      <c r="T600" s="105"/>
      <c r="U600" s="68"/>
      <c r="V600" s="68"/>
      <c r="W600" s="68"/>
      <c r="X600" s="68"/>
    </row>
    <row r="601" s="17" customFormat="1" hidden="1" spans="1:24">
      <c r="A601" s="59">
        <v>599</v>
      </c>
      <c r="B601" s="60" t="s">
        <v>1387</v>
      </c>
      <c r="C601" s="114">
        <f t="shared" si="30"/>
        <v>44980</v>
      </c>
      <c r="D601" s="62" t="str">
        <f ca="1" t="shared" si="31"/>
        <v>一年以上</v>
      </c>
      <c r="E601" s="115">
        <v>44980</v>
      </c>
      <c r="F601" s="115" t="s">
        <v>632</v>
      </c>
      <c r="G601" s="132" t="s">
        <v>450</v>
      </c>
      <c r="H601" s="100" t="s">
        <v>1388</v>
      </c>
      <c r="I601" s="60" t="s">
        <v>1388</v>
      </c>
      <c r="J601" s="116">
        <v>6000</v>
      </c>
      <c r="K601" s="105" t="s">
        <v>28</v>
      </c>
      <c r="L601" s="105" t="s">
        <v>73</v>
      </c>
      <c r="M601" s="89" t="s">
        <v>968</v>
      </c>
      <c r="N601" s="117">
        <v>6000</v>
      </c>
      <c r="O601" s="137">
        <f t="shared" si="33"/>
        <v>0</v>
      </c>
      <c r="P601" s="115">
        <v>45161</v>
      </c>
      <c r="Q601" s="61">
        <f t="shared" si="32"/>
        <v>45161</v>
      </c>
      <c r="R601" s="59" t="s">
        <v>951</v>
      </c>
      <c r="S601" s="72" t="s">
        <v>1389</v>
      </c>
      <c r="T601" s="105"/>
      <c r="U601" s="68"/>
      <c r="V601" s="68"/>
      <c r="W601" s="68"/>
      <c r="X601" s="68"/>
    </row>
    <row r="602" s="17" customFormat="1" ht="24" spans="1:24">
      <c r="A602" s="59">
        <v>600</v>
      </c>
      <c r="B602" s="60" t="s">
        <v>1390</v>
      </c>
      <c r="C602" s="114">
        <f t="shared" si="30"/>
        <v>44980</v>
      </c>
      <c r="D602" s="62" t="str">
        <f ca="1" t="shared" si="31"/>
        <v>一年以上</v>
      </c>
      <c r="E602" s="115">
        <v>44980</v>
      </c>
      <c r="F602" s="115" t="s">
        <v>632</v>
      </c>
      <c r="G602" s="132" t="s">
        <v>450</v>
      </c>
      <c r="H602" s="100" t="s">
        <v>1391</v>
      </c>
      <c r="I602" s="60" t="s">
        <v>1391</v>
      </c>
      <c r="J602" s="116">
        <v>2500</v>
      </c>
      <c r="K602" s="105" t="s">
        <v>28</v>
      </c>
      <c r="L602" s="105" t="s">
        <v>73</v>
      </c>
      <c r="M602" s="89" t="s">
        <v>968</v>
      </c>
      <c r="N602" s="117"/>
      <c r="O602" s="137">
        <f t="shared" si="33"/>
        <v>2500</v>
      </c>
      <c r="P602" s="115"/>
      <c r="Q602" s="61">
        <f t="shared" si="32"/>
        <v>0</v>
      </c>
      <c r="R602" s="68"/>
      <c r="S602" s="72" t="s">
        <v>1389</v>
      </c>
      <c r="T602" s="105" t="s">
        <v>32</v>
      </c>
      <c r="U602" s="59" t="str">
        <f>VLOOKUP(T602,[1]区域划分!$A$1:$C$39,3,0)</f>
        <v>方渊</v>
      </c>
      <c r="V602" s="68"/>
      <c r="W602" s="68"/>
      <c r="X602" s="68"/>
    </row>
    <row r="603" s="17" customFormat="1" ht="24" spans="1:24">
      <c r="A603" s="59">
        <v>601</v>
      </c>
      <c r="B603" s="60" t="s">
        <v>1392</v>
      </c>
      <c r="C603" s="114">
        <f t="shared" si="30"/>
        <v>44980</v>
      </c>
      <c r="D603" s="62" t="str">
        <f ca="1" t="shared" si="31"/>
        <v>一年以上</v>
      </c>
      <c r="E603" s="115">
        <v>44980</v>
      </c>
      <c r="F603" s="115" t="s">
        <v>632</v>
      </c>
      <c r="G603" s="132" t="s">
        <v>450</v>
      </c>
      <c r="H603" s="100" t="s">
        <v>1391</v>
      </c>
      <c r="I603" s="60" t="s">
        <v>1391</v>
      </c>
      <c r="J603" s="116">
        <v>900</v>
      </c>
      <c r="K603" s="105" t="s">
        <v>28</v>
      </c>
      <c r="L603" s="105" t="s">
        <v>73</v>
      </c>
      <c r="M603" s="89" t="s">
        <v>968</v>
      </c>
      <c r="N603" s="117"/>
      <c r="O603" s="137">
        <f t="shared" si="33"/>
        <v>900</v>
      </c>
      <c r="P603" s="115"/>
      <c r="Q603" s="61">
        <f t="shared" si="32"/>
        <v>0</v>
      </c>
      <c r="R603" s="68"/>
      <c r="S603" s="72" t="s">
        <v>1393</v>
      </c>
      <c r="T603" s="105" t="s">
        <v>32</v>
      </c>
      <c r="U603" s="59" t="str">
        <f>VLOOKUP(T603,[1]区域划分!$A$1:$C$39,3,0)</f>
        <v>方渊</v>
      </c>
      <c r="V603" s="68"/>
      <c r="W603" s="68"/>
      <c r="X603" s="68"/>
    </row>
    <row r="604" s="17" customFormat="1" ht="24" hidden="1" spans="1:24">
      <c r="A604" s="59">
        <v>602</v>
      </c>
      <c r="B604" s="60" t="s">
        <v>1394</v>
      </c>
      <c r="C604" s="114">
        <f t="shared" si="30"/>
        <v>44984</v>
      </c>
      <c r="D604" s="62" t="str">
        <f ca="1" t="shared" si="31"/>
        <v>一年以上</v>
      </c>
      <c r="E604" s="115">
        <v>44984</v>
      </c>
      <c r="F604" s="115" t="s">
        <v>632</v>
      </c>
      <c r="G604" s="132" t="s">
        <v>450</v>
      </c>
      <c r="H604" s="100" t="s">
        <v>1336</v>
      </c>
      <c r="I604" s="60" t="s">
        <v>1336</v>
      </c>
      <c r="J604" s="116">
        <v>20100</v>
      </c>
      <c r="K604" s="105" t="s">
        <v>28</v>
      </c>
      <c r="L604" s="105" t="s">
        <v>73</v>
      </c>
      <c r="M604" s="89" t="s">
        <v>30</v>
      </c>
      <c r="N604" s="117">
        <v>20100</v>
      </c>
      <c r="O604" s="137">
        <f t="shared" si="33"/>
        <v>0</v>
      </c>
      <c r="P604" s="115">
        <v>45060</v>
      </c>
      <c r="Q604" s="61">
        <f t="shared" si="32"/>
        <v>45060</v>
      </c>
      <c r="R604" s="68"/>
      <c r="S604" s="142" t="s">
        <v>1395</v>
      </c>
      <c r="T604" s="105"/>
      <c r="U604" s="68"/>
      <c r="V604" s="68" t="s">
        <v>1396</v>
      </c>
      <c r="W604" s="68"/>
      <c r="X604" s="68"/>
    </row>
    <row r="605" s="17" customFormat="1" ht="24" hidden="1" spans="1:24">
      <c r="A605" s="59">
        <v>603</v>
      </c>
      <c r="B605" s="60" t="s">
        <v>1397</v>
      </c>
      <c r="C605" s="114">
        <f t="shared" si="30"/>
        <v>44985</v>
      </c>
      <c r="D605" s="62" t="str">
        <f ca="1" t="shared" si="31"/>
        <v>一年以上</v>
      </c>
      <c r="E605" s="115">
        <v>44985</v>
      </c>
      <c r="F605" s="115" t="s">
        <v>632</v>
      </c>
      <c r="G605" s="132" t="s">
        <v>450</v>
      </c>
      <c r="H605" s="100" t="s">
        <v>1302</v>
      </c>
      <c r="I605" s="60" t="s">
        <v>1302</v>
      </c>
      <c r="J605" s="116">
        <v>20100</v>
      </c>
      <c r="K605" s="105" t="s">
        <v>28</v>
      </c>
      <c r="L605" s="105" t="s">
        <v>73</v>
      </c>
      <c r="M605" s="89" t="s">
        <v>30</v>
      </c>
      <c r="N605" s="117">
        <v>20100</v>
      </c>
      <c r="O605" s="137">
        <f t="shared" si="33"/>
        <v>0</v>
      </c>
      <c r="P605" s="115">
        <v>45258</v>
      </c>
      <c r="Q605" s="61">
        <f t="shared" si="32"/>
        <v>45258</v>
      </c>
      <c r="R605" s="68" t="s">
        <v>1398</v>
      </c>
      <c r="S605" s="142" t="s">
        <v>1395</v>
      </c>
      <c r="T605" s="105" t="s">
        <v>171</v>
      </c>
      <c r="U605" s="59" t="str">
        <f>VLOOKUP(T605,[1]区域划分!$A$1:$C$39,3,0)</f>
        <v>牛国庆</v>
      </c>
      <c r="V605" s="68" t="s">
        <v>1399</v>
      </c>
      <c r="W605" s="68"/>
      <c r="X605" s="68"/>
    </row>
    <row r="606" s="17" customFormat="1" ht="24" hidden="1" spans="1:24">
      <c r="A606" s="59">
        <v>604</v>
      </c>
      <c r="B606" s="60" t="s">
        <v>1400</v>
      </c>
      <c r="C606" s="114">
        <f t="shared" si="30"/>
        <v>44987</v>
      </c>
      <c r="D606" s="62" t="str">
        <f ca="1" t="shared" si="31"/>
        <v>一年以上</v>
      </c>
      <c r="E606" s="115">
        <v>44987</v>
      </c>
      <c r="F606" s="115" t="s">
        <v>632</v>
      </c>
      <c r="G606" s="132" t="s">
        <v>450</v>
      </c>
      <c r="H606" s="100" t="s">
        <v>842</v>
      </c>
      <c r="I606" s="60" t="s">
        <v>842</v>
      </c>
      <c r="J606" s="116">
        <v>1000</v>
      </c>
      <c r="K606" s="105" t="s">
        <v>28</v>
      </c>
      <c r="L606" s="105" t="s">
        <v>73</v>
      </c>
      <c r="M606" s="89" t="s">
        <v>968</v>
      </c>
      <c r="N606" s="117">
        <v>1000</v>
      </c>
      <c r="O606" s="137">
        <f t="shared" si="33"/>
        <v>0</v>
      </c>
      <c r="P606" s="115">
        <v>44998</v>
      </c>
      <c r="Q606" s="61">
        <f t="shared" si="32"/>
        <v>44998</v>
      </c>
      <c r="R606" s="68"/>
      <c r="S606" s="72" t="s">
        <v>1401</v>
      </c>
      <c r="T606" s="105"/>
      <c r="U606" s="68"/>
      <c r="V606" s="68"/>
      <c r="W606" s="68"/>
      <c r="X606" s="68"/>
    </row>
    <row r="607" s="17" customFormat="1" ht="24" spans="1:24">
      <c r="A607" s="59">
        <v>605</v>
      </c>
      <c r="B607" s="60" t="s">
        <v>1402</v>
      </c>
      <c r="C607" s="114">
        <f t="shared" si="30"/>
        <v>44987</v>
      </c>
      <c r="D607" s="62" t="str">
        <f ca="1" t="shared" si="31"/>
        <v>一年以上</v>
      </c>
      <c r="E607" s="115">
        <v>44987</v>
      </c>
      <c r="F607" s="115" t="s">
        <v>632</v>
      </c>
      <c r="G607" s="132" t="s">
        <v>450</v>
      </c>
      <c r="H607" s="100" t="s">
        <v>967</v>
      </c>
      <c r="I607" s="60" t="s">
        <v>967</v>
      </c>
      <c r="J607" s="116">
        <v>1000</v>
      </c>
      <c r="K607" s="105" t="s">
        <v>28</v>
      </c>
      <c r="L607" s="105" t="s">
        <v>73</v>
      </c>
      <c r="M607" s="89" t="s">
        <v>968</v>
      </c>
      <c r="N607" s="117"/>
      <c r="O607" s="137">
        <f t="shared" si="33"/>
        <v>1000</v>
      </c>
      <c r="P607" s="115"/>
      <c r="Q607" s="61">
        <f t="shared" si="32"/>
        <v>0</v>
      </c>
      <c r="R607" s="68"/>
      <c r="S607" s="72" t="s">
        <v>1403</v>
      </c>
      <c r="T607" s="105" t="s">
        <v>171</v>
      </c>
      <c r="U607" s="59" t="str">
        <f>VLOOKUP(T607,[1]区域划分!$A$1:$C$39,3,0)</f>
        <v>牛国庆</v>
      </c>
      <c r="V607" s="68"/>
      <c r="W607" s="68"/>
      <c r="X607" s="68"/>
    </row>
    <row r="608" s="17" customFormat="1" ht="24" hidden="1" spans="1:24">
      <c r="A608" s="59">
        <v>606</v>
      </c>
      <c r="B608" s="60" t="s">
        <v>1404</v>
      </c>
      <c r="C608" s="114">
        <f t="shared" si="30"/>
        <v>44988</v>
      </c>
      <c r="D608" s="62" t="str">
        <f ca="1" t="shared" si="31"/>
        <v>一年以上</v>
      </c>
      <c r="E608" s="115">
        <v>44988</v>
      </c>
      <c r="F608" s="115" t="s">
        <v>70</v>
      </c>
      <c r="G608" s="132" t="s">
        <v>1405</v>
      </c>
      <c r="H608" s="100" t="s">
        <v>286</v>
      </c>
      <c r="I608" s="60" t="s">
        <v>286</v>
      </c>
      <c r="J608" s="116">
        <v>2000</v>
      </c>
      <c r="K608" s="105" t="s">
        <v>28</v>
      </c>
      <c r="L608" s="105" t="s">
        <v>73</v>
      </c>
      <c r="M608" s="89" t="s">
        <v>65</v>
      </c>
      <c r="N608" s="117">
        <v>2000</v>
      </c>
      <c r="O608" s="117">
        <f t="shared" si="33"/>
        <v>0</v>
      </c>
      <c r="P608" s="115">
        <v>45190</v>
      </c>
      <c r="Q608" s="61">
        <f t="shared" si="32"/>
        <v>45190</v>
      </c>
      <c r="R608" s="68"/>
      <c r="S608" s="72"/>
      <c r="T608" s="105" t="s">
        <v>267</v>
      </c>
      <c r="U608" s="59" t="str">
        <f>VLOOKUP(T608,[1]区域划分!$A$1:$C$39,3,0)</f>
        <v>牛国庆</v>
      </c>
      <c r="V608" s="68"/>
      <c r="W608" s="68"/>
      <c r="X608" s="68"/>
    </row>
    <row r="609" s="17" customFormat="1" ht="24" hidden="1" spans="1:24">
      <c r="A609" s="59">
        <v>607</v>
      </c>
      <c r="B609" s="60" t="s">
        <v>1406</v>
      </c>
      <c r="C609" s="114">
        <f t="shared" si="30"/>
        <v>44989</v>
      </c>
      <c r="D609" s="62" t="str">
        <f ca="1" t="shared" si="31"/>
        <v>一年以上</v>
      </c>
      <c r="E609" s="115">
        <v>44989</v>
      </c>
      <c r="F609" s="115" t="s">
        <v>70</v>
      </c>
      <c r="G609" s="132" t="s">
        <v>1407</v>
      </c>
      <c r="H609" s="100" t="s">
        <v>1408</v>
      </c>
      <c r="I609" s="60" t="s">
        <v>1408</v>
      </c>
      <c r="J609" s="116">
        <v>2000</v>
      </c>
      <c r="K609" s="105" t="s">
        <v>28</v>
      </c>
      <c r="L609" s="105" t="s">
        <v>1409</v>
      </c>
      <c r="M609" s="89" t="s">
        <v>65</v>
      </c>
      <c r="N609" s="117">
        <v>2000</v>
      </c>
      <c r="O609" s="137">
        <f t="shared" si="33"/>
        <v>0</v>
      </c>
      <c r="P609" s="115">
        <v>45021</v>
      </c>
      <c r="Q609" s="61">
        <f t="shared" si="32"/>
        <v>45021</v>
      </c>
      <c r="R609" s="68" t="s">
        <v>1410</v>
      </c>
      <c r="S609" s="72" t="s">
        <v>1411</v>
      </c>
      <c r="T609" s="105"/>
      <c r="U609" s="68"/>
      <c r="V609" s="68"/>
      <c r="W609" s="68"/>
      <c r="X609" s="68"/>
    </row>
    <row r="610" s="17" customFormat="1" ht="36" spans="1:24">
      <c r="A610" s="59">
        <v>608</v>
      </c>
      <c r="B610" s="60" t="s">
        <v>1412</v>
      </c>
      <c r="C610" s="114">
        <f t="shared" si="30"/>
        <v>44991</v>
      </c>
      <c r="D610" s="62" t="str">
        <f ca="1" t="shared" si="31"/>
        <v>一年以上</v>
      </c>
      <c r="E610" s="115">
        <v>44991</v>
      </c>
      <c r="F610" s="115" t="s">
        <v>632</v>
      </c>
      <c r="G610" s="132" t="s">
        <v>993</v>
      </c>
      <c r="H610" s="100" t="s">
        <v>1413</v>
      </c>
      <c r="I610" s="60" t="s">
        <v>1413</v>
      </c>
      <c r="J610" s="116">
        <v>500</v>
      </c>
      <c r="K610" s="105" t="s">
        <v>28</v>
      </c>
      <c r="L610" s="105" t="s">
        <v>73</v>
      </c>
      <c r="M610" s="89" t="s">
        <v>515</v>
      </c>
      <c r="N610" s="117"/>
      <c r="O610" s="140">
        <f t="shared" si="33"/>
        <v>500</v>
      </c>
      <c r="P610" s="115"/>
      <c r="Q610" s="61">
        <f t="shared" si="32"/>
        <v>0</v>
      </c>
      <c r="R610" s="68"/>
      <c r="S610" s="72" t="s">
        <v>1414</v>
      </c>
      <c r="T610" s="105" t="s">
        <v>972</v>
      </c>
      <c r="U610" s="59" t="str">
        <f>VLOOKUP(T610,[1]区域划分!$A$1:$C$39,3,0)</f>
        <v>曾江利</v>
      </c>
      <c r="V610" s="68"/>
      <c r="W610" s="68"/>
      <c r="X610" s="68"/>
    </row>
    <row r="611" s="17" customFormat="1" ht="36" spans="1:24">
      <c r="A611" s="59">
        <v>609</v>
      </c>
      <c r="B611" s="60" t="s">
        <v>1415</v>
      </c>
      <c r="C611" s="114">
        <f t="shared" si="30"/>
        <v>44991</v>
      </c>
      <c r="D611" s="62" t="str">
        <f ca="1" t="shared" si="31"/>
        <v>一年以上</v>
      </c>
      <c r="E611" s="115">
        <v>44991</v>
      </c>
      <c r="F611" s="115" t="s">
        <v>632</v>
      </c>
      <c r="G611" s="132" t="s">
        <v>993</v>
      </c>
      <c r="H611" s="100" t="s">
        <v>1413</v>
      </c>
      <c r="I611" s="60" t="s">
        <v>1413</v>
      </c>
      <c r="J611" s="116">
        <v>500</v>
      </c>
      <c r="K611" s="105" t="s">
        <v>28</v>
      </c>
      <c r="L611" s="105" t="s">
        <v>73</v>
      </c>
      <c r="M611" s="89" t="s">
        <v>515</v>
      </c>
      <c r="N611" s="117"/>
      <c r="O611" s="140">
        <f t="shared" si="33"/>
        <v>500</v>
      </c>
      <c r="P611" s="115"/>
      <c r="Q611" s="61">
        <f t="shared" si="32"/>
        <v>0</v>
      </c>
      <c r="R611" s="68"/>
      <c r="S611" s="72" t="s">
        <v>1416</v>
      </c>
      <c r="T611" s="105" t="s">
        <v>972</v>
      </c>
      <c r="U611" s="59" t="str">
        <f>VLOOKUP(T611,[1]区域划分!$A$1:$C$39,3,0)</f>
        <v>曾江利</v>
      </c>
      <c r="V611" s="68"/>
      <c r="W611" s="68"/>
      <c r="X611" s="68"/>
    </row>
    <row r="612" s="17" customFormat="1" ht="24" hidden="1" spans="1:24">
      <c r="A612" s="59">
        <v>610</v>
      </c>
      <c r="B612" s="60" t="s">
        <v>1417</v>
      </c>
      <c r="C612" s="114">
        <f t="shared" si="30"/>
        <v>44991</v>
      </c>
      <c r="D612" s="62" t="str">
        <f ca="1" t="shared" si="31"/>
        <v>一年以上</v>
      </c>
      <c r="E612" s="115">
        <v>44991</v>
      </c>
      <c r="F612" s="115" t="s">
        <v>632</v>
      </c>
      <c r="G612" s="132" t="s">
        <v>450</v>
      </c>
      <c r="H612" s="100" t="s">
        <v>1418</v>
      </c>
      <c r="I612" s="60" t="s">
        <v>1418</v>
      </c>
      <c r="J612" s="116">
        <v>80000</v>
      </c>
      <c r="K612" s="105" t="s">
        <v>356</v>
      </c>
      <c r="L612" s="105" t="s">
        <v>73</v>
      </c>
      <c r="M612" s="89" t="s">
        <v>30</v>
      </c>
      <c r="N612" s="117">
        <v>80000</v>
      </c>
      <c r="O612" s="137">
        <f t="shared" si="33"/>
        <v>0</v>
      </c>
      <c r="P612" s="115">
        <v>45012</v>
      </c>
      <c r="Q612" s="61">
        <f t="shared" si="32"/>
        <v>45012</v>
      </c>
      <c r="R612" s="68"/>
      <c r="S612" s="72" t="s">
        <v>1420</v>
      </c>
      <c r="T612" s="105"/>
      <c r="U612" s="68"/>
      <c r="V612" s="68"/>
      <c r="W612" s="68"/>
      <c r="X612" s="68"/>
    </row>
    <row r="613" s="17" customFormat="1" hidden="1" spans="1:24">
      <c r="A613" s="59">
        <v>611</v>
      </c>
      <c r="B613" s="60" t="s">
        <v>1421</v>
      </c>
      <c r="C613" s="114">
        <f t="shared" si="30"/>
        <v>44991</v>
      </c>
      <c r="D613" s="62" t="str">
        <f ca="1" t="shared" si="31"/>
        <v>一年以上</v>
      </c>
      <c r="E613" s="115">
        <v>44991</v>
      </c>
      <c r="F613" s="115" t="s">
        <v>632</v>
      </c>
      <c r="G613" s="132" t="s">
        <v>450</v>
      </c>
      <c r="H613" s="100" t="s">
        <v>1422</v>
      </c>
      <c r="I613" s="60" t="s">
        <v>1422</v>
      </c>
      <c r="J613" s="116">
        <v>10000</v>
      </c>
      <c r="K613" s="105" t="s">
        <v>28</v>
      </c>
      <c r="L613" s="105" t="s">
        <v>73</v>
      </c>
      <c r="M613" s="89" t="s">
        <v>30</v>
      </c>
      <c r="N613" s="117">
        <v>10000</v>
      </c>
      <c r="O613" s="137">
        <f t="shared" si="33"/>
        <v>0</v>
      </c>
      <c r="P613" s="115">
        <v>45005</v>
      </c>
      <c r="Q613" s="61">
        <f t="shared" si="32"/>
        <v>45005</v>
      </c>
      <c r="R613" s="68"/>
      <c r="S613" s="72" t="s">
        <v>1423</v>
      </c>
      <c r="T613" s="105"/>
      <c r="U613" s="68"/>
      <c r="V613" s="68"/>
      <c r="W613" s="68"/>
      <c r="X613" s="68"/>
    </row>
    <row r="614" s="17" customFormat="1" hidden="1" spans="1:24">
      <c r="A614" s="59">
        <v>612</v>
      </c>
      <c r="B614" s="60" t="s">
        <v>1424</v>
      </c>
      <c r="C614" s="114">
        <f t="shared" si="30"/>
        <v>44991</v>
      </c>
      <c r="D614" s="62" t="str">
        <f ca="1" t="shared" si="31"/>
        <v>一年以上</v>
      </c>
      <c r="E614" s="115">
        <v>44991</v>
      </c>
      <c r="F614" s="115" t="s">
        <v>632</v>
      </c>
      <c r="G614" s="132" t="s">
        <v>450</v>
      </c>
      <c r="H614" s="100" t="s">
        <v>1422</v>
      </c>
      <c r="I614" s="60" t="s">
        <v>1422</v>
      </c>
      <c r="J614" s="116">
        <v>200</v>
      </c>
      <c r="K614" s="105" t="s">
        <v>28</v>
      </c>
      <c r="L614" s="105" t="s">
        <v>73</v>
      </c>
      <c r="M614" s="89" t="s">
        <v>515</v>
      </c>
      <c r="N614" s="117">
        <v>200</v>
      </c>
      <c r="O614" s="137">
        <f t="shared" si="33"/>
        <v>0</v>
      </c>
      <c r="P614" s="115">
        <v>45006</v>
      </c>
      <c r="Q614" s="61">
        <f t="shared" si="32"/>
        <v>45006</v>
      </c>
      <c r="R614" s="68" t="s">
        <v>1250</v>
      </c>
      <c r="S614" s="72" t="s">
        <v>1423</v>
      </c>
      <c r="T614" s="105"/>
      <c r="U614" s="68"/>
      <c r="V614" s="68"/>
      <c r="W614" s="68"/>
      <c r="X614" s="68"/>
    </row>
    <row r="615" s="17" customFormat="1" hidden="1" spans="1:24">
      <c r="A615" s="59">
        <v>613</v>
      </c>
      <c r="B615" s="60" t="s">
        <v>1425</v>
      </c>
      <c r="C615" s="114">
        <f t="shared" si="30"/>
        <v>44992</v>
      </c>
      <c r="D615" s="62" t="str">
        <f ca="1" t="shared" si="31"/>
        <v>一年以上</v>
      </c>
      <c r="E615" s="115">
        <v>44992</v>
      </c>
      <c r="F615" s="115" t="s">
        <v>632</v>
      </c>
      <c r="G615" s="132" t="s">
        <v>450</v>
      </c>
      <c r="H615" s="100" t="s">
        <v>1426</v>
      </c>
      <c r="I615" s="60" t="s">
        <v>1426</v>
      </c>
      <c r="J615" s="116">
        <v>200</v>
      </c>
      <c r="K615" s="105" t="s">
        <v>28</v>
      </c>
      <c r="L615" s="105" t="s">
        <v>73</v>
      </c>
      <c r="M615" s="89" t="s">
        <v>515</v>
      </c>
      <c r="N615" s="117">
        <v>200</v>
      </c>
      <c r="O615" s="137">
        <f t="shared" si="33"/>
        <v>0</v>
      </c>
      <c r="P615" s="115">
        <v>45006</v>
      </c>
      <c r="Q615" s="61">
        <f t="shared" si="32"/>
        <v>45006</v>
      </c>
      <c r="R615" s="68" t="s">
        <v>1250</v>
      </c>
      <c r="S615" s="72" t="s">
        <v>1427</v>
      </c>
      <c r="T615" s="105"/>
      <c r="U615" s="68"/>
      <c r="V615" s="68"/>
      <c r="W615" s="68"/>
      <c r="X615" s="68"/>
    </row>
    <row r="616" s="17" customFormat="1" hidden="1" spans="1:24">
      <c r="A616" s="59">
        <v>614</v>
      </c>
      <c r="B616" s="60" t="s">
        <v>1428</v>
      </c>
      <c r="C616" s="114">
        <f t="shared" si="30"/>
        <v>44992</v>
      </c>
      <c r="D616" s="62" t="str">
        <f ca="1" t="shared" si="31"/>
        <v>一年以上</v>
      </c>
      <c r="E616" s="115">
        <v>44992</v>
      </c>
      <c r="F616" s="115" t="s">
        <v>632</v>
      </c>
      <c r="G616" s="132" t="s">
        <v>450</v>
      </c>
      <c r="H616" s="100" t="s">
        <v>1426</v>
      </c>
      <c r="I616" s="60" t="s">
        <v>1426</v>
      </c>
      <c r="J616" s="116">
        <v>1000</v>
      </c>
      <c r="K616" s="105" t="s">
        <v>28</v>
      </c>
      <c r="L616" s="105" t="s">
        <v>73</v>
      </c>
      <c r="M616" s="89" t="s">
        <v>30</v>
      </c>
      <c r="N616" s="117">
        <v>1000</v>
      </c>
      <c r="O616" s="137">
        <f t="shared" si="33"/>
        <v>0</v>
      </c>
      <c r="P616" s="115">
        <v>45006</v>
      </c>
      <c r="Q616" s="61">
        <f t="shared" si="32"/>
        <v>45006</v>
      </c>
      <c r="R616" s="68"/>
      <c r="S616" s="72" t="s">
        <v>1427</v>
      </c>
      <c r="T616" s="105"/>
      <c r="U616" s="68"/>
      <c r="V616" s="68"/>
      <c r="W616" s="68"/>
      <c r="X616" s="68"/>
    </row>
    <row r="617" s="17" customFormat="1" ht="24" hidden="1" spans="1:24">
      <c r="A617" s="59">
        <v>615</v>
      </c>
      <c r="B617" s="60" t="s">
        <v>1429</v>
      </c>
      <c r="C617" s="114">
        <f t="shared" si="30"/>
        <v>44992</v>
      </c>
      <c r="D617" s="62" t="str">
        <f ca="1" t="shared" si="31"/>
        <v>一年以上</v>
      </c>
      <c r="E617" s="115">
        <v>44992</v>
      </c>
      <c r="F617" s="115" t="s">
        <v>632</v>
      </c>
      <c r="G617" s="132" t="s">
        <v>450</v>
      </c>
      <c r="H617" s="100" t="s">
        <v>1430</v>
      </c>
      <c r="I617" s="60" t="s">
        <v>1430</v>
      </c>
      <c r="J617" s="116">
        <v>5000</v>
      </c>
      <c r="K617" s="105" t="s">
        <v>28</v>
      </c>
      <c r="L617" s="105" t="s">
        <v>73</v>
      </c>
      <c r="M617" s="89" t="s">
        <v>30</v>
      </c>
      <c r="N617" s="117">
        <v>5000</v>
      </c>
      <c r="O617" s="137">
        <f t="shared" si="33"/>
        <v>0</v>
      </c>
      <c r="P617" s="115">
        <v>45275</v>
      </c>
      <c r="Q617" s="61">
        <f t="shared" si="32"/>
        <v>45275</v>
      </c>
      <c r="R617" s="68" t="s">
        <v>1431</v>
      </c>
      <c r="S617" s="72" t="s">
        <v>1432</v>
      </c>
      <c r="T617" s="105" t="s">
        <v>720</v>
      </c>
      <c r="U617" s="59" t="str">
        <f>VLOOKUP(T617,[1]区域划分!$A$1:$C$39,3,0)</f>
        <v>杨春龙</v>
      </c>
      <c r="V617" s="68"/>
      <c r="W617" s="68"/>
      <c r="X617" s="68"/>
    </row>
    <row r="618" s="17" customFormat="1" spans="1:24">
      <c r="A618" s="59">
        <v>616</v>
      </c>
      <c r="B618" s="60" t="s">
        <v>1433</v>
      </c>
      <c r="C618" s="114">
        <f t="shared" si="30"/>
        <v>44994</v>
      </c>
      <c r="D618" s="62" t="str">
        <f ca="1" t="shared" si="31"/>
        <v>一年以上</v>
      </c>
      <c r="E618" s="115">
        <v>44994</v>
      </c>
      <c r="F618" s="115" t="s">
        <v>632</v>
      </c>
      <c r="G618" s="132" t="s">
        <v>450</v>
      </c>
      <c r="H618" s="100" t="s">
        <v>863</v>
      </c>
      <c r="I618" s="60" t="s">
        <v>863</v>
      </c>
      <c r="J618" s="127">
        <v>500</v>
      </c>
      <c r="K618" s="105" t="s">
        <v>28</v>
      </c>
      <c r="L618" s="105" t="s">
        <v>73</v>
      </c>
      <c r="M618" s="89" t="s">
        <v>515</v>
      </c>
      <c r="N618" s="117"/>
      <c r="O618" s="140">
        <f t="shared" si="33"/>
        <v>500</v>
      </c>
      <c r="P618" s="115"/>
      <c r="Q618" s="61">
        <f t="shared" si="32"/>
        <v>0</v>
      </c>
      <c r="R618" s="68"/>
      <c r="S618" s="72" t="s">
        <v>1434</v>
      </c>
      <c r="T618" s="105" t="s">
        <v>972</v>
      </c>
      <c r="U618" s="59" t="str">
        <f>VLOOKUP(T618,[1]区域划分!$A$1:$C$39,3,0)</f>
        <v>曾江利</v>
      </c>
      <c r="V618" s="68"/>
      <c r="W618" s="68"/>
      <c r="X618" s="68"/>
    </row>
    <row r="619" s="17" customFormat="1" hidden="1" spans="1:24">
      <c r="A619" s="59">
        <v>617</v>
      </c>
      <c r="B619" s="60" t="s">
        <v>1435</v>
      </c>
      <c r="C619" s="114">
        <f t="shared" si="30"/>
        <v>44994</v>
      </c>
      <c r="D619" s="62" t="str">
        <f ca="1" t="shared" si="31"/>
        <v>一年以上</v>
      </c>
      <c r="E619" s="115">
        <v>44994</v>
      </c>
      <c r="F619" s="115" t="s">
        <v>632</v>
      </c>
      <c r="G619" s="132" t="s">
        <v>450</v>
      </c>
      <c r="H619" s="100" t="s">
        <v>1436</v>
      </c>
      <c r="I619" s="60" t="s">
        <v>1436</v>
      </c>
      <c r="J619" s="116">
        <v>9000</v>
      </c>
      <c r="K619" s="105" t="s">
        <v>28</v>
      </c>
      <c r="L619" s="105" t="s">
        <v>73</v>
      </c>
      <c r="M619" s="89" t="s">
        <v>968</v>
      </c>
      <c r="N619" s="117">
        <v>9000</v>
      </c>
      <c r="O619" s="137">
        <f t="shared" si="33"/>
        <v>0</v>
      </c>
      <c r="P619" s="115">
        <v>45016</v>
      </c>
      <c r="Q619" s="61">
        <f t="shared" si="32"/>
        <v>45016</v>
      </c>
      <c r="R619" s="68" t="s">
        <v>951</v>
      </c>
      <c r="S619" s="72" t="s">
        <v>1437</v>
      </c>
      <c r="T619" s="105"/>
      <c r="U619" s="68"/>
      <c r="V619" s="68"/>
      <c r="W619" s="68"/>
      <c r="X619" s="68"/>
    </row>
    <row r="620" s="17" customFormat="1" ht="24" hidden="1" spans="1:24">
      <c r="A620" s="59">
        <v>618</v>
      </c>
      <c r="B620" s="60" t="s">
        <v>1438</v>
      </c>
      <c r="C620" s="114">
        <f t="shared" si="30"/>
        <v>44996</v>
      </c>
      <c r="D620" s="62" t="str">
        <f ca="1" t="shared" si="31"/>
        <v>一年以上</v>
      </c>
      <c r="E620" s="115">
        <v>44996</v>
      </c>
      <c r="F620" s="115" t="s">
        <v>632</v>
      </c>
      <c r="G620" s="132" t="s">
        <v>450</v>
      </c>
      <c r="H620" s="100" t="s">
        <v>867</v>
      </c>
      <c r="I620" s="60" t="s">
        <v>867</v>
      </c>
      <c r="J620" s="116">
        <v>5000</v>
      </c>
      <c r="K620" s="105" t="s">
        <v>356</v>
      </c>
      <c r="L620" s="105" t="s">
        <v>73</v>
      </c>
      <c r="M620" s="89" t="s">
        <v>30</v>
      </c>
      <c r="N620" s="117">
        <v>5000</v>
      </c>
      <c r="O620" s="137">
        <f t="shared" si="33"/>
        <v>0</v>
      </c>
      <c r="P620" s="115">
        <v>45030</v>
      </c>
      <c r="Q620" s="61">
        <f t="shared" si="32"/>
        <v>45030</v>
      </c>
      <c r="R620" s="68"/>
      <c r="S620" s="72" t="s">
        <v>1439</v>
      </c>
      <c r="T620" s="105"/>
      <c r="U620" s="68"/>
      <c r="V620" s="68"/>
      <c r="W620" s="68"/>
      <c r="X620" s="68"/>
    </row>
    <row r="621" s="17" customFormat="1" ht="36" hidden="1" spans="1:24">
      <c r="A621" s="59">
        <v>619</v>
      </c>
      <c r="B621" s="60" t="s">
        <v>1440</v>
      </c>
      <c r="C621" s="114">
        <f t="shared" si="30"/>
        <v>44998</v>
      </c>
      <c r="D621" s="62" t="str">
        <f ca="1" t="shared" si="31"/>
        <v>一年以上</v>
      </c>
      <c r="E621" s="115">
        <v>44998</v>
      </c>
      <c r="F621" s="115" t="s">
        <v>632</v>
      </c>
      <c r="G621" s="132" t="s">
        <v>450</v>
      </c>
      <c r="H621" s="100" t="s">
        <v>1413</v>
      </c>
      <c r="I621" s="60" t="s">
        <v>1413</v>
      </c>
      <c r="J621" s="116">
        <v>20000</v>
      </c>
      <c r="K621" s="105" t="s">
        <v>28</v>
      </c>
      <c r="L621" s="105" t="s">
        <v>73</v>
      </c>
      <c r="M621" s="89" t="s">
        <v>30</v>
      </c>
      <c r="N621" s="117">
        <v>20000</v>
      </c>
      <c r="O621" s="137">
        <f t="shared" si="33"/>
        <v>0</v>
      </c>
      <c r="P621" s="115">
        <v>45022</v>
      </c>
      <c r="Q621" s="61">
        <f t="shared" si="32"/>
        <v>45022</v>
      </c>
      <c r="R621" s="68"/>
      <c r="S621" s="72" t="s">
        <v>1414</v>
      </c>
      <c r="T621" s="105"/>
      <c r="U621" s="68"/>
      <c r="V621" s="68"/>
      <c r="W621" s="68"/>
      <c r="X621" s="68"/>
    </row>
    <row r="622" s="17" customFormat="1" ht="36" hidden="1" spans="1:24">
      <c r="A622" s="59">
        <v>620</v>
      </c>
      <c r="B622" s="60" t="s">
        <v>1441</v>
      </c>
      <c r="C622" s="114">
        <f t="shared" ref="C622:C665" si="34">E622</f>
        <v>44998</v>
      </c>
      <c r="D622" s="62" t="str">
        <f ca="1" t="shared" si="31"/>
        <v>一年以上</v>
      </c>
      <c r="E622" s="115">
        <v>44998</v>
      </c>
      <c r="F622" s="115" t="s">
        <v>632</v>
      </c>
      <c r="G622" s="132" t="s">
        <v>450</v>
      </c>
      <c r="H622" s="100" t="s">
        <v>1413</v>
      </c>
      <c r="I622" s="60" t="s">
        <v>1413</v>
      </c>
      <c r="J622" s="116">
        <v>50000</v>
      </c>
      <c r="K622" s="105" t="s">
        <v>28</v>
      </c>
      <c r="L622" s="105" t="s">
        <v>73</v>
      </c>
      <c r="M622" s="89" t="s">
        <v>30</v>
      </c>
      <c r="N622" s="117">
        <v>50000</v>
      </c>
      <c r="O622" s="137">
        <f t="shared" si="33"/>
        <v>0</v>
      </c>
      <c r="P622" s="115">
        <v>45022</v>
      </c>
      <c r="Q622" s="61">
        <f t="shared" si="32"/>
        <v>45022</v>
      </c>
      <c r="R622" s="68"/>
      <c r="S622" s="72" t="s">
        <v>1416</v>
      </c>
      <c r="T622" s="105"/>
      <c r="U622" s="68"/>
      <c r="V622" s="68"/>
      <c r="W622" s="68"/>
      <c r="X622" s="68"/>
    </row>
    <row r="623" s="17" customFormat="1" hidden="1" spans="1:24">
      <c r="A623" s="59">
        <v>621</v>
      </c>
      <c r="B623" s="60" t="s">
        <v>1442</v>
      </c>
      <c r="C623" s="114">
        <f t="shared" si="34"/>
        <v>44999</v>
      </c>
      <c r="D623" s="62" t="str">
        <f ca="1" t="shared" si="31"/>
        <v>一年以上</v>
      </c>
      <c r="E623" s="115">
        <v>44999</v>
      </c>
      <c r="F623" s="115" t="s">
        <v>632</v>
      </c>
      <c r="G623" s="132" t="s">
        <v>450</v>
      </c>
      <c r="H623" s="100" t="s">
        <v>863</v>
      </c>
      <c r="I623" s="60" t="s">
        <v>863</v>
      </c>
      <c r="J623" s="141">
        <v>20000</v>
      </c>
      <c r="K623" s="105" t="s">
        <v>28</v>
      </c>
      <c r="L623" s="105" t="s">
        <v>73</v>
      </c>
      <c r="M623" s="89" t="s">
        <v>30</v>
      </c>
      <c r="N623" s="117">
        <v>20000</v>
      </c>
      <c r="O623" s="137">
        <f t="shared" si="33"/>
        <v>0</v>
      </c>
      <c r="P623" s="115">
        <v>45042</v>
      </c>
      <c r="Q623" s="61">
        <f t="shared" si="32"/>
        <v>45042</v>
      </c>
      <c r="R623" s="68"/>
      <c r="S623" s="72" t="s">
        <v>1434</v>
      </c>
      <c r="T623" s="105"/>
      <c r="U623" s="68"/>
      <c r="V623" s="68"/>
      <c r="W623" s="68"/>
      <c r="X623" s="68"/>
    </row>
    <row r="624" s="17" customFormat="1" ht="24" hidden="1" spans="1:24">
      <c r="A624" s="59">
        <v>622</v>
      </c>
      <c r="B624" s="60" t="s">
        <v>1443</v>
      </c>
      <c r="C624" s="114">
        <f t="shared" si="34"/>
        <v>44999</v>
      </c>
      <c r="D624" s="62" t="str">
        <f ca="1" t="shared" si="31"/>
        <v>一年以上</v>
      </c>
      <c r="E624" s="115">
        <v>44999</v>
      </c>
      <c r="F624" s="115" t="s">
        <v>632</v>
      </c>
      <c r="G624" s="132" t="s">
        <v>450</v>
      </c>
      <c r="H624" s="100" t="s">
        <v>1444</v>
      </c>
      <c r="I624" s="60" t="s">
        <v>1444</v>
      </c>
      <c r="J624" s="116">
        <v>10000</v>
      </c>
      <c r="K624" s="105" t="s">
        <v>28</v>
      </c>
      <c r="L624" s="105" t="s">
        <v>73</v>
      </c>
      <c r="M624" s="89" t="s">
        <v>30</v>
      </c>
      <c r="N624" s="117">
        <v>10000</v>
      </c>
      <c r="O624" s="137">
        <f t="shared" si="33"/>
        <v>0</v>
      </c>
      <c r="P624" s="115">
        <v>45035</v>
      </c>
      <c r="Q624" s="61">
        <f t="shared" si="32"/>
        <v>45035</v>
      </c>
      <c r="R624" s="68"/>
      <c r="S624" s="72" t="s">
        <v>1445</v>
      </c>
      <c r="T624" s="105"/>
      <c r="U624" s="68"/>
      <c r="V624" s="68"/>
      <c r="W624" s="68"/>
      <c r="X624" s="68"/>
    </row>
    <row r="625" s="17" customFormat="1" ht="24" hidden="1" spans="1:24">
      <c r="A625" s="59">
        <v>623</v>
      </c>
      <c r="B625" s="60" t="s">
        <v>1446</v>
      </c>
      <c r="C625" s="114">
        <f t="shared" si="34"/>
        <v>45002</v>
      </c>
      <c r="D625" s="62" t="str">
        <f ca="1" t="shared" si="31"/>
        <v>一年以上</v>
      </c>
      <c r="E625" s="115">
        <v>45002</v>
      </c>
      <c r="F625" s="115" t="s">
        <v>632</v>
      </c>
      <c r="G625" s="132" t="s">
        <v>239</v>
      </c>
      <c r="H625" s="100" t="s">
        <v>996</v>
      </c>
      <c r="I625" s="60" t="s">
        <v>996</v>
      </c>
      <c r="J625" s="116">
        <v>22400</v>
      </c>
      <c r="K625" s="59" t="s">
        <v>356</v>
      </c>
      <c r="L625" s="59" t="s">
        <v>458</v>
      </c>
      <c r="M625" s="89" t="s">
        <v>133</v>
      </c>
      <c r="N625" s="117">
        <v>22400</v>
      </c>
      <c r="O625" s="137">
        <f t="shared" si="33"/>
        <v>0</v>
      </c>
      <c r="P625" s="115">
        <v>45071</v>
      </c>
      <c r="Q625" s="61">
        <f t="shared" si="32"/>
        <v>45071</v>
      </c>
      <c r="R625" s="68"/>
      <c r="S625" s="60" t="s">
        <v>1447</v>
      </c>
      <c r="T625" s="105"/>
      <c r="U625" s="68"/>
      <c r="V625" s="68"/>
      <c r="W625" s="68"/>
      <c r="X625" s="68"/>
    </row>
    <row r="626" s="17" customFormat="1" ht="24" hidden="1" spans="1:24">
      <c r="A626" s="59">
        <v>624</v>
      </c>
      <c r="B626" s="60" t="s">
        <v>1448</v>
      </c>
      <c r="C626" s="114">
        <f t="shared" si="34"/>
        <v>45006</v>
      </c>
      <c r="D626" s="62" t="str">
        <f ca="1" t="shared" si="31"/>
        <v>一年以上</v>
      </c>
      <c r="E626" s="115">
        <v>45006</v>
      </c>
      <c r="F626" s="115" t="s">
        <v>632</v>
      </c>
      <c r="G626" s="132" t="s">
        <v>450</v>
      </c>
      <c r="H626" s="100" t="s">
        <v>495</v>
      </c>
      <c r="I626" s="60" t="s">
        <v>495</v>
      </c>
      <c r="J626" s="116">
        <v>2000</v>
      </c>
      <c r="K626" s="105" t="s">
        <v>356</v>
      </c>
      <c r="L626" s="105" t="s">
        <v>73</v>
      </c>
      <c r="M626" s="89" t="s">
        <v>30</v>
      </c>
      <c r="N626" s="117">
        <v>2000</v>
      </c>
      <c r="O626" s="137">
        <f t="shared" si="33"/>
        <v>0</v>
      </c>
      <c r="P626" s="115">
        <v>45029</v>
      </c>
      <c r="Q626" s="61">
        <f t="shared" si="32"/>
        <v>45029</v>
      </c>
      <c r="R626" s="68"/>
      <c r="S626" s="72" t="s">
        <v>1294</v>
      </c>
      <c r="T626" s="105" t="s">
        <v>182</v>
      </c>
      <c r="U626" s="68"/>
      <c r="V626" s="68"/>
      <c r="W626" s="68"/>
      <c r="X626" s="68"/>
    </row>
    <row r="627" s="17" customFormat="1" hidden="1" spans="1:24">
      <c r="A627" s="59">
        <v>625</v>
      </c>
      <c r="B627" s="60" t="s">
        <v>1449</v>
      </c>
      <c r="C627" s="114">
        <f t="shared" si="34"/>
        <v>45009</v>
      </c>
      <c r="D627" s="62" t="str">
        <f ca="1" t="shared" si="31"/>
        <v>一年以上</v>
      </c>
      <c r="E627" s="115">
        <v>45009</v>
      </c>
      <c r="F627" s="115" t="s">
        <v>632</v>
      </c>
      <c r="G627" s="132" t="s">
        <v>450</v>
      </c>
      <c r="H627" s="100" t="s">
        <v>1450</v>
      </c>
      <c r="I627" s="60" t="s">
        <v>1450</v>
      </c>
      <c r="J627" s="116">
        <v>200</v>
      </c>
      <c r="K627" s="105" t="s">
        <v>28</v>
      </c>
      <c r="L627" s="105" t="s">
        <v>73</v>
      </c>
      <c r="M627" s="89" t="s">
        <v>515</v>
      </c>
      <c r="N627" s="117">
        <v>200</v>
      </c>
      <c r="O627" s="137">
        <f t="shared" si="33"/>
        <v>0</v>
      </c>
      <c r="P627" s="115">
        <v>45012</v>
      </c>
      <c r="Q627" s="61">
        <f t="shared" si="32"/>
        <v>45012</v>
      </c>
      <c r="R627" s="68" t="s">
        <v>1250</v>
      </c>
      <c r="S627" s="72" t="s">
        <v>1451</v>
      </c>
      <c r="T627" s="105"/>
      <c r="U627" s="68"/>
      <c r="V627" s="68"/>
      <c r="W627" s="68"/>
      <c r="X627" s="68"/>
    </row>
    <row r="628" s="17" customFormat="1" hidden="1" spans="1:24">
      <c r="A628" s="59">
        <v>626</v>
      </c>
      <c r="B628" s="60" t="s">
        <v>1452</v>
      </c>
      <c r="C628" s="114">
        <f t="shared" si="34"/>
        <v>45009</v>
      </c>
      <c r="D628" s="62" t="str">
        <f ca="1" t="shared" si="31"/>
        <v>一年以上</v>
      </c>
      <c r="E628" s="115">
        <v>45009</v>
      </c>
      <c r="F628" s="115" t="s">
        <v>632</v>
      </c>
      <c r="G628" s="132" t="s">
        <v>450</v>
      </c>
      <c r="H628" s="100" t="s">
        <v>1450</v>
      </c>
      <c r="I628" s="60" t="s">
        <v>1450</v>
      </c>
      <c r="J628" s="116">
        <v>7500</v>
      </c>
      <c r="K628" s="105" t="s">
        <v>28</v>
      </c>
      <c r="L628" s="105" t="s">
        <v>73</v>
      </c>
      <c r="M628" s="89" t="s">
        <v>30</v>
      </c>
      <c r="N628" s="117">
        <v>7500</v>
      </c>
      <c r="O628" s="137">
        <f t="shared" si="33"/>
        <v>0</v>
      </c>
      <c r="P628" s="115">
        <v>45023</v>
      </c>
      <c r="Q628" s="61">
        <f t="shared" si="32"/>
        <v>45023</v>
      </c>
      <c r="R628" s="68"/>
      <c r="S628" s="72" t="s">
        <v>1451</v>
      </c>
      <c r="T628" s="105"/>
      <c r="U628" s="68"/>
      <c r="V628" s="68"/>
      <c r="W628" s="68"/>
      <c r="X628" s="68"/>
    </row>
    <row r="629" s="17" customFormat="1" hidden="1" spans="1:24">
      <c r="A629" s="59">
        <v>627</v>
      </c>
      <c r="B629" s="60" t="s">
        <v>1453</v>
      </c>
      <c r="C629" s="114">
        <f t="shared" si="34"/>
        <v>45012</v>
      </c>
      <c r="D629" s="62" t="str">
        <f ca="1" t="shared" si="31"/>
        <v>一年以上</v>
      </c>
      <c r="E629" s="115">
        <v>45012</v>
      </c>
      <c r="F629" s="115" t="s">
        <v>632</v>
      </c>
      <c r="G629" s="132" t="s">
        <v>450</v>
      </c>
      <c r="H629" s="100" t="s">
        <v>851</v>
      </c>
      <c r="I629" s="60" t="s">
        <v>851</v>
      </c>
      <c r="J629" s="116">
        <v>10000</v>
      </c>
      <c r="K629" s="105" t="s">
        <v>28</v>
      </c>
      <c r="L629" s="105" t="s">
        <v>73</v>
      </c>
      <c r="M629" s="89" t="s">
        <v>30</v>
      </c>
      <c r="N629" s="117">
        <v>10000</v>
      </c>
      <c r="O629" s="137">
        <f t="shared" si="33"/>
        <v>0</v>
      </c>
      <c r="P629" s="115">
        <v>45120</v>
      </c>
      <c r="Q629" s="61">
        <f t="shared" si="32"/>
        <v>45120</v>
      </c>
      <c r="R629" s="68"/>
      <c r="S629" s="72" t="s">
        <v>1454</v>
      </c>
      <c r="T629" s="105"/>
      <c r="U629" s="68"/>
      <c r="V629" s="68"/>
      <c r="W629" s="68"/>
      <c r="X629" s="68"/>
    </row>
    <row r="630" s="17" customFormat="1" hidden="1" spans="1:24">
      <c r="A630" s="59">
        <v>628</v>
      </c>
      <c r="B630" s="60" t="s">
        <v>1455</v>
      </c>
      <c r="C630" s="114">
        <f t="shared" si="34"/>
        <v>45012</v>
      </c>
      <c r="D630" s="62" t="str">
        <f ca="1" t="shared" si="31"/>
        <v>一年以上</v>
      </c>
      <c r="E630" s="115">
        <v>45012</v>
      </c>
      <c r="F630" s="115" t="s">
        <v>130</v>
      </c>
      <c r="G630" s="132" t="s">
        <v>1372</v>
      </c>
      <c r="H630" s="100" t="s">
        <v>863</v>
      </c>
      <c r="I630" s="60" t="s">
        <v>863</v>
      </c>
      <c r="J630" s="116">
        <v>7550</v>
      </c>
      <c r="K630" s="105" t="s">
        <v>28</v>
      </c>
      <c r="L630" s="105" t="s">
        <v>73</v>
      </c>
      <c r="M630" s="89" t="s">
        <v>133</v>
      </c>
      <c r="N630" s="117">
        <v>7550</v>
      </c>
      <c r="O630" s="137">
        <f t="shared" si="33"/>
        <v>0</v>
      </c>
      <c r="P630" s="115">
        <v>45230</v>
      </c>
      <c r="Q630" s="61">
        <f t="shared" si="32"/>
        <v>45230</v>
      </c>
      <c r="R630" s="68" t="s">
        <v>1077</v>
      </c>
      <c r="S630" s="72" t="s">
        <v>1456</v>
      </c>
      <c r="T630" s="105"/>
      <c r="U630" s="68"/>
      <c r="V630" s="68"/>
      <c r="W630" s="68"/>
      <c r="X630" s="68"/>
    </row>
    <row r="631" s="24" customFormat="1" hidden="1" spans="1:24">
      <c r="A631" s="118">
        <v>629</v>
      </c>
      <c r="B631" s="119" t="s">
        <v>1457</v>
      </c>
      <c r="C631" s="120">
        <f t="shared" si="34"/>
        <v>45012</v>
      </c>
      <c r="D631" s="121" t="str">
        <f ca="1" t="shared" si="31"/>
        <v>一年以上</v>
      </c>
      <c r="E631" s="122">
        <v>45012</v>
      </c>
      <c r="F631" s="122" t="s">
        <v>130</v>
      </c>
      <c r="G631" s="135" t="s">
        <v>1372</v>
      </c>
      <c r="H631" s="100" t="s">
        <v>863</v>
      </c>
      <c r="I631" s="119" t="s">
        <v>863</v>
      </c>
      <c r="J631" s="127">
        <v>31000</v>
      </c>
      <c r="K631" s="131" t="s">
        <v>28</v>
      </c>
      <c r="L631" s="131" t="s">
        <v>73</v>
      </c>
      <c r="M631" s="124" t="s">
        <v>133</v>
      </c>
      <c r="N631" s="128">
        <v>31000</v>
      </c>
      <c r="O631" s="140">
        <f t="shared" si="33"/>
        <v>0</v>
      </c>
      <c r="P631" s="122" t="s">
        <v>2657</v>
      </c>
      <c r="Q631" s="129" t="str">
        <f t="shared" si="32"/>
        <v>2024.7.26</v>
      </c>
      <c r="R631" s="130"/>
      <c r="S631" s="145" t="s">
        <v>1458</v>
      </c>
      <c r="T631" s="131" t="s">
        <v>972</v>
      </c>
      <c r="U631" s="118" t="str">
        <f>VLOOKUP(T631,[1]区域划分!$A$1:$C$39,3,0)</f>
        <v>曾江利</v>
      </c>
      <c r="V631" s="130"/>
      <c r="W631" s="130"/>
      <c r="X631" s="130"/>
    </row>
    <row r="632" s="17" customFormat="1" ht="24" hidden="1" spans="1:24">
      <c r="A632" s="59">
        <v>630</v>
      </c>
      <c r="B632" s="60" t="s">
        <v>1459</v>
      </c>
      <c r="C632" s="114">
        <f t="shared" si="34"/>
        <v>45013</v>
      </c>
      <c r="D632" s="62" t="str">
        <f ca="1" t="shared" si="31"/>
        <v>一年以上</v>
      </c>
      <c r="E632" s="115">
        <v>45013</v>
      </c>
      <c r="F632" s="115" t="s">
        <v>130</v>
      </c>
      <c r="G632" s="132" t="s">
        <v>450</v>
      </c>
      <c r="H632" s="100" t="s">
        <v>1460</v>
      </c>
      <c r="I632" s="60" t="s">
        <v>1460</v>
      </c>
      <c r="J632" s="116">
        <v>10000</v>
      </c>
      <c r="K632" s="105" t="s">
        <v>28</v>
      </c>
      <c r="L632" s="105" t="s">
        <v>73</v>
      </c>
      <c r="M632" s="89" t="s">
        <v>30</v>
      </c>
      <c r="N632" s="117">
        <v>10000</v>
      </c>
      <c r="O632" s="137">
        <f t="shared" si="33"/>
        <v>0</v>
      </c>
      <c r="P632" s="115">
        <v>45085</v>
      </c>
      <c r="Q632" s="61">
        <f t="shared" si="32"/>
        <v>45085</v>
      </c>
      <c r="R632" s="68"/>
      <c r="S632" s="72" t="s">
        <v>1461</v>
      </c>
      <c r="T632" s="105"/>
      <c r="U632" s="68"/>
      <c r="V632" s="68"/>
      <c r="W632" s="68"/>
      <c r="X632" s="68"/>
    </row>
    <row r="633" s="17" customFormat="1" ht="24" hidden="1" spans="1:24">
      <c r="A633" s="59">
        <v>631</v>
      </c>
      <c r="B633" s="60" t="s">
        <v>1462</v>
      </c>
      <c r="C633" s="114">
        <f t="shared" si="34"/>
        <v>45014</v>
      </c>
      <c r="D633" s="62" t="str">
        <f ca="1" t="shared" si="31"/>
        <v>一年以上</v>
      </c>
      <c r="E633" s="115">
        <v>45014</v>
      </c>
      <c r="F633" s="115" t="s">
        <v>632</v>
      </c>
      <c r="G633" s="132" t="s">
        <v>450</v>
      </c>
      <c r="H633" s="100" t="s">
        <v>867</v>
      </c>
      <c r="I633" s="60" t="s">
        <v>867</v>
      </c>
      <c r="J633" s="116">
        <v>5000</v>
      </c>
      <c r="K633" s="105" t="s">
        <v>356</v>
      </c>
      <c r="L633" s="105" t="s">
        <v>73</v>
      </c>
      <c r="M633" s="89" t="s">
        <v>30</v>
      </c>
      <c r="N633" s="117">
        <v>5000</v>
      </c>
      <c r="O633" s="137">
        <f t="shared" si="33"/>
        <v>0</v>
      </c>
      <c r="P633" s="115">
        <v>45059</v>
      </c>
      <c r="Q633" s="61">
        <f t="shared" si="32"/>
        <v>45059</v>
      </c>
      <c r="R633" s="68"/>
      <c r="S633" s="72" t="s">
        <v>1463</v>
      </c>
      <c r="T633" s="105"/>
      <c r="U633" s="68"/>
      <c r="V633" s="68"/>
      <c r="W633" s="68"/>
      <c r="X633" s="68"/>
    </row>
    <row r="634" s="17" customFormat="1" ht="24" spans="1:24">
      <c r="A634" s="59">
        <v>632</v>
      </c>
      <c r="B634" s="60" t="s">
        <v>1464</v>
      </c>
      <c r="C634" s="114">
        <f t="shared" si="34"/>
        <v>45016</v>
      </c>
      <c r="D634" s="62" t="str">
        <f ca="1" t="shared" si="31"/>
        <v>一年以上</v>
      </c>
      <c r="E634" s="115">
        <v>45016</v>
      </c>
      <c r="F634" s="115" t="s">
        <v>130</v>
      </c>
      <c r="G634" s="132" t="s">
        <v>1465</v>
      </c>
      <c r="H634" s="100" t="s">
        <v>1430</v>
      </c>
      <c r="I634" s="60" t="s">
        <v>1430</v>
      </c>
      <c r="J634" s="116">
        <v>27800</v>
      </c>
      <c r="K634" s="105" t="s">
        <v>28</v>
      </c>
      <c r="L634" s="105" t="s">
        <v>73</v>
      </c>
      <c r="M634" s="89" t="s">
        <v>133</v>
      </c>
      <c r="N634" s="134">
        <v>27780</v>
      </c>
      <c r="O634" s="137">
        <f t="shared" si="33"/>
        <v>20</v>
      </c>
      <c r="P634" s="115">
        <v>45288</v>
      </c>
      <c r="Q634" s="61">
        <f t="shared" si="32"/>
        <v>45288</v>
      </c>
      <c r="R634" s="68" t="s">
        <v>1431</v>
      </c>
      <c r="S634" s="72" t="s">
        <v>1432</v>
      </c>
      <c r="T634" s="105" t="s">
        <v>720</v>
      </c>
      <c r="U634" s="59" t="str">
        <f>VLOOKUP(T634,[1]区域划分!$A$1:$C$39,3,0)</f>
        <v>杨春龙</v>
      </c>
      <c r="V634" s="68"/>
      <c r="W634" s="68"/>
      <c r="X634" s="68"/>
    </row>
    <row r="635" s="17" customFormat="1" hidden="1" spans="1:24">
      <c r="A635" s="59">
        <v>633</v>
      </c>
      <c r="B635" s="60" t="s">
        <v>1466</v>
      </c>
      <c r="C635" s="114">
        <f t="shared" si="34"/>
        <v>45019</v>
      </c>
      <c r="D635" s="62" t="str">
        <f ca="1" t="shared" si="31"/>
        <v>一年以上</v>
      </c>
      <c r="E635" s="115">
        <v>45019</v>
      </c>
      <c r="F635" s="115" t="s">
        <v>632</v>
      </c>
      <c r="G635" s="132" t="s">
        <v>450</v>
      </c>
      <c r="H635" s="100" t="s">
        <v>863</v>
      </c>
      <c r="I635" s="60" t="s">
        <v>863</v>
      </c>
      <c r="J635" s="116">
        <v>20000</v>
      </c>
      <c r="K635" s="105" t="s">
        <v>28</v>
      </c>
      <c r="L635" s="105" t="s">
        <v>73</v>
      </c>
      <c r="M635" s="89" t="s">
        <v>30</v>
      </c>
      <c r="N635" s="117">
        <v>20000</v>
      </c>
      <c r="O635" s="137">
        <f t="shared" si="33"/>
        <v>0</v>
      </c>
      <c r="P635" s="115">
        <v>45065</v>
      </c>
      <c r="Q635" s="61">
        <f t="shared" si="32"/>
        <v>45065</v>
      </c>
      <c r="R635" s="68"/>
      <c r="S635" s="72" t="s">
        <v>1467</v>
      </c>
      <c r="T635" s="105"/>
      <c r="U635" s="68"/>
      <c r="V635" s="68"/>
      <c r="W635" s="68"/>
      <c r="X635" s="68"/>
    </row>
    <row r="636" s="24" customFormat="1" hidden="1" spans="1:24">
      <c r="A636" s="118">
        <v>634</v>
      </c>
      <c r="B636" s="119" t="s">
        <v>1468</v>
      </c>
      <c r="C636" s="120">
        <f t="shared" si="34"/>
        <v>45023</v>
      </c>
      <c r="D636" s="121" t="str">
        <f ca="1" t="shared" si="31"/>
        <v>一年以上</v>
      </c>
      <c r="E636" s="122">
        <v>45023</v>
      </c>
      <c r="F636" s="122" t="s">
        <v>130</v>
      </c>
      <c r="G636" s="135" t="s">
        <v>1372</v>
      </c>
      <c r="H636" s="100" t="s">
        <v>863</v>
      </c>
      <c r="I636" s="119" t="s">
        <v>863</v>
      </c>
      <c r="J636" s="127">
        <v>34600</v>
      </c>
      <c r="K636" s="131" t="s">
        <v>28</v>
      </c>
      <c r="L636" s="131" t="s">
        <v>73</v>
      </c>
      <c r="M636" s="124" t="s">
        <v>133</v>
      </c>
      <c r="N636" s="128">
        <v>34600</v>
      </c>
      <c r="O636" s="140">
        <f t="shared" si="33"/>
        <v>0</v>
      </c>
      <c r="P636" s="122" t="s">
        <v>2657</v>
      </c>
      <c r="Q636" s="129" t="str">
        <f t="shared" si="32"/>
        <v>2024.7.26</v>
      </c>
      <c r="R636" s="130"/>
      <c r="S636" s="145" t="s">
        <v>1469</v>
      </c>
      <c r="T636" s="131" t="s">
        <v>972</v>
      </c>
      <c r="U636" s="118" t="str">
        <f>VLOOKUP(T636,[1]区域划分!$A$1:$C$39,3,0)</f>
        <v>曾江利</v>
      </c>
      <c r="V636" s="130"/>
      <c r="W636" s="130"/>
      <c r="X636" s="130"/>
    </row>
    <row r="637" s="24" customFormat="1" hidden="1" spans="1:24">
      <c r="A637" s="118">
        <v>635</v>
      </c>
      <c r="B637" s="119" t="s">
        <v>1470</v>
      </c>
      <c r="C637" s="120">
        <f t="shared" si="34"/>
        <v>45023</v>
      </c>
      <c r="D637" s="121" t="str">
        <f ca="1" t="shared" si="31"/>
        <v>一年以上</v>
      </c>
      <c r="E637" s="122">
        <v>45023</v>
      </c>
      <c r="F637" s="122" t="s">
        <v>130</v>
      </c>
      <c r="G637" s="135" t="s">
        <v>1372</v>
      </c>
      <c r="H637" s="100" t="s">
        <v>863</v>
      </c>
      <c r="I637" s="119" t="s">
        <v>863</v>
      </c>
      <c r="J637" s="127">
        <v>14000</v>
      </c>
      <c r="K637" s="131" t="s">
        <v>28</v>
      </c>
      <c r="L637" s="131" t="s">
        <v>73</v>
      </c>
      <c r="M637" s="124" t="s">
        <v>133</v>
      </c>
      <c r="N637" s="128">
        <v>14000</v>
      </c>
      <c r="O637" s="140">
        <f t="shared" si="33"/>
        <v>0</v>
      </c>
      <c r="P637" s="122" t="s">
        <v>2657</v>
      </c>
      <c r="Q637" s="129" t="str">
        <f t="shared" si="32"/>
        <v>2024.7.26</v>
      </c>
      <c r="R637" s="130"/>
      <c r="S637" s="145" t="s">
        <v>1471</v>
      </c>
      <c r="T637" s="131" t="s">
        <v>972</v>
      </c>
      <c r="U637" s="118" t="str">
        <f>VLOOKUP(T637,[1]区域划分!$A$1:$C$39,3,0)</f>
        <v>曾江利</v>
      </c>
      <c r="V637" s="130"/>
      <c r="W637" s="130"/>
      <c r="X637" s="130"/>
    </row>
    <row r="638" s="17" customFormat="1" ht="24" hidden="1" spans="1:24">
      <c r="A638" s="59">
        <v>636</v>
      </c>
      <c r="B638" s="60" t="s">
        <v>1472</v>
      </c>
      <c r="C638" s="114">
        <f t="shared" si="34"/>
        <v>45028</v>
      </c>
      <c r="D638" s="62" t="str">
        <f ca="1" t="shared" si="31"/>
        <v>一年以上</v>
      </c>
      <c r="E638" s="115">
        <v>45028</v>
      </c>
      <c r="F638" s="115" t="s">
        <v>632</v>
      </c>
      <c r="G638" s="132" t="s">
        <v>450</v>
      </c>
      <c r="H638" s="100" t="s">
        <v>1473</v>
      </c>
      <c r="I638" s="60" t="s">
        <v>1473</v>
      </c>
      <c r="J638" s="116">
        <v>2000</v>
      </c>
      <c r="K638" s="105" t="s">
        <v>356</v>
      </c>
      <c r="L638" s="105" t="s">
        <v>73</v>
      </c>
      <c r="M638" s="89" t="s">
        <v>30</v>
      </c>
      <c r="N638" s="117">
        <v>2000</v>
      </c>
      <c r="O638" s="137">
        <f t="shared" si="33"/>
        <v>0</v>
      </c>
      <c r="P638" s="115">
        <v>45103</v>
      </c>
      <c r="Q638" s="61">
        <f t="shared" si="32"/>
        <v>45103</v>
      </c>
      <c r="R638" s="68"/>
      <c r="S638" s="72" t="s">
        <v>1474</v>
      </c>
      <c r="T638" s="105"/>
      <c r="U638" s="68"/>
      <c r="V638" s="68"/>
      <c r="W638" s="68"/>
      <c r="X638" s="68"/>
    </row>
    <row r="639" s="17" customFormat="1" ht="24" hidden="1" spans="1:24">
      <c r="A639" s="59">
        <v>637</v>
      </c>
      <c r="B639" s="60" t="s">
        <v>1475</v>
      </c>
      <c r="C639" s="114">
        <f t="shared" si="34"/>
        <v>45028</v>
      </c>
      <c r="D639" s="62" t="str">
        <f ca="1" t="shared" si="31"/>
        <v>一年以上</v>
      </c>
      <c r="E639" s="115">
        <v>45028</v>
      </c>
      <c r="F639" s="115" t="s">
        <v>632</v>
      </c>
      <c r="G639" s="132" t="s">
        <v>450</v>
      </c>
      <c r="H639" s="100" t="s">
        <v>315</v>
      </c>
      <c r="I639" s="60" t="s">
        <v>315</v>
      </c>
      <c r="J639" s="116">
        <v>20000</v>
      </c>
      <c r="K639" s="105" t="s">
        <v>28</v>
      </c>
      <c r="L639" s="105" t="s">
        <v>73</v>
      </c>
      <c r="M639" s="89" t="s">
        <v>30</v>
      </c>
      <c r="N639" s="117">
        <v>20000</v>
      </c>
      <c r="O639" s="137">
        <f t="shared" si="33"/>
        <v>0</v>
      </c>
      <c r="P639" s="115">
        <v>45104</v>
      </c>
      <c r="Q639" s="61">
        <f t="shared" si="32"/>
        <v>45104</v>
      </c>
      <c r="R639" s="68"/>
      <c r="S639" s="72" t="s">
        <v>1476</v>
      </c>
      <c r="T639" s="105"/>
      <c r="U639" s="68"/>
      <c r="V639" s="68"/>
      <c r="W639" s="68"/>
      <c r="X639" s="68"/>
    </row>
    <row r="640" s="17" customFormat="1" ht="24" spans="1:24">
      <c r="A640" s="59">
        <v>638</v>
      </c>
      <c r="B640" s="60" t="s">
        <v>1477</v>
      </c>
      <c r="C640" s="114">
        <f t="shared" si="34"/>
        <v>45028</v>
      </c>
      <c r="D640" s="62" t="str">
        <f ca="1" t="shared" si="31"/>
        <v>一年以上</v>
      </c>
      <c r="E640" s="115">
        <v>45028</v>
      </c>
      <c r="F640" s="115" t="s">
        <v>632</v>
      </c>
      <c r="G640" s="132" t="s">
        <v>450</v>
      </c>
      <c r="H640" s="100" t="s">
        <v>967</v>
      </c>
      <c r="I640" s="60" t="s">
        <v>967</v>
      </c>
      <c r="J640" s="116">
        <v>3840</v>
      </c>
      <c r="K640" s="105" t="s">
        <v>28</v>
      </c>
      <c r="L640" s="105" t="s">
        <v>73</v>
      </c>
      <c r="M640" s="89" t="s">
        <v>836</v>
      </c>
      <c r="N640" s="117"/>
      <c r="O640" s="137">
        <f t="shared" si="33"/>
        <v>3840</v>
      </c>
      <c r="P640" s="115"/>
      <c r="Q640" s="61">
        <f t="shared" si="32"/>
        <v>0</v>
      </c>
      <c r="R640" s="68"/>
      <c r="S640" s="72" t="s">
        <v>1478</v>
      </c>
      <c r="T640" s="105" t="s">
        <v>171</v>
      </c>
      <c r="U640" s="59" t="str">
        <f>VLOOKUP(T640,[1]区域划分!$A$1:$C$39,3,0)</f>
        <v>牛国庆</v>
      </c>
      <c r="V640" s="68"/>
      <c r="W640" s="68"/>
      <c r="X640" s="68"/>
    </row>
    <row r="641" s="17" customFormat="1" ht="24" spans="1:24">
      <c r="A641" s="59">
        <v>639</v>
      </c>
      <c r="B641" s="60" t="s">
        <v>1479</v>
      </c>
      <c r="C641" s="114">
        <f t="shared" si="34"/>
        <v>45028</v>
      </c>
      <c r="D641" s="62" t="str">
        <f ca="1" t="shared" si="31"/>
        <v>一年以上</v>
      </c>
      <c r="E641" s="115">
        <v>45028</v>
      </c>
      <c r="F641" s="115" t="s">
        <v>632</v>
      </c>
      <c r="G641" s="132" t="s">
        <v>450</v>
      </c>
      <c r="H641" s="100" t="s">
        <v>967</v>
      </c>
      <c r="I641" s="60" t="s">
        <v>967</v>
      </c>
      <c r="J641" s="116">
        <v>320</v>
      </c>
      <c r="K641" s="105" t="s">
        <v>28</v>
      </c>
      <c r="L641" s="105" t="s">
        <v>73</v>
      </c>
      <c r="M641" s="89" t="s">
        <v>836</v>
      </c>
      <c r="N641" s="117"/>
      <c r="O641" s="137">
        <f t="shared" si="33"/>
        <v>320</v>
      </c>
      <c r="P641" s="115"/>
      <c r="Q641" s="61">
        <f t="shared" si="32"/>
        <v>0</v>
      </c>
      <c r="R641" s="68"/>
      <c r="S641" s="72" t="s">
        <v>1480</v>
      </c>
      <c r="T641" s="105" t="s">
        <v>171</v>
      </c>
      <c r="U641" s="59" t="str">
        <f>VLOOKUP(T641,[1]区域划分!$A$1:$C$39,3,0)</f>
        <v>牛国庆</v>
      </c>
      <c r="V641" s="68"/>
      <c r="W641" s="68"/>
      <c r="X641" s="68"/>
    </row>
    <row r="642" s="17" customFormat="1" ht="24" hidden="1" spans="1:24">
      <c r="A642" s="59">
        <v>640</v>
      </c>
      <c r="B642" s="60" t="s">
        <v>1481</v>
      </c>
      <c r="C642" s="114">
        <f t="shared" si="34"/>
        <v>45030</v>
      </c>
      <c r="D642" s="62" t="str">
        <f ca="1" t="shared" si="31"/>
        <v>一年以上</v>
      </c>
      <c r="E642" s="115">
        <v>45030</v>
      </c>
      <c r="F642" s="115" t="s">
        <v>632</v>
      </c>
      <c r="G642" s="132" t="s">
        <v>450</v>
      </c>
      <c r="H642" s="100" t="s">
        <v>1482</v>
      </c>
      <c r="I642" s="60" t="s">
        <v>1482</v>
      </c>
      <c r="J642" s="116">
        <v>100000</v>
      </c>
      <c r="K642" s="105" t="s">
        <v>28</v>
      </c>
      <c r="L642" s="105" t="s">
        <v>73</v>
      </c>
      <c r="M642" s="89" t="s">
        <v>30</v>
      </c>
      <c r="N642" s="117">
        <v>100000</v>
      </c>
      <c r="O642" s="137">
        <f t="shared" si="33"/>
        <v>0</v>
      </c>
      <c r="P642" s="115">
        <v>45064</v>
      </c>
      <c r="Q642" s="61">
        <f t="shared" si="32"/>
        <v>45064</v>
      </c>
      <c r="R642" s="68"/>
      <c r="S642" s="72" t="s">
        <v>1483</v>
      </c>
      <c r="T642" s="105"/>
      <c r="U642" s="68"/>
      <c r="V642" s="68"/>
      <c r="W642" s="68"/>
      <c r="X642" s="68"/>
    </row>
    <row r="643" s="17" customFormat="1" ht="24" hidden="1" spans="1:24">
      <c r="A643" s="59">
        <v>641</v>
      </c>
      <c r="B643" s="60" t="s">
        <v>1484</v>
      </c>
      <c r="C643" s="114">
        <f t="shared" si="34"/>
        <v>45030</v>
      </c>
      <c r="D643" s="62" t="str">
        <f ca="1" t="shared" ref="D643:D665" si="35">IF(TODAY()-E643&lt;60,"2个月内",IF(TODAY()-E643&lt;180,"3-6个月",IF(TODAY()-E643&lt;360,"6个月-1年","一年以上")))</f>
        <v>一年以上</v>
      </c>
      <c r="E643" s="115">
        <v>45030</v>
      </c>
      <c r="F643" s="115" t="s">
        <v>632</v>
      </c>
      <c r="G643" s="132" t="s">
        <v>450</v>
      </c>
      <c r="H643" s="100" t="s">
        <v>323</v>
      </c>
      <c r="I643" s="60" t="s">
        <v>323</v>
      </c>
      <c r="J643" s="116">
        <v>14000</v>
      </c>
      <c r="K643" s="105" t="s">
        <v>28</v>
      </c>
      <c r="L643" s="105" t="s">
        <v>73</v>
      </c>
      <c r="M643" s="89" t="s">
        <v>30</v>
      </c>
      <c r="N643" s="117">
        <v>14000</v>
      </c>
      <c r="O643" s="137">
        <f t="shared" si="33"/>
        <v>0</v>
      </c>
      <c r="P643" s="115">
        <v>45098</v>
      </c>
      <c r="Q643" s="61">
        <f t="shared" ref="Q643:Q706" si="36">P643</f>
        <v>45098</v>
      </c>
      <c r="R643" s="68"/>
      <c r="S643" s="72" t="s">
        <v>1485</v>
      </c>
      <c r="T643" s="105"/>
      <c r="U643" s="68"/>
      <c r="V643" s="68"/>
      <c r="W643" s="68"/>
      <c r="X643" s="68"/>
    </row>
    <row r="644" s="17" customFormat="1" ht="24" hidden="1" spans="1:24">
      <c r="A644" s="59">
        <v>642</v>
      </c>
      <c r="B644" s="60" t="s">
        <v>1486</v>
      </c>
      <c r="C644" s="114">
        <f t="shared" si="34"/>
        <v>45033</v>
      </c>
      <c r="D644" s="62" t="str">
        <f ca="1" t="shared" si="35"/>
        <v>一年以上</v>
      </c>
      <c r="E644" s="115">
        <v>45033</v>
      </c>
      <c r="F644" s="115" t="s">
        <v>632</v>
      </c>
      <c r="G644" s="132" t="s">
        <v>450</v>
      </c>
      <c r="H644" s="100" t="s">
        <v>1487</v>
      </c>
      <c r="I644" s="60" t="s">
        <v>1487</v>
      </c>
      <c r="J644" s="116">
        <v>3800</v>
      </c>
      <c r="K644" s="105" t="s">
        <v>28</v>
      </c>
      <c r="L644" s="105" t="s">
        <v>73</v>
      </c>
      <c r="M644" s="89" t="s">
        <v>30</v>
      </c>
      <c r="N644" s="117">
        <v>3800</v>
      </c>
      <c r="O644" s="137">
        <f t="shared" si="33"/>
        <v>0</v>
      </c>
      <c r="P644" s="115">
        <v>45057</v>
      </c>
      <c r="Q644" s="61">
        <f t="shared" si="36"/>
        <v>45057</v>
      </c>
      <c r="R644" s="68"/>
      <c r="S644" s="72" t="s">
        <v>1488</v>
      </c>
      <c r="T644" s="105"/>
      <c r="U644" s="68"/>
      <c r="V644" s="68"/>
      <c r="W644" s="68"/>
      <c r="X644" s="68"/>
    </row>
    <row r="645" s="17" customFormat="1" ht="24" hidden="1" spans="1:24">
      <c r="A645" s="59">
        <v>643</v>
      </c>
      <c r="B645" s="60" t="s">
        <v>1489</v>
      </c>
      <c r="C645" s="114">
        <f t="shared" si="34"/>
        <v>45034</v>
      </c>
      <c r="D645" s="62" t="str">
        <f ca="1" t="shared" si="35"/>
        <v>一年以上</v>
      </c>
      <c r="E645" s="115">
        <v>45034</v>
      </c>
      <c r="F645" s="115" t="s">
        <v>632</v>
      </c>
      <c r="G645" s="132" t="s">
        <v>450</v>
      </c>
      <c r="H645" s="100" t="s">
        <v>1490</v>
      </c>
      <c r="I645" s="60" t="s">
        <v>1490</v>
      </c>
      <c r="J645" s="116">
        <v>12000</v>
      </c>
      <c r="K645" s="105" t="s">
        <v>28</v>
      </c>
      <c r="L645" s="105" t="s">
        <v>73</v>
      </c>
      <c r="M645" s="89" t="s">
        <v>30</v>
      </c>
      <c r="N645" s="117">
        <v>12000</v>
      </c>
      <c r="O645" s="137">
        <f t="shared" si="33"/>
        <v>0</v>
      </c>
      <c r="P645" s="115">
        <v>45064</v>
      </c>
      <c r="Q645" s="61">
        <f t="shared" si="36"/>
        <v>45064</v>
      </c>
      <c r="R645" s="68"/>
      <c r="S645" s="72" t="s">
        <v>1491</v>
      </c>
      <c r="T645" s="105"/>
      <c r="U645" s="68"/>
      <c r="V645" s="68"/>
      <c r="W645" s="68"/>
      <c r="X645" s="68"/>
    </row>
    <row r="646" s="17" customFormat="1" ht="24" hidden="1" spans="1:24">
      <c r="A646" s="59">
        <v>644</v>
      </c>
      <c r="B646" s="60" t="s">
        <v>1492</v>
      </c>
      <c r="C646" s="114">
        <f t="shared" si="34"/>
        <v>45035</v>
      </c>
      <c r="D646" s="62" t="str">
        <f ca="1" t="shared" si="35"/>
        <v>一年以上</v>
      </c>
      <c r="E646" s="115">
        <v>45035</v>
      </c>
      <c r="F646" s="115" t="s">
        <v>130</v>
      </c>
      <c r="G646" s="132" t="s">
        <v>456</v>
      </c>
      <c r="H646" s="100" t="s">
        <v>801</v>
      </c>
      <c r="I646" s="60" t="s">
        <v>801</v>
      </c>
      <c r="J646" s="116">
        <v>940</v>
      </c>
      <c r="K646" s="105" t="s">
        <v>28</v>
      </c>
      <c r="L646" s="105" t="s">
        <v>73</v>
      </c>
      <c r="M646" s="89" t="s">
        <v>836</v>
      </c>
      <c r="N646" s="117">
        <v>940</v>
      </c>
      <c r="O646" s="137">
        <f t="shared" si="33"/>
        <v>0</v>
      </c>
      <c r="P646" s="115">
        <v>45076</v>
      </c>
      <c r="Q646" s="61">
        <f t="shared" si="36"/>
        <v>45076</v>
      </c>
      <c r="R646" s="68"/>
      <c r="S646" s="72" t="s">
        <v>1493</v>
      </c>
      <c r="T646" s="105"/>
      <c r="U646" s="68"/>
      <c r="V646" s="68"/>
      <c r="W646" s="68"/>
      <c r="X646" s="68"/>
    </row>
    <row r="647" s="17" customFormat="1" hidden="1" spans="1:24">
      <c r="A647" s="59">
        <v>645</v>
      </c>
      <c r="B647" s="60" t="s">
        <v>1494</v>
      </c>
      <c r="C647" s="114">
        <f t="shared" si="34"/>
        <v>45035</v>
      </c>
      <c r="D647" s="62" t="str">
        <f ca="1" t="shared" si="35"/>
        <v>一年以上</v>
      </c>
      <c r="E647" s="115">
        <v>45035</v>
      </c>
      <c r="F647" s="115" t="s">
        <v>130</v>
      </c>
      <c r="G647" s="132" t="s">
        <v>1372</v>
      </c>
      <c r="H647" s="100" t="s">
        <v>863</v>
      </c>
      <c r="I647" s="60" t="s">
        <v>863</v>
      </c>
      <c r="J647" s="116">
        <v>14900</v>
      </c>
      <c r="K647" s="105" t="s">
        <v>28</v>
      </c>
      <c r="L647" s="105" t="s">
        <v>73</v>
      </c>
      <c r="M647" s="89" t="s">
        <v>133</v>
      </c>
      <c r="N647" s="117">
        <v>14900</v>
      </c>
      <c r="O647" s="137">
        <f t="shared" si="33"/>
        <v>0</v>
      </c>
      <c r="P647" s="115">
        <v>45230</v>
      </c>
      <c r="Q647" s="61">
        <f t="shared" si="36"/>
        <v>45230</v>
      </c>
      <c r="R647" s="68" t="s">
        <v>1077</v>
      </c>
      <c r="S647" s="72" t="s">
        <v>1495</v>
      </c>
      <c r="T647" s="105"/>
      <c r="U647" s="68"/>
      <c r="V647" s="68"/>
      <c r="W647" s="68"/>
      <c r="X647" s="68"/>
    </row>
    <row r="648" s="17" customFormat="1" ht="24" hidden="1" spans="1:24">
      <c r="A648" s="59">
        <v>646</v>
      </c>
      <c r="B648" s="60" t="s">
        <v>1496</v>
      </c>
      <c r="C648" s="114">
        <f t="shared" si="34"/>
        <v>45035</v>
      </c>
      <c r="D648" s="62" t="str">
        <f ca="1" t="shared" si="35"/>
        <v>一年以上</v>
      </c>
      <c r="E648" s="115">
        <v>45035</v>
      </c>
      <c r="F648" s="115" t="s">
        <v>130</v>
      </c>
      <c r="G648" s="132" t="s">
        <v>1372</v>
      </c>
      <c r="H648" s="100" t="s">
        <v>863</v>
      </c>
      <c r="I648" s="60" t="s">
        <v>863</v>
      </c>
      <c r="J648" s="116">
        <v>11500</v>
      </c>
      <c r="K648" s="105" t="s">
        <v>28</v>
      </c>
      <c r="L648" s="105" t="s">
        <v>73</v>
      </c>
      <c r="M648" s="89" t="s">
        <v>133</v>
      </c>
      <c r="N648" s="117">
        <v>11500</v>
      </c>
      <c r="O648" s="137">
        <f t="shared" si="33"/>
        <v>0</v>
      </c>
      <c r="P648" s="115">
        <v>45230</v>
      </c>
      <c r="Q648" s="61">
        <f t="shared" si="36"/>
        <v>45230</v>
      </c>
      <c r="R648" s="68" t="s">
        <v>1077</v>
      </c>
      <c r="S648" s="72" t="s">
        <v>1497</v>
      </c>
      <c r="T648" s="105"/>
      <c r="U648" s="68"/>
      <c r="V648" s="68"/>
      <c r="W648" s="68"/>
      <c r="X648" s="68"/>
    </row>
    <row r="649" s="17" customFormat="1" ht="24" hidden="1" spans="1:24">
      <c r="A649" s="59">
        <v>647</v>
      </c>
      <c r="B649" s="60" t="s">
        <v>1498</v>
      </c>
      <c r="C649" s="114">
        <f t="shared" si="34"/>
        <v>45040</v>
      </c>
      <c r="D649" s="62" t="str">
        <f ca="1" t="shared" si="35"/>
        <v>一年以上</v>
      </c>
      <c r="E649" s="115">
        <v>45040</v>
      </c>
      <c r="F649" s="115" t="s">
        <v>632</v>
      </c>
      <c r="G649" s="132" t="s">
        <v>993</v>
      </c>
      <c r="H649" s="100" t="s">
        <v>1487</v>
      </c>
      <c r="I649" s="60" t="s">
        <v>1487</v>
      </c>
      <c r="J649" s="116">
        <v>3000</v>
      </c>
      <c r="K649" s="105" t="s">
        <v>28</v>
      </c>
      <c r="L649" s="105" t="s">
        <v>73</v>
      </c>
      <c r="M649" s="89" t="s">
        <v>30</v>
      </c>
      <c r="N649" s="117">
        <v>3000</v>
      </c>
      <c r="O649" s="137">
        <f t="shared" si="33"/>
        <v>0</v>
      </c>
      <c r="P649" s="115">
        <v>45057</v>
      </c>
      <c r="Q649" s="61">
        <f t="shared" si="36"/>
        <v>45057</v>
      </c>
      <c r="R649" s="68"/>
      <c r="S649" s="72" t="s">
        <v>1499</v>
      </c>
      <c r="T649" s="105"/>
      <c r="U649" s="68"/>
      <c r="V649" s="68"/>
      <c r="W649" s="68"/>
      <c r="X649" s="68"/>
    </row>
    <row r="650" s="17" customFormat="1" ht="24" hidden="1" spans="1:24">
      <c r="A650" s="59">
        <v>648</v>
      </c>
      <c r="B650" s="60" t="s">
        <v>1500</v>
      </c>
      <c r="C650" s="114">
        <f t="shared" si="34"/>
        <v>45040</v>
      </c>
      <c r="D650" s="62" t="str">
        <f ca="1" t="shared" si="35"/>
        <v>一年以上</v>
      </c>
      <c r="E650" s="115">
        <v>45040</v>
      </c>
      <c r="F650" s="115" t="s">
        <v>632</v>
      </c>
      <c r="G650" s="132" t="s">
        <v>450</v>
      </c>
      <c r="H650" s="100" t="s">
        <v>1501</v>
      </c>
      <c r="I650" s="60" t="s">
        <v>1501</v>
      </c>
      <c r="J650" s="116">
        <v>20000</v>
      </c>
      <c r="K650" s="105" t="s">
        <v>28</v>
      </c>
      <c r="L650" s="105" t="s">
        <v>73</v>
      </c>
      <c r="M650" s="89" t="s">
        <v>30</v>
      </c>
      <c r="N650" s="117">
        <v>20000</v>
      </c>
      <c r="O650" s="137">
        <f t="shared" si="33"/>
        <v>0</v>
      </c>
      <c r="P650" s="115">
        <v>45043</v>
      </c>
      <c r="Q650" s="61">
        <f t="shared" si="36"/>
        <v>45043</v>
      </c>
      <c r="R650" s="68"/>
      <c r="S650" s="72" t="s">
        <v>1502</v>
      </c>
      <c r="T650" s="105"/>
      <c r="U650" s="68"/>
      <c r="V650" s="68"/>
      <c r="W650" s="68"/>
      <c r="X650" s="68"/>
    </row>
    <row r="651" s="17" customFormat="1" ht="24" spans="1:24">
      <c r="A651" s="59">
        <v>649</v>
      </c>
      <c r="B651" s="60" t="s">
        <v>1503</v>
      </c>
      <c r="C651" s="114">
        <f t="shared" si="34"/>
        <v>45040</v>
      </c>
      <c r="D651" s="62" t="str">
        <f ca="1" t="shared" si="35"/>
        <v>一年以上</v>
      </c>
      <c r="E651" s="115">
        <v>45040</v>
      </c>
      <c r="F651" s="115" t="s">
        <v>632</v>
      </c>
      <c r="G651" s="132" t="s">
        <v>450</v>
      </c>
      <c r="H651" s="100" t="s">
        <v>1501</v>
      </c>
      <c r="I651" s="60" t="s">
        <v>1501</v>
      </c>
      <c r="J651" s="116">
        <v>200</v>
      </c>
      <c r="K651" s="105" t="s">
        <v>28</v>
      </c>
      <c r="L651" s="105" t="s">
        <v>73</v>
      </c>
      <c r="M651" s="89" t="s">
        <v>515</v>
      </c>
      <c r="N651" s="117"/>
      <c r="O651" s="224">
        <f t="shared" si="33"/>
        <v>200</v>
      </c>
      <c r="P651" s="115"/>
      <c r="Q651" s="61">
        <f t="shared" si="36"/>
        <v>0</v>
      </c>
      <c r="R651" s="68"/>
      <c r="S651" s="72" t="s">
        <v>1502</v>
      </c>
      <c r="T651" s="105" t="s">
        <v>581</v>
      </c>
      <c r="U651" s="59" t="str">
        <f>VLOOKUP(T651,[1]区域划分!$A$1:$C$39,3,0)</f>
        <v>新疆</v>
      </c>
      <c r="V651" s="68"/>
      <c r="W651" s="68"/>
      <c r="X651" s="68"/>
    </row>
    <row r="652" s="17" customFormat="1" ht="24" hidden="1" spans="1:24">
      <c r="A652" s="59">
        <v>650</v>
      </c>
      <c r="B652" s="60" t="s">
        <v>1504</v>
      </c>
      <c r="C652" s="114">
        <f t="shared" si="34"/>
        <v>45040</v>
      </c>
      <c r="D652" s="62" t="str">
        <f ca="1" t="shared" si="35"/>
        <v>一年以上</v>
      </c>
      <c r="E652" s="115">
        <v>45040</v>
      </c>
      <c r="F652" s="115" t="s">
        <v>632</v>
      </c>
      <c r="G652" s="132" t="s">
        <v>450</v>
      </c>
      <c r="H652" s="100" t="s">
        <v>1505</v>
      </c>
      <c r="I652" s="60" t="s">
        <v>1505</v>
      </c>
      <c r="J652" s="116">
        <v>1000</v>
      </c>
      <c r="K652" s="105" t="s">
        <v>28</v>
      </c>
      <c r="L652" s="105" t="s">
        <v>73</v>
      </c>
      <c r="M652" s="89" t="s">
        <v>30</v>
      </c>
      <c r="N652" s="117">
        <v>1000</v>
      </c>
      <c r="O652" s="137">
        <f t="shared" si="33"/>
        <v>0</v>
      </c>
      <c r="P652" s="115">
        <v>45056</v>
      </c>
      <c r="Q652" s="61">
        <f t="shared" si="36"/>
        <v>45056</v>
      </c>
      <c r="R652" s="68"/>
      <c r="S652" s="72" t="s">
        <v>1506</v>
      </c>
      <c r="T652" s="105"/>
      <c r="U652" s="68"/>
      <c r="V652" s="68"/>
      <c r="W652" s="68"/>
      <c r="X652" s="68"/>
    </row>
    <row r="653" s="17" customFormat="1" spans="1:24">
      <c r="A653" s="59">
        <v>651</v>
      </c>
      <c r="B653" s="60" t="s">
        <v>1507</v>
      </c>
      <c r="C653" s="114">
        <f t="shared" si="34"/>
        <v>45040</v>
      </c>
      <c r="D653" s="62" t="str">
        <f ca="1" t="shared" si="35"/>
        <v>一年以上</v>
      </c>
      <c r="E653" s="115">
        <v>45040</v>
      </c>
      <c r="F653" s="115" t="s">
        <v>632</v>
      </c>
      <c r="G653" s="132" t="s">
        <v>450</v>
      </c>
      <c r="H653" s="100" t="s">
        <v>1508</v>
      </c>
      <c r="I653" s="60" t="s">
        <v>1508</v>
      </c>
      <c r="J653" s="116">
        <v>30</v>
      </c>
      <c r="K653" s="105" t="s">
        <v>28</v>
      </c>
      <c r="L653" s="105" t="s">
        <v>73</v>
      </c>
      <c r="M653" s="89" t="s">
        <v>515</v>
      </c>
      <c r="N653" s="117"/>
      <c r="O653" s="137">
        <f t="shared" si="33"/>
        <v>30</v>
      </c>
      <c r="P653" s="115"/>
      <c r="Q653" s="61">
        <f t="shared" si="36"/>
        <v>0</v>
      </c>
      <c r="R653" s="68"/>
      <c r="S653" s="72" t="s">
        <v>1509</v>
      </c>
      <c r="T653" s="105"/>
      <c r="U653" s="59" t="e">
        <f>VLOOKUP(T653,[1]区域划分!$A$1:$C$39,3,0)</f>
        <v>#N/A</v>
      </c>
      <c r="V653" s="68"/>
      <c r="W653" s="68"/>
      <c r="X653" s="68"/>
    </row>
    <row r="654" s="17" customFormat="1" spans="1:24">
      <c r="A654" s="59">
        <v>652</v>
      </c>
      <c r="B654" s="60" t="s">
        <v>1510</v>
      </c>
      <c r="C654" s="114">
        <f t="shared" si="34"/>
        <v>45040</v>
      </c>
      <c r="D654" s="62" t="str">
        <f ca="1" t="shared" si="35"/>
        <v>一年以上</v>
      </c>
      <c r="E654" s="115">
        <v>45040</v>
      </c>
      <c r="F654" s="115" t="s">
        <v>632</v>
      </c>
      <c r="G654" s="132" t="s">
        <v>450</v>
      </c>
      <c r="H654" s="100" t="s">
        <v>1511</v>
      </c>
      <c r="I654" s="60" t="s">
        <v>1511</v>
      </c>
      <c r="J654" s="116">
        <v>500</v>
      </c>
      <c r="K654" s="105" t="s">
        <v>28</v>
      </c>
      <c r="L654" s="105" t="s">
        <v>73</v>
      </c>
      <c r="M654" s="89" t="s">
        <v>968</v>
      </c>
      <c r="N654" s="117"/>
      <c r="O654" s="137">
        <f t="shared" si="33"/>
        <v>500</v>
      </c>
      <c r="P654" s="115"/>
      <c r="Q654" s="61">
        <f t="shared" si="36"/>
        <v>0</v>
      </c>
      <c r="R654" s="68"/>
      <c r="S654" s="72" t="s">
        <v>1512</v>
      </c>
      <c r="T654" s="105"/>
      <c r="U654" s="59" t="e">
        <f>VLOOKUP(T654,[1]区域划分!$A$1:$C$39,3,0)</f>
        <v>#N/A</v>
      </c>
      <c r="V654" s="68"/>
      <c r="W654" s="68"/>
      <c r="X654" s="68"/>
    </row>
    <row r="655" s="17" customFormat="1" spans="1:24">
      <c r="A655" s="59">
        <v>653</v>
      </c>
      <c r="B655" s="60" t="s">
        <v>1513</v>
      </c>
      <c r="C655" s="114">
        <f t="shared" si="34"/>
        <v>45040</v>
      </c>
      <c r="D655" s="62" t="str">
        <f ca="1" t="shared" si="35"/>
        <v>一年以上</v>
      </c>
      <c r="E655" s="115">
        <v>45040</v>
      </c>
      <c r="F655" s="115" t="s">
        <v>632</v>
      </c>
      <c r="G655" s="132" t="s">
        <v>450</v>
      </c>
      <c r="H655" s="100" t="s">
        <v>1511</v>
      </c>
      <c r="I655" s="60" t="s">
        <v>1511</v>
      </c>
      <c r="J655" s="116">
        <v>3000</v>
      </c>
      <c r="K655" s="105" t="s">
        <v>28</v>
      </c>
      <c r="L655" s="105" t="s">
        <v>73</v>
      </c>
      <c r="M655" s="89" t="s">
        <v>968</v>
      </c>
      <c r="N655" s="117"/>
      <c r="O655" s="137">
        <f t="shared" ref="O655:O665" si="37">J655-N655</f>
        <v>3000</v>
      </c>
      <c r="P655" s="115"/>
      <c r="Q655" s="61">
        <f t="shared" si="36"/>
        <v>0</v>
      </c>
      <c r="R655" s="68"/>
      <c r="S655" s="72" t="s">
        <v>1512</v>
      </c>
      <c r="T655" s="105"/>
      <c r="U655" s="59" t="e">
        <f>VLOOKUP(T655,[1]区域划分!$A$1:$C$39,3,0)</f>
        <v>#N/A</v>
      </c>
      <c r="V655" s="68"/>
      <c r="W655" s="68"/>
      <c r="X655" s="68"/>
    </row>
    <row r="656" s="17" customFormat="1" ht="24" hidden="1" spans="1:24">
      <c r="A656" s="59">
        <v>654</v>
      </c>
      <c r="B656" s="60" t="s">
        <v>1514</v>
      </c>
      <c r="C656" s="114">
        <f t="shared" si="34"/>
        <v>45052</v>
      </c>
      <c r="D656" s="62" t="str">
        <f ca="1" t="shared" si="35"/>
        <v>一年以上</v>
      </c>
      <c r="E656" s="115">
        <v>45052</v>
      </c>
      <c r="F656" s="115" t="s">
        <v>70</v>
      </c>
      <c r="G656" s="132" t="s">
        <v>1515</v>
      </c>
      <c r="H656" s="100" t="s">
        <v>1150</v>
      </c>
      <c r="I656" s="60" t="s">
        <v>1150</v>
      </c>
      <c r="J656" s="116">
        <v>3760</v>
      </c>
      <c r="K656" s="105" t="s">
        <v>28</v>
      </c>
      <c r="L656" s="136" t="s">
        <v>73</v>
      </c>
      <c r="M656" s="89" t="s">
        <v>65</v>
      </c>
      <c r="N656" s="104">
        <v>3760</v>
      </c>
      <c r="O656" s="137">
        <f t="shared" si="37"/>
        <v>0</v>
      </c>
      <c r="P656" s="115">
        <v>45320</v>
      </c>
      <c r="Q656" s="61">
        <f t="shared" si="36"/>
        <v>45320</v>
      </c>
      <c r="R656" s="68"/>
      <c r="S656" s="72"/>
      <c r="T656" s="105" t="s">
        <v>1152</v>
      </c>
      <c r="U656" s="59" t="str">
        <f>VLOOKUP(T656,[1]区域划分!$A$1:$C$39,3,0)</f>
        <v>饶亚龙</v>
      </c>
      <c r="V656" s="68"/>
      <c r="W656" s="68"/>
      <c r="X656" s="68"/>
    </row>
    <row r="657" s="17" customFormat="1" hidden="1" spans="1:24">
      <c r="A657" s="59">
        <v>655</v>
      </c>
      <c r="B657" s="60" t="s">
        <v>1516</v>
      </c>
      <c r="C657" s="114">
        <f t="shared" si="34"/>
        <v>45056</v>
      </c>
      <c r="D657" s="62" t="str">
        <f ca="1" t="shared" si="35"/>
        <v>一年以上</v>
      </c>
      <c r="E657" s="115">
        <v>45056</v>
      </c>
      <c r="F657" s="115" t="s">
        <v>130</v>
      </c>
      <c r="G657" s="132" t="s">
        <v>1372</v>
      </c>
      <c r="H657" s="100" t="s">
        <v>863</v>
      </c>
      <c r="I657" s="60" t="s">
        <v>863</v>
      </c>
      <c r="J657" s="116">
        <v>7800</v>
      </c>
      <c r="K657" s="105" t="s">
        <v>28</v>
      </c>
      <c r="L657" s="105" t="s">
        <v>73</v>
      </c>
      <c r="M657" s="89" t="s">
        <v>133</v>
      </c>
      <c r="N657" s="117">
        <v>7800</v>
      </c>
      <c r="O657" s="137">
        <f t="shared" si="37"/>
        <v>0</v>
      </c>
      <c r="P657" s="115">
        <v>45230</v>
      </c>
      <c r="Q657" s="61">
        <f t="shared" si="36"/>
        <v>45230</v>
      </c>
      <c r="R657" s="68" t="s">
        <v>1077</v>
      </c>
      <c r="S657" s="72" t="s">
        <v>1517</v>
      </c>
      <c r="T657" s="105"/>
      <c r="U657" s="68"/>
      <c r="V657" s="68"/>
      <c r="W657" s="68"/>
      <c r="X657" s="68"/>
    </row>
    <row r="658" s="17" customFormat="1" hidden="1" spans="1:24">
      <c r="A658" s="59">
        <v>656</v>
      </c>
      <c r="B658" s="60" t="s">
        <v>1518</v>
      </c>
      <c r="C658" s="114">
        <f t="shared" si="34"/>
        <v>45057</v>
      </c>
      <c r="D658" s="62" t="str">
        <f ca="1" t="shared" si="35"/>
        <v>一年以上</v>
      </c>
      <c r="E658" s="115">
        <v>45057</v>
      </c>
      <c r="F658" s="115" t="s">
        <v>632</v>
      </c>
      <c r="G658" s="132" t="s">
        <v>450</v>
      </c>
      <c r="H658" s="100" t="s">
        <v>1519</v>
      </c>
      <c r="I658" s="60" t="s">
        <v>1519</v>
      </c>
      <c r="J658" s="116">
        <v>3000</v>
      </c>
      <c r="K658" s="105" t="s">
        <v>28</v>
      </c>
      <c r="L658" s="105" t="s">
        <v>73</v>
      </c>
      <c r="M658" s="89" t="s">
        <v>968</v>
      </c>
      <c r="N658" s="117">
        <v>3000</v>
      </c>
      <c r="O658" s="137">
        <f t="shared" si="37"/>
        <v>0</v>
      </c>
      <c r="P658" s="115">
        <v>45058</v>
      </c>
      <c r="Q658" s="61">
        <f t="shared" si="36"/>
        <v>45058</v>
      </c>
      <c r="R658" s="68" t="s">
        <v>1520</v>
      </c>
      <c r="S658" s="72" t="s">
        <v>1521</v>
      </c>
      <c r="T658" s="105"/>
      <c r="U658" s="68"/>
      <c r="V658" s="68"/>
      <c r="W658" s="68"/>
      <c r="X658" s="68"/>
    </row>
    <row r="659" s="17" customFormat="1" ht="24" spans="1:24">
      <c r="A659" s="59">
        <v>657</v>
      </c>
      <c r="B659" s="60" t="s">
        <v>2658</v>
      </c>
      <c r="C659" s="114">
        <f t="shared" si="34"/>
        <v>45058</v>
      </c>
      <c r="D659" s="62" t="str">
        <f ca="1" t="shared" si="35"/>
        <v>一年以上</v>
      </c>
      <c r="E659" s="115">
        <v>45058</v>
      </c>
      <c r="F659" s="115" t="s">
        <v>70</v>
      </c>
      <c r="G659" s="132" t="s">
        <v>239</v>
      </c>
      <c r="H659" s="100" t="s">
        <v>1522</v>
      </c>
      <c r="I659" s="60" t="s">
        <v>1522</v>
      </c>
      <c r="J659" s="116">
        <v>32300</v>
      </c>
      <c r="K659" s="105" t="s">
        <v>28</v>
      </c>
      <c r="L659" s="105" t="s">
        <v>73</v>
      </c>
      <c r="M659" s="89" t="s">
        <v>941</v>
      </c>
      <c r="N659" s="117"/>
      <c r="O659" s="137">
        <f t="shared" si="37"/>
        <v>32300</v>
      </c>
      <c r="P659" s="115"/>
      <c r="Q659" s="61">
        <f t="shared" si="36"/>
        <v>0</v>
      </c>
      <c r="R659" s="68"/>
      <c r="S659" s="72" t="s">
        <v>1523</v>
      </c>
      <c r="T659" s="105" t="s">
        <v>581</v>
      </c>
      <c r="U659" s="59" t="str">
        <f>VLOOKUP(T659,[1]区域划分!$A$1:$C$39,3,0)</f>
        <v>新疆</v>
      </c>
      <c r="V659" s="68"/>
      <c r="W659" s="68"/>
      <c r="X659" s="68"/>
    </row>
    <row r="660" s="17" customFormat="1" ht="24" hidden="1" spans="1:24">
      <c r="A660" s="59">
        <v>658</v>
      </c>
      <c r="B660" s="60" t="s">
        <v>1524</v>
      </c>
      <c r="C660" s="114">
        <f t="shared" si="34"/>
        <v>45058</v>
      </c>
      <c r="D660" s="62" t="str">
        <f ca="1" t="shared" si="35"/>
        <v>一年以上</v>
      </c>
      <c r="E660" s="115">
        <v>45058</v>
      </c>
      <c r="F660" s="115" t="s">
        <v>70</v>
      </c>
      <c r="G660" s="132" t="s">
        <v>149</v>
      </c>
      <c r="H660" s="100" t="s">
        <v>612</v>
      </c>
      <c r="I660" s="60" t="s">
        <v>612</v>
      </c>
      <c r="J660" s="116">
        <v>2000</v>
      </c>
      <c r="K660" s="105" t="s">
        <v>28</v>
      </c>
      <c r="L660" s="105" t="s">
        <v>73</v>
      </c>
      <c r="M660" s="89" t="s">
        <v>65</v>
      </c>
      <c r="N660" s="117">
        <v>2000</v>
      </c>
      <c r="O660" s="137">
        <f t="shared" si="37"/>
        <v>0</v>
      </c>
      <c r="P660" s="115">
        <v>45128</v>
      </c>
      <c r="Q660" s="61">
        <f t="shared" si="36"/>
        <v>45128</v>
      </c>
      <c r="R660" s="68"/>
      <c r="S660" s="72" t="s">
        <v>1525</v>
      </c>
      <c r="T660" s="105"/>
      <c r="U660" s="68"/>
      <c r="V660" s="68"/>
      <c r="W660" s="68"/>
      <c r="X660" s="68"/>
    </row>
    <row r="661" s="17" customFormat="1" ht="24" hidden="1" spans="1:24">
      <c r="A661" s="59">
        <v>659</v>
      </c>
      <c r="B661" s="60" t="s">
        <v>1526</v>
      </c>
      <c r="C661" s="114">
        <f t="shared" si="34"/>
        <v>45062</v>
      </c>
      <c r="D661" s="62" t="str">
        <f ca="1" t="shared" si="35"/>
        <v>一年以上</v>
      </c>
      <c r="E661" s="115">
        <v>45062</v>
      </c>
      <c r="F661" s="115" t="s">
        <v>632</v>
      </c>
      <c r="G661" s="132" t="s">
        <v>993</v>
      </c>
      <c r="H661" s="100" t="s">
        <v>1527</v>
      </c>
      <c r="I661" s="60" t="s">
        <v>1527</v>
      </c>
      <c r="J661" s="116">
        <v>20000</v>
      </c>
      <c r="K661" s="105" t="s">
        <v>28</v>
      </c>
      <c r="L661" s="105" t="s">
        <v>73</v>
      </c>
      <c r="M661" s="89" t="s">
        <v>30</v>
      </c>
      <c r="N661" s="117">
        <v>20000</v>
      </c>
      <c r="O661" s="137">
        <f t="shared" si="37"/>
        <v>0</v>
      </c>
      <c r="P661" s="115">
        <v>45107</v>
      </c>
      <c r="Q661" s="61">
        <f t="shared" si="36"/>
        <v>45107</v>
      </c>
      <c r="R661" s="68"/>
      <c r="S661" s="72" t="s">
        <v>1528</v>
      </c>
      <c r="T661" s="105"/>
      <c r="U661" s="68"/>
      <c r="V661" s="68"/>
      <c r="W661" s="68"/>
      <c r="X661" s="68"/>
    </row>
    <row r="662" s="17" customFormat="1" ht="24" hidden="1" spans="1:24">
      <c r="A662" s="59">
        <v>660</v>
      </c>
      <c r="B662" s="60" t="s">
        <v>1529</v>
      </c>
      <c r="C662" s="114">
        <f t="shared" si="34"/>
        <v>45065</v>
      </c>
      <c r="D662" s="62" t="str">
        <f ca="1" t="shared" si="35"/>
        <v>一年以上</v>
      </c>
      <c r="E662" s="115">
        <v>45065</v>
      </c>
      <c r="F662" s="115" t="s">
        <v>632</v>
      </c>
      <c r="G662" s="132" t="s">
        <v>450</v>
      </c>
      <c r="H662" s="146" t="s">
        <v>215</v>
      </c>
      <c r="I662" s="60" t="s">
        <v>215</v>
      </c>
      <c r="J662" s="116">
        <v>10000</v>
      </c>
      <c r="K662" s="105" t="s">
        <v>28</v>
      </c>
      <c r="L662" s="105" t="s">
        <v>73</v>
      </c>
      <c r="M662" s="89" t="s">
        <v>30</v>
      </c>
      <c r="N662" s="117">
        <v>10000</v>
      </c>
      <c r="O662" s="137">
        <f t="shared" si="37"/>
        <v>0</v>
      </c>
      <c r="P662" s="115">
        <v>45259</v>
      </c>
      <c r="Q662" s="61">
        <f t="shared" si="36"/>
        <v>45259</v>
      </c>
      <c r="R662" s="68"/>
      <c r="S662" s="72" t="s">
        <v>1530</v>
      </c>
      <c r="T662" s="105" t="s">
        <v>49</v>
      </c>
      <c r="U662" s="59" t="str">
        <f>VLOOKUP(T662,[1]区域划分!$A$1:$C$39,3,0)</f>
        <v>龚运谱</v>
      </c>
      <c r="V662" s="68"/>
      <c r="W662" s="68"/>
      <c r="X662" s="68"/>
    </row>
    <row r="663" s="17" customFormat="1" ht="24" hidden="1" spans="1:24">
      <c r="A663" s="59">
        <v>661</v>
      </c>
      <c r="B663" s="60" t="s">
        <v>1531</v>
      </c>
      <c r="C663" s="114">
        <f t="shared" si="34"/>
        <v>45068</v>
      </c>
      <c r="D663" s="62" t="str">
        <f ca="1" t="shared" si="35"/>
        <v>一年以上</v>
      </c>
      <c r="E663" s="115">
        <v>45068</v>
      </c>
      <c r="F663" s="115" t="s">
        <v>632</v>
      </c>
      <c r="G663" s="132" t="s">
        <v>993</v>
      </c>
      <c r="H663" s="100" t="s">
        <v>115</v>
      </c>
      <c r="I663" s="60" t="s">
        <v>115</v>
      </c>
      <c r="J663" s="116">
        <v>20000</v>
      </c>
      <c r="K663" s="105" t="s">
        <v>356</v>
      </c>
      <c r="L663" s="105" t="s">
        <v>73</v>
      </c>
      <c r="M663" s="89" t="s">
        <v>30</v>
      </c>
      <c r="N663" s="117">
        <v>20000</v>
      </c>
      <c r="O663" s="137">
        <f t="shared" si="37"/>
        <v>0</v>
      </c>
      <c r="P663" s="115">
        <v>45084</v>
      </c>
      <c r="Q663" s="61">
        <f t="shared" si="36"/>
        <v>45084</v>
      </c>
      <c r="R663" s="68"/>
      <c r="S663" s="72" t="s">
        <v>1532</v>
      </c>
      <c r="T663" s="105"/>
      <c r="U663" s="68"/>
      <c r="V663" s="68" t="s">
        <v>1533</v>
      </c>
      <c r="W663" s="68"/>
      <c r="X663" s="68"/>
    </row>
    <row r="664" s="17" customFormat="1" ht="24" hidden="1" spans="1:24">
      <c r="A664" s="59">
        <v>662</v>
      </c>
      <c r="B664" s="60" t="s">
        <v>1534</v>
      </c>
      <c r="C664" s="114">
        <f t="shared" si="34"/>
        <v>45068</v>
      </c>
      <c r="D664" s="62" t="str">
        <f ca="1" t="shared" si="35"/>
        <v>一年以上</v>
      </c>
      <c r="E664" s="115">
        <v>45068</v>
      </c>
      <c r="F664" s="115" t="s">
        <v>632</v>
      </c>
      <c r="G664" s="132" t="s">
        <v>993</v>
      </c>
      <c r="H664" s="100" t="s">
        <v>1005</v>
      </c>
      <c r="I664" s="60" t="s">
        <v>1005</v>
      </c>
      <c r="J664" s="116">
        <v>20000</v>
      </c>
      <c r="K664" s="105" t="s">
        <v>356</v>
      </c>
      <c r="L664" s="105" t="s">
        <v>73</v>
      </c>
      <c r="M664" s="89" t="s">
        <v>30</v>
      </c>
      <c r="N664" s="117">
        <v>20000</v>
      </c>
      <c r="O664" s="137">
        <f t="shared" si="37"/>
        <v>0</v>
      </c>
      <c r="P664" s="115">
        <v>45133</v>
      </c>
      <c r="Q664" s="61">
        <f t="shared" si="36"/>
        <v>45133</v>
      </c>
      <c r="R664" s="68"/>
      <c r="S664" s="72" t="s">
        <v>1535</v>
      </c>
      <c r="T664" s="105"/>
      <c r="U664" s="68"/>
      <c r="V664" s="68"/>
      <c r="W664" s="68"/>
      <c r="X664" s="68"/>
    </row>
    <row r="665" s="17" customFormat="1" ht="24" hidden="1" spans="1:24">
      <c r="A665" s="59">
        <v>663</v>
      </c>
      <c r="B665" s="60" t="s">
        <v>1536</v>
      </c>
      <c r="C665" s="114">
        <f t="shared" si="34"/>
        <v>45070</v>
      </c>
      <c r="D665" s="62" t="str">
        <f ca="1" t="shared" si="35"/>
        <v>一年以上</v>
      </c>
      <c r="E665" s="115">
        <v>45070</v>
      </c>
      <c r="F665" s="115" t="s">
        <v>632</v>
      </c>
      <c r="G665" s="132" t="s">
        <v>450</v>
      </c>
      <c r="H665" s="100" t="s">
        <v>1537</v>
      </c>
      <c r="I665" s="60" t="s">
        <v>1537</v>
      </c>
      <c r="J665" s="116">
        <v>20000</v>
      </c>
      <c r="K665" s="105" t="s">
        <v>28</v>
      </c>
      <c r="L665" s="105" t="s">
        <v>73</v>
      </c>
      <c r="M665" s="89" t="s">
        <v>30</v>
      </c>
      <c r="N665" s="117">
        <v>20000</v>
      </c>
      <c r="O665" s="137">
        <f t="shared" si="37"/>
        <v>0</v>
      </c>
      <c r="P665" s="115">
        <v>45085</v>
      </c>
      <c r="Q665" s="61">
        <f t="shared" si="36"/>
        <v>45085</v>
      </c>
      <c r="R665" s="68"/>
      <c r="S665" s="72" t="s">
        <v>1538</v>
      </c>
      <c r="T665" s="105"/>
      <c r="U665" s="68"/>
      <c r="V665" s="68"/>
      <c r="W665" s="68"/>
      <c r="X665" s="68"/>
    </row>
    <row r="666" s="17" customFormat="1" hidden="1" spans="1:24">
      <c r="A666" s="59">
        <v>664</v>
      </c>
      <c r="B666" s="60" t="s">
        <v>1539</v>
      </c>
      <c r="C666" s="114">
        <v>45047</v>
      </c>
      <c r="D666" s="62" t="s">
        <v>1540</v>
      </c>
      <c r="E666" s="115">
        <v>45077</v>
      </c>
      <c r="F666" s="115" t="s">
        <v>632</v>
      </c>
      <c r="G666" s="132" t="s">
        <v>993</v>
      </c>
      <c r="H666" s="100" t="s">
        <v>1541</v>
      </c>
      <c r="I666" s="60" t="s">
        <v>1541</v>
      </c>
      <c r="J666" s="116">
        <v>12000</v>
      </c>
      <c r="K666" s="105" t="s">
        <v>28</v>
      </c>
      <c r="L666" s="105" t="s">
        <v>73</v>
      </c>
      <c r="M666" s="89" t="s">
        <v>30</v>
      </c>
      <c r="N666" s="117">
        <v>12000</v>
      </c>
      <c r="O666" s="137">
        <v>0</v>
      </c>
      <c r="P666" s="115">
        <v>45077</v>
      </c>
      <c r="Q666" s="61">
        <f t="shared" si="36"/>
        <v>45077</v>
      </c>
      <c r="R666" s="68"/>
      <c r="S666" s="72" t="s">
        <v>1542</v>
      </c>
      <c r="T666" s="105"/>
      <c r="U666" s="68"/>
      <c r="V666" s="68"/>
      <c r="W666" s="68"/>
      <c r="X666" s="68"/>
    </row>
    <row r="667" s="17" customFormat="1" ht="24" hidden="1" spans="1:24">
      <c r="A667" s="59">
        <v>665</v>
      </c>
      <c r="B667" s="60" t="s">
        <v>1543</v>
      </c>
      <c r="C667" s="114">
        <f t="shared" ref="C667:C677" si="38">E667</f>
        <v>45086</v>
      </c>
      <c r="D667" s="62" t="str">
        <f ca="1" t="shared" ref="D667:D730" si="39">IF(TODAY()-E667&lt;60,"2个月内",IF(TODAY()-E667&lt;180,"3-6个月",IF(TODAY()-E667&lt;360,"6个月-1年","一年以上")))</f>
        <v>一年以上</v>
      </c>
      <c r="E667" s="115">
        <v>45086</v>
      </c>
      <c r="F667" s="115" t="s">
        <v>632</v>
      </c>
      <c r="G667" s="132" t="s">
        <v>450</v>
      </c>
      <c r="H667" s="100" t="s">
        <v>1505</v>
      </c>
      <c r="I667" s="60" t="s">
        <v>1505</v>
      </c>
      <c r="J667" s="116">
        <v>1000</v>
      </c>
      <c r="K667" s="105" t="s">
        <v>28</v>
      </c>
      <c r="L667" s="105" t="s">
        <v>73</v>
      </c>
      <c r="M667" s="89" t="s">
        <v>30</v>
      </c>
      <c r="N667" s="117">
        <v>1000</v>
      </c>
      <c r="O667" s="137">
        <f t="shared" ref="O667:O730" si="40">J667-N667</f>
        <v>0</v>
      </c>
      <c r="P667" s="115">
        <v>45268</v>
      </c>
      <c r="Q667" s="61">
        <f t="shared" si="36"/>
        <v>45268</v>
      </c>
      <c r="R667" s="68" t="s">
        <v>1544</v>
      </c>
      <c r="S667" s="72" t="s">
        <v>1545</v>
      </c>
      <c r="T667" s="105" t="s">
        <v>720</v>
      </c>
      <c r="U667" s="59" t="str">
        <f>VLOOKUP(T667,[1]区域划分!$A$1:$C$39,3,0)</f>
        <v>杨春龙</v>
      </c>
      <c r="V667" s="68"/>
      <c r="W667" s="68"/>
      <c r="X667" s="68"/>
    </row>
    <row r="668" s="17" customFormat="1" ht="24" hidden="1" spans="1:24">
      <c r="A668" s="59">
        <v>666</v>
      </c>
      <c r="B668" s="60" t="s">
        <v>1546</v>
      </c>
      <c r="C668" s="114">
        <f t="shared" si="38"/>
        <v>45087</v>
      </c>
      <c r="D668" s="62" t="str">
        <f ca="1" t="shared" si="39"/>
        <v>一年以上</v>
      </c>
      <c r="E668" s="115">
        <v>45087</v>
      </c>
      <c r="F668" s="115" t="s">
        <v>632</v>
      </c>
      <c r="G668" s="132" t="s">
        <v>450</v>
      </c>
      <c r="H668" s="100" t="s">
        <v>1547</v>
      </c>
      <c r="I668" s="60" t="s">
        <v>1547</v>
      </c>
      <c r="J668" s="116">
        <v>20000</v>
      </c>
      <c r="K668" s="105" t="s">
        <v>28</v>
      </c>
      <c r="L668" s="136" t="s">
        <v>73</v>
      </c>
      <c r="M668" s="89" t="s">
        <v>30</v>
      </c>
      <c r="N668" s="104">
        <v>20000</v>
      </c>
      <c r="O668" s="137">
        <f t="shared" si="40"/>
        <v>0</v>
      </c>
      <c r="P668" s="115">
        <v>45316</v>
      </c>
      <c r="Q668" s="61">
        <f t="shared" si="36"/>
        <v>45316</v>
      </c>
      <c r="R668" s="68"/>
      <c r="S668" s="72" t="s">
        <v>1548</v>
      </c>
      <c r="T668" s="105" t="s">
        <v>581</v>
      </c>
      <c r="U668" s="59" t="str">
        <f>VLOOKUP(T668,[1]区域划分!$A$1:$C$39,3,0)</f>
        <v>新疆</v>
      </c>
      <c r="V668" s="68"/>
      <c r="W668" s="68"/>
      <c r="X668" s="68"/>
    </row>
    <row r="669" s="17" customFormat="1" ht="24" spans="1:24">
      <c r="A669" s="59">
        <v>667</v>
      </c>
      <c r="B669" s="60" t="s">
        <v>1549</v>
      </c>
      <c r="C669" s="114">
        <f t="shared" si="38"/>
        <v>45087</v>
      </c>
      <c r="D669" s="62" t="str">
        <f ca="1" t="shared" si="39"/>
        <v>一年以上</v>
      </c>
      <c r="E669" s="115">
        <v>45087</v>
      </c>
      <c r="F669" s="115" t="s">
        <v>632</v>
      </c>
      <c r="G669" s="132" t="s">
        <v>450</v>
      </c>
      <c r="H669" s="100" t="s">
        <v>1547</v>
      </c>
      <c r="I669" s="60" t="s">
        <v>1547</v>
      </c>
      <c r="J669" s="116">
        <v>200</v>
      </c>
      <c r="K669" s="105" t="s">
        <v>28</v>
      </c>
      <c r="L669" s="105" t="s">
        <v>73</v>
      </c>
      <c r="M669" s="89" t="s">
        <v>515</v>
      </c>
      <c r="N669" s="117"/>
      <c r="O669" s="224">
        <f t="shared" si="40"/>
        <v>200</v>
      </c>
      <c r="P669" s="115"/>
      <c r="Q669" s="61">
        <f t="shared" si="36"/>
        <v>0</v>
      </c>
      <c r="R669" s="68"/>
      <c r="S669" s="72" t="s">
        <v>1548</v>
      </c>
      <c r="T669" s="105" t="s">
        <v>581</v>
      </c>
      <c r="U669" s="59" t="str">
        <f>VLOOKUP(T669,[1]区域划分!$A$1:$C$39,3,0)</f>
        <v>新疆</v>
      </c>
      <c r="V669" s="68"/>
      <c r="W669" s="68"/>
      <c r="X669" s="68"/>
    </row>
    <row r="670" s="17" customFormat="1" ht="24" hidden="1" spans="1:24">
      <c r="A670" s="59">
        <v>668</v>
      </c>
      <c r="B670" s="60" t="s">
        <v>1550</v>
      </c>
      <c r="C670" s="114">
        <f t="shared" si="38"/>
        <v>45090</v>
      </c>
      <c r="D670" s="62" t="str">
        <f ca="1" t="shared" si="39"/>
        <v>一年以上</v>
      </c>
      <c r="E670" s="115">
        <v>45090</v>
      </c>
      <c r="F670" s="115" t="s">
        <v>632</v>
      </c>
      <c r="G670" s="132" t="s">
        <v>450</v>
      </c>
      <c r="H670" s="100" t="s">
        <v>1551</v>
      </c>
      <c r="I670" s="60" t="s">
        <v>1551</v>
      </c>
      <c r="J670" s="116">
        <v>5000</v>
      </c>
      <c r="K670" s="105" t="s">
        <v>356</v>
      </c>
      <c r="L670" s="105" t="s">
        <v>73</v>
      </c>
      <c r="M670" s="89" t="s">
        <v>30</v>
      </c>
      <c r="N670" s="117">
        <v>5000</v>
      </c>
      <c r="O670" s="137">
        <f t="shared" si="40"/>
        <v>0</v>
      </c>
      <c r="P670" s="115">
        <v>45105</v>
      </c>
      <c r="Q670" s="61">
        <f t="shared" si="36"/>
        <v>45105</v>
      </c>
      <c r="R670" s="68"/>
      <c r="S670" s="72" t="s">
        <v>1552</v>
      </c>
      <c r="T670" s="105"/>
      <c r="U670" s="68"/>
      <c r="V670" s="68"/>
      <c r="W670" s="68"/>
      <c r="X670" s="68"/>
    </row>
    <row r="671" s="17" customFormat="1" ht="24" spans="1:24">
      <c r="A671" s="59">
        <v>669</v>
      </c>
      <c r="B671" s="60" t="s">
        <v>1553</v>
      </c>
      <c r="C671" s="114">
        <f t="shared" si="38"/>
        <v>45092</v>
      </c>
      <c r="D671" s="62" t="str">
        <f ca="1" t="shared" si="39"/>
        <v>一年以上</v>
      </c>
      <c r="E671" s="115">
        <v>45092</v>
      </c>
      <c r="F671" s="115" t="s">
        <v>632</v>
      </c>
      <c r="G671" s="132" t="s">
        <v>450</v>
      </c>
      <c r="H671" s="100" t="s">
        <v>325</v>
      </c>
      <c r="I671" s="60" t="s">
        <v>325</v>
      </c>
      <c r="J671" s="116">
        <v>1000</v>
      </c>
      <c r="K671" s="105" t="s">
        <v>356</v>
      </c>
      <c r="L671" s="105" t="s">
        <v>73</v>
      </c>
      <c r="M671" s="89" t="s">
        <v>30</v>
      </c>
      <c r="N671" s="117"/>
      <c r="O671" s="138">
        <f t="shared" si="40"/>
        <v>1000</v>
      </c>
      <c r="P671" s="115"/>
      <c r="Q671" s="61">
        <f t="shared" si="36"/>
        <v>0</v>
      </c>
      <c r="R671" s="68"/>
      <c r="S671" s="72" t="s">
        <v>1554</v>
      </c>
      <c r="T671" s="105" t="s">
        <v>80</v>
      </c>
      <c r="U671" s="59" t="str">
        <f>VLOOKUP(T671,[1]区域划分!$A$1:$C$39,3,0)</f>
        <v>殷坤鹏</v>
      </c>
      <c r="V671" s="68"/>
      <c r="W671" s="68"/>
      <c r="X671" s="68"/>
    </row>
    <row r="672" s="17" customFormat="1" ht="36" hidden="1" spans="1:24">
      <c r="A672" s="59">
        <v>670</v>
      </c>
      <c r="B672" s="60" t="s">
        <v>1555</v>
      </c>
      <c r="C672" s="114">
        <f t="shared" si="38"/>
        <v>45092</v>
      </c>
      <c r="D672" s="62" t="str">
        <f ca="1" t="shared" si="39"/>
        <v>一年以上</v>
      </c>
      <c r="E672" s="115">
        <v>45092</v>
      </c>
      <c r="F672" s="115" t="s">
        <v>632</v>
      </c>
      <c r="G672" s="132" t="s">
        <v>450</v>
      </c>
      <c r="H672" s="100" t="s">
        <v>1556</v>
      </c>
      <c r="I672" s="60" t="s">
        <v>1556</v>
      </c>
      <c r="J672" s="116">
        <v>10000</v>
      </c>
      <c r="K672" s="105" t="s">
        <v>28</v>
      </c>
      <c r="L672" s="105" t="s">
        <v>73</v>
      </c>
      <c r="M672" s="89" t="s">
        <v>30</v>
      </c>
      <c r="N672" s="117">
        <v>10000</v>
      </c>
      <c r="O672" s="137">
        <f t="shared" si="40"/>
        <v>0</v>
      </c>
      <c r="P672" s="115">
        <v>45114</v>
      </c>
      <c r="Q672" s="61">
        <f t="shared" si="36"/>
        <v>45114</v>
      </c>
      <c r="R672" s="68"/>
      <c r="S672" s="72" t="s">
        <v>1557</v>
      </c>
      <c r="T672" s="105"/>
      <c r="U672" s="68"/>
      <c r="V672" s="68"/>
      <c r="W672" s="68"/>
      <c r="X672" s="68"/>
    </row>
    <row r="673" s="17" customFormat="1" ht="36" spans="1:24">
      <c r="A673" s="59">
        <v>671</v>
      </c>
      <c r="B673" s="60" t="s">
        <v>1558</v>
      </c>
      <c r="C673" s="114">
        <f t="shared" si="38"/>
        <v>45092</v>
      </c>
      <c r="D673" s="62" t="str">
        <f ca="1" t="shared" si="39"/>
        <v>一年以上</v>
      </c>
      <c r="E673" s="115">
        <v>45092</v>
      </c>
      <c r="F673" s="115" t="s">
        <v>632</v>
      </c>
      <c r="G673" s="132" t="s">
        <v>450</v>
      </c>
      <c r="H673" s="100" t="s">
        <v>1556</v>
      </c>
      <c r="I673" s="60" t="s">
        <v>1556</v>
      </c>
      <c r="J673" s="116">
        <v>220</v>
      </c>
      <c r="K673" s="105" t="s">
        <v>28</v>
      </c>
      <c r="L673" s="105" t="s">
        <v>73</v>
      </c>
      <c r="M673" s="89" t="s">
        <v>515</v>
      </c>
      <c r="N673" s="117"/>
      <c r="O673" s="137">
        <f t="shared" si="40"/>
        <v>220</v>
      </c>
      <c r="P673" s="115"/>
      <c r="Q673" s="61">
        <f t="shared" si="36"/>
        <v>0</v>
      </c>
      <c r="R673" s="68"/>
      <c r="S673" s="72" t="s">
        <v>1557</v>
      </c>
      <c r="T673" s="105" t="s">
        <v>720</v>
      </c>
      <c r="U673" s="59" t="str">
        <f>VLOOKUP(T673,[1]区域划分!$A$1:$C$39,3,0)</f>
        <v>杨春龙</v>
      </c>
      <c r="V673" s="68"/>
      <c r="W673" s="68"/>
      <c r="X673" s="68"/>
    </row>
    <row r="674" s="17" customFormat="1" ht="24" hidden="1" spans="1:24">
      <c r="A674" s="59">
        <v>672</v>
      </c>
      <c r="B674" s="60" t="s">
        <v>1559</v>
      </c>
      <c r="C674" s="114">
        <f t="shared" si="38"/>
        <v>45098</v>
      </c>
      <c r="D674" s="62" t="str">
        <f ca="1" t="shared" si="39"/>
        <v>一年以上</v>
      </c>
      <c r="E674" s="115">
        <v>45098</v>
      </c>
      <c r="F674" s="115" t="s">
        <v>632</v>
      </c>
      <c r="G674" s="132" t="s">
        <v>450</v>
      </c>
      <c r="H674" s="100" t="s">
        <v>912</v>
      </c>
      <c r="I674" s="60" t="s">
        <v>912</v>
      </c>
      <c r="J674" s="116">
        <v>6000</v>
      </c>
      <c r="K674" s="105" t="s">
        <v>28</v>
      </c>
      <c r="L674" s="105" t="s">
        <v>73</v>
      </c>
      <c r="M674" s="89" t="s">
        <v>30</v>
      </c>
      <c r="N674" s="117">
        <v>6000</v>
      </c>
      <c r="O674" s="137">
        <f t="shared" si="40"/>
        <v>0</v>
      </c>
      <c r="P674" s="115">
        <v>45106</v>
      </c>
      <c r="Q674" s="61">
        <f t="shared" si="36"/>
        <v>45106</v>
      </c>
      <c r="R674" s="68"/>
      <c r="S674" s="72" t="s">
        <v>1560</v>
      </c>
      <c r="T674" s="105"/>
      <c r="U674" s="68"/>
      <c r="V674" s="68"/>
      <c r="W674" s="68"/>
      <c r="X674" s="68"/>
    </row>
    <row r="675" s="17" customFormat="1" ht="24" spans="1:24">
      <c r="A675" s="59">
        <v>673</v>
      </c>
      <c r="B675" s="60" t="s">
        <v>1561</v>
      </c>
      <c r="C675" s="114">
        <f t="shared" si="38"/>
        <v>45098</v>
      </c>
      <c r="D675" s="62" t="str">
        <f ca="1" t="shared" si="39"/>
        <v>一年以上</v>
      </c>
      <c r="E675" s="115">
        <v>45098</v>
      </c>
      <c r="F675" s="115" t="s">
        <v>632</v>
      </c>
      <c r="G675" s="132" t="s">
        <v>450</v>
      </c>
      <c r="H675" s="100" t="s">
        <v>912</v>
      </c>
      <c r="I675" s="60" t="s">
        <v>912</v>
      </c>
      <c r="J675" s="116">
        <v>200</v>
      </c>
      <c r="K675" s="105" t="s">
        <v>28</v>
      </c>
      <c r="L675" s="105" t="s">
        <v>73</v>
      </c>
      <c r="M675" s="89" t="s">
        <v>515</v>
      </c>
      <c r="N675" s="117"/>
      <c r="O675" s="224">
        <f t="shared" si="40"/>
        <v>200</v>
      </c>
      <c r="P675" s="115"/>
      <c r="Q675" s="61">
        <f t="shared" si="36"/>
        <v>0</v>
      </c>
      <c r="R675" s="68"/>
      <c r="S675" s="72" t="s">
        <v>1560</v>
      </c>
      <c r="T675" s="105" t="s">
        <v>581</v>
      </c>
      <c r="U675" s="59" t="str">
        <f>VLOOKUP(T675,[1]区域划分!$A$1:$C$39,3,0)</f>
        <v>新疆</v>
      </c>
      <c r="V675" s="68"/>
      <c r="W675" s="68"/>
      <c r="X675" s="68"/>
    </row>
    <row r="676" s="17" customFormat="1" ht="24" spans="1:24">
      <c r="A676" s="59">
        <v>674</v>
      </c>
      <c r="B676" s="60" t="s">
        <v>1562</v>
      </c>
      <c r="C676" s="114">
        <f t="shared" si="38"/>
        <v>45098</v>
      </c>
      <c r="D676" s="62" t="str">
        <f ca="1" t="shared" si="39"/>
        <v>一年以上</v>
      </c>
      <c r="E676" s="115">
        <v>45098</v>
      </c>
      <c r="F676" s="115" t="s">
        <v>70</v>
      </c>
      <c r="G676" s="132" t="s">
        <v>1563</v>
      </c>
      <c r="H676" s="100" t="s">
        <v>578</v>
      </c>
      <c r="I676" s="60" t="s">
        <v>578</v>
      </c>
      <c r="J676" s="116">
        <v>10000</v>
      </c>
      <c r="K676" s="105" t="s">
        <v>28</v>
      </c>
      <c r="L676" s="105" t="s">
        <v>73</v>
      </c>
      <c r="M676" s="89" t="s">
        <v>65</v>
      </c>
      <c r="N676" s="117"/>
      <c r="O676" s="138">
        <f t="shared" si="40"/>
        <v>10000</v>
      </c>
      <c r="P676" s="115"/>
      <c r="Q676" s="61">
        <f t="shared" si="36"/>
        <v>0</v>
      </c>
      <c r="R676" s="68"/>
      <c r="S676" s="72" t="s">
        <v>1564</v>
      </c>
      <c r="T676" s="105" t="s">
        <v>581</v>
      </c>
      <c r="U676" s="59" t="str">
        <f>VLOOKUP(T676,[1]区域划分!$A$1:$C$39,3,0)</f>
        <v>新疆</v>
      </c>
      <c r="V676" s="68"/>
      <c r="W676" s="68"/>
      <c r="X676" s="68"/>
    </row>
    <row r="677" s="17" customFormat="1" ht="24" hidden="1" spans="1:24">
      <c r="A677" s="59">
        <v>675</v>
      </c>
      <c r="B677" s="60" t="s">
        <v>1565</v>
      </c>
      <c r="C677" s="114">
        <f t="shared" si="38"/>
        <v>45103</v>
      </c>
      <c r="D677" s="62" t="str">
        <f ca="1" t="shared" si="39"/>
        <v>一年以上</v>
      </c>
      <c r="E677" s="115">
        <v>45103</v>
      </c>
      <c r="F677" s="115" t="s">
        <v>632</v>
      </c>
      <c r="G677" s="132" t="s">
        <v>450</v>
      </c>
      <c r="H677" s="100" t="s">
        <v>1505</v>
      </c>
      <c r="I677" s="60" t="s">
        <v>1505</v>
      </c>
      <c r="J677" s="116">
        <v>2000</v>
      </c>
      <c r="K677" s="105" t="s">
        <v>28</v>
      </c>
      <c r="L677" s="105" t="s">
        <v>73</v>
      </c>
      <c r="M677" s="89" t="s">
        <v>30</v>
      </c>
      <c r="N677" s="117">
        <v>2000</v>
      </c>
      <c r="O677" s="137">
        <f t="shared" si="40"/>
        <v>0</v>
      </c>
      <c r="P677" s="115">
        <v>45268</v>
      </c>
      <c r="Q677" s="61">
        <f t="shared" si="36"/>
        <v>45268</v>
      </c>
      <c r="R677" s="68" t="s">
        <v>1544</v>
      </c>
      <c r="S677" s="72" t="s">
        <v>1566</v>
      </c>
      <c r="T677" s="105" t="s">
        <v>720</v>
      </c>
      <c r="U677" s="59" t="str">
        <f>VLOOKUP(T677,[1]区域划分!$A$1:$C$39,3,0)</f>
        <v>杨春龙</v>
      </c>
      <c r="V677" s="68"/>
      <c r="W677" s="68"/>
      <c r="X677" s="68"/>
    </row>
    <row r="678" s="17" customFormat="1" ht="36" hidden="1" spans="1:24">
      <c r="A678" s="59">
        <v>676</v>
      </c>
      <c r="B678" s="60" t="s">
        <v>1567</v>
      </c>
      <c r="C678" s="114">
        <v>45078</v>
      </c>
      <c r="D678" s="62" t="str">
        <f ca="1" t="shared" si="39"/>
        <v>一年以上</v>
      </c>
      <c r="E678" s="115">
        <v>45103</v>
      </c>
      <c r="F678" s="115" t="s">
        <v>632</v>
      </c>
      <c r="G678" s="132" t="s">
        <v>450</v>
      </c>
      <c r="H678" s="100" t="s">
        <v>1568</v>
      </c>
      <c r="I678" s="60" t="s">
        <v>1569</v>
      </c>
      <c r="J678" s="116">
        <v>20000</v>
      </c>
      <c r="K678" s="105" t="s">
        <v>28</v>
      </c>
      <c r="L678" s="105" t="s">
        <v>73</v>
      </c>
      <c r="M678" s="89" t="s">
        <v>30</v>
      </c>
      <c r="N678" s="117">
        <v>20000</v>
      </c>
      <c r="O678" s="137">
        <f t="shared" si="40"/>
        <v>0</v>
      </c>
      <c r="P678" s="115">
        <v>45119</v>
      </c>
      <c r="Q678" s="61">
        <f t="shared" si="36"/>
        <v>45119</v>
      </c>
      <c r="R678" s="68"/>
      <c r="S678" s="72" t="s">
        <v>1570</v>
      </c>
      <c r="T678" s="105"/>
      <c r="U678" s="68"/>
      <c r="V678" s="68"/>
      <c r="W678" s="68"/>
      <c r="X678" s="68"/>
    </row>
    <row r="679" s="17" customFormat="1" ht="24" hidden="1" spans="1:24">
      <c r="A679" s="59">
        <v>677</v>
      </c>
      <c r="B679" s="60" t="s">
        <v>1571</v>
      </c>
      <c r="C679" s="114">
        <f>E679</f>
        <v>45105</v>
      </c>
      <c r="D679" s="62" t="str">
        <f ca="1" t="shared" si="39"/>
        <v>一年以上</v>
      </c>
      <c r="E679" s="115">
        <v>45105</v>
      </c>
      <c r="F679" s="115" t="s">
        <v>70</v>
      </c>
      <c r="G679" s="132" t="s">
        <v>434</v>
      </c>
      <c r="H679" s="100" t="s">
        <v>605</v>
      </c>
      <c r="I679" s="60" t="s">
        <v>605</v>
      </c>
      <c r="J679" s="116">
        <v>2750</v>
      </c>
      <c r="K679" s="105" t="s">
        <v>28</v>
      </c>
      <c r="L679" s="105" t="s">
        <v>73</v>
      </c>
      <c r="M679" s="89" t="s">
        <v>65</v>
      </c>
      <c r="N679" s="117">
        <v>2750</v>
      </c>
      <c r="O679" s="137">
        <f t="shared" si="40"/>
        <v>0</v>
      </c>
      <c r="P679" s="115">
        <v>45176</v>
      </c>
      <c r="Q679" s="61">
        <f t="shared" si="36"/>
        <v>45176</v>
      </c>
      <c r="R679" s="68"/>
      <c r="S679" s="72" t="s">
        <v>1000</v>
      </c>
      <c r="T679" s="105"/>
      <c r="U679" s="68"/>
      <c r="V679" s="68"/>
      <c r="W679" s="68"/>
      <c r="X679" s="68"/>
    </row>
    <row r="680" s="17" customFormat="1" ht="24" hidden="1" spans="1:24">
      <c r="A680" s="59">
        <v>678</v>
      </c>
      <c r="B680" s="60" t="s">
        <v>1572</v>
      </c>
      <c r="C680" s="114">
        <v>45078</v>
      </c>
      <c r="D680" s="62" t="str">
        <f ca="1" t="shared" si="39"/>
        <v>一年以上</v>
      </c>
      <c r="E680" s="115">
        <v>45109</v>
      </c>
      <c r="F680" s="115" t="s">
        <v>632</v>
      </c>
      <c r="G680" s="132" t="s">
        <v>450</v>
      </c>
      <c r="H680" s="100" t="s">
        <v>188</v>
      </c>
      <c r="I680" s="60" t="s">
        <v>188</v>
      </c>
      <c r="J680" s="116">
        <v>10000</v>
      </c>
      <c r="K680" s="105" t="s">
        <v>28</v>
      </c>
      <c r="L680" s="105" t="s">
        <v>73</v>
      </c>
      <c r="M680" s="89" t="s">
        <v>30</v>
      </c>
      <c r="N680" s="117">
        <v>10000</v>
      </c>
      <c r="O680" s="137">
        <f t="shared" si="40"/>
        <v>0</v>
      </c>
      <c r="P680" s="115">
        <v>45156</v>
      </c>
      <c r="Q680" s="61">
        <f t="shared" si="36"/>
        <v>45156</v>
      </c>
      <c r="R680" s="68"/>
      <c r="S680" s="72" t="s">
        <v>1573</v>
      </c>
      <c r="T680" s="105"/>
      <c r="U680" s="68"/>
      <c r="V680" s="68"/>
      <c r="W680" s="68"/>
      <c r="X680" s="68"/>
    </row>
    <row r="681" s="17" customFormat="1" ht="24" spans="1:24">
      <c r="A681" s="59">
        <v>679</v>
      </c>
      <c r="B681" s="60" t="s">
        <v>1574</v>
      </c>
      <c r="C681" s="114">
        <f t="shared" ref="C681:C743" si="41">E681</f>
        <v>45112</v>
      </c>
      <c r="D681" s="62" t="str">
        <f ca="1" t="shared" si="39"/>
        <v>一年以上</v>
      </c>
      <c r="E681" s="115">
        <v>45112</v>
      </c>
      <c r="F681" s="115" t="s">
        <v>632</v>
      </c>
      <c r="G681" s="132" t="s">
        <v>993</v>
      </c>
      <c r="H681" s="100" t="s">
        <v>1290</v>
      </c>
      <c r="I681" s="60" t="s">
        <v>1290</v>
      </c>
      <c r="J681" s="116">
        <v>500</v>
      </c>
      <c r="K681" s="105" t="s">
        <v>28</v>
      </c>
      <c r="L681" s="105" t="s">
        <v>73</v>
      </c>
      <c r="M681" s="89" t="s">
        <v>515</v>
      </c>
      <c r="N681" s="117"/>
      <c r="O681" s="137">
        <f t="shared" si="40"/>
        <v>500</v>
      </c>
      <c r="P681" s="115"/>
      <c r="Q681" s="61">
        <f t="shared" si="36"/>
        <v>0</v>
      </c>
      <c r="R681" s="68"/>
      <c r="S681" s="72" t="s">
        <v>1575</v>
      </c>
      <c r="T681" s="105" t="s">
        <v>311</v>
      </c>
      <c r="U681" s="59" t="str">
        <f>VLOOKUP(T681,[1]区域划分!$A$1:$C$39,3,0)</f>
        <v>牛国庆</v>
      </c>
      <c r="V681" s="68"/>
      <c r="W681" s="68"/>
      <c r="X681" s="68"/>
    </row>
    <row r="682" s="17" customFormat="1" hidden="1" spans="1:24">
      <c r="A682" s="59">
        <v>680</v>
      </c>
      <c r="B682" s="60" t="s">
        <v>1576</v>
      </c>
      <c r="C682" s="114">
        <f t="shared" si="41"/>
        <v>45112</v>
      </c>
      <c r="D682" s="62" t="str">
        <f ca="1" t="shared" si="39"/>
        <v>一年以上</v>
      </c>
      <c r="E682" s="115">
        <v>45112</v>
      </c>
      <c r="F682" s="115" t="s">
        <v>632</v>
      </c>
      <c r="G682" s="132" t="s">
        <v>993</v>
      </c>
      <c r="H682" s="100" t="s">
        <v>665</v>
      </c>
      <c r="I682" s="60" t="s">
        <v>665</v>
      </c>
      <c r="J682" s="116">
        <v>5000</v>
      </c>
      <c r="K682" s="105" t="s">
        <v>356</v>
      </c>
      <c r="L682" s="105" t="s">
        <v>73</v>
      </c>
      <c r="M682" s="89" t="s">
        <v>30</v>
      </c>
      <c r="N682" s="117">
        <v>5000</v>
      </c>
      <c r="O682" s="137">
        <f t="shared" si="40"/>
        <v>0</v>
      </c>
      <c r="P682" s="115">
        <v>45259</v>
      </c>
      <c r="Q682" s="61">
        <f t="shared" si="36"/>
        <v>45259</v>
      </c>
      <c r="R682" s="68"/>
      <c r="S682" s="72" t="s">
        <v>1577</v>
      </c>
      <c r="T682" s="105" t="s">
        <v>182</v>
      </c>
      <c r="U682" s="59" t="str">
        <f>VLOOKUP(T682,[1]区域划分!$A$1:$C$39,3,0)</f>
        <v>汪瑞青</v>
      </c>
      <c r="V682" s="68"/>
      <c r="W682" s="68"/>
      <c r="X682" s="68"/>
    </row>
    <row r="683" s="17" customFormat="1" ht="24" hidden="1" spans="1:24">
      <c r="A683" s="59">
        <v>681</v>
      </c>
      <c r="B683" s="60" t="s">
        <v>1578</v>
      </c>
      <c r="C683" s="114">
        <f t="shared" si="41"/>
        <v>45114</v>
      </c>
      <c r="D683" s="62" t="str">
        <f ca="1" t="shared" si="39"/>
        <v>一年以上</v>
      </c>
      <c r="E683" s="115">
        <v>45114</v>
      </c>
      <c r="F683" s="115" t="s">
        <v>632</v>
      </c>
      <c r="G683" s="132" t="s">
        <v>450</v>
      </c>
      <c r="H683" s="100" t="s">
        <v>325</v>
      </c>
      <c r="I683" s="60" t="s">
        <v>325</v>
      </c>
      <c r="J683" s="116">
        <v>2000</v>
      </c>
      <c r="K683" s="105" t="s">
        <v>356</v>
      </c>
      <c r="L683" s="105" t="s">
        <v>73</v>
      </c>
      <c r="M683" s="89" t="s">
        <v>30</v>
      </c>
      <c r="N683" s="117">
        <v>2000</v>
      </c>
      <c r="O683" s="137">
        <f t="shared" si="40"/>
        <v>0</v>
      </c>
      <c r="P683" s="115">
        <v>45169</v>
      </c>
      <c r="Q683" s="61">
        <f t="shared" si="36"/>
        <v>45169</v>
      </c>
      <c r="R683" s="68"/>
      <c r="S683" s="72" t="s">
        <v>1579</v>
      </c>
      <c r="T683" s="105"/>
      <c r="U683" s="68"/>
      <c r="V683" s="68"/>
      <c r="W683" s="68"/>
      <c r="X683" s="68"/>
    </row>
    <row r="684" s="17" customFormat="1" ht="24" spans="1:24">
      <c r="A684" s="59">
        <v>682</v>
      </c>
      <c r="B684" s="60" t="s">
        <v>1580</v>
      </c>
      <c r="C684" s="114">
        <f t="shared" si="41"/>
        <v>45114</v>
      </c>
      <c r="D684" s="62" t="str">
        <f ca="1" t="shared" si="39"/>
        <v>一年以上</v>
      </c>
      <c r="E684" s="115">
        <v>45114</v>
      </c>
      <c r="F684" s="115" t="s">
        <v>632</v>
      </c>
      <c r="G684" s="132" t="s">
        <v>450</v>
      </c>
      <c r="H684" s="100" t="s">
        <v>1259</v>
      </c>
      <c r="I684" s="60" t="s">
        <v>1259</v>
      </c>
      <c r="J684" s="116">
        <v>5000</v>
      </c>
      <c r="K684" s="105" t="s">
        <v>28</v>
      </c>
      <c r="L684" s="105" t="s">
        <v>73</v>
      </c>
      <c r="M684" s="89" t="s">
        <v>30</v>
      </c>
      <c r="N684" s="117">
        <v>3000</v>
      </c>
      <c r="O684" s="137">
        <f t="shared" si="40"/>
        <v>2000</v>
      </c>
      <c r="P684" s="115">
        <v>45138</v>
      </c>
      <c r="Q684" s="61">
        <f t="shared" si="36"/>
        <v>45138</v>
      </c>
      <c r="R684" s="68" t="s">
        <v>1581</v>
      </c>
      <c r="S684" s="147" t="s">
        <v>2659</v>
      </c>
      <c r="T684" s="105" t="s">
        <v>32</v>
      </c>
      <c r="U684" s="59" t="str">
        <f>VLOOKUP(T684,[1]区域划分!$A$1:$C$39,3,0)</f>
        <v>方渊</v>
      </c>
      <c r="V684" s="68"/>
      <c r="W684" s="68"/>
      <c r="X684" s="68"/>
    </row>
    <row r="685" s="17" customFormat="1" ht="24" hidden="1" spans="1:24">
      <c r="A685" s="59">
        <v>685</v>
      </c>
      <c r="B685" s="60" t="s">
        <v>1583</v>
      </c>
      <c r="C685" s="114">
        <f t="shared" si="41"/>
        <v>45124</v>
      </c>
      <c r="D685" s="62" t="str">
        <f ca="1" t="shared" si="39"/>
        <v>一年以上</v>
      </c>
      <c r="E685" s="115">
        <v>45124</v>
      </c>
      <c r="F685" s="115" t="s">
        <v>70</v>
      </c>
      <c r="G685" s="132" t="s">
        <v>146</v>
      </c>
      <c r="H685" s="100" t="s">
        <v>517</v>
      </c>
      <c r="I685" s="60" t="s">
        <v>517</v>
      </c>
      <c r="J685" s="116">
        <v>2000</v>
      </c>
      <c r="K685" s="105" t="s">
        <v>28</v>
      </c>
      <c r="L685" s="105" t="s">
        <v>73</v>
      </c>
      <c r="M685" s="89" t="s">
        <v>65</v>
      </c>
      <c r="N685" s="117">
        <v>2000</v>
      </c>
      <c r="O685" s="137">
        <f t="shared" si="40"/>
        <v>0</v>
      </c>
      <c r="P685" s="115">
        <v>45138</v>
      </c>
      <c r="Q685" s="61">
        <f t="shared" si="36"/>
        <v>45138</v>
      </c>
      <c r="R685" s="68"/>
      <c r="S685" s="68" t="s">
        <v>1584</v>
      </c>
      <c r="T685" s="105"/>
      <c r="U685" s="68"/>
      <c r="V685" s="68"/>
      <c r="W685" s="68"/>
      <c r="X685" s="68"/>
    </row>
    <row r="686" s="17" customFormat="1" ht="24" hidden="1" spans="1:24">
      <c r="A686" s="59">
        <v>686</v>
      </c>
      <c r="B686" s="60" t="s">
        <v>1585</v>
      </c>
      <c r="C686" s="114">
        <f t="shared" si="41"/>
        <v>45124</v>
      </c>
      <c r="D686" s="62" t="str">
        <f ca="1" t="shared" si="39"/>
        <v>一年以上</v>
      </c>
      <c r="E686" s="115">
        <v>45124</v>
      </c>
      <c r="F686" s="115" t="s">
        <v>632</v>
      </c>
      <c r="G686" s="132" t="s">
        <v>450</v>
      </c>
      <c r="H686" s="100" t="s">
        <v>1586</v>
      </c>
      <c r="I686" s="60" t="s">
        <v>1586</v>
      </c>
      <c r="J686" s="116">
        <v>5000</v>
      </c>
      <c r="K686" s="105" t="s">
        <v>28</v>
      </c>
      <c r="L686" s="105" t="s">
        <v>73</v>
      </c>
      <c r="M686" s="89" t="s">
        <v>30</v>
      </c>
      <c r="N686" s="117">
        <v>5000</v>
      </c>
      <c r="O686" s="137">
        <f t="shared" si="40"/>
        <v>0</v>
      </c>
      <c r="P686" s="115">
        <v>45238</v>
      </c>
      <c r="Q686" s="61">
        <f t="shared" si="36"/>
        <v>45238</v>
      </c>
      <c r="R686" s="68"/>
      <c r="S686" s="148" t="s">
        <v>1587</v>
      </c>
      <c r="T686" s="105"/>
      <c r="U686" s="68"/>
      <c r="V686" s="68"/>
      <c r="W686" s="68"/>
      <c r="X686" s="68"/>
    </row>
    <row r="687" s="17" customFormat="1" hidden="1" spans="1:24">
      <c r="A687" s="59">
        <v>683</v>
      </c>
      <c r="B687" s="60" t="s">
        <v>1588</v>
      </c>
      <c r="C687" s="114">
        <f t="shared" si="41"/>
        <v>45126</v>
      </c>
      <c r="D687" s="62" t="str">
        <f ca="1" t="shared" si="39"/>
        <v>一年以上</v>
      </c>
      <c r="E687" s="115">
        <v>45126</v>
      </c>
      <c r="F687" s="115" t="s">
        <v>70</v>
      </c>
      <c r="G687" s="132" t="s">
        <v>1515</v>
      </c>
      <c r="H687" s="100" t="s">
        <v>341</v>
      </c>
      <c r="I687" s="60" t="s">
        <v>341</v>
      </c>
      <c r="J687" s="116">
        <v>1000</v>
      </c>
      <c r="K687" s="105" t="s">
        <v>28</v>
      </c>
      <c r="L687" s="105" t="s">
        <v>73</v>
      </c>
      <c r="M687" s="89" t="s">
        <v>65</v>
      </c>
      <c r="N687" s="117">
        <v>1000</v>
      </c>
      <c r="O687" s="138">
        <f t="shared" si="40"/>
        <v>0</v>
      </c>
      <c r="P687" s="144">
        <v>45405</v>
      </c>
      <c r="Q687" s="61">
        <f t="shared" si="36"/>
        <v>45405</v>
      </c>
      <c r="R687" s="68"/>
      <c r="S687" s="68" t="s">
        <v>1589</v>
      </c>
      <c r="T687" s="105" t="s">
        <v>86</v>
      </c>
      <c r="U687" s="59" t="str">
        <f>VLOOKUP(T687,[1]区域划分!$A$1:$C$39,3,0)</f>
        <v>朱利勇</v>
      </c>
      <c r="V687" s="68"/>
      <c r="W687" s="68"/>
      <c r="X687" s="68"/>
    </row>
    <row r="688" s="17" customFormat="1" ht="24" hidden="1" spans="1:24">
      <c r="A688" s="59">
        <v>684</v>
      </c>
      <c r="B688" s="60" t="s">
        <v>1590</v>
      </c>
      <c r="C688" s="114">
        <f t="shared" si="41"/>
        <v>45126</v>
      </c>
      <c r="D688" s="62" t="str">
        <f ca="1" t="shared" si="39"/>
        <v>一年以上</v>
      </c>
      <c r="E688" s="115">
        <v>45126</v>
      </c>
      <c r="F688" s="115" t="s">
        <v>70</v>
      </c>
      <c r="G688" s="132" t="s">
        <v>1591</v>
      </c>
      <c r="H688" s="100" t="s">
        <v>115</v>
      </c>
      <c r="I688" s="60" t="s">
        <v>115</v>
      </c>
      <c r="J688" s="116">
        <v>2000</v>
      </c>
      <c r="K688" s="105" t="s">
        <v>356</v>
      </c>
      <c r="L688" s="105" t="s">
        <v>73</v>
      </c>
      <c r="M688" s="89" t="s">
        <v>65</v>
      </c>
      <c r="N688" s="117">
        <v>2000</v>
      </c>
      <c r="O688" s="137">
        <f t="shared" si="40"/>
        <v>0</v>
      </c>
      <c r="P688" s="115">
        <v>45222</v>
      </c>
      <c r="Q688" s="61">
        <f t="shared" si="36"/>
        <v>45222</v>
      </c>
      <c r="R688" s="68"/>
      <c r="S688" s="68" t="s">
        <v>1592</v>
      </c>
      <c r="T688" s="105"/>
      <c r="U688" s="68"/>
      <c r="V688" s="68"/>
      <c r="W688" s="68"/>
      <c r="X688" s="68"/>
    </row>
    <row r="689" s="17" customFormat="1" hidden="1" spans="1:24">
      <c r="A689" s="59">
        <v>687</v>
      </c>
      <c r="B689" s="60" t="s">
        <v>1593</v>
      </c>
      <c r="C689" s="114">
        <f t="shared" si="41"/>
        <v>45134</v>
      </c>
      <c r="D689" s="62" t="str">
        <f ca="1" t="shared" si="39"/>
        <v>一年以上</v>
      </c>
      <c r="E689" s="115">
        <v>45134</v>
      </c>
      <c r="F689" s="115" t="s">
        <v>70</v>
      </c>
      <c r="G689" s="132" t="s">
        <v>1515</v>
      </c>
      <c r="H689" s="100" t="s">
        <v>863</v>
      </c>
      <c r="I689" s="60" t="s">
        <v>863</v>
      </c>
      <c r="J689" s="116">
        <f>7550+450</f>
        <v>8000</v>
      </c>
      <c r="K689" s="105" t="s">
        <v>28</v>
      </c>
      <c r="L689" s="105" t="s">
        <v>73</v>
      </c>
      <c r="M689" s="89" t="s">
        <v>65</v>
      </c>
      <c r="N689" s="117">
        <v>8000</v>
      </c>
      <c r="O689" s="137">
        <f t="shared" si="40"/>
        <v>0</v>
      </c>
      <c r="P689" s="115">
        <v>45286</v>
      </c>
      <c r="Q689" s="61">
        <f t="shared" si="36"/>
        <v>45286</v>
      </c>
      <c r="R689" s="68"/>
      <c r="S689" s="60" t="s">
        <v>1594</v>
      </c>
      <c r="T689" s="105" t="s">
        <v>972</v>
      </c>
      <c r="U689" s="59" t="str">
        <f>VLOOKUP(T689,[1]区域划分!$A$1:$C$39,3,0)</f>
        <v>曾江利</v>
      </c>
      <c r="V689" s="68"/>
      <c r="W689" s="68"/>
      <c r="X689" s="68"/>
    </row>
    <row r="690" s="17" customFormat="1" ht="48" hidden="1" spans="1:24">
      <c r="A690" s="59">
        <v>688</v>
      </c>
      <c r="B690" s="60" t="s">
        <v>1595</v>
      </c>
      <c r="C690" s="114">
        <f t="shared" si="41"/>
        <v>45142</v>
      </c>
      <c r="D690" s="62" t="str">
        <f ca="1" t="shared" si="39"/>
        <v>一年以上</v>
      </c>
      <c r="E690" s="115">
        <v>45142</v>
      </c>
      <c r="F690" s="115" t="s">
        <v>130</v>
      </c>
      <c r="G690" s="132" t="s">
        <v>1596</v>
      </c>
      <c r="H690" s="100" t="s">
        <v>863</v>
      </c>
      <c r="I690" s="60" t="s">
        <v>863</v>
      </c>
      <c r="J690" s="116">
        <v>15490</v>
      </c>
      <c r="K690" s="105" t="s">
        <v>28</v>
      </c>
      <c r="L690" s="105" t="s">
        <v>73</v>
      </c>
      <c r="M690" s="89" t="s">
        <v>133</v>
      </c>
      <c r="N690" s="117">
        <v>15490</v>
      </c>
      <c r="O690" s="137">
        <f t="shared" si="40"/>
        <v>0</v>
      </c>
      <c r="P690" s="115">
        <v>45230</v>
      </c>
      <c r="Q690" s="61">
        <f t="shared" si="36"/>
        <v>45230</v>
      </c>
      <c r="R690" s="72" t="s">
        <v>1077</v>
      </c>
      <c r="S690" s="72" t="s">
        <v>1597</v>
      </c>
      <c r="T690" s="105"/>
      <c r="U690" s="68"/>
      <c r="V690" s="68"/>
      <c r="W690" s="68"/>
      <c r="X690" s="68"/>
    </row>
    <row r="691" s="17" customFormat="1" ht="48" hidden="1" spans="1:24">
      <c r="A691" s="59">
        <v>689</v>
      </c>
      <c r="B691" s="60" t="s">
        <v>1598</v>
      </c>
      <c r="C691" s="114">
        <f t="shared" si="41"/>
        <v>45142</v>
      </c>
      <c r="D691" s="62" t="str">
        <f ca="1" t="shared" si="39"/>
        <v>一年以上</v>
      </c>
      <c r="E691" s="115">
        <v>45142</v>
      </c>
      <c r="F691" s="115" t="s">
        <v>130</v>
      </c>
      <c r="G691" s="132" t="s">
        <v>1596</v>
      </c>
      <c r="H691" s="100" t="s">
        <v>863</v>
      </c>
      <c r="I691" s="60" t="s">
        <v>863</v>
      </c>
      <c r="J691" s="116">
        <v>6000</v>
      </c>
      <c r="K691" s="105" t="s">
        <v>28</v>
      </c>
      <c r="L691" s="105" t="s">
        <v>73</v>
      </c>
      <c r="M691" s="89" t="s">
        <v>133</v>
      </c>
      <c r="N691" s="117">
        <v>6000</v>
      </c>
      <c r="O691" s="137">
        <f t="shared" si="40"/>
        <v>0</v>
      </c>
      <c r="P691" s="115">
        <v>45230</v>
      </c>
      <c r="Q691" s="61">
        <f t="shared" si="36"/>
        <v>45230</v>
      </c>
      <c r="R691" s="72" t="s">
        <v>1077</v>
      </c>
      <c r="S691" s="72" t="s">
        <v>1599</v>
      </c>
      <c r="T691" s="105"/>
      <c r="U691" s="68"/>
      <c r="V691" s="68"/>
      <c r="W691" s="68"/>
      <c r="X691" s="68"/>
    </row>
    <row r="692" s="17" customFormat="1" ht="98" hidden="1" customHeight="1" spans="1:24">
      <c r="A692" s="59">
        <v>690</v>
      </c>
      <c r="B692" s="60" t="s">
        <v>1600</v>
      </c>
      <c r="C692" s="114">
        <f t="shared" si="41"/>
        <v>45145</v>
      </c>
      <c r="D692" s="62" t="str">
        <f ca="1" t="shared" si="39"/>
        <v>一年以上</v>
      </c>
      <c r="E692" s="115">
        <v>45145</v>
      </c>
      <c r="F692" s="115" t="s">
        <v>70</v>
      </c>
      <c r="G692" s="132" t="s">
        <v>1591</v>
      </c>
      <c r="H692" s="100" t="s">
        <v>863</v>
      </c>
      <c r="I692" s="60" t="s">
        <v>863</v>
      </c>
      <c r="J692" s="116">
        <v>46000</v>
      </c>
      <c r="K692" s="105" t="s">
        <v>28</v>
      </c>
      <c r="L692" s="136" t="s">
        <v>73</v>
      </c>
      <c r="M692" s="89" t="s">
        <v>65</v>
      </c>
      <c r="N692" s="104">
        <v>46000</v>
      </c>
      <c r="O692" s="137">
        <f t="shared" si="40"/>
        <v>0</v>
      </c>
      <c r="P692" s="115">
        <v>45315</v>
      </c>
      <c r="Q692" s="61">
        <f t="shared" si="36"/>
        <v>45315</v>
      </c>
      <c r="R692" s="68"/>
      <c r="S692" s="60" t="s">
        <v>1601</v>
      </c>
      <c r="T692" s="105" t="s">
        <v>972</v>
      </c>
      <c r="U692" s="59" t="str">
        <f>VLOOKUP(T692,[1]区域划分!$A$1:$C$39,3,0)</f>
        <v>曾江利</v>
      </c>
      <c r="V692" s="68"/>
      <c r="W692" s="68"/>
      <c r="X692" s="68"/>
    </row>
    <row r="693" s="17" customFormat="1" ht="15" customHeight="1" spans="1:24">
      <c r="A693" s="59">
        <v>691</v>
      </c>
      <c r="B693" s="60" t="s">
        <v>1602</v>
      </c>
      <c r="C693" s="114">
        <f t="shared" si="41"/>
        <v>45145</v>
      </c>
      <c r="D693" s="62" t="str">
        <f ca="1" t="shared" si="39"/>
        <v>一年以上</v>
      </c>
      <c r="E693" s="115">
        <v>45145</v>
      </c>
      <c r="F693" s="115" t="s">
        <v>632</v>
      </c>
      <c r="G693" s="132" t="s">
        <v>993</v>
      </c>
      <c r="H693" s="100" t="s">
        <v>1101</v>
      </c>
      <c r="I693" s="60" t="s">
        <v>1101</v>
      </c>
      <c r="J693" s="116">
        <v>4000</v>
      </c>
      <c r="K693" s="105" t="s">
        <v>356</v>
      </c>
      <c r="L693" s="105" t="s">
        <v>73</v>
      </c>
      <c r="M693" s="89" t="s">
        <v>30</v>
      </c>
      <c r="N693" s="117"/>
      <c r="O693" s="138">
        <f t="shared" si="40"/>
        <v>4000</v>
      </c>
      <c r="P693" s="115"/>
      <c r="Q693" s="61">
        <f t="shared" si="36"/>
        <v>0</v>
      </c>
      <c r="R693" s="68"/>
      <c r="S693" s="68" t="s">
        <v>1604</v>
      </c>
      <c r="T693" s="105" t="s">
        <v>388</v>
      </c>
      <c r="U693" s="59" t="str">
        <f>VLOOKUP(T693,[1]区域划分!$A$1:$C$39,3,0)</f>
        <v>林维</v>
      </c>
      <c r="V693" s="68"/>
      <c r="W693" s="68"/>
      <c r="X693" s="68"/>
    </row>
    <row r="694" s="17" customFormat="1" ht="60" hidden="1" spans="1:24">
      <c r="A694" s="59">
        <v>693</v>
      </c>
      <c r="B694" s="60" t="s">
        <v>1605</v>
      </c>
      <c r="C694" s="114">
        <f t="shared" si="41"/>
        <v>45148</v>
      </c>
      <c r="D694" s="62" t="str">
        <f ca="1" t="shared" si="39"/>
        <v>一年以上</v>
      </c>
      <c r="E694" s="115">
        <v>45148</v>
      </c>
      <c r="F694" s="115" t="s">
        <v>70</v>
      </c>
      <c r="G694" s="132" t="s">
        <v>1591</v>
      </c>
      <c r="H694" s="100" t="s">
        <v>863</v>
      </c>
      <c r="I694" s="60" t="s">
        <v>863</v>
      </c>
      <c r="J694" s="116">
        <v>26000</v>
      </c>
      <c r="K694" s="105" t="s">
        <v>28</v>
      </c>
      <c r="L694" s="105" t="s">
        <v>73</v>
      </c>
      <c r="M694" s="89" t="s">
        <v>65</v>
      </c>
      <c r="N694" s="117">
        <v>26000</v>
      </c>
      <c r="O694" s="137">
        <f t="shared" si="40"/>
        <v>0</v>
      </c>
      <c r="P694" s="115">
        <v>45286</v>
      </c>
      <c r="Q694" s="61">
        <f t="shared" si="36"/>
        <v>45286</v>
      </c>
      <c r="R694" s="68"/>
      <c r="S694" s="72" t="s">
        <v>1606</v>
      </c>
      <c r="T694" s="105" t="s">
        <v>972</v>
      </c>
      <c r="U694" s="59" t="str">
        <f>VLOOKUP(T694,[1]区域划分!$A$1:$C$39,3,0)</f>
        <v>曾江利</v>
      </c>
      <c r="V694" s="68"/>
      <c r="W694" s="68"/>
      <c r="X694" s="68"/>
    </row>
    <row r="695" s="17" customFormat="1" ht="24" hidden="1" spans="1:24">
      <c r="A695" s="59">
        <v>694</v>
      </c>
      <c r="B695" s="60" t="s">
        <v>1607</v>
      </c>
      <c r="C695" s="114">
        <f t="shared" si="41"/>
        <v>45153</v>
      </c>
      <c r="D695" s="62" t="str">
        <f ca="1" t="shared" si="39"/>
        <v>一年以上</v>
      </c>
      <c r="E695" s="115">
        <v>45153</v>
      </c>
      <c r="F695" s="115" t="s">
        <v>70</v>
      </c>
      <c r="G695" s="132" t="s">
        <v>1591</v>
      </c>
      <c r="H695" s="100" t="s">
        <v>863</v>
      </c>
      <c r="I695" s="60" t="s">
        <v>863</v>
      </c>
      <c r="J695" s="141">
        <v>14000</v>
      </c>
      <c r="K695" s="105" t="s">
        <v>28</v>
      </c>
      <c r="L695" s="136" t="s">
        <v>73</v>
      </c>
      <c r="M695" s="89" t="s">
        <v>65</v>
      </c>
      <c r="N695" s="104">
        <v>14000</v>
      </c>
      <c r="O695" s="137">
        <f t="shared" si="40"/>
        <v>0</v>
      </c>
      <c r="P695" s="115">
        <v>45345</v>
      </c>
      <c r="Q695" s="61">
        <f t="shared" si="36"/>
        <v>45345</v>
      </c>
      <c r="R695" s="68"/>
      <c r="S695" s="72" t="s">
        <v>1608</v>
      </c>
      <c r="T695" s="105" t="s">
        <v>972</v>
      </c>
      <c r="U695" s="59" t="str">
        <f>VLOOKUP(T695,[1]区域划分!$A$1:$C$39,3,0)</f>
        <v>曾江利</v>
      </c>
      <c r="V695" s="68"/>
      <c r="W695" s="68"/>
      <c r="X695" s="68"/>
    </row>
    <row r="696" s="17" customFormat="1" ht="24" hidden="1" spans="1:24">
      <c r="A696" s="59">
        <v>695</v>
      </c>
      <c r="B696" s="60" t="s">
        <v>1609</v>
      </c>
      <c r="C696" s="114">
        <f t="shared" si="41"/>
        <v>45153</v>
      </c>
      <c r="D696" s="62" t="str">
        <f ca="1" t="shared" si="39"/>
        <v>一年以上</v>
      </c>
      <c r="E696" s="115">
        <v>45153</v>
      </c>
      <c r="F696" s="115" t="s">
        <v>70</v>
      </c>
      <c r="G696" s="132" t="s">
        <v>1591</v>
      </c>
      <c r="H696" s="100" t="s">
        <v>1610</v>
      </c>
      <c r="I696" s="60" t="s">
        <v>1610</v>
      </c>
      <c r="J696" s="116">
        <v>5000</v>
      </c>
      <c r="K696" s="105" t="s">
        <v>28</v>
      </c>
      <c r="L696" s="105" t="s">
        <v>73</v>
      </c>
      <c r="M696" s="89" t="s">
        <v>65</v>
      </c>
      <c r="N696" s="117">
        <v>5000</v>
      </c>
      <c r="O696" s="137">
        <f t="shared" si="40"/>
        <v>0</v>
      </c>
      <c r="P696" s="115">
        <v>45217</v>
      </c>
      <c r="Q696" s="61">
        <f t="shared" si="36"/>
        <v>45217</v>
      </c>
      <c r="R696" s="68"/>
      <c r="S696" s="72" t="s">
        <v>1611</v>
      </c>
      <c r="T696" s="105"/>
      <c r="U696" s="68"/>
      <c r="V696" s="68"/>
      <c r="W696" s="68"/>
      <c r="X696" s="68"/>
    </row>
    <row r="697" s="17" customFormat="1" spans="1:24">
      <c r="A697" s="59">
        <v>696</v>
      </c>
      <c r="B697" s="60" t="s">
        <v>1612</v>
      </c>
      <c r="C697" s="114">
        <f t="shared" si="41"/>
        <v>45166</v>
      </c>
      <c r="D697" s="62" t="str">
        <f ca="1" t="shared" si="39"/>
        <v>一年以上</v>
      </c>
      <c r="E697" s="115">
        <v>45166</v>
      </c>
      <c r="F697" s="115" t="s">
        <v>632</v>
      </c>
      <c r="G697" s="132" t="s">
        <v>450</v>
      </c>
      <c r="H697" s="100" t="s">
        <v>863</v>
      </c>
      <c r="I697" s="60" t="s">
        <v>863</v>
      </c>
      <c r="J697" s="116">
        <v>500</v>
      </c>
      <c r="K697" s="105" t="s">
        <v>28</v>
      </c>
      <c r="L697" s="105" t="s">
        <v>73</v>
      </c>
      <c r="M697" s="89" t="s">
        <v>515</v>
      </c>
      <c r="N697" s="117"/>
      <c r="O697" s="140">
        <f t="shared" si="40"/>
        <v>500</v>
      </c>
      <c r="P697" s="115"/>
      <c r="Q697" s="61">
        <f t="shared" si="36"/>
        <v>0</v>
      </c>
      <c r="R697" s="68"/>
      <c r="S697" s="72" t="s">
        <v>1613</v>
      </c>
      <c r="T697" s="105" t="s">
        <v>972</v>
      </c>
      <c r="U697" s="59" t="str">
        <f>VLOOKUP(T697,[1]区域划分!$A$1:$C$39,3,0)</f>
        <v>曾江利</v>
      </c>
      <c r="V697" s="68"/>
      <c r="W697" s="68"/>
      <c r="X697" s="68"/>
    </row>
    <row r="698" s="17" customFormat="1" spans="1:24">
      <c r="A698" s="59">
        <v>697</v>
      </c>
      <c r="B698" s="60" t="s">
        <v>1614</v>
      </c>
      <c r="C698" s="114">
        <f t="shared" si="41"/>
        <v>45166</v>
      </c>
      <c r="D698" s="62" t="str">
        <f ca="1" t="shared" si="39"/>
        <v>一年以上</v>
      </c>
      <c r="E698" s="115">
        <v>45166</v>
      </c>
      <c r="F698" s="115" t="s">
        <v>632</v>
      </c>
      <c r="G698" s="132" t="s">
        <v>450</v>
      </c>
      <c r="H698" s="100" t="s">
        <v>1615</v>
      </c>
      <c r="I698" s="60" t="s">
        <v>1615</v>
      </c>
      <c r="J698" s="116">
        <v>500</v>
      </c>
      <c r="K698" s="105" t="s">
        <v>28</v>
      </c>
      <c r="L698" s="105" t="s">
        <v>73</v>
      </c>
      <c r="M698" s="89" t="s">
        <v>515</v>
      </c>
      <c r="N698" s="117"/>
      <c r="O698" s="137">
        <f t="shared" si="40"/>
        <v>500</v>
      </c>
      <c r="P698" s="115"/>
      <c r="Q698" s="61">
        <f t="shared" si="36"/>
        <v>0</v>
      </c>
      <c r="R698" s="68"/>
      <c r="S698" s="72" t="s">
        <v>1616</v>
      </c>
      <c r="T698" s="105" t="s">
        <v>32</v>
      </c>
      <c r="U698" s="59" t="str">
        <f>VLOOKUP(T698,[1]区域划分!$A$1:$C$39,3,0)</f>
        <v>方渊</v>
      </c>
      <c r="V698" s="68"/>
      <c r="W698" s="68"/>
      <c r="X698" s="68"/>
    </row>
    <row r="699" s="17" customFormat="1" hidden="1" spans="1:24">
      <c r="A699" s="59">
        <v>698</v>
      </c>
      <c r="B699" s="60" t="s">
        <v>1617</v>
      </c>
      <c r="C699" s="114">
        <f t="shared" si="41"/>
        <v>45167</v>
      </c>
      <c r="D699" s="62" t="str">
        <f ca="1" t="shared" si="39"/>
        <v>一年以上</v>
      </c>
      <c r="E699" s="115">
        <v>45167</v>
      </c>
      <c r="F699" s="115" t="s">
        <v>632</v>
      </c>
      <c r="G699" s="132" t="s">
        <v>1372</v>
      </c>
      <c r="H699" s="100" t="s">
        <v>863</v>
      </c>
      <c r="I699" s="60" t="s">
        <v>863</v>
      </c>
      <c r="J699" s="116">
        <v>3340</v>
      </c>
      <c r="K699" s="105" t="s">
        <v>28</v>
      </c>
      <c r="L699" s="105" t="s">
        <v>73</v>
      </c>
      <c r="M699" s="89" t="s">
        <v>133</v>
      </c>
      <c r="N699" s="117">
        <v>3340</v>
      </c>
      <c r="O699" s="137">
        <f t="shared" si="40"/>
        <v>0</v>
      </c>
      <c r="P699" s="115">
        <v>45230</v>
      </c>
      <c r="Q699" s="61">
        <f t="shared" si="36"/>
        <v>45230</v>
      </c>
      <c r="R699" s="68" t="s">
        <v>1077</v>
      </c>
      <c r="S699" s="72" t="s">
        <v>1618</v>
      </c>
      <c r="T699" s="105"/>
      <c r="U699" s="68"/>
      <c r="V699" s="68"/>
      <c r="W699" s="68"/>
      <c r="X699" s="68"/>
    </row>
    <row r="700" s="17" customFormat="1" ht="24" spans="1:24">
      <c r="A700" s="59">
        <v>699</v>
      </c>
      <c r="B700" s="60" t="s">
        <v>1619</v>
      </c>
      <c r="C700" s="114">
        <f t="shared" si="41"/>
        <v>45172</v>
      </c>
      <c r="D700" s="62" t="str">
        <f ca="1" t="shared" si="39"/>
        <v>一年以上</v>
      </c>
      <c r="E700" s="115">
        <v>45172</v>
      </c>
      <c r="F700" s="115" t="s">
        <v>632</v>
      </c>
      <c r="G700" s="132" t="s">
        <v>1372</v>
      </c>
      <c r="H700" s="100" t="s">
        <v>863</v>
      </c>
      <c r="I700" s="60" t="s">
        <v>863</v>
      </c>
      <c r="J700" s="116">
        <v>500</v>
      </c>
      <c r="K700" s="105" t="s">
        <v>28</v>
      </c>
      <c r="L700" s="105" t="s">
        <v>73</v>
      </c>
      <c r="M700" s="89" t="s">
        <v>515</v>
      </c>
      <c r="N700" s="117"/>
      <c r="O700" s="140">
        <f t="shared" si="40"/>
        <v>500</v>
      </c>
      <c r="P700" s="115"/>
      <c r="Q700" s="61">
        <f t="shared" si="36"/>
        <v>0</v>
      </c>
      <c r="R700" s="68"/>
      <c r="S700" s="72" t="s">
        <v>1620</v>
      </c>
      <c r="T700" s="105" t="s">
        <v>972</v>
      </c>
      <c r="U700" s="59" t="str">
        <f>VLOOKUP(T700,[1]区域划分!$A$1:$C$39,3,0)</f>
        <v>曾江利</v>
      </c>
      <c r="V700" s="68"/>
      <c r="W700" s="68"/>
      <c r="X700" s="68"/>
    </row>
    <row r="701" s="17" customFormat="1" ht="14.25" hidden="1" spans="1:24">
      <c r="A701" s="59">
        <v>700</v>
      </c>
      <c r="B701" s="60" t="s">
        <v>1621</v>
      </c>
      <c r="C701" s="114">
        <f t="shared" si="41"/>
        <v>45173</v>
      </c>
      <c r="D701" s="62" t="str">
        <f ca="1" t="shared" si="39"/>
        <v>一年以上</v>
      </c>
      <c r="E701" s="115">
        <v>45173</v>
      </c>
      <c r="F701" s="61" t="s">
        <v>632</v>
      </c>
      <c r="G701" s="132" t="s">
        <v>450</v>
      </c>
      <c r="H701" s="142" t="s">
        <v>863</v>
      </c>
      <c r="I701" s="60" t="s">
        <v>863</v>
      </c>
      <c r="J701" s="116">
        <v>10000</v>
      </c>
      <c r="K701" s="105" t="s">
        <v>28</v>
      </c>
      <c r="L701" s="105" t="s">
        <v>73</v>
      </c>
      <c r="M701" s="89" t="s">
        <v>30</v>
      </c>
      <c r="N701" s="117">
        <v>10000</v>
      </c>
      <c r="O701" s="137">
        <f t="shared" si="40"/>
        <v>0</v>
      </c>
      <c r="P701" s="115">
        <v>45194</v>
      </c>
      <c r="Q701" s="61">
        <f t="shared" si="36"/>
        <v>45194</v>
      </c>
      <c r="R701" s="68"/>
      <c r="S701" s="148" t="s">
        <v>1622</v>
      </c>
      <c r="T701" s="105"/>
      <c r="U701" s="68"/>
      <c r="V701" s="68"/>
      <c r="W701" s="68"/>
      <c r="X701" s="68"/>
    </row>
    <row r="702" s="17" customFormat="1" hidden="1" spans="1:24">
      <c r="A702" s="59">
        <v>706</v>
      </c>
      <c r="B702" s="60" t="s">
        <v>1623</v>
      </c>
      <c r="C702" s="114">
        <f t="shared" si="41"/>
        <v>45174</v>
      </c>
      <c r="D702" s="62" t="str">
        <f ca="1" t="shared" si="39"/>
        <v>一年以上</v>
      </c>
      <c r="E702" s="115">
        <v>45174</v>
      </c>
      <c r="F702" s="115" t="s">
        <v>632</v>
      </c>
      <c r="G702" s="132" t="s">
        <v>450</v>
      </c>
      <c r="H702" s="100" t="s">
        <v>851</v>
      </c>
      <c r="I702" s="60" t="s">
        <v>851</v>
      </c>
      <c r="J702" s="116">
        <v>100000</v>
      </c>
      <c r="K702" s="105" t="s">
        <v>28</v>
      </c>
      <c r="L702" s="105" t="s">
        <v>73</v>
      </c>
      <c r="M702" s="89" t="s">
        <v>30</v>
      </c>
      <c r="N702" s="117">
        <v>100000</v>
      </c>
      <c r="O702" s="137">
        <f t="shared" si="40"/>
        <v>0</v>
      </c>
      <c r="P702" s="115">
        <v>45184</v>
      </c>
      <c r="Q702" s="61">
        <f t="shared" si="36"/>
        <v>45184</v>
      </c>
      <c r="R702" s="68"/>
      <c r="S702" s="72" t="s">
        <v>1624</v>
      </c>
      <c r="T702" s="105"/>
      <c r="U702" s="68"/>
      <c r="V702" s="68"/>
      <c r="W702" s="68"/>
      <c r="X702" s="68"/>
    </row>
    <row r="703" s="17" customFormat="1" ht="24" hidden="1" spans="1:24">
      <c r="A703" s="59">
        <v>701</v>
      </c>
      <c r="B703" s="60" t="s">
        <v>1625</v>
      </c>
      <c r="C703" s="114">
        <f t="shared" si="41"/>
        <v>45177</v>
      </c>
      <c r="D703" s="62" t="str">
        <f ca="1" t="shared" si="39"/>
        <v>一年以上</v>
      </c>
      <c r="E703" s="115">
        <v>45177</v>
      </c>
      <c r="F703" s="115" t="s">
        <v>70</v>
      </c>
      <c r="G703" s="132" t="s">
        <v>1591</v>
      </c>
      <c r="H703" s="100" t="s">
        <v>291</v>
      </c>
      <c r="I703" s="60" t="s">
        <v>291</v>
      </c>
      <c r="J703" s="116">
        <v>2000</v>
      </c>
      <c r="K703" s="105" t="s">
        <v>356</v>
      </c>
      <c r="L703" s="105" t="s">
        <v>73</v>
      </c>
      <c r="M703" s="89" t="s">
        <v>65</v>
      </c>
      <c r="N703" s="117">
        <v>2000</v>
      </c>
      <c r="O703" s="137">
        <f t="shared" si="40"/>
        <v>0</v>
      </c>
      <c r="P703" s="115">
        <v>45226</v>
      </c>
      <c r="Q703" s="61">
        <f t="shared" si="36"/>
        <v>45226</v>
      </c>
      <c r="R703" s="68"/>
      <c r="S703" s="72" t="s">
        <v>1626</v>
      </c>
      <c r="T703" s="105"/>
      <c r="U703" s="68"/>
      <c r="V703" s="68"/>
      <c r="W703" s="68"/>
      <c r="X703" s="68"/>
    </row>
    <row r="704" s="17" customFormat="1" ht="24" hidden="1" spans="1:24">
      <c r="A704" s="59">
        <v>702</v>
      </c>
      <c r="B704" s="60" t="s">
        <v>1627</v>
      </c>
      <c r="C704" s="114">
        <f t="shared" si="41"/>
        <v>45181</v>
      </c>
      <c r="D704" s="62" t="str">
        <f ca="1" t="shared" si="39"/>
        <v>一年以上</v>
      </c>
      <c r="E704" s="115">
        <v>45181</v>
      </c>
      <c r="F704" s="115" t="s">
        <v>130</v>
      </c>
      <c r="G704" s="132" t="s">
        <v>1372</v>
      </c>
      <c r="H704" s="100" t="s">
        <v>863</v>
      </c>
      <c r="I704" s="60" t="s">
        <v>863</v>
      </c>
      <c r="J704" s="116">
        <v>6300</v>
      </c>
      <c r="K704" s="105" t="s">
        <v>28</v>
      </c>
      <c r="L704" s="105" t="s">
        <v>73</v>
      </c>
      <c r="M704" s="89" t="s">
        <v>133</v>
      </c>
      <c r="N704" s="117">
        <v>6300</v>
      </c>
      <c r="O704" s="137">
        <f t="shared" si="40"/>
        <v>0</v>
      </c>
      <c r="P704" s="115">
        <v>45230</v>
      </c>
      <c r="Q704" s="61">
        <f t="shared" si="36"/>
        <v>45230</v>
      </c>
      <c r="R704" s="68" t="s">
        <v>1077</v>
      </c>
      <c r="S704" s="72" t="s">
        <v>1628</v>
      </c>
      <c r="T704" s="105"/>
      <c r="U704" s="68"/>
      <c r="V704" s="68"/>
      <c r="W704" s="68"/>
      <c r="X704" s="68"/>
    </row>
    <row r="705" s="17" customFormat="1" ht="24" hidden="1" spans="1:24">
      <c r="A705" s="59">
        <v>703</v>
      </c>
      <c r="B705" s="60" t="s">
        <v>1629</v>
      </c>
      <c r="C705" s="114">
        <f t="shared" si="41"/>
        <v>45182</v>
      </c>
      <c r="D705" s="62" t="str">
        <f ca="1" t="shared" si="39"/>
        <v>一年以上</v>
      </c>
      <c r="E705" s="115">
        <v>45182</v>
      </c>
      <c r="F705" s="115" t="s">
        <v>130</v>
      </c>
      <c r="G705" s="132" t="s">
        <v>1372</v>
      </c>
      <c r="H705" s="100" t="s">
        <v>863</v>
      </c>
      <c r="I705" s="60" t="s">
        <v>863</v>
      </c>
      <c r="J705" s="116">
        <v>30000</v>
      </c>
      <c r="K705" s="105" t="s">
        <v>28</v>
      </c>
      <c r="L705" s="105" t="s">
        <v>73</v>
      </c>
      <c r="M705" s="89" t="s">
        <v>30</v>
      </c>
      <c r="N705" s="117">
        <v>30000</v>
      </c>
      <c r="O705" s="137">
        <f t="shared" si="40"/>
        <v>0</v>
      </c>
      <c r="P705" s="115">
        <v>45225</v>
      </c>
      <c r="Q705" s="61">
        <f t="shared" si="36"/>
        <v>45225</v>
      </c>
      <c r="R705" s="68"/>
      <c r="S705" s="72" t="s">
        <v>1620</v>
      </c>
      <c r="T705" s="105"/>
      <c r="U705" s="68"/>
      <c r="V705" s="68"/>
      <c r="W705" s="68"/>
      <c r="X705" s="68"/>
    </row>
    <row r="706" s="17" customFormat="1" ht="24" spans="1:24">
      <c r="A706" s="59">
        <v>704</v>
      </c>
      <c r="B706" s="60" t="s">
        <v>1630</v>
      </c>
      <c r="C706" s="114">
        <f t="shared" si="41"/>
        <v>45186</v>
      </c>
      <c r="D706" s="62" t="str">
        <f ca="1" t="shared" si="39"/>
        <v>一年以上</v>
      </c>
      <c r="E706" s="115">
        <v>45186</v>
      </c>
      <c r="F706" s="115" t="s">
        <v>632</v>
      </c>
      <c r="G706" s="132" t="s">
        <v>450</v>
      </c>
      <c r="H706" s="100" t="s">
        <v>1631</v>
      </c>
      <c r="I706" s="60" t="s">
        <v>1631</v>
      </c>
      <c r="J706" s="116">
        <v>4000</v>
      </c>
      <c r="K706" s="105" t="s">
        <v>356</v>
      </c>
      <c r="L706" s="105" t="s">
        <v>73</v>
      </c>
      <c r="M706" s="89" t="s">
        <v>30</v>
      </c>
      <c r="N706" s="117"/>
      <c r="O706" s="149">
        <f t="shared" si="40"/>
        <v>4000</v>
      </c>
      <c r="P706" s="115"/>
      <c r="Q706" s="61">
        <f t="shared" si="36"/>
        <v>0</v>
      </c>
      <c r="R706" s="150" t="s">
        <v>1632</v>
      </c>
      <c r="S706" s="72" t="s">
        <v>1633</v>
      </c>
      <c r="T706" s="105" t="s">
        <v>388</v>
      </c>
      <c r="U706" s="59" t="str">
        <f>VLOOKUP(T706,[1]区域划分!$A$1:$C$39,3,0)</f>
        <v>林维</v>
      </c>
      <c r="V706" s="68"/>
      <c r="W706" s="68"/>
      <c r="X706" s="68"/>
    </row>
    <row r="707" s="17" customFormat="1" ht="24" hidden="1" spans="1:24">
      <c r="A707" s="59">
        <v>705</v>
      </c>
      <c r="B707" s="60" t="s">
        <v>1635</v>
      </c>
      <c r="C707" s="114">
        <f t="shared" si="41"/>
        <v>45186</v>
      </c>
      <c r="D707" s="62" t="str">
        <f ca="1" t="shared" si="39"/>
        <v>一年以上</v>
      </c>
      <c r="E707" s="115">
        <v>45186</v>
      </c>
      <c r="F707" s="115" t="s">
        <v>632</v>
      </c>
      <c r="G707" s="132" t="s">
        <v>450</v>
      </c>
      <c r="H707" s="100" t="s">
        <v>1636</v>
      </c>
      <c r="I707" s="60" t="s">
        <v>1636</v>
      </c>
      <c r="J707" s="116">
        <v>4000</v>
      </c>
      <c r="K707" s="105" t="s">
        <v>356</v>
      </c>
      <c r="L707" s="105" t="s">
        <v>73</v>
      </c>
      <c r="M707" s="89" t="s">
        <v>30</v>
      </c>
      <c r="N707" s="117">
        <v>4000</v>
      </c>
      <c r="O707" s="137">
        <f t="shared" si="40"/>
        <v>0</v>
      </c>
      <c r="P707" s="115">
        <v>45230</v>
      </c>
      <c r="Q707" s="61">
        <f t="shared" ref="Q707:Q770" si="42">P707</f>
        <v>45230</v>
      </c>
      <c r="R707" s="68" t="s">
        <v>1637</v>
      </c>
      <c r="S707" s="72"/>
      <c r="T707" s="105"/>
      <c r="U707" s="68"/>
      <c r="V707" s="68"/>
      <c r="W707" s="68"/>
      <c r="X707" s="68"/>
    </row>
    <row r="708" s="17" customFormat="1" ht="24" spans="1:24">
      <c r="A708" s="59">
        <v>692</v>
      </c>
      <c r="B708" s="60" t="s">
        <v>1638</v>
      </c>
      <c r="C708" s="114">
        <f t="shared" si="41"/>
        <v>45189</v>
      </c>
      <c r="D708" s="62" t="str">
        <f ca="1" t="shared" si="39"/>
        <v>一年以上</v>
      </c>
      <c r="E708" s="115">
        <v>45189</v>
      </c>
      <c r="F708" s="115" t="s">
        <v>70</v>
      </c>
      <c r="G708" s="132" t="s">
        <v>1591</v>
      </c>
      <c r="H708" s="100" t="s">
        <v>1639</v>
      </c>
      <c r="I708" s="60" t="s">
        <v>1639</v>
      </c>
      <c r="J708" s="116">
        <v>10000</v>
      </c>
      <c r="K708" s="105" t="s">
        <v>28</v>
      </c>
      <c r="L708" s="105" t="s">
        <v>73</v>
      </c>
      <c r="M708" s="89" t="s">
        <v>65</v>
      </c>
      <c r="N708" s="117"/>
      <c r="O708" s="138">
        <f t="shared" si="40"/>
        <v>10000</v>
      </c>
      <c r="P708" s="115"/>
      <c r="Q708" s="61">
        <f t="shared" si="42"/>
        <v>0</v>
      </c>
      <c r="R708" s="68"/>
      <c r="S708" s="72" t="s">
        <v>1640</v>
      </c>
      <c r="T708" s="105" t="s">
        <v>330</v>
      </c>
      <c r="U708" s="59" t="str">
        <f>VLOOKUP(T708,[1]区域划分!$A$1:$C$39,3,0)</f>
        <v>伍平</v>
      </c>
      <c r="V708" s="68"/>
      <c r="W708" s="68"/>
      <c r="X708" s="68"/>
    </row>
    <row r="709" s="17" customFormat="1" hidden="1" spans="1:24">
      <c r="A709" s="59">
        <v>707</v>
      </c>
      <c r="B709" s="60" t="s">
        <v>1641</v>
      </c>
      <c r="C709" s="114">
        <f t="shared" si="41"/>
        <v>45190</v>
      </c>
      <c r="D709" s="62" t="str">
        <f ca="1" t="shared" si="39"/>
        <v>一年以上</v>
      </c>
      <c r="E709" s="115">
        <v>45190</v>
      </c>
      <c r="F709" s="115" t="s">
        <v>632</v>
      </c>
      <c r="G709" s="132" t="s">
        <v>450</v>
      </c>
      <c r="H709" s="100" t="s">
        <v>34</v>
      </c>
      <c r="I709" s="60" t="s">
        <v>34</v>
      </c>
      <c r="J709" s="116">
        <v>50000</v>
      </c>
      <c r="K709" s="105" t="s">
        <v>28</v>
      </c>
      <c r="L709" s="105" t="s">
        <v>73</v>
      </c>
      <c r="M709" s="89" t="s">
        <v>30</v>
      </c>
      <c r="N709" s="117">
        <v>50000</v>
      </c>
      <c r="O709" s="137">
        <f t="shared" si="40"/>
        <v>0</v>
      </c>
      <c r="P709" s="66">
        <v>45257</v>
      </c>
      <c r="Q709" s="61">
        <f t="shared" si="42"/>
        <v>45257</v>
      </c>
      <c r="R709" s="68"/>
      <c r="S709" s="72" t="s">
        <v>1642</v>
      </c>
      <c r="T709" s="105" t="s">
        <v>311</v>
      </c>
      <c r="U709" s="59" t="str">
        <f>VLOOKUP(T709,[1]区域划分!$A$1:$C$39,3,0)</f>
        <v>牛国庆</v>
      </c>
      <c r="V709" s="68"/>
      <c r="W709" s="68"/>
      <c r="X709" s="68"/>
    </row>
    <row r="710" s="17" customFormat="1" ht="36" hidden="1" spans="1:24">
      <c r="A710" s="59">
        <v>708</v>
      </c>
      <c r="B710" s="60" t="s">
        <v>1643</v>
      </c>
      <c r="C710" s="114">
        <f t="shared" si="41"/>
        <v>45194</v>
      </c>
      <c r="D710" s="62" t="str">
        <f ca="1" t="shared" si="39"/>
        <v>一年以上</v>
      </c>
      <c r="E710" s="115">
        <v>45194</v>
      </c>
      <c r="F710" s="115" t="s">
        <v>632</v>
      </c>
      <c r="G710" s="132" t="s">
        <v>450</v>
      </c>
      <c r="H710" s="100" t="s">
        <v>1315</v>
      </c>
      <c r="I710" s="60" t="s">
        <v>1315</v>
      </c>
      <c r="J710" s="116">
        <v>2000</v>
      </c>
      <c r="K710" s="105" t="s">
        <v>28</v>
      </c>
      <c r="L710" s="105" t="s">
        <v>73</v>
      </c>
      <c r="M710" s="89" t="s">
        <v>30</v>
      </c>
      <c r="N710" s="117">
        <v>2000</v>
      </c>
      <c r="O710" s="137">
        <f t="shared" si="40"/>
        <v>0</v>
      </c>
      <c r="P710" s="115">
        <v>45231</v>
      </c>
      <c r="Q710" s="61">
        <f t="shared" si="42"/>
        <v>45231</v>
      </c>
      <c r="R710" s="68" t="s">
        <v>481</v>
      </c>
      <c r="S710" s="72" t="s">
        <v>1644</v>
      </c>
      <c r="T710" s="105" t="s">
        <v>38</v>
      </c>
      <c r="U710" s="59" t="str">
        <f>VLOOKUP(T710,[1]区域划分!$A$1:$C$39,3,0)</f>
        <v>方渊</v>
      </c>
      <c r="V710" s="68"/>
      <c r="W710" s="68"/>
      <c r="X710" s="68"/>
    </row>
    <row r="711" s="24" customFormat="1" ht="24" hidden="1" spans="1:24">
      <c r="A711" s="118">
        <v>709</v>
      </c>
      <c r="B711" s="119" t="s">
        <v>1645</v>
      </c>
      <c r="C711" s="120">
        <f t="shared" si="41"/>
        <v>45194</v>
      </c>
      <c r="D711" s="121" t="str">
        <f ca="1" t="shared" si="39"/>
        <v>一年以上</v>
      </c>
      <c r="E711" s="122">
        <v>45194</v>
      </c>
      <c r="F711" s="122" t="s">
        <v>130</v>
      </c>
      <c r="G711" s="135" t="s">
        <v>1372</v>
      </c>
      <c r="H711" s="100" t="s">
        <v>863</v>
      </c>
      <c r="I711" s="119" t="s">
        <v>863</v>
      </c>
      <c r="J711" s="127">
        <v>70000</v>
      </c>
      <c r="K711" s="131" t="s">
        <v>28</v>
      </c>
      <c r="L711" s="131" t="s">
        <v>73</v>
      </c>
      <c r="M711" s="124" t="s">
        <v>133</v>
      </c>
      <c r="N711" s="128">
        <v>70000</v>
      </c>
      <c r="O711" s="140">
        <f t="shared" si="40"/>
        <v>0</v>
      </c>
      <c r="P711" s="122" t="s">
        <v>2657</v>
      </c>
      <c r="Q711" s="129" t="str">
        <f t="shared" si="42"/>
        <v>2024.7.26</v>
      </c>
      <c r="R711" s="130"/>
      <c r="S711" s="145" t="s">
        <v>1646</v>
      </c>
      <c r="T711" s="131" t="s">
        <v>972</v>
      </c>
      <c r="U711" s="118" t="str">
        <f>VLOOKUP(T711,[1]区域划分!$A$1:$C$39,3,0)</f>
        <v>曾江利</v>
      </c>
      <c r="V711" s="130"/>
      <c r="W711" s="130"/>
      <c r="X711" s="130"/>
    </row>
    <row r="712" s="17" customFormat="1" ht="24" hidden="1" spans="1:24">
      <c r="A712" s="59">
        <v>710</v>
      </c>
      <c r="B712" s="60" t="s">
        <v>1647</v>
      </c>
      <c r="C712" s="114">
        <f t="shared" si="41"/>
        <v>45195</v>
      </c>
      <c r="D712" s="62" t="str">
        <f ca="1" t="shared" si="39"/>
        <v>一年以上</v>
      </c>
      <c r="E712" s="115">
        <v>45195</v>
      </c>
      <c r="F712" s="115" t="s">
        <v>70</v>
      </c>
      <c r="G712" s="132" t="s">
        <v>1591</v>
      </c>
      <c r="H712" s="100" t="s">
        <v>332</v>
      </c>
      <c r="I712" s="60" t="s">
        <v>332</v>
      </c>
      <c r="J712" s="116">
        <v>13300</v>
      </c>
      <c r="K712" s="105" t="s">
        <v>28</v>
      </c>
      <c r="L712" s="105" t="s">
        <v>73</v>
      </c>
      <c r="M712" s="89" t="s">
        <v>65</v>
      </c>
      <c r="N712" s="117">
        <v>13300</v>
      </c>
      <c r="O712" s="137">
        <f t="shared" si="40"/>
        <v>0</v>
      </c>
      <c r="P712" s="115">
        <v>45252</v>
      </c>
      <c r="Q712" s="61">
        <f t="shared" si="42"/>
        <v>45252</v>
      </c>
      <c r="R712" s="68"/>
      <c r="S712" s="72" t="s">
        <v>1648</v>
      </c>
      <c r="T712" s="105" t="s">
        <v>311</v>
      </c>
      <c r="U712" s="59" t="str">
        <f>VLOOKUP(T712,[1]区域划分!$A$1:$C$39,3,0)</f>
        <v>牛国庆</v>
      </c>
      <c r="V712" s="68"/>
      <c r="W712" s="68"/>
      <c r="X712" s="68"/>
    </row>
    <row r="713" s="17" customFormat="1" ht="14" hidden="1" customHeight="1" spans="1:24">
      <c r="A713" s="59">
        <v>711</v>
      </c>
      <c r="B713" s="60" t="s">
        <v>1649</v>
      </c>
      <c r="C713" s="114">
        <f t="shared" si="41"/>
        <v>45196</v>
      </c>
      <c r="D713" s="62" t="str">
        <f ca="1" t="shared" si="39"/>
        <v>一年以上</v>
      </c>
      <c r="E713" s="115">
        <v>45196</v>
      </c>
      <c r="F713" s="115" t="s">
        <v>632</v>
      </c>
      <c r="G713" s="132" t="s">
        <v>450</v>
      </c>
      <c r="H713" s="100" t="s">
        <v>1101</v>
      </c>
      <c r="I713" s="60" t="s">
        <v>1101</v>
      </c>
      <c r="J713" s="116">
        <v>2500</v>
      </c>
      <c r="K713" s="105" t="s">
        <v>356</v>
      </c>
      <c r="L713" s="105" t="s">
        <v>73</v>
      </c>
      <c r="M713" s="89" t="s">
        <v>30</v>
      </c>
      <c r="N713" s="117">
        <v>2500</v>
      </c>
      <c r="O713" s="137">
        <f t="shared" si="40"/>
        <v>0</v>
      </c>
      <c r="P713" s="115">
        <v>45271</v>
      </c>
      <c r="Q713" s="61">
        <f t="shared" si="42"/>
        <v>45271</v>
      </c>
      <c r="R713" s="68"/>
      <c r="S713" s="72" t="s">
        <v>1650</v>
      </c>
      <c r="T713" s="105" t="s">
        <v>388</v>
      </c>
      <c r="U713" s="59" t="str">
        <f>VLOOKUP(T713,[1]区域划分!$A$1:$C$39,3,0)</f>
        <v>林维</v>
      </c>
      <c r="V713" s="68"/>
      <c r="W713" s="68"/>
      <c r="X713" s="68"/>
    </row>
    <row r="714" s="17" customFormat="1" ht="17" hidden="1" customHeight="1" spans="1:24">
      <c r="A714" s="59">
        <v>712</v>
      </c>
      <c r="B714" s="60" t="s">
        <v>1651</v>
      </c>
      <c r="C714" s="114">
        <f t="shared" si="41"/>
        <v>45211</v>
      </c>
      <c r="D714" s="62" t="str">
        <f ca="1" t="shared" si="39"/>
        <v>一年以上</v>
      </c>
      <c r="E714" s="115">
        <v>45211</v>
      </c>
      <c r="F714" s="115" t="s">
        <v>632</v>
      </c>
      <c r="G714" s="132" t="s">
        <v>450</v>
      </c>
      <c r="H714" s="100" t="s">
        <v>215</v>
      </c>
      <c r="I714" s="60" t="s">
        <v>215</v>
      </c>
      <c r="J714" s="116">
        <v>10000</v>
      </c>
      <c r="K714" s="105" t="s">
        <v>28</v>
      </c>
      <c r="L714" s="105" t="s">
        <v>73</v>
      </c>
      <c r="M714" s="89" t="s">
        <v>30</v>
      </c>
      <c r="N714" s="117">
        <v>10000</v>
      </c>
      <c r="O714" s="137">
        <f t="shared" si="40"/>
        <v>0</v>
      </c>
      <c r="P714" s="115">
        <v>45259</v>
      </c>
      <c r="Q714" s="61">
        <f t="shared" si="42"/>
        <v>45259</v>
      </c>
      <c r="R714" s="68"/>
      <c r="S714" s="72" t="s">
        <v>1652</v>
      </c>
      <c r="T714" s="105" t="s">
        <v>49</v>
      </c>
      <c r="U714" s="59" t="str">
        <f>VLOOKUP(T714,[1]区域划分!$A$1:$C$39,3,0)</f>
        <v>龚运谱</v>
      </c>
      <c r="V714" s="68"/>
      <c r="W714" s="68"/>
      <c r="X714" s="68"/>
    </row>
    <row r="715" s="17" customFormat="1" ht="17" customHeight="1" spans="1:24">
      <c r="A715" s="59">
        <v>713</v>
      </c>
      <c r="B715" s="60" t="s">
        <v>1653</v>
      </c>
      <c r="C715" s="114">
        <f t="shared" si="41"/>
        <v>45211</v>
      </c>
      <c r="D715" s="62" t="str">
        <f ca="1" t="shared" si="39"/>
        <v>一年以上</v>
      </c>
      <c r="E715" s="115">
        <v>45211</v>
      </c>
      <c r="F715" s="115" t="s">
        <v>70</v>
      </c>
      <c r="G715" s="132" t="s">
        <v>1591</v>
      </c>
      <c r="H715" s="100" t="s">
        <v>398</v>
      </c>
      <c r="I715" s="60" t="s">
        <v>399</v>
      </c>
      <c r="J715" s="116">
        <v>10000</v>
      </c>
      <c r="K715" s="105" t="s">
        <v>28</v>
      </c>
      <c r="L715" s="105" t="s">
        <v>73</v>
      </c>
      <c r="M715" s="89" t="s">
        <v>65</v>
      </c>
      <c r="N715" s="117"/>
      <c r="O715" s="138">
        <f t="shared" si="40"/>
        <v>10000</v>
      </c>
      <c r="P715" s="115"/>
      <c r="Q715" s="61">
        <f t="shared" si="42"/>
        <v>0</v>
      </c>
      <c r="R715" s="68"/>
      <c r="S715" s="72" t="s">
        <v>1654</v>
      </c>
      <c r="T715" s="101" t="s">
        <v>49</v>
      </c>
      <c r="U715" s="59" t="str">
        <f>VLOOKUP(T715,[1]区域划分!$A$1:$C$39,3,0)</f>
        <v>龚运谱</v>
      </c>
      <c r="V715" s="68" t="s">
        <v>1655</v>
      </c>
      <c r="W715" s="68"/>
      <c r="X715" s="68"/>
    </row>
    <row r="716" s="17" customFormat="1" ht="39" customHeight="1" spans="1:24">
      <c r="A716" s="59">
        <v>714</v>
      </c>
      <c r="B716" s="60" t="s">
        <v>1656</v>
      </c>
      <c r="C716" s="114">
        <f t="shared" si="41"/>
        <v>45217</v>
      </c>
      <c r="D716" s="62" t="str">
        <f ca="1" t="shared" si="39"/>
        <v>一年以上</v>
      </c>
      <c r="E716" s="115">
        <v>45217</v>
      </c>
      <c r="F716" s="115" t="s">
        <v>632</v>
      </c>
      <c r="G716" s="132" t="s">
        <v>450</v>
      </c>
      <c r="H716" s="100" t="s">
        <v>1657</v>
      </c>
      <c r="I716" s="60" t="s">
        <v>1657</v>
      </c>
      <c r="J716" s="116">
        <v>100</v>
      </c>
      <c r="K716" s="105" t="s">
        <v>28</v>
      </c>
      <c r="L716" s="105" t="s">
        <v>73</v>
      </c>
      <c r="M716" s="151" t="s">
        <v>515</v>
      </c>
      <c r="N716" s="117"/>
      <c r="O716" s="137">
        <f t="shared" si="40"/>
        <v>100</v>
      </c>
      <c r="P716" s="115"/>
      <c r="Q716" s="61">
        <f t="shared" si="42"/>
        <v>0</v>
      </c>
      <c r="R716" s="68"/>
      <c r="S716" s="72"/>
      <c r="T716" s="101" t="s">
        <v>49</v>
      </c>
      <c r="U716" s="59" t="str">
        <f>VLOOKUP(T716,[1]区域划分!$A$1:$C$39,3,0)</f>
        <v>龚运谱</v>
      </c>
      <c r="V716" s="68"/>
      <c r="W716" s="68"/>
      <c r="X716" s="68"/>
    </row>
    <row r="717" s="17" customFormat="1" ht="14" customHeight="1" spans="1:24">
      <c r="A717" s="59">
        <v>715</v>
      </c>
      <c r="B717" s="60" t="s">
        <v>1658</v>
      </c>
      <c r="C717" s="114">
        <f t="shared" si="41"/>
        <v>45217</v>
      </c>
      <c r="D717" s="62" t="str">
        <f ca="1" t="shared" si="39"/>
        <v>一年以上</v>
      </c>
      <c r="E717" s="115">
        <v>45217</v>
      </c>
      <c r="F717" s="115" t="s">
        <v>632</v>
      </c>
      <c r="G717" s="132" t="s">
        <v>450</v>
      </c>
      <c r="H717" s="100" t="s">
        <v>398</v>
      </c>
      <c r="I717" s="60" t="s">
        <v>398</v>
      </c>
      <c r="J717" s="116">
        <v>10000</v>
      </c>
      <c r="K717" s="105" t="s">
        <v>28</v>
      </c>
      <c r="L717" s="105" t="s">
        <v>73</v>
      </c>
      <c r="M717" s="89" t="s">
        <v>30</v>
      </c>
      <c r="N717" s="117"/>
      <c r="O717" s="138">
        <f t="shared" si="40"/>
        <v>10000</v>
      </c>
      <c r="P717" s="115"/>
      <c r="Q717" s="61">
        <f t="shared" si="42"/>
        <v>0</v>
      </c>
      <c r="R717" s="68"/>
      <c r="S717" s="72" t="s">
        <v>1660</v>
      </c>
      <c r="T717" s="101" t="s">
        <v>49</v>
      </c>
      <c r="U717" s="59" t="str">
        <f>VLOOKUP(T717,[1]区域划分!$A$1:$C$39,3,0)</f>
        <v>龚运谱</v>
      </c>
      <c r="V717" s="68"/>
      <c r="W717" s="68"/>
      <c r="X717" s="68"/>
    </row>
    <row r="718" s="17" customFormat="1" ht="24" hidden="1" spans="1:24">
      <c r="A718" s="59">
        <v>716</v>
      </c>
      <c r="B718" s="60" t="s">
        <v>1661</v>
      </c>
      <c r="C718" s="114">
        <f t="shared" si="41"/>
        <v>45226</v>
      </c>
      <c r="D718" s="62" t="str">
        <f ca="1" t="shared" si="39"/>
        <v>一年以上</v>
      </c>
      <c r="E718" s="115">
        <v>45226</v>
      </c>
      <c r="F718" s="115" t="s">
        <v>632</v>
      </c>
      <c r="G718" s="132" t="s">
        <v>450</v>
      </c>
      <c r="H718" s="100" t="s">
        <v>1662</v>
      </c>
      <c r="I718" s="63" t="s">
        <v>1662</v>
      </c>
      <c r="J718" s="116">
        <v>4000</v>
      </c>
      <c r="K718" s="105" t="s">
        <v>28</v>
      </c>
      <c r="L718" s="136" t="s">
        <v>73</v>
      </c>
      <c r="M718" s="89" t="s">
        <v>30</v>
      </c>
      <c r="N718" s="104">
        <v>4000</v>
      </c>
      <c r="O718" s="137">
        <f t="shared" si="40"/>
        <v>0</v>
      </c>
      <c r="P718" s="115">
        <v>45316</v>
      </c>
      <c r="Q718" s="61">
        <f t="shared" si="42"/>
        <v>45316</v>
      </c>
      <c r="R718" s="68"/>
      <c r="S718" s="72" t="s">
        <v>1663</v>
      </c>
      <c r="T718" s="105" t="s">
        <v>267</v>
      </c>
      <c r="U718" s="59" t="str">
        <f>VLOOKUP(T718,[1]区域划分!$A$1:$C$39,3,0)</f>
        <v>牛国庆</v>
      </c>
      <c r="V718" s="68"/>
      <c r="W718" s="68"/>
      <c r="X718" s="68"/>
    </row>
    <row r="719" s="17" customFormat="1" ht="24" spans="1:24">
      <c r="A719" s="59">
        <v>717</v>
      </c>
      <c r="B719" s="60" t="s">
        <v>1664</v>
      </c>
      <c r="C719" s="114">
        <f t="shared" si="41"/>
        <v>45226</v>
      </c>
      <c r="D719" s="62" t="str">
        <f ca="1" t="shared" si="39"/>
        <v>一年以上</v>
      </c>
      <c r="E719" s="115">
        <v>45226</v>
      </c>
      <c r="F719" s="115" t="s">
        <v>632</v>
      </c>
      <c r="G719" s="132" t="s">
        <v>450</v>
      </c>
      <c r="H719" s="100" t="s">
        <v>1665</v>
      </c>
      <c r="I719" s="63" t="s">
        <v>1665</v>
      </c>
      <c r="J719" s="116">
        <v>500</v>
      </c>
      <c r="K719" s="105" t="s">
        <v>28</v>
      </c>
      <c r="L719" s="105" t="s">
        <v>73</v>
      </c>
      <c r="M719" s="89" t="s">
        <v>515</v>
      </c>
      <c r="N719" s="117"/>
      <c r="O719" s="137">
        <f t="shared" si="40"/>
        <v>500</v>
      </c>
      <c r="P719" s="115"/>
      <c r="Q719" s="61">
        <f t="shared" si="42"/>
        <v>0</v>
      </c>
      <c r="R719" s="68"/>
      <c r="S719" s="72" t="s">
        <v>1666</v>
      </c>
      <c r="T719" s="105" t="s">
        <v>44</v>
      </c>
      <c r="U719" s="59" t="str">
        <f>VLOOKUP(T719,[1]区域划分!$A$1:$C$39,3,0)</f>
        <v>殷坤鹏</v>
      </c>
      <c r="V719" s="68" t="s">
        <v>1667</v>
      </c>
      <c r="W719" s="68"/>
      <c r="X719" s="68"/>
    </row>
    <row r="720" s="17" customFormat="1" ht="24" hidden="1" customHeight="1" spans="1:24">
      <c r="A720" s="59">
        <v>718</v>
      </c>
      <c r="B720" s="60" t="s">
        <v>1668</v>
      </c>
      <c r="C720" s="114">
        <f t="shared" si="41"/>
        <v>45235</v>
      </c>
      <c r="D720" s="62" t="str">
        <f ca="1" t="shared" si="39"/>
        <v>一年以上</v>
      </c>
      <c r="E720" s="115">
        <v>45235</v>
      </c>
      <c r="F720" s="115" t="s">
        <v>632</v>
      </c>
      <c r="G720" s="132" t="s">
        <v>450</v>
      </c>
      <c r="H720" s="100" t="s">
        <v>1669</v>
      </c>
      <c r="I720" s="63" t="s">
        <v>1669</v>
      </c>
      <c r="J720" s="116">
        <v>2000</v>
      </c>
      <c r="K720" s="105" t="s">
        <v>356</v>
      </c>
      <c r="L720" s="105" t="s">
        <v>73</v>
      </c>
      <c r="M720" s="89" t="s">
        <v>30</v>
      </c>
      <c r="N720" s="117">
        <v>2000</v>
      </c>
      <c r="O720" s="137">
        <f t="shared" si="40"/>
        <v>0</v>
      </c>
      <c r="P720" s="115">
        <v>45271</v>
      </c>
      <c r="Q720" s="61">
        <f t="shared" si="42"/>
        <v>45271</v>
      </c>
      <c r="R720" s="68"/>
      <c r="S720" s="72" t="s">
        <v>1670</v>
      </c>
      <c r="T720" s="105" t="s">
        <v>32</v>
      </c>
      <c r="U720" s="59" t="str">
        <f>VLOOKUP(T720,[1]区域划分!$A$1:$C$39,3,0)</f>
        <v>方渊</v>
      </c>
      <c r="V720" s="68"/>
      <c r="W720" s="68"/>
      <c r="X720" s="68"/>
    </row>
    <row r="721" s="17" customFormat="1" ht="15" customHeight="1" spans="1:24">
      <c r="A721" s="59">
        <v>719</v>
      </c>
      <c r="B721" s="60" t="s">
        <v>1671</v>
      </c>
      <c r="C721" s="114">
        <f t="shared" si="41"/>
        <v>45238</v>
      </c>
      <c r="D721" s="62" t="str">
        <f ca="1" t="shared" si="39"/>
        <v>一年以上</v>
      </c>
      <c r="E721" s="115">
        <v>45238</v>
      </c>
      <c r="F721" s="115" t="s">
        <v>70</v>
      </c>
      <c r="G721" s="132" t="s">
        <v>1672</v>
      </c>
      <c r="H721" s="100" t="s">
        <v>1673</v>
      </c>
      <c r="I721" s="63" t="s">
        <v>1673</v>
      </c>
      <c r="J721" s="116">
        <v>5000</v>
      </c>
      <c r="K721" s="105" t="s">
        <v>28</v>
      </c>
      <c r="L721" s="105" t="s">
        <v>73</v>
      </c>
      <c r="M721" s="89" t="s">
        <v>65</v>
      </c>
      <c r="N721" s="117"/>
      <c r="O721" s="137">
        <f t="shared" si="40"/>
        <v>5000</v>
      </c>
      <c r="P721" s="115"/>
      <c r="Q721" s="61">
        <f t="shared" si="42"/>
        <v>0</v>
      </c>
      <c r="R721" s="68"/>
      <c r="S721" s="72" t="s">
        <v>1674</v>
      </c>
      <c r="T721" s="105" t="s">
        <v>381</v>
      </c>
      <c r="U721" s="59" t="str">
        <f>VLOOKUP(T721,[1]区域划分!$A$1:$C$39,3,0)</f>
        <v>林维</v>
      </c>
      <c r="V721" s="68"/>
      <c r="W721" s="68"/>
      <c r="X721" s="68"/>
    </row>
    <row r="722" s="17" customFormat="1" ht="26" customHeight="1" spans="1:24">
      <c r="A722" s="59">
        <v>720</v>
      </c>
      <c r="B722" s="60" t="s">
        <v>1675</v>
      </c>
      <c r="C722" s="114">
        <f t="shared" si="41"/>
        <v>45238</v>
      </c>
      <c r="D722" s="62" t="str">
        <f ca="1" t="shared" si="39"/>
        <v>一年以上</v>
      </c>
      <c r="E722" s="115">
        <v>45238</v>
      </c>
      <c r="F722" s="115" t="s">
        <v>632</v>
      </c>
      <c r="G722" s="132" t="s">
        <v>450</v>
      </c>
      <c r="H722" s="100" t="s">
        <v>1676</v>
      </c>
      <c r="I722" s="63" t="s">
        <v>1676</v>
      </c>
      <c r="J722" s="116">
        <v>218</v>
      </c>
      <c r="K722" s="105" t="s">
        <v>28</v>
      </c>
      <c r="L722" s="105" t="s">
        <v>73</v>
      </c>
      <c r="M722" s="89" t="s">
        <v>515</v>
      </c>
      <c r="N722" s="117"/>
      <c r="O722" s="137">
        <f t="shared" si="40"/>
        <v>218</v>
      </c>
      <c r="P722" s="115"/>
      <c r="Q722" s="61">
        <f t="shared" si="42"/>
        <v>0</v>
      </c>
      <c r="R722" s="68"/>
      <c r="S722" s="72" t="s">
        <v>1677</v>
      </c>
      <c r="T722" s="105" t="s">
        <v>720</v>
      </c>
      <c r="U722" s="59" t="str">
        <f>VLOOKUP(T722,[1]区域划分!$A$1:$C$39,3,0)</f>
        <v>杨春龙</v>
      </c>
      <c r="V722" s="68"/>
      <c r="W722" s="68"/>
      <c r="X722" s="68"/>
    </row>
    <row r="723" s="17" customFormat="1" ht="26" hidden="1" customHeight="1" spans="1:24">
      <c r="A723" s="59">
        <v>721</v>
      </c>
      <c r="B723" s="60" t="s">
        <v>1678</v>
      </c>
      <c r="C723" s="114">
        <f t="shared" si="41"/>
        <v>45241</v>
      </c>
      <c r="D723" s="62" t="str">
        <f ca="1" t="shared" si="39"/>
        <v>一年以上</v>
      </c>
      <c r="E723" s="115">
        <v>45241</v>
      </c>
      <c r="F723" s="115" t="s">
        <v>632</v>
      </c>
      <c r="G723" s="132" t="s">
        <v>450</v>
      </c>
      <c r="H723" s="100" t="s">
        <v>1679</v>
      </c>
      <c r="I723" s="63" t="s">
        <v>1679</v>
      </c>
      <c r="J723" s="116">
        <v>500</v>
      </c>
      <c r="K723" s="105" t="s">
        <v>28</v>
      </c>
      <c r="L723" s="105" t="s">
        <v>73</v>
      </c>
      <c r="M723" s="89" t="s">
        <v>515</v>
      </c>
      <c r="N723" s="117">
        <v>500</v>
      </c>
      <c r="O723" s="137">
        <f t="shared" si="40"/>
        <v>0</v>
      </c>
      <c r="P723" s="115">
        <v>45252</v>
      </c>
      <c r="Q723" s="61">
        <f t="shared" si="42"/>
        <v>45252</v>
      </c>
      <c r="R723" s="68" t="s">
        <v>951</v>
      </c>
      <c r="S723" s="72" t="s">
        <v>1680</v>
      </c>
      <c r="T723" s="105" t="s">
        <v>581</v>
      </c>
      <c r="U723" s="59" t="str">
        <f>VLOOKUP(T723,[1]区域划分!$A$1:$C$39,3,0)</f>
        <v>新疆</v>
      </c>
      <c r="V723" s="68"/>
      <c r="W723" s="68"/>
      <c r="X723" s="68"/>
    </row>
    <row r="724" s="17" customFormat="1" ht="24" hidden="1" spans="1:24">
      <c r="A724" s="59">
        <v>721</v>
      </c>
      <c r="B724" s="60" t="s">
        <v>1678</v>
      </c>
      <c r="C724" s="114">
        <f t="shared" si="41"/>
        <v>45243</v>
      </c>
      <c r="D724" s="62" t="str">
        <f ca="1" t="shared" si="39"/>
        <v>一年以上</v>
      </c>
      <c r="E724" s="115">
        <v>45243</v>
      </c>
      <c r="F724" s="115" t="s">
        <v>632</v>
      </c>
      <c r="G724" s="132" t="s">
        <v>450</v>
      </c>
      <c r="H724" s="100" t="s">
        <v>1679</v>
      </c>
      <c r="I724" s="63" t="s">
        <v>1679</v>
      </c>
      <c r="J724" s="116">
        <v>25000</v>
      </c>
      <c r="K724" s="105" t="s">
        <v>28</v>
      </c>
      <c r="L724" s="105" t="s">
        <v>73</v>
      </c>
      <c r="M724" s="89" t="s">
        <v>30</v>
      </c>
      <c r="N724" s="117">
        <v>25000</v>
      </c>
      <c r="O724" s="137">
        <f t="shared" si="40"/>
        <v>0</v>
      </c>
      <c r="P724" s="115">
        <v>45268</v>
      </c>
      <c r="Q724" s="61">
        <f t="shared" si="42"/>
        <v>45268</v>
      </c>
      <c r="R724" s="68"/>
      <c r="S724" s="72" t="s">
        <v>1680</v>
      </c>
      <c r="T724" s="105" t="s">
        <v>581</v>
      </c>
      <c r="U724" s="59" t="str">
        <f>VLOOKUP(T724,[1]区域划分!$A$1:$C$39,3,0)</f>
        <v>新疆</v>
      </c>
      <c r="V724" s="68"/>
      <c r="W724" s="68"/>
      <c r="X724" s="68"/>
    </row>
    <row r="725" s="17" customFormat="1" ht="24" hidden="1" spans="1:24">
      <c r="A725" s="59">
        <v>722</v>
      </c>
      <c r="B725" s="60" t="s">
        <v>1681</v>
      </c>
      <c r="C725" s="114">
        <f t="shared" si="41"/>
        <v>45243</v>
      </c>
      <c r="D725" s="62" t="str">
        <f ca="1" t="shared" si="39"/>
        <v>一年以上</v>
      </c>
      <c r="E725" s="115">
        <v>45243</v>
      </c>
      <c r="F725" s="115" t="s">
        <v>632</v>
      </c>
      <c r="G725" s="132" t="s">
        <v>450</v>
      </c>
      <c r="H725" s="100" t="s">
        <v>657</v>
      </c>
      <c r="I725" s="63" t="s">
        <v>657</v>
      </c>
      <c r="J725" s="116">
        <v>4000</v>
      </c>
      <c r="K725" s="105" t="s">
        <v>356</v>
      </c>
      <c r="L725" s="136" t="s">
        <v>73</v>
      </c>
      <c r="M725" s="89" t="s">
        <v>30</v>
      </c>
      <c r="N725" s="104">
        <v>4000</v>
      </c>
      <c r="O725" s="137">
        <f t="shared" si="40"/>
        <v>0</v>
      </c>
      <c r="P725" s="115">
        <v>45320</v>
      </c>
      <c r="Q725" s="61">
        <f t="shared" si="42"/>
        <v>45320</v>
      </c>
      <c r="R725" s="68"/>
      <c r="S725" s="72" t="s">
        <v>1682</v>
      </c>
      <c r="T725" s="105" t="s">
        <v>300</v>
      </c>
      <c r="U725" s="59" t="str">
        <f>VLOOKUP(T725,[1]区域划分!$A$1:$C$39,3,0)</f>
        <v>林维</v>
      </c>
      <c r="V725" s="68"/>
      <c r="W725" s="68"/>
      <c r="X725" s="68"/>
    </row>
    <row r="726" s="17" customFormat="1" ht="27" hidden="1" customHeight="1" spans="1:24">
      <c r="A726" s="59">
        <v>723</v>
      </c>
      <c r="B726" s="60" t="s">
        <v>1683</v>
      </c>
      <c r="C726" s="114">
        <f t="shared" si="41"/>
        <v>45245</v>
      </c>
      <c r="D726" s="62" t="str">
        <f ca="1" t="shared" si="39"/>
        <v>一年以上</v>
      </c>
      <c r="E726" s="115">
        <v>45245</v>
      </c>
      <c r="F726" s="115" t="s">
        <v>632</v>
      </c>
      <c r="G726" s="132" t="s">
        <v>450</v>
      </c>
      <c r="H726" s="100" t="s">
        <v>1684</v>
      </c>
      <c r="I726" s="63" t="s">
        <v>1684</v>
      </c>
      <c r="J726" s="116">
        <v>1300</v>
      </c>
      <c r="K726" s="105" t="s">
        <v>28</v>
      </c>
      <c r="L726" s="105" t="s">
        <v>73</v>
      </c>
      <c r="M726" s="89" t="s">
        <v>30</v>
      </c>
      <c r="N726" s="117">
        <v>1300</v>
      </c>
      <c r="O726" s="137">
        <f t="shared" si="40"/>
        <v>0</v>
      </c>
      <c r="P726" s="115">
        <v>45246</v>
      </c>
      <c r="Q726" s="61">
        <f t="shared" si="42"/>
        <v>45246</v>
      </c>
      <c r="R726" s="68"/>
      <c r="S726" s="72"/>
      <c r="T726" s="105" t="s">
        <v>581</v>
      </c>
      <c r="U726" s="59" t="str">
        <f>VLOOKUP(T726,[1]区域划分!$A$1:$C$39,3,0)</f>
        <v>新疆</v>
      </c>
      <c r="V726" s="68"/>
      <c r="W726" s="68"/>
      <c r="X726" s="68"/>
    </row>
    <row r="727" s="17" customFormat="1" ht="24" spans="1:24">
      <c r="A727" s="59">
        <v>724</v>
      </c>
      <c r="B727" s="60" t="s">
        <v>1685</v>
      </c>
      <c r="C727" s="114">
        <f t="shared" si="41"/>
        <v>45246</v>
      </c>
      <c r="D727" s="62" t="str">
        <f ca="1" t="shared" si="39"/>
        <v>一年以上</v>
      </c>
      <c r="E727" s="115">
        <v>45246</v>
      </c>
      <c r="F727" s="115" t="s">
        <v>632</v>
      </c>
      <c r="G727" s="132" t="s">
        <v>450</v>
      </c>
      <c r="H727" s="100" t="s">
        <v>592</v>
      </c>
      <c r="I727" s="63" t="s">
        <v>592</v>
      </c>
      <c r="J727" s="116">
        <v>600</v>
      </c>
      <c r="K727" s="105" t="s">
        <v>28</v>
      </c>
      <c r="L727" s="105" t="s">
        <v>96</v>
      </c>
      <c r="M727" s="89" t="s">
        <v>515</v>
      </c>
      <c r="N727" s="117"/>
      <c r="O727" s="137">
        <f t="shared" si="40"/>
        <v>600</v>
      </c>
      <c r="P727" s="115"/>
      <c r="Q727" s="61">
        <f t="shared" si="42"/>
        <v>0</v>
      </c>
      <c r="R727" s="68" t="s">
        <v>1686</v>
      </c>
      <c r="S727" s="72" t="s">
        <v>1687</v>
      </c>
      <c r="T727" s="105" t="s">
        <v>38</v>
      </c>
      <c r="U727" s="59" t="str">
        <f>VLOOKUP(T727,[1]区域划分!$A$1:$C$39,3,0)</f>
        <v>方渊</v>
      </c>
      <c r="V727" s="68"/>
      <c r="W727" s="68"/>
      <c r="X727" s="68"/>
    </row>
    <row r="728" s="17" customFormat="1" ht="24" spans="1:24">
      <c r="A728" s="59">
        <v>725</v>
      </c>
      <c r="B728" s="60" t="s">
        <v>1688</v>
      </c>
      <c r="C728" s="114">
        <f t="shared" si="41"/>
        <v>45247</v>
      </c>
      <c r="D728" s="62" t="str">
        <f ca="1" t="shared" si="39"/>
        <v>一年以上</v>
      </c>
      <c r="E728" s="115">
        <v>45247</v>
      </c>
      <c r="F728" s="115" t="s">
        <v>632</v>
      </c>
      <c r="G728" s="132" t="s">
        <v>450</v>
      </c>
      <c r="H728" s="100" t="s">
        <v>1689</v>
      </c>
      <c r="I728" s="63" t="s">
        <v>1689</v>
      </c>
      <c r="J728" s="116">
        <v>3600</v>
      </c>
      <c r="K728" s="105" t="s">
        <v>28</v>
      </c>
      <c r="L728" s="105" t="s">
        <v>73</v>
      </c>
      <c r="M728" s="89" t="s">
        <v>968</v>
      </c>
      <c r="N728" s="117"/>
      <c r="O728" s="137">
        <f t="shared" si="40"/>
        <v>3600</v>
      </c>
      <c r="P728" s="115"/>
      <c r="Q728" s="61">
        <f t="shared" si="42"/>
        <v>0</v>
      </c>
      <c r="R728" s="68"/>
      <c r="S728" s="72" t="s">
        <v>1690</v>
      </c>
      <c r="T728" s="105"/>
      <c r="U728" s="59"/>
      <c r="V728" s="68"/>
      <c r="W728" s="68"/>
      <c r="X728" s="68"/>
    </row>
    <row r="729" s="17" customFormat="1" ht="24" hidden="1" spans="1:24">
      <c r="A729" s="59">
        <v>726</v>
      </c>
      <c r="B729" s="60" t="s">
        <v>1691</v>
      </c>
      <c r="C729" s="114">
        <f t="shared" si="41"/>
        <v>45247</v>
      </c>
      <c r="D729" s="62" t="str">
        <f ca="1" t="shared" si="39"/>
        <v>一年以上</v>
      </c>
      <c r="E729" s="115">
        <v>45247</v>
      </c>
      <c r="F729" s="115" t="s">
        <v>632</v>
      </c>
      <c r="G729" s="132" t="s">
        <v>450</v>
      </c>
      <c r="H729" s="100" t="s">
        <v>1692</v>
      </c>
      <c r="I729" s="63" t="s">
        <v>708</v>
      </c>
      <c r="J729" s="116">
        <v>5000</v>
      </c>
      <c r="K729" s="105" t="s">
        <v>28</v>
      </c>
      <c r="L729" s="136" t="s">
        <v>73</v>
      </c>
      <c r="M729" s="89" t="s">
        <v>30</v>
      </c>
      <c r="N729" s="104">
        <v>5000</v>
      </c>
      <c r="O729" s="137">
        <f t="shared" si="40"/>
        <v>0</v>
      </c>
      <c r="P729" s="115">
        <v>45315</v>
      </c>
      <c r="Q729" s="61">
        <f t="shared" si="42"/>
        <v>45315</v>
      </c>
      <c r="R729" s="68"/>
      <c r="S729" s="72" t="s">
        <v>1693</v>
      </c>
      <c r="T729" s="105" t="s">
        <v>267</v>
      </c>
      <c r="U729" s="59" t="str">
        <f>VLOOKUP(T729,[1]区域划分!$A$1:$C$39,3,0)</f>
        <v>牛国庆</v>
      </c>
      <c r="V729" s="68"/>
      <c r="W729" s="68"/>
      <c r="X729" s="68"/>
    </row>
    <row r="730" s="17" customFormat="1" ht="15" customHeight="1" spans="1:24">
      <c r="A730" s="59">
        <v>727</v>
      </c>
      <c r="B730" s="60" t="s">
        <v>1694</v>
      </c>
      <c r="C730" s="114">
        <f t="shared" si="41"/>
        <v>45250</v>
      </c>
      <c r="D730" s="62" t="str">
        <f ca="1" t="shared" si="39"/>
        <v>一年以上</v>
      </c>
      <c r="E730" s="115">
        <v>45250</v>
      </c>
      <c r="F730" s="115" t="s">
        <v>130</v>
      </c>
      <c r="G730" s="132" t="s">
        <v>1465</v>
      </c>
      <c r="H730" s="100" t="s">
        <v>863</v>
      </c>
      <c r="I730" s="63" t="s">
        <v>863</v>
      </c>
      <c r="J730" s="116">
        <v>6000</v>
      </c>
      <c r="K730" s="105" t="s">
        <v>28</v>
      </c>
      <c r="L730" s="105" t="s">
        <v>73</v>
      </c>
      <c r="M730" s="89" t="s">
        <v>133</v>
      </c>
      <c r="N730" s="117"/>
      <c r="O730" s="140">
        <f t="shared" si="40"/>
        <v>6000</v>
      </c>
      <c r="P730" s="115"/>
      <c r="Q730" s="61">
        <f t="shared" si="42"/>
        <v>0</v>
      </c>
      <c r="R730" s="68"/>
      <c r="S730" s="72" t="s">
        <v>1695</v>
      </c>
      <c r="T730" s="105" t="s">
        <v>972</v>
      </c>
      <c r="U730" s="59" t="str">
        <f>VLOOKUP(T730,[1]区域划分!$A$1:$C$39,3,0)</f>
        <v>曾江利</v>
      </c>
      <c r="V730" s="68"/>
      <c r="W730" s="68"/>
      <c r="X730" s="68"/>
    </row>
    <row r="731" s="17" customFormat="1" ht="36" hidden="1" spans="1:24">
      <c r="A731" s="59">
        <v>728</v>
      </c>
      <c r="B731" s="60" t="s">
        <v>1696</v>
      </c>
      <c r="C731" s="114">
        <f t="shared" si="41"/>
        <v>45251</v>
      </c>
      <c r="D731" s="62" t="str">
        <f ca="1" t="shared" ref="D731:D780" si="43">IF(TODAY()-E731&lt;60,"2个月内",IF(TODAY()-E731&lt;180,"3-6个月",IF(TODAY()-E731&lt;360,"6个月-1年","一年以上")))</f>
        <v>一年以上</v>
      </c>
      <c r="E731" s="115">
        <v>45251</v>
      </c>
      <c r="F731" s="115" t="s">
        <v>632</v>
      </c>
      <c r="G731" s="132" t="s">
        <v>450</v>
      </c>
      <c r="H731" s="100" t="s">
        <v>1676</v>
      </c>
      <c r="I731" s="63" t="s">
        <v>1676</v>
      </c>
      <c r="J731" s="116">
        <v>20000</v>
      </c>
      <c r="K731" s="105" t="s">
        <v>28</v>
      </c>
      <c r="L731" s="105" t="s">
        <v>73</v>
      </c>
      <c r="M731" s="89" t="s">
        <v>30</v>
      </c>
      <c r="N731" s="117">
        <v>20000</v>
      </c>
      <c r="O731" s="137">
        <f t="shared" ref="O731:O794" si="44">J731-N731</f>
        <v>0</v>
      </c>
      <c r="P731" s="115">
        <v>45265</v>
      </c>
      <c r="Q731" s="61">
        <f t="shared" si="42"/>
        <v>45265</v>
      </c>
      <c r="R731" s="68"/>
      <c r="S731" s="72" t="s">
        <v>1677</v>
      </c>
      <c r="T731" s="105" t="s">
        <v>720</v>
      </c>
      <c r="U731" s="59" t="str">
        <f>VLOOKUP(T731,[1]区域划分!$A$1:$C$39,3,0)</f>
        <v>杨春龙</v>
      </c>
      <c r="V731" s="68"/>
      <c r="W731" s="68"/>
      <c r="X731" s="68"/>
    </row>
    <row r="732" s="17" customFormat="1" ht="24" spans="1:24">
      <c r="A732" s="59">
        <v>729</v>
      </c>
      <c r="B732" s="60" t="s">
        <v>1697</v>
      </c>
      <c r="C732" s="114">
        <f t="shared" si="41"/>
        <v>45252</v>
      </c>
      <c r="D732" s="62" t="str">
        <f ca="1" t="shared" si="43"/>
        <v>一年以上</v>
      </c>
      <c r="E732" s="115">
        <v>45252</v>
      </c>
      <c r="F732" s="115" t="s">
        <v>632</v>
      </c>
      <c r="G732" s="132" t="s">
        <v>450</v>
      </c>
      <c r="H732" s="100" t="s">
        <v>1698</v>
      </c>
      <c r="I732" s="63" t="s">
        <v>1698</v>
      </c>
      <c r="J732" s="116">
        <v>200</v>
      </c>
      <c r="K732" s="105" t="s">
        <v>28</v>
      </c>
      <c r="L732" s="105" t="s">
        <v>73</v>
      </c>
      <c r="M732" s="89" t="s">
        <v>515</v>
      </c>
      <c r="N732" s="117"/>
      <c r="O732" s="137">
        <f t="shared" si="44"/>
        <v>200</v>
      </c>
      <c r="P732" s="115"/>
      <c r="Q732" s="61">
        <f t="shared" si="42"/>
        <v>0</v>
      </c>
      <c r="R732" s="68"/>
      <c r="S732" s="72" t="s">
        <v>1699</v>
      </c>
      <c r="T732" s="105" t="s">
        <v>581</v>
      </c>
      <c r="U732" s="59" t="str">
        <f>VLOOKUP(T732,[1]区域划分!$A$1:$C$39,3,0)</f>
        <v>新疆</v>
      </c>
      <c r="V732" s="68"/>
      <c r="W732" s="68"/>
      <c r="X732" s="68"/>
    </row>
    <row r="733" s="17" customFormat="1" ht="24" spans="1:24">
      <c r="A733" s="59">
        <v>730</v>
      </c>
      <c r="B733" s="60" t="s">
        <v>1700</v>
      </c>
      <c r="C733" s="114">
        <f t="shared" si="41"/>
        <v>45252</v>
      </c>
      <c r="D733" s="62" t="str">
        <f ca="1" t="shared" si="43"/>
        <v>一年以上</v>
      </c>
      <c r="E733" s="115">
        <v>45252</v>
      </c>
      <c r="F733" s="115" t="s">
        <v>632</v>
      </c>
      <c r="G733" s="132" t="s">
        <v>450</v>
      </c>
      <c r="H733" s="100" t="s">
        <v>1698</v>
      </c>
      <c r="I733" s="63" t="s">
        <v>1698</v>
      </c>
      <c r="J733" s="116">
        <v>200</v>
      </c>
      <c r="K733" s="105" t="s">
        <v>28</v>
      </c>
      <c r="L733" s="105" t="s">
        <v>73</v>
      </c>
      <c r="M733" s="89" t="s">
        <v>515</v>
      </c>
      <c r="N733" s="117"/>
      <c r="O733" s="137">
        <f t="shared" si="44"/>
        <v>200</v>
      </c>
      <c r="P733" s="115"/>
      <c r="Q733" s="61">
        <f t="shared" si="42"/>
        <v>0</v>
      </c>
      <c r="R733" s="68"/>
      <c r="S733" s="72" t="s">
        <v>1701</v>
      </c>
      <c r="T733" s="105" t="s">
        <v>581</v>
      </c>
      <c r="U733" s="59" t="str">
        <f>VLOOKUP(T733,[1]区域划分!$A$1:$C$39,3,0)</f>
        <v>新疆</v>
      </c>
      <c r="V733" s="68"/>
      <c r="W733" s="68"/>
      <c r="X733" s="68"/>
    </row>
    <row r="734" s="17" customFormat="1" ht="24" spans="1:24">
      <c r="A734" s="59">
        <v>731</v>
      </c>
      <c r="B734" s="60" t="s">
        <v>1702</v>
      </c>
      <c r="C734" s="114">
        <f t="shared" si="41"/>
        <v>45252</v>
      </c>
      <c r="D734" s="62" t="str">
        <f ca="1" t="shared" si="43"/>
        <v>一年以上</v>
      </c>
      <c r="E734" s="115">
        <v>45252</v>
      </c>
      <c r="F734" s="115" t="s">
        <v>632</v>
      </c>
      <c r="G734" s="132" t="s">
        <v>450</v>
      </c>
      <c r="H734" s="100" t="s">
        <v>1703</v>
      </c>
      <c r="I734" s="63" t="s">
        <v>1703</v>
      </c>
      <c r="J734" s="116">
        <v>200</v>
      </c>
      <c r="K734" s="105" t="s">
        <v>28</v>
      </c>
      <c r="L734" s="105" t="s">
        <v>73</v>
      </c>
      <c r="M734" s="89" t="s">
        <v>515</v>
      </c>
      <c r="N734" s="117"/>
      <c r="O734" s="137">
        <f t="shared" si="44"/>
        <v>200</v>
      </c>
      <c r="P734" s="115"/>
      <c r="Q734" s="61">
        <f t="shared" si="42"/>
        <v>0</v>
      </c>
      <c r="R734" s="68"/>
      <c r="S734" s="148" t="s">
        <v>1704</v>
      </c>
      <c r="T734" s="105" t="s">
        <v>86</v>
      </c>
      <c r="U734" s="59" t="str">
        <f>VLOOKUP(T734,[1]区域划分!$A$1:$C$39,3,0)</f>
        <v>朱利勇</v>
      </c>
      <c r="V734" s="68"/>
      <c r="W734" s="68"/>
      <c r="X734" s="68"/>
    </row>
    <row r="735" s="17" customFormat="1" ht="24" hidden="1" spans="1:24">
      <c r="A735" s="59">
        <v>732</v>
      </c>
      <c r="B735" s="60" t="s">
        <v>1705</v>
      </c>
      <c r="C735" s="114">
        <f t="shared" si="41"/>
        <v>45254</v>
      </c>
      <c r="D735" s="62" t="str">
        <f ca="1" t="shared" si="43"/>
        <v>一年以上</v>
      </c>
      <c r="E735" s="115">
        <v>45254</v>
      </c>
      <c r="F735" s="115" t="s">
        <v>632</v>
      </c>
      <c r="G735" s="132" t="s">
        <v>450</v>
      </c>
      <c r="H735" s="100" t="s">
        <v>863</v>
      </c>
      <c r="I735" s="63" t="s">
        <v>863</v>
      </c>
      <c r="J735" s="116">
        <v>20000</v>
      </c>
      <c r="K735" s="105" t="s">
        <v>1706</v>
      </c>
      <c r="L735" s="136" t="s">
        <v>73</v>
      </c>
      <c r="M735" s="89" t="s">
        <v>30</v>
      </c>
      <c r="N735" s="104">
        <v>20000</v>
      </c>
      <c r="O735" s="137">
        <f t="shared" si="44"/>
        <v>0</v>
      </c>
      <c r="P735" s="115">
        <v>45317</v>
      </c>
      <c r="Q735" s="61">
        <f t="shared" si="42"/>
        <v>45317</v>
      </c>
      <c r="R735" s="68"/>
      <c r="S735" s="72" t="s">
        <v>1707</v>
      </c>
      <c r="T735" s="105" t="s">
        <v>972</v>
      </c>
      <c r="U735" s="59" t="str">
        <f>VLOOKUP(T735,[1]区域划分!$A$1:$C$39,3,0)</f>
        <v>曾江利</v>
      </c>
      <c r="V735" s="68"/>
      <c r="W735" s="68"/>
      <c r="X735" s="68"/>
    </row>
    <row r="736" s="17" customFormat="1" ht="24" hidden="1" spans="1:24">
      <c r="A736" s="59">
        <v>733</v>
      </c>
      <c r="B736" s="60" t="s">
        <v>1708</v>
      </c>
      <c r="C736" s="114">
        <f t="shared" si="41"/>
        <v>45254</v>
      </c>
      <c r="D736" s="62" t="str">
        <f ca="1" t="shared" si="43"/>
        <v>一年以上</v>
      </c>
      <c r="E736" s="115">
        <v>45254</v>
      </c>
      <c r="F736" s="115" t="s">
        <v>632</v>
      </c>
      <c r="G736" s="132" t="s">
        <v>450</v>
      </c>
      <c r="H736" s="100" t="s">
        <v>1689</v>
      </c>
      <c r="I736" s="63" t="s">
        <v>1689</v>
      </c>
      <c r="J736" s="116">
        <v>300</v>
      </c>
      <c r="K736" s="105" t="s">
        <v>28</v>
      </c>
      <c r="L736" s="105" t="s">
        <v>73</v>
      </c>
      <c r="M736" s="89" t="s">
        <v>968</v>
      </c>
      <c r="N736" s="117">
        <v>300</v>
      </c>
      <c r="O736" s="137">
        <f t="shared" si="44"/>
        <v>0</v>
      </c>
      <c r="P736" s="115">
        <v>45254</v>
      </c>
      <c r="Q736" s="61">
        <f t="shared" si="42"/>
        <v>45254</v>
      </c>
      <c r="R736" s="68"/>
      <c r="S736" s="72" t="s">
        <v>1709</v>
      </c>
      <c r="T736" s="105"/>
      <c r="U736" s="59"/>
      <c r="V736" s="68"/>
      <c r="W736" s="68"/>
      <c r="X736" s="68"/>
    </row>
    <row r="737" s="17" customFormat="1" ht="15" hidden="1" customHeight="1" spans="1:24">
      <c r="A737" s="59">
        <v>734</v>
      </c>
      <c r="B737" s="60" t="s">
        <v>1710</v>
      </c>
      <c r="C737" s="114">
        <f t="shared" si="41"/>
        <v>45254</v>
      </c>
      <c r="D737" s="62" t="str">
        <f ca="1" t="shared" si="43"/>
        <v>一年以上</v>
      </c>
      <c r="E737" s="115">
        <v>45254</v>
      </c>
      <c r="F737" s="115" t="s">
        <v>632</v>
      </c>
      <c r="G737" s="132" t="s">
        <v>450</v>
      </c>
      <c r="H737" s="100" t="s">
        <v>1711</v>
      </c>
      <c r="I737" s="63" t="s">
        <v>1711</v>
      </c>
      <c r="J737" s="116">
        <v>200</v>
      </c>
      <c r="K737" s="105" t="s">
        <v>28</v>
      </c>
      <c r="L737" s="105" t="s">
        <v>73</v>
      </c>
      <c r="M737" s="89" t="s">
        <v>968</v>
      </c>
      <c r="N737" s="117">
        <v>200</v>
      </c>
      <c r="O737" s="137">
        <f t="shared" si="44"/>
        <v>0</v>
      </c>
      <c r="P737" s="115">
        <v>45254</v>
      </c>
      <c r="Q737" s="61">
        <f t="shared" si="42"/>
        <v>45254</v>
      </c>
      <c r="R737" s="68"/>
      <c r="S737" s="72" t="s">
        <v>1712</v>
      </c>
      <c r="T737" s="105"/>
      <c r="U737" s="59"/>
      <c r="V737" s="68"/>
      <c r="W737" s="68"/>
      <c r="X737" s="68"/>
    </row>
    <row r="738" s="17" customFormat="1" ht="24" hidden="1" spans="1:24">
      <c r="A738" s="59">
        <v>735</v>
      </c>
      <c r="B738" s="60" t="s">
        <v>1713</v>
      </c>
      <c r="C738" s="114">
        <f t="shared" si="41"/>
        <v>45258</v>
      </c>
      <c r="D738" s="62" t="str">
        <f ca="1" t="shared" si="43"/>
        <v>一年以上</v>
      </c>
      <c r="E738" s="115">
        <v>45258</v>
      </c>
      <c r="F738" s="115" t="s">
        <v>632</v>
      </c>
      <c r="G738" s="132" t="s">
        <v>450</v>
      </c>
      <c r="H738" s="100" t="s">
        <v>1703</v>
      </c>
      <c r="I738" s="63" t="s">
        <v>1703</v>
      </c>
      <c r="J738" s="116">
        <v>3000</v>
      </c>
      <c r="K738" s="105" t="s">
        <v>28</v>
      </c>
      <c r="L738" s="105" t="s">
        <v>73</v>
      </c>
      <c r="M738" s="89" t="s">
        <v>30</v>
      </c>
      <c r="N738" s="117">
        <v>3000</v>
      </c>
      <c r="O738" s="137">
        <f t="shared" si="44"/>
        <v>0</v>
      </c>
      <c r="P738" s="115">
        <v>45267</v>
      </c>
      <c r="Q738" s="61">
        <f t="shared" si="42"/>
        <v>45267</v>
      </c>
      <c r="R738" s="68"/>
      <c r="S738" s="148" t="s">
        <v>1704</v>
      </c>
      <c r="T738" s="105" t="s">
        <v>86</v>
      </c>
      <c r="U738" s="59" t="str">
        <f>VLOOKUP(T738,[1]区域划分!$A$1:$C$39,3,0)</f>
        <v>朱利勇</v>
      </c>
      <c r="V738" s="68"/>
      <c r="W738" s="68"/>
      <c r="X738" s="68"/>
    </row>
    <row r="739" s="17" customFormat="1" ht="24" spans="1:24">
      <c r="A739" s="59">
        <v>736</v>
      </c>
      <c r="B739" s="60" t="s">
        <v>1714</v>
      </c>
      <c r="C739" s="114">
        <f t="shared" si="41"/>
        <v>45238</v>
      </c>
      <c r="D739" s="62" t="str">
        <f ca="1" t="shared" si="43"/>
        <v>一年以上</v>
      </c>
      <c r="E739" s="115">
        <v>45238</v>
      </c>
      <c r="F739" s="115" t="s">
        <v>632</v>
      </c>
      <c r="G739" s="132" t="s">
        <v>993</v>
      </c>
      <c r="H739" s="100" t="s">
        <v>1715</v>
      </c>
      <c r="I739" s="63" t="s">
        <v>1715</v>
      </c>
      <c r="J739" s="116">
        <v>12800</v>
      </c>
      <c r="K739" s="105" t="s">
        <v>28</v>
      </c>
      <c r="L739" s="105" t="s">
        <v>73</v>
      </c>
      <c r="M739" s="89" t="s">
        <v>968</v>
      </c>
      <c r="N739" s="117"/>
      <c r="O739" s="137">
        <f t="shared" si="44"/>
        <v>12800</v>
      </c>
      <c r="P739" s="115"/>
      <c r="Q739" s="61">
        <f t="shared" si="42"/>
        <v>0</v>
      </c>
      <c r="R739" s="68"/>
      <c r="S739" s="72"/>
      <c r="T739" s="105"/>
      <c r="U739" s="59"/>
      <c r="V739" s="68"/>
      <c r="W739" s="68"/>
      <c r="X739" s="68"/>
    </row>
    <row r="740" s="17" customFormat="1" ht="15" hidden="1" customHeight="1" spans="1:24">
      <c r="A740" s="59">
        <v>737</v>
      </c>
      <c r="B740" s="60" t="s">
        <v>1716</v>
      </c>
      <c r="C740" s="114">
        <f t="shared" si="41"/>
        <v>45258</v>
      </c>
      <c r="D740" s="62" t="str">
        <f ca="1" t="shared" si="43"/>
        <v>一年以上</v>
      </c>
      <c r="E740" s="115">
        <v>45258</v>
      </c>
      <c r="F740" s="115" t="s">
        <v>70</v>
      </c>
      <c r="G740" s="132" t="s">
        <v>1672</v>
      </c>
      <c r="H740" s="100" t="s">
        <v>863</v>
      </c>
      <c r="I740" s="63" t="s">
        <v>863</v>
      </c>
      <c r="J740" s="116">
        <v>6000</v>
      </c>
      <c r="K740" s="105" t="s">
        <v>28</v>
      </c>
      <c r="L740" s="136" t="s">
        <v>73</v>
      </c>
      <c r="M740" s="89" t="s">
        <v>65</v>
      </c>
      <c r="N740" s="104">
        <v>6000</v>
      </c>
      <c r="O740" s="137">
        <f t="shared" si="44"/>
        <v>0</v>
      </c>
      <c r="P740" s="115">
        <v>45345</v>
      </c>
      <c r="Q740" s="61">
        <f t="shared" si="42"/>
        <v>45345</v>
      </c>
      <c r="R740" s="68"/>
      <c r="S740" s="72" t="s">
        <v>1695</v>
      </c>
      <c r="T740" s="105" t="s">
        <v>972</v>
      </c>
      <c r="U740" s="59" t="str">
        <f>VLOOKUP(T740,[1]区域划分!$A$1:$C$39,3,0)</f>
        <v>曾江利</v>
      </c>
      <c r="V740" s="68"/>
      <c r="W740" s="68"/>
      <c r="X740" s="68"/>
    </row>
    <row r="741" s="17" customFormat="1" ht="15" customHeight="1" spans="1:24">
      <c r="A741" s="59">
        <v>738</v>
      </c>
      <c r="B741" s="60" t="s">
        <v>1717</v>
      </c>
      <c r="C741" s="114">
        <f t="shared" si="41"/>
        <v>45258</v>
      </c>
      <c r="D741" s="62" t="str">
        <f ca="1" t="shared" si="43"/>
        <v>一年以上</v>
      </c>
      <c r="E741" s="115">
        <v>45258</v>
      </c>
      <c r="F741" s="115" t="s">
        <v>70</v>
      </c>
      <c r="G741" s="132" t="s">
        <v>1672</v>
      </c>
      <c r="H741" s="100" t="s">
        <v>863</v>
      </c>
      <c r="I741" s="63" t="s">
        <v>863</v>
      </c>
      <c r="J741" s="116">
        <v>9000</v>
      </c>
      <c r="K741" s="105" t="s">
        <v>28</v>
      </c>
      <c r="L741" s="105" t="s">
        <v>73</v>
      </c>
      <c r="M741" s="89" t="s">
        <v>65</v>
      </c>
      <c r="N741" s="117"/>
      <c r="O741" s="140">
        <f t="shared" si="44"/>
        <v>9000</v>
      </c>
      <c r="P741" s="115"/>
      <c r="Q741" s="61">
        <f t="shared" si="42"/>
        <v>0</v>
      </c>
      <c r="R741" s="68"/>
      <c r="S741" s="72" t="s">
        <v>1718</v>
      </c>
      <c r="T741" s="105" t="s">
        <v>972</v>
      </c>
      <c r="U741" s="59" t="str">
        <f>VLOOKUP(T741,[1]区域划分!$A$1:$C$39,3,0)</f>
        <v>曾江利</v>
      </c>
      <c r="V741" s="68"/>
      <c r="W741" s="68"/>
      <c r="X741" s="68"/>
    </row>
    <row r="742" s="17" customFormat="1" ht="15" customHeight="1" spans="1:24">
      <c r="A742" s="59">
        <v>739</v>
      </c>
      <c r="B742" s="60" t="s">
        <v>1719</v>
      </c>
      <c r="C742" s="114">
        <f t="shared" si="41"/>
        <v>45258</v>
      </c>
      <c r="D742" s="62" t="str">
        <f ca="1" t="shared" si="43"/>
        <v>一年以上</v>
      </c>
      <c r="E742" s="115">
        <v>45258</v>
      </c>
      <c r="F742" s="115" t="s">
        <v>130</v>
      </c>
      <c r="G742" s="132" t="s">
        <v>1465</v>
      </c>
      <c r="H742" s="100" t="s">
        <v>863</v>
      </c>
      <c r="I742" s="63" t="s">
        <v>863</v>
      </c>
      <c r="J742" s="116">
        <v>9000</v>
      </c>
      <c r="K742" s="105" t="s">
        <v>28</v>
      </c>
      <c r="L742" s="105" t="s">
        <v>73</v>
      </c>
      <c r="M742" s="89" t="s">
        <v>133</v>
      </c>
      <c r="N742" s="117"/>
      <c r="O742" s="140">
        <f t="shared" si="44"/>
        <v>9000</v>
      </c>
      <c r="P742" s="115"/>
      <c r="Q742" s="61">
        <f t="shared" si="42"/>
        <v>0</v>
      </c>
      <c r="R742" s="68"/>
      <c r="S742" s="72" t="s">
        <v>1718</v>
      </c>
      <c r="T742" s="105" t="s">
        <v>972</v>
      </c>
      <c r="U742" s="59" t="str">
        <f>VLOOKUP(T742,[1]区域划分!$A$1:$C$39,3,0)</f>
        <v>曾江利</v>
      </c>
      <c r="V742" s="68"/>
      <c r="W742" s="68"/>
      <c r="X742" s="68"/>
    </row>
    <row r="743" s="17" customFormat="1" ht="24" spans="1:24">
      <c r="A743" s="59">
        <v>740</v>
      </c>
      <c r="B743" s="60" t="s">
        <v>1720</v>
      </c>
      <c r="C743" s="114">
        <f t="shared" si="41"/>
        <v>45258</v>
      </c>
      <c r="D743" s="62" t="str">
        <f ca="1" t="shared" si="43"/>
        <v>一年以上</v>
      </c>
      <c r="E743" s="115">
        <v>45258</v>
      </c>
      <c r="F743" s="115" t="s">
        <v>70</v>
      </c>
      <c r="G743" s="132" t="s">
        <v>1672</v>
      </c>
      <c r="H743" s="100" t="s">
        <v>663</v>
      </c>
      <c r="I743" s="63" t="s">
        <v>663</v>
      </c>
      <c r="J743" s="116">
        <v>59000</v>
      </c>
      <c r="K743" s="105" t="s">
        <v>28</v>
      </c>
      <c r="L743" s="105" t="s">
        <v>73</v>
      </c>
      <c r="M743" s="89" t="s">
        <v>941</v>
      </c>
      <c r="N743" s="117"/>
      <c r="O743" s="137">
        <f t="shared" si="44"/>
        <v>59000</v>
      </c>
      <c r="P743" s="115"/>
      <c r="Q743" s="61">
        <f t="shared" si="42"/>
        <v>0</v>
      </c>
      <c r="R743" s="68"/>
      <c r="S743" s="148" t="s">
        <v>1721</v>
      </c>
      <c r="T743" s="105" t="s">
        <v>581</v>
      </c>
      <c r="U743" s="59" t="str">
        <f>VLOOKUP(T743,[1]区域划分!$A$1:$C$39,3,0)</f>
        <v>新疆</v>
      </c>
      <c r="V743" s="68" t="s">
        <v>1722</v>
      </c>
      <c r="W743" s="68"/>
      <c r="X743" s="68"/>
    </row>
    <row r="744" s="17" customFormat="1" ht="24" spans="1:24">
      <c r="A744" s="59">
        <v>741</v>
      </c>
      <c r="B744" s="60" t="s">
        <v>1723</v>
      </c>
      <c r="C744" s="114">
        <v>45261</v>
      </c>
      <c r="D744" s="62" t="str">
        <f ca="1" t="shared" si="43"/>
        <v>一年以上</v>
      </c>
      <c r="E744" s="115">
        <v>45258</v>
      </c>
      <c r="F744" s="115" t="s">
        <v>70</v>
      </c>
      <c r="G744" s="132" t="s">
        <v>1672</v>
      </c>
      <c r="H744" s="100" t="s">
        <v>663</v>
      </c>
      <c r="I744" s="63" t="s">
        <v>663</v>
      </c>
      <c r="J744" s="116">
        <v>44802</v>
      </c>
      <c r="K744" s="105" t="s">
        <v>28</v>
      </c>
      <c r="L744" s="105" t="s">
        <v>73</v>
      </c>
      <c r="M744" s="89" t="s">
        <v>941</v>
      </c>
      <c r="N744" s="117"/>
      <c r="O744" s="137">
        <f t="shared" si="44"/>
        <v>44802</v>
      </c>
      <c r="P744" s="115"/>
      <c r="Q744" s="61">
        <f t="shared" si="42"/>
        <v>0</v>
      </c>
      <c r="R744" s="68"/>
      <c r="S744" s="72" t="s">
        <v>1724</v>
      </c>
      <c r="T744" s="105" t="s">
        <v>581</v>
      </c>
      <c r="U744" s="59" t="str">
        <f>VLOOKUP(T744,[1]区域划分!$A$1:$C$39,3,0)</f>
        <v>新疆</v>
      </c>
      <c r="V744" s="68" t="s">
        <v>1722</v>
      </c>
      <c r="W744" s="68"/>
      <c r="X744" s="68"/>
    </row>
    <row r="745" s="17" customFormat="1" ht="24" spans="1:24">
      <c r="A745" s="59">
        <v>742</v>
      </c>
      <c r="B745" s="60" t="s">
        <v>1725</v>
      </c>
      <c r="C745" s="114">
        <v>45261</v>
      </c>
      <c r="D745" s="62" t="str">
        <f ca="1" t="shared" si="43"/>
        <v>一年以上</v>
      </c>
      <c r="E745" s="115">
        <v>45258</v>
      </c>
      <c r="F745" s="115" t="s">
        <v>70</v>
      </c>
      <c r="G745" s="132" t="s">
        <v>1672</v>
      </c>
      <c r="H745" s="100" t="s">
        <v>663</v>
      </c>
      <c r="I745" s="63" t="s">
        <v>663</v>
      </c>
      <c r="J745" s="116">
        <v>32400</v>
      </c>
      <c r="K745" s="105" t="s">
        <v>28</v>
      </c>
      <c r="L745" s="105" t="s">
        <v>73</v>
      </c>
      <c r="M745" s="89" t="s">
        <v>941</v>
      </c>
      <c r="N745" s="117"/>
      <c r="O745" s="137">
        <f t="shared" si="44"/>
        <v>32400</v>
      </c>
      <c r="P745" s="115"/>
      <c r="Q745" s="61">
        <f t="shared" si="42"/>
        <v>0</v>
      </c>
      <c r="R745" s="68"/>
      <c r="S745" s="72" t="s">
        <v>1726</v>
      </c>
      <c r="T745" s="105" t="s">
        <v>581</v>
      </c>
      <c r="U745" s="59" t="str">
        <f>VLOOKUP(T745,[1]区域划分!$A$1:$C$39,3,0)</f>
        <v>新疆</v>
      </c>
      <c r="V745" s="68" t="s">
        <v>1722</v>
      </c>
      <c r="W745" s="68"/>
      <c r="X745" s="68"/>
    </row>
    <row r="746" s="17" customFormat="1" ht="24" spans="1:24">
      <c r="A746" s="59">
        <v>743</v>
      </c>
      <c r="B746" s="60" t="s">
        <v>1727</v>
      </c>
      <c r="C746" s="114">
        <f t="shared" ref="C746:C780" si="45">E746</f>
        <v>45258</v>
      </c>
      <c r="D746" s="62" t="str">
        <f ca="1" t="shared" si="43"/>
        <v>一年以上</v>
      </c>
      <c r="E746" s="115">
        <v>45258</v>
      </c>
      <c r="F746" s="115" t="s">
        <v>70</v>
      </c>
      <c r="G746" s="132" t="s">
        <v>1672</v>
      </c>
      <c r="H746" s="100" t="s">
        <v>663</v>
      </c>
      <c r="I746" s="63" t="s">
        <v>663</v>
      </c>
      <c r="J746" s="116">
        <v>20000</v>
      </c>
      <c r="K746" s="105" t="s">
        <v>28</v>
      </c>
      <c r="L746" s="105" t="s">
        <v>73</v>
      </c>
      <c r="M746" s="89" t="s">
        <v>65</v>
      </c>
      <c r="N746" s="117"/>
      <c r="O746" s="137">
        <f t="shared" si="44"/>
        <v>20000</v>
      </c>
      <c r="P746" s="115"/>
      <c r="Q746" s="61">
        <f t="shared" si="42"/>
        <v>0</v>
      </c>
      <c r="R746" s="68"/>
      <c r="S746" s="72" t="s">
        <v>1724</v>
      </c>
      <c r="T746" s="105" t="s">
        <v>581</v>
      </c>
      <c r="U746" s="59" t="str">
        <f>VLOOKUP(T746,[1]区域划分!$A$1:$C$39,3,0)</f>
        <v>新疆</v>
      </c>
      <c r="V746" s="68" t="s">
        <v>1722</v>
      </c>
      <c r="W746" s="68"/>
      <c r="X746" s="68"/>
    </row>
    <row r="747" s="17" customFormat="1" ht="24" spans="1:24">
      <c r="A747" s="59">
        <v>744</v>
      </c>
      <c r="B747" s="60" t="s">
        <v>1728</v>
      </c>
      <c r="C747" s="114">
        <f t="shared" si="45"/>
        <v>45260</v>
      </c>
      <c r="D747" s="62" t="str">
        <f ca="1" t="shared" si="43"/>
        <v>一年以上</v>
      </c>
      <c r="E747" s="115">
        <v>45260</v>
      </c>
      <c r="F747" s="115" t="s">
        <v>632</v>
      </c>
      <c r="G747" s="132" t="s">
        <v>450</v>
      </c>
      <c r="H747" s="100" t="s">
        <v>1729</v>
      </c>
      <c r="I747" s="100" t="s">
        <v>1729</v>
      </c>
      <c r="J747" s="116">
        <v>200</v>
      </c>
      <c r="K747" s="105" t="s">
        <v>28</v>
      </c>
      <c r="L747" s="105" t="s">
        <v>73</v>
      </c>
      <c r="M747" s="89" t="s">
        <v>515</v>
      </c>
      <c r="N747" s="117"/>
      <c r="O747" s="224">
        <f t="shared" si="44"/>
        <v>200</v>
      </c>
      <c r="P747" s="115"/>
      <c r="Q747" s="61">
        <f t="shared" si="42"/>
        <v>0</v>
      </c>
      <c r="R747" s="68"/>
      <c r="S747" s="72" t="s">
        <v>1730</v>
      </c>
      <c r="T747" s="105" t="s">
        <v>581</v>
      </c>
      <c r="U747" s="59" t="str">
        <f>VLOOKUP(T747,[1]区域划分!$A$1:$C$39,3,0)</f>
        <v>新疆</v>
      </c>
      <c r="V747" s="68"/>
      <c r="W747" s="68"/>
      <c r="X747" s="68"/>
    </row>
    <row r="748" s="17" customFormat="1" ht="24" spans="1:24">
      <c r="A748" s="59">
        <v>745</v>
      </c>
      <c r="B748" s="60" t="s">
        <v>1731</v>
      </c>
      <c r="C748" s="114">
        <f t="shared" si="45"/>
        <v>45260</v>
      </c>
      <c r="D748" s="62" t="str">
        <f ca="1" t="shared" si="43"/>
        <v>一年以上</v>
      </c>
      <c r="E748" s="115">
        <v>45260</v>
      </c>
      <c r="F748" s="115" t="s">
        <v>632</v>
      </c>
      <c r="G748" s="132" t="s">
        <v>450</v>
      </c>
      <c r="H748" s="100" t="s">
        <v>1729</v>
      </c>
      <c r="I748" s="100" t="s">
        <v>1729</v>
      </c>
      <c r="J748" s="116">
        <v>12000</v>
      </c>
      <c r="K748" s="105" t="s">
        <v>28</v>
      </c>
      <c r="L748" s="105" t="s">
        <v>73</v>
      </c>
      <c r="M748" s="89" t="s">
        <v>30</v>
      </c>
      <c r="N748" s="117"/>
      <c r="O748" s="137">
        <f t="shared" si="44"/>
        <v>12000</v>
      </c>
      <c r="P748" s="115"/>
      <c r="Q748" s="61">
        <f t="shared" si="42"/>
        <v>0</v>
      </c>
      <c r="R748" s="68"/>
      <c r="S748" s="72" t="s">
        <v>1730</v>
      </c>
      <c r="T748" s="105" t="s">
        <v>581</v>
      </c>
      <c r="U748" s="59" t="str">
        <f>VLOOKUP(T748,[1]区域划分!$A$1:$C$39,3,0)</f>
        <v>新疆</v>
      </c>
      <c r="V748" s="68"/>
      <c r="W748" s="68"/>
      <c r="X748" s="68"/>
    </row>
    <row r="749" s="17" customFormat="1" ht="24" hidden="1" spans="1:24">
      <c r="A749" s="59">
        <v>746</v>
      </c>
      <c r="B749" s="60" t="s">
        <v>1733</v>
      </c>
      <c r="C749" s="114">
        <f t="shared" si="45"/>
        <v>45260</v>
      </c>
      <c r="D749" s="62" t="str">
        <f ca="1" t="shared" si="43"/>
        <v>一年以上</v>
      </c>
      <c r="E749" s="115">
        <v>45260</v>
      </c>
      <c r="F749" s="115" t="s">
        <v>632</v>
      </c>
      <c r="G749" s="132" t="s">
        <v>993</v>
      </c>
      <c r="H749" s="100" t="s">
        <v>1734</v>
      </c>
      <c r="I749" s="63" t="s">
        <v>1734</v>
      </c>
      <c r="J749" s="116">
        <v>400</v>
      </c>
      <c r="K749" s="105" t="s">
        <v>28</v>
      </c>
      <c r="L749" s="105" t="s">
        <v>73</v>
      </c>
      <c r="M749" s="89" t="s">
        <v>968</v>
      </c>
      <c r="N749" s="117">
        <v>400</v>
      </c>
      <c r="O749" s="137">
        <f t="shared" si="44"/>
        <v>0</v>
      </c>
      <c r="P749" s="115">
        <v>45265</v>
      </c>
      <c r="Q749" s="61">
        <f t="shared" si="42"/>
        <v>45265</v>
      </c>
      <c r="R749" s="68"/>
      <c r="S749" s="72" t="s">
        <v>1735</v>
      </c>
      <c r="T749" s="105" t="s">
        <v>581</v>
      </c>
      <c r="U749" s="59" t="str">
        <f>VLOOKUP(T749,[1]区域划分!$A$1:$C$39,3,0)</f>
        <v>新疆</v>
      </c>
      <c r="V749" s="68"/>
      <c r="W749" s="68"/>
      <c r="X749" s="68"/>
    </row>
    <row r="750" s="17" customFormat="1" ht="26.25" hidden="1" spans="1:24">
      <c r="A750" s="59">
        <v>747</v>
      </c>
      <c r="B750" s="60" t="s">
        <v>1736</v>
      </c>
      <c r="C750" s="114">
        <f t="shared" si="45"/>
        <v>45260</v>
      </c>
      <c r="D750" s="62" t="str">
        <f ca="1" t="shared" si="43"/>
        <v>一年以上</v>
      </c>
      <c r="E750" s="115">
        <v>45260</v>
      </c>
      <c r="F750" s="115" t="s">
        <v>632</v>
      </c>
      <c r="G750" s="132" t="s">
        <v>993</v>
      </c>
      <c r="H750" s="100" t="s">
        <v>1734</v>
      </c>
      <c r="I750" s="63" t="s">
        <v>1734</v>
      </c>
      <c r="J750" s="116">
        <v>650</v>
      </c>
      <c r="K750" s="105" t="s">
        <v>28</v>
      </c>
      <c r="L750" s="105" t="s">
        <v>73</v>
      </c>
      <c r="M750" s="89" t="s">
        <v>968</v>
      </c>
      <c r="N750" s="117">
        <v>650</v>
      </c>
      <c r="O750" s="137">
        <f t="shared" si="44"/>
        <v>0</v>
      </c>
      <c r="P750" s="115">
        <v>45260</v>
      </c>
      <c r="Q750" s="61">
        <f t="shared" si="42"/>
        <v>45260</v>
      </c>
      <c r="R750" s="68"/>
      <c r="S750" s="152" t="s">
        <v>1737</v>
      </c>
      <c r="T750" s="105" t="s">
        <v>972</v>
      </c>
      <c r="U750" s="59" t="str">
        <f>VLOOKUP(T750,[1]区域划分!$A$1:$C$39,3,0)</f>
        <v>曾江利</v>
      </c>
      <c r="V750" s="68"/>
      <c r="W750" s="68"/>
      <c r="X750" s="68"/>
    </row>
    <row r="751" s="17" customFormat="1" ht="24" hidden="1" spans="1:24">
      <c r="A751" s="59">
        <v>748</v>
      </c>
      <c r="B751" s="60" t="s">
        <v>1738</v>
      </c>
      <c r="C751" s="114">
        <f t="shared" si="45"/>
        <v>45260</v>
      </c>
      <c r="D751" s="62" t="str">
        <f ca="1" t="shared" si="43"/>
        <v>一年以上</v>
      </c>
      <c r="E751" s="115">
        <v>45260</v>
      </c>
      <c r="F751" s="115" t="s">
        <v>632</v>
      </c>
      <c r="G751" s="132" t="s">
        <v>450</v>
      </c>
      <c r="H751" s="100" t="s">
        <v>1739</v>
      </c>
      <c r="I751" s="63" t="s">
        <v>406</v>
      </c>
      <c r="J751" s="116">
        <v>30000</v>
      </c>
      <c r="K751" s="105" t="s">
        <v>28</v>
      </c>
      <c r="L751" s="136" t="s">
        <v>73</v>
      </c>
      <c r="M751" s="89" t="s">
        <v>30</v>
      </c>
      <c r="N751" s="104">
        <v>30000</v>
      </c>
      <c r="O751" s="137">
        <f t="shared" si="44"/>
        <v>0</v>
      </c>
      <c r="P751" s="115">
        <v>45295</v>
      </c>
      <c r="Q751" s="153">
        <f t="shared" si="42"/>
        <v>45295</v>
      </c>
      <c r="R751" s="68"/>
      <c r="S751" s="72" t="s">
        <v>1687</v>
      </c>
      <c r="T751" s="105" t="s">
        <v>38</v>
      </c>
      <c r="U751" s="59" t="str">
        <f>VLOOKUP(T751,[1]区域划分!$A$1:$C$39,3,0)</f>
        <v>方渊</v>
      </c>
      <c r="V751" s="68"/>
      <c r="W751" s="68"/>
      <c r="X751" s="68"/>
    </row>
    <row r="752" s="17" customFormat="1" ht="24" hidden="1" spans="1:24">
      <c r="A752" s="59">
        <v>749</v>
      </c>
      <c r="B752" s="60" t="s">
        <v>1740</v>
      </c>
      <c r="C752" s="114">
        <f t="shared" si="45"/>
        <v>45260</v>
      </c>
      <c r="D752" s="62" t="str">
        <f ca="1" t="shared" si="43"/>
        <v>一年以上</v>
      </c>
      <c r="E752" s="115">
        <v>45260</v>
      </c>
      <c r="F752" s="115" t="s">
        <v>632</v>
      </c>
      <c r="G752" s="132" t="s">
        <v>450</v>
      </c>
      <c r="H752" s="100" t="s">
        <v>663</v>
      </c>
      <c r="I752" s="63" t="s">
        <v>663</v>
      </c>
      <c r="J752" s="116">
        <v>10000</v>
      </c>
      <c r="K752" s="105" t="s">
        <v>28</v>
      </c>
      <c r="L752" s="105" t="s">
        <v>73</v>
      </c>
      <c r="M752" s="89" t="s">
        <v>30</v>
      </c>
      <c r="N752" s="154">
        <v>10000</v>
      </c>
      <c r="O752" s="137">
        <f t="shared" si="44"/>
        <v>0</v>
      </c>
      <c r="P752" s="144">
        <v>45446</v>
      </c>
      <c r="Q752" s="61">
        <f t="shared" si="42"/>
        <v>45446</v>
      </c>
      <c r="R752" s="68"/>
      <c r="S752" s="72" t="s">
        <v>1741</v>
      </c>
      <c r="T752" s="105" t="s">
        <v>581</v>
      </c>
      <c r="U752" s="59" t="str">
        <f>VLOOKUP(T752,[1]区域划分!$A$1:$C$39,3,0)</f>
        <v>新疆</v>
      </c>
      <c r="V752" s="68"/>
      <c r="W752" s="68"/>
      <c r="X752" s="68"/>
    </row>
    <row r="753" s="17" customFormat="1" ht="24" hidden="1" spans="1:24">
      <c r="A753" s="59">
        <v>750</v>
      </c>
      <c r="B753" s="60" t="s">
        <v>1742</v>
      </c>
      <c r="C753" s="114">
        <f t="shared" si="45"/>
        <v>45260</v>
      </c>
      <c r="D753" s="62" t="str">
        <f ca="1" t="shared" si="43"/>
        <v>一年以上</v>
      </c>
      <c r="E753" s="115">
        <v>45260</v>
      </c>
      <c r="F753" s="115" t="s">
        <v>632</v>
      </c>
      <c r="G753" s="132" t="s">
        <v>450</v>
      </c>
      <c r="H753" s="100" t="s">
        <v>663</v>
      </c>
      <c r="I753" s="63" t="s">
        <v>663</v>
      </c>
      <c r="J753" s="116">
        <v>20000</v>
      </c>
      <c r="K753" s="105" t="s">
        <v>28</v>
      </c>
      <c r="L753" s="105" t="s">
        <v>73</v>
      </c>
      <c r="M753" s="89" t="s">
        <v>30</v>
      </c>
      <c r="N753" s="154">
        <v>20000</v>
      </c>
      <c r="O753" s="137">
        <f t="shared" si="44"/>
        <v>0</v>
      </c>
      <c r="P753" s="144">
        <v>45446</v>
      </c>
      <c r="Q753" s="61">
        <f t="shared" si="42"/>
        <v>45446</v>
      </c>
      <c r="R753" s="68"/>
      <c r="S753" s="72" t="s">
        <v>1735</v>
      </c>
      <c r="T753" s="105" t="s">
        <v>581</v>
      </c>
      <c r="U753" s="59" t="str">
        <f>VLOOKUP(T753,[1]区域划分!$A$1:$C$39,3,0)</f>
        <v>新疆</v>
      </c>
      <c r="V753" s="148" t="s">
        <v>1743</v>
      </c>
      <c r="W753" s="68"/>
      <c r="X753" s="68"/>
    </row>
    <row r="754" s="17" customFormat="1" ht="24" spans="1:24">
      <c r="A754" s="59">
        <v>751</v>
      </c>
      <c r="B754" s="60" t="s">
        <v>1744</v>
      </c>
      <c r="C754" s="114">
        <f t="shared" si="45"/>
        <v>45261</v>
      </c>
      <c r="D754" s="62" t="str">
        <f ca="1" t="shared" si="43"/>
        <v>一年以上</v>
      </c>
      <c r="E754" s="115">
        <v>45261</v>
      </c>
      <c r="F754" s="115" t="s">
        <v>70</v>
      </c>
      <c r="G754" s="132" t="s">
        <v>1672</v>
      </c>
      <c r="H754" s="100" t="s">
        <v>863</v>
      </c>
      <c r="I754" s="63" t="s">
        <v>863</v>
      </c>
      <c r="J754" s="116">
        <v>9000</v>
      </c>
      <c r="K754" s="105" t="s">
        <v>28</v>
      </c>
      <c r="L754" s="105" t="s">
        <v>73</v>
      </c>
      <c r="M754" s="89" t="s">
        <v>941</v>
      </c>
      <c r="N754" s="117"/>
      <c r="O754" s="140">
        <f t="shared" si="44"/>
        <v>9000</v>
      </c>
      <c r="P754" s="115"/>
      <c r="Q754" s="61">
        <f t="shared" si="42"/>
        <v>0</v>
      </c>
      <c r="R754" s="68"/>
      <c r="S754" s="72" t="s">
        <v>1718</v>
      </c>
      <c r="T754" s="105" t="s">
        <v>972</v>
      </c>
      <c r="U754" s="59" t="str">
        <f>VLOOKUP(T754,[1]区域划分!$A$1:$C$39,3,0)</f>
        <v>曾江利</v>
      </c>
      <c r="V754" s="68"/>
      <c r="W754" s="68"/>
      <c r="X754" s="68"/>
    </row>
    <row r="755" s="17" customFormat="1" ht="24" spans="1:24">
      <c r="A755" s="59">
        <v>752</v>
      </c>
      <c r="B755" s="60" t="s">
        <v>1745</v>
      </c>
      <c r="C755" s="114">
        <f t="shared" si="45"/>
        <v>45261</v>
      </c>
      <c r="D755" s="62" t="str">
        <f ca="1" t="shared" si="43"/>
        <v>一年以上</v>
      </c>
      <c r="E755" s="115">
        <v>45261</v>
      </c>
      <c r="F755" s="115" t="s">
        <v>130</v>
      </c>
      <c r="G755" s="132" t="s">
        <v>1596</v>
      </c>
      <c r="H755" s="100" t="s">
        <v>1746</v>
      </c>
      <c r="I755" s="63" t="s">
        <v>1746</v>
      </c>
      <c r="J755" s="116">
        <v>50000</v>
      </c>
      <c r="K755" s="105" t="s">
        <v>28</v>
      </c>
      <c r="L755" s="105" t="s">
        <v>73</v>
      </c>
      <c r="M755" s="89" t="s">
        <v>133</v>
      </c>
      <c r="N755" s="117"/>
      <c r="O755" s="137">
        <f t="shared" si="44"/>
        <v>50000</v>
      </c>
      <c r="P755" s="115"/>
      <c r="Q755" s="61">
        <f t="shared" si="42"/>
        <v>0</v>
      </c>
      <c r="R755" s="68"/>
      <c r="S755" s="72" t="s">
        <v>1747</v>
      </c>
      <c r="T755" s="105" t="s">
        <v>720</v>
      </c>
      <c r="U755" s="59" t="str">
        <f>VLOOKUP(T755,[1]区域划分!$A$1:$C$39,3,0)</f>
        <v>杨春龙</v>
      </c>
      <c r="V755" s="68" t="s">
        <v>1748</v>
      </c>
      <c r="W755" s="68"/>
      <c r="X755" s="68"/>
    </row>
    <row r="756" s="17" customFormat="1" ht="36" spans="1:24">
      <c r="A756" s="59">
        <v>753</v>
      </c>
      <c r="B756" s="60" t="s">
        <v>1749</v>
      </c>
      <c r="C756" s="114">
        <f t="shared" si="45"/>
        <v>45264</v>
      </c>
      <c r="D756" s="62" t="str">
        <f ca="1" t="shared" si="43"/>
        <v>一年以上</v>
      </c>
      <c r="E756" s="115">
        <v>45264</v>
      </c>
      <c r="F756" s="115" t="s">
        <v>632</v>
      </c>
      <c r="G756" s="132" t="s">
        <v>450</v>
      </c>
      <c r="H756" s="100" t="s">
        <v>1676</v>
      </c>
      <c r="I756" s="63" t="s">
        <v>1676</v>
      </c>
      <c r="J756" s="116">
        <v>1000</v>
      </c>
      <c r="K756" s="105" t="s">
        <v>28</v>
      </c>
      <c r="L756" s="105" t="s">
        <v>73</v>
      </c>
      <c r="M756" s="89" t="s">
        <v>968</v>
      </c>
      <c r="N756" s="117"/>
      <c r="O756" s="137">
        <f t="shared" si="44"/>
        <v>1000</v>
      </c>
      <c r="P756" s="115"/>
      <c r="Q756" s="61">
        <f t="shared" si="42"/>
        <v>0</v>
      </c>
      <c r="R756" s="68"/>
      <c r="S756" s="152" t="s">
        <v>1750</v>
      </c>
      <c r="T756" s="105" t="s">
        <v>720</v>
      </c>
      <c r="U756" s="59" t="str">
        <f>VLOOKUP(T756,[1]区域划分!$A$1:$C$39,3,0)</f>
        <v>杨春龙</v>
      </c>
      <c r="V756" s="68"/>
      <c r="W756" s="68"/>
      <c r="X756" s="68"/>
    </row>
    <row r="757" s="17" customFormat="1" ht="24" spans="1:24">
      <c r="A757" s="59">
        <v>754</v>
      </c>
      <c r="B757" s="60" t="s">
        <v>1751</v>
      </c>
      <c r="C757" s="114">
        <f t="shared" si="45"/>
        <v>45266</v>
      </c>
      <c r="D757" s="62" t="str">
        <f ca="1" t="shared" si="43"/>
        <v>一年以上</v>
      </c>
      <c r="E757" s="115">
        <v>45266</v>
      </c>
      <c r="F757" s="115" t="s">
        <v>70</v>
      </c>
      <c r="G757" s="132" t="s">
        <v>1672</v>
      </c>
      <c r="H757" s="100" t="s">
        <v>1746</v>
      </c>
      <c r="I757" s="63" t="s">
        <v>1746</v>
      </c>
      <c r="J757" s="116">
        <v>1000</v>
      </c>
      <c r="K757" s="105" t="s">
        <v>28</v>
      </c>
      <c r="L757" s="105" t="s">
        <v>73</v>
      </c>
      <c r="M757" s="89" t="s">
        <v>65</v>
      </c>
      <c r="N757" s="117"/>
      <c r="O757" s="137">
        <f t="shared" si="44"/>
        <v>1000</v>
      </c>
      <c r="P757" s="115"/>
      <c r="Q757" s="61">
        <f t="shared" si="42"/>
        <v>0</v>
      </c>
      <c r="R757" s="68"/>
      <c r="S757" s="72" t="s">
        <v>1747</v>
      </c>
      <c r="T757" s="105" t="s">
        <v>720</v>
      </c>
      <c r="U757" s="59" t="str">
        <f>VLOOKUP(T757,[1]区域划分!$A$1:$C$39,3,0)</f>
        <v>杨春龙</v>
      </c>
      <c r="V757" s="68" t="s">
        <v>1752</v>
      </c>
      <c r="W757" s="68"/>
      <c r="X757" s="68"/>
    </row>
    <row r="758" s="17" customFormat="1" ht="24" hidden="1" spans="1:24">
      <c r="A758" s="59">
        <v>755</v>
      </c>
      <c r="B758" s="60" t="s">
        <v>1753</v>
      </c>
      <c r="C758" s="114">
        <f t="shared" si="45"/>
        <v>45266</v>
      </c>
      <c r="D758" s="62" t="str">
        <f ca="1" t="shared" si="43"/>
        <v>一年以上</v>
      </c>
      <c r="E758" s="115">
        <v>45266</v>
      </c>
      <c r="F758" s="115" t="s">
        <v>632</v>
      </c>
      <c r="G758" s="132" t="s">
        <v>993</v>
      </c>
      <c r="H758" s="100" t="s">
        <v>1754</v>
      </c>
      <c r="I758" s="63" t="s">
        <v>1754</v>
      </c>
      <c r="J758" s="116">
        <v>200</v>
      </c>
      <c r="K758" s="105" t="s">
        <v>28</v>
      </c>
      <c r="L758" s="105" t="s">
        <v>73</v>
      </c>
      <c r="M758" s="89" t="s">
        <v>515</v>
      </c>
      <c r="N758" s="117">
        <v>200</v>
      </c>
      <c r="O758" s="137">
        <f t="shared" si="44"/>
        <v>0</v>
      </c>
      <c r="P758" s="115">
        <v>45266</v>
      </c>
      <c r="Q758" s="61">
        <f t="shared" si="42"/>
        <v>45266</v>
      </c>
      <c r="R758" s="68" t="s">
        <v>951</v>
      </c>
      <c r="S758" s="72" t="s">
        <v>1755</v>
      </c>
      <c r="T758" s="105"/>
      <c r="U758" s="59"/>
      <c r="V758" s="68"/>
      <c r="W758" s="68"/>
      <c r="X758" s="68"/>
    </row>
    <row r="759" s="17" customFormat="1" ht="24" hidden="1" spans="1:24">
      <c r="A759" s="59">
        <v>756</v>
      </c>
      <c r="B759" s="60" t="s">
        <v>1756</v>
      </c>
      <c r="C759" s="114">
        <f t="shared" si="45"/>
        <v>45266</v>
      </c>
      <c r="D759" s="62" t="str">
        <f ca="1" t="shared" si="43"/>
        <v>一年以上</v>
      </c>
      <c r="E759" s="115">
        <v>45266</v>
      </c>
      <c r="F759" s="115" t="s">
        <v>632</v>
      </c>
      <c r="G759" s="132" t="s">
        <v>993</v>
      </c>
      <c r="H759" s="100" t="s">
        <v>1754</v>
      </c>
      <c r="I759" s="63" t="s">
        <v>1754</v>
      </c>
      <c r="J759" s="116">
        <v>10000</v>
      </c>
      <c r="K759" s="105" t="s">
        <v>28</v>
      </c>
      <c r="L759" s="105" t="s">
        <v>73</v>
      </c>
      <c r="M759" s="89" t="s">
        <v>30</v>
      </c>
      <c r="N759" s="155">
        <v>10000</v>
      </c>
      <c r="O759" s="137">
        <f t="shared" si="44"/>
        <v>0</v>
      </c>
      <c r="P759" s="115">
        <v>45394</v>
      </c>
      <c r="Q759" s="61">
        <f t="shared" si="42"/>
        <v>45394</v>
      </c>
      <c r="R759" s="68"/>
      <c r="S759" s="72" t="s">
        <v>1755</v>
      </c>
      <c r="T759" s="105"/>
      <c r="U759" s="59"/>
      <c r="V759" s="68" t="s">
        <v>1757</v>
      </c>
      <c r="W759" s="68"/>
      <c r="X759" s="68"/>
    </row>
    <row r="760" s="17" customFormat="1" ht="24" hidden="1" spans="1:24">
      <c r="A760" s="59">
        <v>757</v>
      </c>
      <c r="B760" s="60" t="s">
        <v>1758</v>
      </c>
      <c r="C760" s="114">
        <f t="shared" si="45"/>
        <v>45266</v>
      </c>
      <c r="D760" s="62" t="str">
        <f ca="1" t="shared" si="43"/>
        <v>一年以上</v>
      </c>
      <c r="E760" s="115">
        <v>45266</v>
      </c>
      <c r="F760" s="115" t="s">
        <v>632</v>
      </c>
      <c r="G760" s="132" t="s">
        <v>450</v>
      </c>
      <c r="H760" s="100" t="s">
        <v>1759</v>
      </c>
      <c r="I760" s="63" t="s">
        <v>1759</v>
      </c>
      <c r="J760" s="116">
        <v>3900</v>
      </c>
      <c r="K760" s="105" t="s">
        <v>28</v>
      </c>
      <c r="L760" s="105" t="s">
        <v>73</v>
      </c>
      <c r="M760" s="89" t="s">
        <v>30</v>
      </c>
      <c r="N760" s="117">
        <v>3900</v>
      </c>
      <c r="O760" s="137">
        <f t="shared" si="44"/>
        <v>0</v>
      </c>
      <c r="P760" s="115">
        <v>45274</v>
      </c>
      <c r="Q760" s="61">
        <f t="shared" si="42"/>
        <v>45274</v>
      </c>
      <c r="R760" s="68"/>
      <c r="S760" s="72" t="s">
        <v>1760</v>
      </c>
      <c r="T760" s="105"/>
      <c r="U760" s="59"/>
      <c r="V760" s="68"/>
      <c r="W760" s="68"/>
      <c r="X760" s="68"/>
    </row>
    <row r="761" s="17" customFormat="1" ht="24" hidden="1" spans="1:24">
      <c r="A761" s="59">
        <v>758</v>
      </c>
      <c r="B761" s="60" t="s">
        <v>1761</v>
      </c>
      <c r="C761" s="114">
        <f t="shared" si="45"/>
        <v>45266</v>
      </c>
      <c r="D761" s="62" t="str">
        <f ca="1" t="shared" si="43"/>
        <v>一年以上</v>
      </c>
      <c r="E761" s="115">
        <v>45266</v>
      </c>
      <c r="F761" s="115" t="s">
        <v>632</v>
      </c>
      <c r="G761" s="132" t="s">
        <v>450</v>
      </c>
      <c r="H761" s="100" t="s">
        <v>1759</v>
      </c>
      <c r="I761" s="63" t="s">
        <v>1759</v>
      </c>
      <c r="J761" s="116">
        <v>3900</v>
      </c>
      <c r="K761" s="105" t="s">
        <v>28</v>
      </c>
      <c r="L761" s="105" t="s">
        <v>73</v>
      </c>
      <c r="M761" s="89" t="s">
        <v>30</v>
      </c>
      <c r="N761" s="117">
        <v>3900</v>
      </c>
      <c r="O761" s="137">
        <f t="shared" si="44"/>
        <v>0</v>
      </c>
      <c r="P761" s="115">
        <v>45271</v>
      </c>
      <c r="Q761" s="61">
        <f t="shared" si="42"/>
        <v>45271</v>
      </c>
      <c r="R761" s="68"/>
      <c r="S761" s="72" t="s">
        <v>1762</v>
      </c>
      <c r="T761" s="105"/>
      <c r="U761" s="59"/>
      <c r="V761" s="68"/>
      <c r="W761" s="68"/>
      <c r="X761" s="68"/>
    </row>
    <row r="762" s="17" customFormat="1" ht="24" hidden="1" spans="1:24">
      <c r="A762" s="59">
        <v>759</v>
      </c>
      <c r="B762" s="60" t="s">
        <v>1763</v>
      </c>
      <c r="C762" s="114">
        <f t="shared" si="45"/>
        <v>45266</v>
      </c>
      <c r="D762" s="62" t="str">
        <f ca="1" t="shared" si="43"/>
        <v>一年以上</v>
      </c>
      <c r="E762" s="115">
        <v>45266</v>
      </c>
      <c r="F762" s="115" t="s">
        <v>632</v>
      </c>
      <c r="G762" s="132" t="s">
        <v>450</v>
      </c>
      <c r="H762" s="100" t="s">
        <v>1759</v>
      </c>
      <c r="I762" s="63" t="s">
        <v>1759</v>
      </c>
      <c r="J762" s="116">
        <v>9000</v>
      </c>
      <c r="K762" s="105" t="s">
        <v>28</v>
      </c>
      <c r="L762" s="105" t="s">
        <v>73</v>
      </c>
      <c r="M762" s="89" t="s">
        <v>30</v>
      </c>
      <c r="N762" s="117">
        <v>9000</v>
      </c>
      <c r="O762" s="137">
        <f t="shared" si="44"/>
        <v>0</v>
      </c>
      <c r="P762" s="115">
        <v>45271</v>
      </c>
      <c r="Q762" s="61">
        <f t="shared" si="42"/>
        <v>45271</v>
      </c>
      <c r="R762" s="68"/>
      <c r="S762" s="72" t="s">
        <v>1764</v>
      </c>
      <c r="T762" s="105"/>
      <c r="U762" s="59"/>
      <c r="V762" s="68"/>
      <c r="W762" s="68"/>
      <c r="X762" s="68"/>
    </row>
    <row r="763" s="17" customFormat="1" ht="24" hidden="1" spans="1:24">
      <c r="A763" s="59">
        <v>760</v>
      </c>
      <c r="B763" s="60" t="s">
        <v>1765</v>
      </c>
      <c r="C763" s="114">
        <f t="shared" si="45"/>
        <v>45266</v>
      </c>
      <c r="D763" s="62" t="str">
        <f ca="1" t="shared" si="43"/>
        <v>一年以上</v>
      </c>
      <c r="E763" s="115">
        <v>45266</v>
      </c>
      <c r="F763" s="115" t="s">
        <v>632</v>
      </c>
      <c r="G763" s="132" t="s">
        <v>450</v>
      </c>
      <c r="H763" s="100" t="s">
        <v>1759</v>
      </c>
      <c r="I763" s="63" t="s">
        <v>1759</v>
      </c>
      <c r="J763" s="116">
        <v>200</v>
      </c>
      <c r="K763" s="105" t="s">
        <v>28</v>
      </c>
      <c r="L763" s="105" t="s">
        <v>73</v>
      </c>
      <c r="M763" s="89" t="s">
        <v>515</v>
      </c>
      <c r="N763" s="117">
        <v>200</v>
      </c>
      <c r="O763" s="137">
        <f t="shared" si="44"/>
        <v>0</v>
      </c>
      <c r="P763" s="115">
        <v>45266</v>
      </c>
      <c r="Q763" s="61">
        <f t="shared" si="42"/>
        <v>45266</v>
      </c>
      <c r="R763" s="68" t="s">
        <v>951</v>
      </c>
      <c r="S763" s="72" t="s">
        <v>1760</v>
      </c>
      <c r="T763" s="105"/>
      <c r="U763" s="59"/>
      <c r="V763" s="68"/>
      <c r="W763" s="68"/>
      <c r="X763" s="68"/>
    </row>
    <row r="764" s="17" customFormat="1" ht="24" hidden="1" spans="1:24">
      <c r="A764" s="59">
        <v>761</v>
      </c>
      <c r="B764" s="60" t="s">
        <v>1766</v>
      </c>
      <c r="C764" s="114">
        <f t="shared" si="45"/>
        <v>45266</v>
      </c>
      <c r="D764" s="62" t="str">
        <f ca="1" t="shared" si="43"/>
        <v>一年以上</v>
      </c>
      <c r="E764" s="115">
        <v>45266</v>
      </c>
      <c r="F764" s="115" t="s">
        <v>632</v>
      </c>
      <c r="G764" s="132" t="s">
        <v>450</v>
      </c>
      <c r="H764" s="100" t="s">
        <v>1759</v>
      </c>
      <c r="I764" s="63" t="s">
        <v>1759</v>
      </c>
      <c r="J764" s="116">
        <v>200</v>
      </c>
      <c r="K764" s="105" t="s">
        <v>28</v>
      </c>
      <c r="L764" s="105" t="s">
        <v>73</v>
      </c>
      <c r="M764" s="89" t="s">
        <v>515</v>
      </c>
      <c r="N764" s="117">
        <v>200</v>
      </c>
      <c r="O764" s="137">
        <f t="shared" si="44"/>
        <v>0</v>
      </c>
      <c r="P764" s="115">
        <v>45266</v>
      </c>
      <c r="Q764" s="61">
        <f t="shared" si="42"/>
        <v>45266</v>
      </c>
      <c r="R764" s="68" t="s">
        <v>951</v>
      </c>
      <c r="S764" s="72" t="s">
        <v>1762</v>
      </c>
      <c r="T764" s="105"/>
      <c r="U764" s="59"/>
      <c r="V764" s="68"/>
      <c r="W764" s="68"/>
      <c r="X764" s="68"/>
    </row>
    <row r="765" s="17" customFormat="1" ht="24" hidden="1" spans="1:24">
      <c r="A765" s="59">
        <v>762</v>
      </c>
      <c r="B765" s="60" t="s">
        <v>1767</v>
      </c>
      <c r="C765" s="114">
        <f t="shared" si="45"/>
        <v>45266</v>
      </c>
      <c r="D765" s="62" t="str">
        <f ca="1" t="shared" si="43"/>
        <v>一年以上</v>
      </c>
      <c r="E765" s="115">
        <v>45266</v>
      </c>
      <c r="F765" s="115" t="s">
        <v>632</v>
      </c>
      <c r="G765" s="132" t="s">
        <v>450</v>
      </c>
      <c r="H765" s="100" t="s">
        <v>1759</v>
      </c>
      <c r="I765" s="63" t="s">
        <v>1759</v>
      </c>
      <c r="J765" s="116">
        <v>200</v>
      </c>
      <c r="K765" s="105" t="s">
        <v>28</v>
      </c>
      <c r="L765" s="105" t="s">
        <v>73</v>
      </c>
      <c r="M765" s="89" t="s">
        <v>515</v>
      </c>
      <c r="N765" s="117">
        <v>200</v>
      </c>
      <c r="O765" s="137">
        <f t="shared" si="44"/>
        <v>0</v>
      </c>
      <c r="P765" s="115">
        <v>45266</v>
      </c>
      <c r="Q765" s="61">
        <f t="shared" si="42"/>
        <v>45266</v>
      </c>
      <c r="R765" s="68" t="s">
        <v>951</v>
      </c>
      <c r="S765" s="72" t="s">
        <v>1764</v>
      </c>
      <c r="T765" s="105"/>
      <c r="U765" s="59"/>
      <c r="V765" s="68"/>
      <c r="W765" s="68"/>
      <c r="X765" s="68"/>
    </row>
    <row r="766" s="17" customFormat="1" ht="14" customHeight="1" spans="1:24">
      <c r="A766" s="59">
        <v>763</v>
      </c>
      <c r="B766" s="60" t="s">
        <v>2660</v>
      </c>
      <c r="C766" s="114">
        <f t="shared" si="45"/>
        <v>45268</v>
      </c>
      <c r="D766" s="62" t="str">
        <f ca="1" t="shared" si="43"/>
        <v>一年以上</v>
      </c>
      <c r="E766" s="115">
        <v>45268</v>
      </c>
      <c r="F766" s="115" t="s">
        <v>130</v>
      </c>
      <c r="G766" s="132" t="s">
        <v>1596</v>
      </c>
      <c r="H766" s="100" t="s">
        <v>863</v>
      </c>
      <c r="I766" s="63" t="s">
        <v>863</v>
      </c>
      <c r="J766" s="116">
        <v>11500</v>
      </c>
      <c r="K766" s="105" t="s">
        <v>28</v>
      </c>
      <c r="L766" s="105" t="s">
        <v>73</v>
      </c>
      <c r="M766" s="89" t="s">
        <v>133</v>
      </c>
      <c r="N766" s="117"/>
      <c r="O766" s="140">
        <f t="shared" si="44"/>
        <v>11500</v>
      </c>
      <c r="P766" s="115"/>
      <c r="Q766" s="61">
        <f t="shared" si="42"/>
        <v>0</v>
      </c>
      <c r="R766" s="68"/>
      <c r="S766" s="72" t="s">
        <v>1769</v>
      </c>
      <c r="T766" s="105" t="s">
        <v>972</v>
      </c>
      <c r="U766" s="59" t="str">
        <f>VLOOKUP(T766,[1]区域划分!$A$1:$C$39,3,0)</f>
        <v>曾江利</v>
      </c>
      <c r="V766" s="72" t="s">
        <v>1770</v>
      </c>
      <c r="W766" s="68"/>
      <c r="X766" s="68"/>
    </row>
    <row r="767" s="17" customFormat="1" ht="24" spans="1:24">
      <c r="A767" s="59">
        <v>764</v>
      </c>
      <c r="B767" s="60" t="s">
        <v>1771</v>
      </c>
      <c r="C767" s="114">
        <f t="shared" si="45"/>
        <v>45272</v>
      </c>
      <c r="D767" s="62" t="str">
        <f ca="1" t="shared" si="43"/>
        <v>一年以上</v>
      </c>
      <c r="E767" s="115">
        <v>45272</v>
      </c>
      <c r="F767" s="115" t="s">
        <v>70</v>
      </c>
      <c r="G767" s="132" t="s">
        <v>1672</v>
      </c>
      <c r="H767" s="100" t="s">
        <v>863</v>
      </c>
      <c r="I767" s="63" t="s">
        <v>863</v>
      </c>
      <c r="J767" s="116">
        <v>12000</v>
      </c>
      <c r="K767" s="105" t="s">
        <v>28</v>
      </c>
      <c r="L767" s="105" t="s">
        <v>73</v>
      </c>
      <c r="M767" s="89" t="s">
        <v>65</v>
      </c>
      <c r="N767" s="117"/>
      <c r="O767" s="140">
        <f t="shared" si="44"/>
        <v>12000</v>
      </c>
      <c r="P767" s="115"/>
      <c r="Q767" s="61">
        <f t="shared" si="42"/>
        <v>0</v>
      </c>
      <c r="R767" s="68"/>
      <c r="S767" s="72" t="s">
        <v>1772</v>
      </c>
      <c r="T767" s="105" t="s">
        <v>972</v>
      </c>
      <c r="U767" s="59" t="str">
        <f>VLOOKUP(T767,[1]区域划分!$A$1:$C$39,3,0)</f>
        <v>曾江利</v>
      </c>
      <c r="V767" s="72" t="s">
        <v>1773</v>
      </c>
      <c r="W767" s="68"/>
      <c r="X767" s="68"/>
    </row>
    <row r="768" s="17" customFormat="1" ht="24" hidden="1" spans="1:24">
      <c r="A768" s="59">
        <v>765</v>
      </c>
      <c r="B768" s="60" t="s">
        <v>1774</v>
      </c>
      <c r="C768" s="114">
        <f t="shared" si="45"/>
        <v>45274</v>
      </c>
      <c r="D768" s="62" t="str">
        <f ca="1" t="shared" si="43"/>
        <v>一年以上</v>
      </c>
      <c r="E768" s="115">
        <v>45274</v>
      </c>
      <c r="F768" s="115" t="s">
        <v>70</v>
      </c>
      <c r="G768" s="132" t="s">
        <v>1672</v>
      </c>
      <c r="H768" s="100" t="s">
        <v>863</v>
      </c>
      <c r="I768" s="63" t="s">
        <v>863</v>
      </c>
      <c r="J768" s="116">
        <v>70000</v>
      </c>
      <c r="K768" s="105" t="s">
        <v>28</v>
      </c>
      <c r="L768" s="136" t="s">
        <v>73</v>
      </c>
      <c r="M768" s="89" t="s">
        <v>65</v>
      </c>
      <c r="N768" s="104">
        <v>70000</v>
      </c>
      <c r="O768" s="137">
        <f t="shared" si="44"/>
        <v>0</v>
      </c>
      <c r="P768" s="115">
        <v>45345</v>
      </c>
      <c r="Q768" s="61">
        <f t="shared" si="42"/>
        <v>45345</v>
      </c>
      <c r="R768" s="68"/>
      <c r="S768" s="72" t="s">
        <v>1646</v>
      </c>
      <c r="T768" s="105" t="s">
        <v>972</v>
      </c>
      <c r="U768" s="59" t="str">
        <f>VLOOKUP(T768,[1]区域划分!$A$1:$C$39,3,0)</f>
        <v>曾江利</v>
      </c>
      <c r="V768" s="72" t="s">
        <v>1773</v>
      </c>
      <c r="W768" s="68"/>
      <c r="X768" s="68"/>
    </row>
    <row r="769" s="17" customFormat="1" ht="24" spans="1:24">
      <c r="A769" s="59">
        <v>766</v>
      </c>
      <c r="B769" s="60" t="s">
        <v>1775</v>
      </c>
      <c r="C769" s="114">
        <f t="shared" si="45"/>
        <v>45274</v>
      </c>
      <c r="D769" s="62" t="str">
        <f ca="1" t="shared" si="43"/>
        <v>一年以上</v>
      </c>
      <c r="E769" s="115">
        <v>45274</v>
      </c>
      <c r="F769" s="115" t="s">
        <v>130</v>
      </c>
      <c r="G769" s="132" t="s">
        <v>1596</v>
      </c>
      <c r="H769" s="100" t="s">
        <v>1729</v>
      </c>
      <c r="I769" s="63" t="s">
        <v>1729</v>
      </c>
      <c r="J769" s="116">
        <v>17100</v>
      </c>
      <c r="K769" s="105" t="s">
        <v>28</v>
      </c>
      <c r="L769" s="105" t="s">
        <v>73</v>
      </c>
      <c r="M769" s="89" t="s">
        <v>133</v>
      </c>
      <c r="N769" s="117"/>
      <c r="O769" s="137">
        <f t="shared" si="44"/>
        <v>17100</v>
      </c>
      <c r="P769" s="115"/>
      <c r="Q769" s="61">
        <f t="shared" si="42"/>
        <v>0</v>
      </c>
      <c r="R769" s="68"/>
      <c r="S769" s="72" t="s">
        <v>1730</v>
      </c>
      <c r="T769" s="105"/>
      <c r="U769" s="59"/>
      <c r="V769" s="72"/>
      <c r="W769" s="68"/>
      <c r="X769" s="68"/>
    </row>
    <row r="770" s="17" customFormat="1" ht="36" spans="1:24">
      <c r="A770" s="59">
        <v>767</v>
      </c>
      <c r="B770" s="60" t="s">
        <v>1776</v>
      </c>
      <c r="C770" s="114">
        <f t="shared" si="45"/>
        <v>45282</v>
      </c>
      <c r="D770" s="62" t="str">
        <f ca="1" t="shared" si="43"/>
        <v>一年以上</v>
      </c>
      <c r="E770" s="115">
        <v>45282</v>
      </c>
      <c r="F770" s="115" t="s">
        <v>70</v>
      </c>
      <c r="G770" s="132" t="s">
        <v>1777</v>
      </c>
      <c r="H770" s="100" t="s">
        <v>663</v>
      </c>
      <c r="I770" s="63" t="str">
        <f t="shared" ref="I770:I801" si="46">H770</f>
        <v>新疆伊犁钢铁有限责任公司</v>
      </c>
      <c r="J770" s="116">
        <v>39390</v>
      </c>
      <c r="K770" s="105" t="s">
        <v>28</v>
      </c>
      <c r="L770" s="105" t="s">
        <v>73</v>
      </c>
      <c r="M770" s="89" t="s">
        <v>941</v>
      </c>
      <c r="N770" s="117"/>
      <c r="O770" s="137">
        <f t="shared" si="44"/>
        <v>39390</v>
      </c>
      <c r="P770" s="115"/>
      <c r="Q770" s="61">
        <f t="shared" si="42"/>
        <v>0</v>
      </c>
      <c r="R770" s="68"/>
      <c r="S770" s="72" t="s">
        <v>1778</v>
      </c>
      <c r="T770" s="105"/>
      <c r="U770" s="59"/>
      <c r="V770" s="72" t="s">
        <v>1722</v>
      </c>
      <c r="W770" s="68"/>
      <c r="X770" s="68"/>
    </row>
    <row r="771" s="17" customFormat="1" ht="14" hidden="1" customHeight="1" spans="1:24">
      <c r="A771" s="59">
        <v>768</v>
      </c>
      <c r="B771" s="60" t="s">
        <v>1779</v>
      </c>
      <c r="C771" s="114">
        <f t="shared" si="45"/>
        <v>45282</v>
      </c>
      <c r="D771" s="62" t="str">
        <f ca="1" t="shared" si="43"/>
        <v>一年以上</v>
      </c>
      <c r="E771" s="115">
        <v>45282</v>
      </c>
      <c r="F771" s="115" t="s">
        <v>632</v>
      </c>
      <c r="G771" s="132" t="s">
        <v>993</v>
      </c>
      <c r="H771" s="100" t="s">
        <v>863</v>
      </c>
      <c r="I771" s="63" t="str">
        <f t="shared" si="46"/>
        <v>青海发投碱业有限公司</v>
      </c>
      <c r="J771" s="116">
        <v>10000</v>
      </c>
      <c r="K771" s="105" t="s">
        <v>1706</v>
      </c>
      <c r="L771" s="136" t="s">
        <v>73</v>
      </c>
      <c r="M771" s="89" t="s">
        <v>30</v>
      </c>
      <c r="N771" s="104">
        <v>10000</v>
      </c>
      <c r="O771" s="137">
        <f t="shared" si="44"/>
        <v>0</v>
      </c>
      <c r="P771" s="115">
        <v>45317</v>
      </c>
      <c r="Q771" s="61">
        <f t="shared" ref="Q771:Q834" si="47">P771</f>
        <v>45317</v>
      </c>
      <c r="R771" s="68"/>
      <c r="S771" s="72" t="s">
        <v>1780</v>
      </c>
      <c r="T771" s="105" t="s">
        <v>972</v>
      </c>
      <c r="U771" s="59" t="str">
        <f>VLOOKUP(T771,[1]区域划分!$A$1:$C$39,3,0)</f>
        <v>曾江利</v>
      </c>
      <c r="V771" s="72" t="s">
        <v>1781</v>
      </c>
      <c r="W771" s="68"/>
      <c r="X771" s="68"/>
    </row>
    <row r="772" s="17" customFormat="1" ht="14" hidden="1" customHeight="1" spans="1:24">
      <c r="A772" s="59">
        <v>769</v>
      </c>
      <c r="B772" s="60" t="s">
        <v>1782</v>
      </c>
      <c r="C772" s="153">
        <f t="shared" si="45"/>
        <v>45282</v>
      </c>
      <c r="D772" s="62" t="str">
        <f ca="1" t="shared" si="43"/>
        <v>一年以上</v>
      </c>
      <c r="E772" s="115">
        <v>45282</v>
      </c>
      <c r="F772" s="115" t="s">
        <v>632</v>
      </c>
      <c r="G772" s="132" t="s">
        <v>993</v>
      </c>
      <c r="H772" s="100" t="s">
        <v>863</v>
      </c>
      <c r="I772" s="63" t="str">
        <f t="shared" si="46"/>
        <v>青海发投碱业有限公司</v>
      </c>
      <c r="J772" s="116">
        <v>10000</v>
      </c>
      <c r="K772" s="105" t="s">
        <v>28</v>
      </c>
      <c r="L772" s="136" t="s">
        <v>73</v>
      </c>
      <c r="M772" s="89" t="s">
        <v>30</v>
      </c>
      <c r="N772" s="104">
        <v>10000</v>
      </c>
      <c r="O772" s="137">
        <f t="shared" si="44"/>
        <v>0</v>
      </c>
      <c r="P772" s="156">
        <v>45317</v>
      </c>
      <c r="Q772" s="61">
        <f t="shared" si="47"/>
        <v>45317</v>
      </c>
      <c r="R772" s="68" t="s">
        <v>1783</v>
      </c>
      <c r="S772" s="72" t="s">
        <v>1784</v>
      </c>
      <c r="T772" s="105" t="s">
        <v>972</v>
      </c>
      <c r="U772" s="59" t="str">
        <f>VLOOKUP(T772,[1]区域划分!$A$1:$C$39,3,0)</f>
        <v>曾江利</v>
      </c>
      <c r="V772" s="72" t="s">
        <v>1781</v>
      </c>
      <c r="W772" s="68"/>
      <c r="X772" s="68"/>
    </row>
    <row r="773" s="17" customFormat="1" ht="14" hidden="1" customHeight="1" spans="1:24">
      <c r="A773" s="59">
        <v>770</v>
      </c>
      <c r="B773" s="60" t="s">
        <v>1785</v>
      </c>
      <c r="C773" s="153">
        <f t="shared" si="45"/>
        <v>45282</v>
      </c>
      <c r="D773" s="62" t="str">
        <f ca="1" t="shared" si="43"/>
        <v>一年以上</v>
      </c>
      <c r="E773" s="115">
        <v>45282</v>
      </c>
      <c r="F773" s="115" t="s">
        <v>632</v>
      </c>
      <c r="G773" s="132" t="s">
        <v>993</v>
      </c>
      <c r="H773" s="100" t="s">
        <v>863</v>
      </c>
      <c r="I773" s="63" t="str">
        <f t="shared" si="46"/>
        <v>青海发投碱业有限公司</v>
      </c>
      <c r="J773" s="116">
        <v>10000</v>
      </c>
      <c r="K773" s="105" t="s">
        <v>28</v>
      </c>
      <c r="L773" s="136" t="s">
        <v>73</v>
      </c>
      <c r="M773" s="89" t="s">
        <v>30</v>
      </c>
      <c r="N773" s="104">
        <v>10000</v>
      </c>
      <c r="O773" s="137">
        <f t="shared" si="44"/>
        <v>0</v>
      </c>
      <c r="P773" s="156">
        <v>45317</v>
      </c>
      <c r="Q773" s="61">
        <f t="shared" si="47"/>
        <v>45317</v>
      </c>
      <c r="R773" s="68" t="s">
        <v>1783</v>
      </c>
      <c r="S773" s="72" t="s">
        <v>1786</v>
      </c>
      <c r="T773" s="105" t="s">
        <v>972</v>
      </c>
      <c r="U773" s="59" t="str">
        <f>VLOOKUP(T773,[1]区域划分!$A$1:$C$39,3,0)</f>
        <v>曾江利</v>
      </c>
      <c r="V773" s="72" t="s">
        <v>1781</v>
      </c>
      <c r="W773" s="68"/>
      <c r="X773" s="68"/>
    </row>
    <row r="774" s="17" customFormat="1" ht="24" spans="1:24">
      <c r="A774" s="59">
        <v>771</v>
      </c>
      <c r="B774" s="60" t="s">
        <v>1787</v>
      </c>
      <c r="C774" s="153">
        <f t="shared" si="45"/>
        <v>45282</v>
      </c>
      <c r="D774" s="62" t="str">
        <f ca="1" t="shared" si="43"/>
        <v>一年以上</v>
      </c>
      <c r="E774" s="115">
        <v>45282</v>
      </c>
      <c r="F774" s="115" t="s">
        <v>632</v>
      </c>
      <c r="G774" s="132" t="s">
        <v>993</v>
      </c>
      <c r="H774" s="100" t="s">
        <v>1734</v>
      </c>
      <c r="I774" s="63" t="str">
        <f t="shared" si="46"/>
        <v>徐州小俏网络科技服务有限公司</v>
      </c>
      <c r="J774" s="116">
        <v>1500</v>
      </c>
      <c r="K774" s="105" t="s">
        <v>28</v>
      </c>
      <c r="L774" s="105" t="s">
        <v>73</v>
      </c>
      <c r="M774" s="89" t="s">
        <v>968</v>
      </c>
      <c r="N774" s="117"/>
      <c r="O774" s="137">
        <f t="shared" si="44"/>
        <v>1500</v>
      </c>
      <c r="P774" s="156"/>
      <c r="Q774" s="61">
        <f t="shared" si="47"/>
        <v>0</v>
      </c>
      <c r="R774" s="68"/>
      <c r="S774" s="72"/>
      <c r="T774" s="68"/>
      <c r="U774" s="72"/>
      <c r="V774" s="72"/>
      <c r="W774" s="68"/>
      <c r="X774" s="68"/>
    </row>
    <row r="775" s="17" customFormat="1" ht="24" spans="1:24">
      <c r="A775" s="59">
        <v>772</v>
      </c>
      <c r="B775" s="60" t="s">
        <v>1788</v>
      </c>
      <c r="C775" s="153">
        <f t="shared" si="45"/>
        <v>45282</v>
      </c>
      <c r="D775" s="62" t="str">
        <f ca="1" t="shared" si="43"/>
        <v>一年以上</v>
      </c>
      <c r="E775" s="115">
        <v>45282</v>
      </c>
      <c r="F775" s="115" t="s">
        <v>632</v>
      </c>
      <c r="G775" s="132" t="s">
        <v>993</v>
      </c>
      <c r="H775" s="100" t="s">
        <v>863</v>
      </c>
      <c r="I775" s="63" t="str">
        <f t="shared" si="46"/>
        <v>青海发投碱业有限公司</v>
      </c>
      <c r="J775" s="116">
        <v>500</v>
      </c>
      <c r="K775" s="105" t="s">
        <v>28</v>
      </c>
      <c r="L775" s="105" t="s">
        <v>73</v>
      </c>
      <c r="M775" s="89" t="s">
        <v>515</v>
      </c>
      <c r="N775" s="117"/>
      <c r="O775" s="140">
        <f t="shared" si="44"/>
        <v>500</v>
      </c>
      <c r="P775" s="156"/>
      <c r="Q775" s="61">
        <f t="shared" si="47"/>
        <v>0</v>
      </c>
      <c r="R775" s="68"/>
      <c r="S775" s="72" t="s">
        <v>1789</v>
      </c>
      <c r="T775" s="105" t="s">
        <v>972</v>
      </c>
      <c r="U775" s="59" t="str">
        <f>VLOOKUP(T775,[1]区域划分!$A$1:$C$39,3,0)</f>
        <v>曾江利</v>
      </c>
      <c r="V775" s="72"/>
      <c r="W775" s="68"/>
      <c r="X775" s="68"/>
    </row>
    <row r="776" s="17" customFormat="1" ht="36" hidden="1" spans="1:24">
      <c r="A776" s="59">
        <v>773</v>
      </c>
      <c r="B776" s="60" t="s">
        <v>1790</v>
      </c>
      <c r="C776" s="153">
        <f t="shared" si="45"/>
        <v>45285</v>
      </c>
      <c r="D776" s="62" t="str">
        <f ca="1" t="shared" si="43"/>
        <v>一年以上</v>
      </c>
      <c r="E776" s="115">
        <v>45285</v>
      </c>
      <c r="F776" s="115" t="s">
        <v>632</v>
      </c>
      <c r="G776" s="132" t="s">
        <v>993</v>
      </c>
      <c r="H776" s="100" t="s">
        <v>863</v>
      </c>
      <c r="I776" s="63" t="str">
        <f t="shared" si="46"/>
        <v>青海发投碱业有限公司</v>
      </c>
      <c r="J776" s="116">
        <v>10000</v>
      </c>
      <c r="K776" s="105" t="s">
        <v>28</v>
      </c>
      <c r="L776" s="136" t="s">
        <v>73</v>
      </c>
      <c r="M776" s="89" t="s">
        <v>30</v>
      </c>
      <c r="N776" s="104">
        <v>10000</v>
      </c>
      <c r="O776" s="137">
        <f t="shared" si="44"/>
        <v>0</v>
      </c>
      <c r="P776" s="115">
        <v>45345</v>
      </c>
      <c r="Q776" s="61">
        <f t="shared" si="47"/>
        <v>45345</v>
      </c>
      <c r="R776" s="68"/>
      <c r="S776" s="72" t="s">
        <v>1791</v>
      </c>
      <c r="T776" s="105" t="s">
        <v>972</v>
      </c>
      <c r="U776" s="59" t="str">
        <f>VLOOKUP(T776,[1]区域划分!$A$1:$C$39,3,0)</f>
        <v>曾江利</v>
      </c>
      <c r="V776" s="72"/>
      <c r="W776" s="68"/>
      <c r="X776" s="68"/>
    </row>
    <row r="777" s="17" customFormat="1" ht="36" hidden="1" spans="1:24">
      <c r="A777" s="59">
        <v>774</v>
      </c>
      <c r="B777" s="60" t="s">
        <v>1792</v>
      </c>
      <c r="C777" s="153">
        <f t="shared" si="45"/>
        <v>45300</v>
      </c>
      <c r="D777" s="62" t="str">
        <f ca="1" t="shared" si="43"/>
        <v>一年以上</v>
      </c>
      <c r="E777" s="115">
        <v>45300</v>
      </c>
      <c r="F777" s="115" t="s">
        <v>632</v>
      </c>
      <c r="G777" s="132" t="s">
        <v>450</v>
      </c>
      <c r="H777" s="100" t="s">
        <v>863</v>
      </c>
      <c r="I777" s="63" t="str">
        <f t="shared" si="46"/>
        <v>青海发投碱业有限公司</v>
      </c>
      <c r="J777" s="157">
        <v>20000</v>
      </c>
      <c r="K777" s="136" t="s">
        <v>28</v>
      </c>
      <c r="L777" s="136" t="s">
        <v>73</v>
      </c>
      <c r="M777" s="89" t="s">
        <v>30</v>
      </c>
      <c r="N777" s="104">
        <v>20000</v>
      </c>
      <c r="O777" s="137">
        <f t="shared" si="44"/>
        <v>0</v>
      </c>
      <c r="P777" s="115">
        <v>45344</v>
      </c>
      <c r="Q777" s="61">
        <f t="shared" si="47"/>
        <v>45344</v>
      </c>
      <c r="R777" s="68"/>
      <c r="S777" s="72" t="s">
        <v>1793</v>
      </c>
      <c r="T777" s="105" t="s">
        <v>972</v>
      </c>
      <c r="U777" s="59" t="str">
        <f>VLOOKUP(T777,[1]区域划分!$A$1:$C$39,3,0)</f>
        <v>曾江利</v>
      </c>
      <c r="V777" s="72"/>
      <c r="W777" s="68"/>
      <c r="X777" s="68"/>
    </row>
    <row r="778" s="17" customFormat="1" ht="36" spans="1:24">
      <c r="A778" s="59">
        <v>775</v>
      </c>
      <c r="B778" s="60" t="s">
        <v>1794</v>
      </c>
      <c r="C778" s="153">
        <f t="shared" si="45"/>
        <v>45295</v>
      </c>
      <c r="D778" s="62" t="str">
        <f ca="1" t="shared" si="43"/>
        <v>一年以上</v>
      </c>
      <c r="E778" s="115">
        <v>45295</v>
      </c>
      <c r="F778" s="115" t="s">
        <v>130</v>
      </c>
      <c r="G778" s="132" t="s">
        <v>1596</v>
      </c>
      <c r="H778" s="100" t="s">
        <v>863</v>
      </c>
      <c r="I778" s="63" t="str">
        <f t="shared" si="46"/>
        <v>青海发投碱业有限公司</v>
      </c>
      <c r="J778" s="157">
        <v>27999</v>
      </c>
      <c r="K778" s="136" t="s">
        <v>28</v>
      </c>
      <c r="L778" s="105" t="s">
        <v>73</v>
      </c>
      <c r="M778" s="89" t="s">
        <v>133</v>
      </c>
      <c r="N778" s="117"/>
      <c r="O778" s="140">
        <f t="shared" si="44"/>
        <v>27999</v>
      </c>
      <c r="P778" s="115"/>
      <c r="Q778" s="61">
        <f t="shared" si="47"/>
        <v>0</v>
      </c>
      <c r="R778" s="68"/>
      <c r="S778" s="72" t="s">
        <v>1786</v>
      </c>
      <c r="T778" s="105" t="s">
        <v>972</v>
      </c>
      <c r="U778" s="59" t="str">
        <f>VLOOKUP(T778,[1]区域划分!$A$1:$C$39,3,0)</f>
        <v>曾江利</v>
      </c>
      <c r="V778" s="72"/>
      <c r="W778" s="68"/>
      <c r="X778" s="68"/>
    </row>
    <row r="779" s="17" customFormat="1" ht="36" spans="1:24">
      <c r="A779" s="59">
        <v>776</v>
      </c>
      <c r="B779" s="60" t="s">
        <v>1795</v>
      </c>
      <c r="C779" s="153">
        <f t="shared" si="45"/>
        <v>45296</v>
      </c>
      <c r="D779" s="62" t="str">
        <f ca="1" t="shared" si="43"/>
        <v>一年以上</v>
      </c>
      <c r="E779" s="115">
        <v>45296</v>
      </c>
      <c r="F779" s="115" t="s">
        <v>70</v>
      </c>
      <c r="G779" s="132" t="s">
        <v>1777</v>
      </c>
      <c r="H779" s="100" t="s">
        <v>863</v>
      </c>
      <c r="I779" s="63" t="str">
        <f t="shared" si="46"/>
        <v>青海发投碱业有限公司</v>
      </c>
      <c r="J779" s="157">
        <v>27999</v>
      </c>
      <c r="K779" s="136" t="s">
        <v>28</v>
      </c>
      <c r="L779" s="105" t="s">
        <v>73</v>
      </c>
      <c r="M779" s="89" t="s">
        <v>941</v>
      </c>
      <c r="N779" s="117"/>
      <c r="O779" s="140">
        <f t="shared" si="44"/>
        <v>27999</v>
      </c>
      <c r="P779" s="115"/>
      <c r="Q779" s="61">
        <f t="shared" si="47"/>
        <v>0</v>
      </c>
      <c r="R779" s="68"/>
      <c r="S779" s="72" t="s">
        <v>1786</v>
      </c>
      <c r="T779" s="105" t="s">
        <v>972</v>
      </c>
      <c r="U779" s="59" t="str">
        <f>VLOOKUP(T779,[1]区域划分!$A$1:$C$39,3,0)</f>
        <v>曾江利</v>
      </c>
      <c r="V779" s="72"/>
      <c r="W779" s="68"/>
      <c r="X779" s="68"/>
    </row>
    <row r="780" s="17" customFormat="1" ht="36" spans="1:24">
      <c r="A780" s="59">
        <v>777</v>
      </c>
      <c r="B780" s="60" t="s">
        <v>1796</v>
      </c>
      <c r="C780" s="153">
        <f t="shared" si="45"/>
        <v>45299</v>
      </c>
      <c r="D780" s="62" t="str">
        <f ca="1" t="shared" si="43"/>
        <v>一年以上</v>
      </c>
      <c r="E780" s="115">
        <v>45299</v>
      </c>
      <c r="F780" s="115" t="s">
        <v>70</v>
      </c>
      <c r="G780" s="132" t="s">
        <v>1777</v>
      </c>
      <c r="H780" s="100" t="s">
        <v>863</v>
      </c>
      <c r="I780" s="63" t="str">
        <f t="shared" si="46"/>
        <v>青海发投碱业有限公司</v>
      </c>
      <c r="J780" s="157">
        <v>28000</v>
      </c>
      <c r="K780" s="136" t="s">
        <v>28</v>
      </c>
      <c r="L780" s="105" t="s">
        <v>73</v>
      </c>
      <c r="M780" s="89" t="s">
        <v>65</v>
      </c>
      <c r="N780" s="117"/>
      <c r="O780" s="140">
        <f t="shared" si="44"/>
        <v>28000</v>
      </c>
      <c r="P780" s="115"/>
      <c r="Q780" s="61">
        <f t="shared" si="47"/>
        <v>0</v>
      </c>
      <c r="R780" s="68"/>
      <c r="S780" s="72" t="s">
        <v>1786</v>
      </c>
      <c r="T780" s="105" t="s">
        <v>972</v>
      </c>
      <c r="U780" s="59" t="str">
        <f>VLOOKUP(T780,[1]区域划分!$A$1:$C$39,3,0)</f>
        <v>曾江利</v>
      </c>
      <c r="V780" s="72"/>
      <c r="W780" s="68"/>
      <c r="X780" s="68"/>
    </row>
    <row r="781" s="17" customFormat="1" ht="36" hidden="1" spans="1:24">
      <c r="A781" s="59">
        <v>778</v>
      </c>
      <c r="B781" s="60" t="s">
        <v>1797</v>
      </c>
      <c r="C781" s="153"/>
      <c r="D781" s="62"/>
      <c r="E781" s="115"/>
      <c r="F781" s="115" t="s">
        <v>632</v>
      </c>
      <c r="G781" s="158" t="s">
        <v>450</v>
      </c>
      <c r="H781" s="100" t="s">
        <v>1169</v>
      </c>
      <c r="I781" s="159" t="str">
        <f t="shared" si="46"/>
        <v>东方希望重庆水泥有限公司</v>
      </c>
      <c r="J781" s="160">
        <f>10000-10000</f>
        <v>0</v>
      </c>
      <c r="K781" s="105" t="s">
        <v>28</v>
      </c>
      <c r="L781" s="105" t="s">
        <v>1798</v>
      </c>
      <c r="M781" s="109" t="s">
        <v>30</v>
      </c>
      <c r="N781" s="161"/>
      <c r="O781" s="162">
        <f t="shared" si="44"/>
        <v>0</v>
      </c>
      <c r="P781" s="115"/>
      <c r="Q781" s="61">
        <f t="shared" si="47"/>
        <v>0</v>
      </c>
      <c r="R781" s="68"/>
      <c r="S781" s="72" t="s">
        <v>1799</v>
      </c>
      <c r="T781" s="105"/>
      <c r="U781" s="59"/>
      <c r="V781" s="72"/>
      <c r="W781" s="68"/>
      <c r="X781" s="68"/>
    </row>
    <row r="782" s="17" customFormat="1" ht="36" spans="1:24">
      <c r="A782" s="59">
        <v>779</v>
      </c>
      <c r="B782" s="60" t="s">
        <v>1800</v>
      </c>
      <c r="C782" s="153">
        <f t="shared" ref="C782:C845" si="48">E782</f>
        <v>45302</v>
      </c>
      <c r="D782" s="62" t="str">
        <f ca="1" t="shared" ref="D782:D787" si="49">IF(TODAY()-E782&lt;60,"2个月内",IF(TODAY()-E782&lt;180,"3-6个月",IF(TODAY()-E782&lt;360,"6个月-1年","一年以上")))</f>
        <v>一年以上</v>
      </c>
      <c r="E782" s="115">
        <v>45302</v>
      </c>
      <c r="F782" s="115" t="s">
        <v>632</v>
      </c>
      <c r="G782" s="132" t="s">
        <v>450</v>
      </c>
      <c r="H782" s="100" t="s">
        <v>1801</v>
      </c>
      <c r="I782" s="63" t="str">
        <f t="shared" si="46"/>
        <v>日钢营口中板有限公司</v>
      </c>
      <c r="J782" s="157">
        <v>30000</v>
      </c>
      <c r="K782" s="136" t="s">
        <v>28</v>
      </c>
      <c r="L782" s="105" t="s">
        <v>73</v>
      </c>
      <c r="M782" s="89" t="s">
        <v>30</v>
      </c>
      <c r="N782" s="117"/>
      <c r="O782" s="137">
        <f t="shared" si="44"/>
        <v>30000</v>
      </c>
      <c r="P782" s="115"/>
      <c r="Q782" s="61">
        <f t="shared" si="47"/>
        <v>0</v>
      </c>
      <c r="R782" s="68"/>
      <c r="S782" s="72" t="s">
        <v>1802</v>
      </c>
      <c r="T782" s="105"/>
      <c r="U782" s="59"/>
      <c r="V782" s="72"/>
      <c r="W782" s="68"/>
      <c r="X782" s="68"/>
    </row>
    <row r="783" s="17" customFormat="1" ht="36" hidden="1" spans="1:24">
      <c r="A783" s="59">
        <v>780</v>
      </c>
      <c r="B783" s="60" t="s">
        <v>1803</v>
      </c>
      <c r="C783" s="153">
        <f t="shared" si="48"/>
        <v>45300</v>
      </c>
      <c r="D783" s="62" t="str">
        <f ca="1" t="shared" si="49"/>
        <v>一年以上</v>
      </c>
      <c r="E783" s="115">
        <v>45300</v>
      </c>
      <c r="F783" s="115" t="s">
        <v>70</v>
      </c>
      <c r="G783" s="132" t="s">
        <v>1777</v>
      </c>
      <c r="H783" s="100" t="s">
        <v>863</v>
      </c>
      <c r="I783" s="63" t="str">
        <f t="shared" si="46"/>
        <v>青海发投碱业有限公司</v>
      </c>
      <c r="J783" s="163">
        <v>47850</v>
      </c>
      <c r="K783" s="136" t="s">
        <v>1706</v>
      </c>
      <c r="L783" s="136" t="s">
        <v>73</v>
      </c>
      <c r="M783" s="89" t="s">
        <v>941</v>
      </c>
      <c r="N783" s="104">
        <v>47850</v>
      </c>
      <c r="O783" s="137">
        <f t="shared" si="44"/>
        <v>0</v>
      </c>
      <c r="P783" s="115">
        <v>45345</v>
      </c>
      <c r="Q783" s="61">
        <f t="shared" si="47"/>
        <v>45345</v>
      </c>
      <c r="R783" s="68" t="s">
        <v>1804</v>
      </c>
      <c r="S783" s="72" t="s">
        <v>1805</v>
      </c>
      <c r="T783" s="105" t="s">
        <v>972</v>
      </c>
      <c r="U783" s="59" t="str">
        <f>VLOOKUP(T783,[1]区域划分!$A$1:$C$39,3,0)</f>
        <v>曾江利</v>
      </c>
      <c r="V783" s="72"/>
      <c r="W783" s="68"/>
      <c r="X783" s="68"/>
    </row>
    <row r="784" s="17" customFormat="1" ht="36" spans="1:24">
      <c r="A784" s="59">
        <v>781</v>
      </c>
      <c r="B784" s="60" t="s">
        <v>1806</v>
      </c>
      <c r="C784" s="153">
        <f t="shared" si="48"/>
        <v>45300</v>
      </c>
      <c r="D784" s="62" t="str">
        <f ca="1" t="shared" si="49"/>
        <v>一年以上</v>
      </c>
      <c r="E784" s="115">
        <v>45300</v>
      </c>
      <c r="F784" s="115" t="s">
        <v>130</v>
      </c>
      <c r="G784" s="132" t="s">
        <v>1596</v>
      </c>
      <c r="H784" s="100" t="s">
        <v>863</v>
      </c>
      <c r="I784" s="63" t="str">
        <f t="shared" si="46"/>
        <v>青海发投碱业有限公司</v>
      </c>
      <c r="J784" s="157">
        <v>47850</v>
      </c>
      <c r="K784" s="136" t="s">
        <v>1706</v>
      </c>
      <c r="L784" s="105" t="s">
        <v>73</v>
      </c>
      <c r="M784" s="89" t="s">
        <v>133</v>
      </c>
      <c r="N784" s="117"/>
      <c r="O784" s="140">
        <f t="shared" si="44"/>
        <v>47850</v>
      </c>
      <c r="P784" s="115"/>
      <c r="Q784" s="61">
        <f t="shared" si="47"/>
        <v>0</v>
      </c>
      <c r="R784" s="68"/>
      <c r="S784" s="72" t="s">
        <v>1805</v>
      </c>
      <c r="T784" s="105" t="s">
        <v>972</v>
      </c>
      <c r="U784" s="59" t="str">
        <f>VLOOKUP(T784,[1]区域划分!$A$1:$C$39,3,0)</f>
        <v>曾江利</v>
      </c>
      <c r="V784" s="72"/>
      <c r="W784" s="68"/>
      <c r="X784" s="68"/>
    </row>
    <row r="785" s="17" customFormat="1" ht="36" hidden="1" spans="1:24">
      <c r="A785" s="59">
        <v>782</v>
      </c>
      <c r="B785" s="60" t="s">
        <v>1807</v>
      </c>
      <c r="C785" s="153">
        <f t="shared" si="48"/>
        <v>45306</v>
      </c>
      <c r="D785" s="62" t="str">
        <f ca="1" t="shared" si="49"/>
        <v>一年以上</v>
      </c>
      <c r="E785" s="115">
        <v>45306</v>
      </c>
      <c r="F785" s="115" t="s">
        <v>632</v>
      </c>
      <c r="G785" s="132" t="s">
        <v>450</v>
      </c>
      <c r="H785" s="100" t="s">
        <v>1343</v>
      </c>
      <c r="I785" s="63" t="str">
        <f t="shared" si="46"/>
        <v>内蒙古冀东水泥有限责任公司</v>
      </c>
      <c r="J785" s="157">
        <v>20000</v>
      </c>
      <c r="K785" s="136" t="s">
        <v>356</v>
      </c>
      <c r="L785" s="136" t="s">
        <v>73</v>
      </c>
      <c r="M785" s="89" t="s">
        <v>30</v>
      </c>
      <c r="N785" s="104">
        <v>20000</v>
      </c>
      <c r="O785" s="137">
        <f t="shared" si="44"/>
        <v>0</v>
      </c>
      <c r="P785" s="115">
        <v>45316</v>
      </c>
      <c r="Q785" s="61">
        <f t="shared" si="47"/>
        <v>45316</v>
      </c>
      <c r="R785" s="68"/>
      <c r="S785" s="72" t="s">
        <v>1808</v>
      </c>
      <c r="T785" s="105"/>
      <c r="U785" s="59"/>
      <c r="V785" s="72"/>
      <c r="W785" s="68"/>
      <c r="X785" s="68"/>
    </row>
    <row r="786" s="17" customFormat="1" ht="36" hidden="1" spans="1:24">
      <c r="A786" s="59">
        <v>783</v>
      </c>
      <c r="B786" s="60" t="s">
        <v>1809</v>
      </c>
      <c r="C786" s="153">
        <f t="shared" si="48"/>
        <v>45306</v>
      </c>
      <c r="D786" s="62" t="str">
        <f ca="1" t="shared" si="49"/>
        <v>一年以上</v>
      </c>
      <c r="E786" s="115">
        <v>45306</v>
      </c>
      <c r="F786" s="115" t="s">
        <v>632</v>
      </c>
      <c r="G786" s="132" t="s">
        <v>450</v>
      </c>
      <c r="H786" s="100" t="s">
        <v>863</v>
      </c>
      <c r="I786" s="63" t="str">
        <f t="shared" si="46"/>
        <v>青海发投碱业有限公司</v>
      </c>
      <c r="J786" s="157">
        <v>10000</v>
      </c>
      <c r="K786" s="136" t="s">
        <v>28</v>
      </c>
      <c r="L786" s="143" t="s">
        <v>73</v>
      </c>
      <c r="M786" s="89" t="s">
        <v>30</v>
      </c>
      <c r="N786" s="104">
        <v>10000</v>
      </c>
      <c r="O786" s="137">
        <f t="shared" si="44"/>
        <v>0</v>
      </c>
      <c r="P786" s="115">
        <v>45377</v>
      </c>
      <c r="Q786" s="61">
        <f t="shared" si="47"/>
        <v>45377</v>
      </c>
      <c r="R786" s="68"/>
      <c r="S786" s="72" t="s">
        <v>1810</v>
      </c>
      <c r="T786" s="105" t="s">
        <v>972</v>
      </c>
      <c r="U786" s="59" t="s">
        <v>1465</v>
      </c>
      <c r="V786" s="68"/>
      <c r="W786" s="68"/>
      <c r="X786" s="68"/>
    </row>
    <row r="787" s="17" customFormat="1" ht="36" spans="1:24">
      <c r="A787" s="59">
        <v>784</v>
      </c>
      <c r="B787" s="60" t="s">
        <v>1811</v>
      </c>
      <c r="C787" s="153">
        <f t="shared" si="48"/>
        <v>45306</v>
      </c>
      <c r="D787" s="62" t="str">
        <f ca="1" t="shared" si="49"/>
        <v>一年以上</v>
      </c>
      <c r="E787" s="115">
        <v>45306</v>
      </c>
      <c r="F787" s="115" t="s">
        <v>130</v>
      </c>
      <c r="G787" s="132" t="s">
        <v>1596</v>
      </c>
      <c r="H787" s="100" t="s">
        <v>863</v>
      </c>
      <c r="I787" s="63" t="str">
        <f t="shared" si="46"/>
        <v>青海发投碱业有限公司</v>
      </c>
      <c r="J787" s="157">
        <v>3050</v>
      </c>
      <c r="K787" s="136" t="s">
        <v>28</v>
      </c>
      <c r="L787" s="105" t="s">
        <v>73</v>
      </c>
      <c r="M787" s="89" t="s">
        <v>133</v>
      </c>
      <c r="N787" s="104"/>
      <c r="O787" s="140">
        <f t="shared" si="44"/>
        <v>3050</v>
      </c>
      <c r="P787" s="115"/>
      <c r="Q787" s="61">
        <f t="shared" si="47"/>
        <v>0</v>
      </c>
      <c r="R787" s="68"/>
      <c r="S787" s="72" t="s">
        <v>1812</v>
      </c>
      <c r="T787" s="105" t="s">
        <v>972</v>
      </c>
      <c r="U787" s="59" t="s">
        <v>1465</v>
      </c>
      <c r="V787" s="68"/>
      <c r="W787" s="68"/>
      <c r="X787" s="68"/>
    </row>
    <row r="788" s="17" customFormat="1" ht="36" hidden="1" spans="1:24">
      <c r="A788" s="59">
        <v>785</v>
      </c>
      <c r="B788" s="60" t="s">
        <v>1813</v>
      </c>
      <c r="C788" s="153">
        <f t="shared" si="48"/>
        <v>0</v>
      </c>
      <c r="D788" s="62"/>
      <c r="E788" s="115"/>
      <c r="F788" s="115" t="s">
        <v>632</v>
      </c>
      <c r="G788" s="158" t="s">
        <v>450</v>
      </c>
      <c r="H788" s="100" t="s">
        <v>1814</v>
      </c>
      <c r="I788" s="159" t="str">
        <f t="shared" si="46"/>
        <v>新疆宜化化工有限公司</v>
      </c>
      <c r="J788" s="160"/>
      <c r="K788" s="105" t="s">
        <v>28</v>
      </c>
      <c r="L788" s="105" t="s">
        <v>1798</v>
      </c>
      <c r="M788" s="109" t="s">
        <v>30</v>
      </c>
      <c r="N788" s="161"/>
      <c r="O788" s="162">
        <f t="shared" si="44"/>
        <v>0</v>
      </c>
      <c r="P788" s="115"/>
      <c r="Q788" s="61">
        <f t="shared" si="47"/>
        <v>0</v>
      </c>
      <c r="R788" s="68"/>
      <c r="S788" s="72" t="s">
        <v>1815</v>
      </c>
      <c r="T788" s="105"/>
      <c r="U788" s="59"/>
      <c r="V788" s="72"/>
      <c r="W788" s="68"/>
      <c r="X788" s="68"/>
    </row>
    <row r="789" s="17" customFormat="1" ht="36" spans="1:24">
      <c r="A789" s="59">
        <v>786</v>
      </c>
      <c r="B789" s="60" t="s">
        <v>1816</v>
      </c>
      <c r="C789" s="153">
        <f t="shared" si="48"/>
        <v>45307</v>
      </c>
      <c r="D789" s="62" t="str">
        <f ca="1" t="shared" ref="D789:D852" si="50">IF(TODAY()-E789&lt;60,"2个月内",IF(TODAY()-E789&lt;180,"3-6个月",IF(TODAY()-E789&lt;360,"6个月-1年","一年以上")))</f>
        <v>一年以上</v>
      </c>
      <c r="E789" s="115">
        <v>45307</v>
      </c>
      <c r="F789" s="115" t="s">
        <v>70</v>
      </c>
      <c r="G789" s="132" t="s">
        <v>1817</v>
      </c>
      <c r="H789" s="100" t="s">
        <v>863</v>
      </c>
      <c r="I789" s="63" t="str">
        <f t="shared" si="46"/>
        <v>青海发投碱业有限公司</v>
      </c>
      <c r="J789" s="157">
        <v>3050</v>
      </c>
      <c r="K789" s="136" t="s">
        <v>28</v>
      </c>
      <c r="L789" s="105" t="s">
        <v>73</v>
      </c>
      <c r="M789" s="89" t="s">
        <v>65</v>
      </c>
      <c r="N789" s="104"/>
      <c r="O789" s="140">
        <f t="shared" si="44"/>
        <v>3050</v>
      </c>
      <c r="P789" s="115"/>
      <c r="Q789" s="61">
        <f t="shared" si="47"/>
        <v>0</v>
      </c>
      <c r="R789" s="68"/>
      <c r="S789" s="72" t="s">
        <v>1818</v>
      </c>
      <c r="T789" s="105" t="s">
        <v>972</v>
      </c>
      <c r="U789" s="59" t="s">
        <v>1465</v>
      </c>
      <c r="V789" s="72"/>
      <c r="W789" s="68"/>
      <c r="X789" s="68"/>
    </row>
    <row r="790" s="17" customFormat="1" ht="36" spans="1:24">
      <c r="A790" s="59">
        <v>787</v>
      </c>
      <c r="B790" s="60" t="s">
        <v>1819</v>
      </c>
      <c r="C790" s="153">
        <f t="shared" si="48"/>
        <v>45307</v>
      </c>
      <c r="D790" s="62" t="str">
        <f ca="1" t="shared" si="50"/>
        <v>一年以上</v>
      </c>
      <c r="E790" s="115">
        <v>45307</v>
      </c>
      <c r="F790" s="115" t="s">
        <v>70</v>
      </c>
      <c r="G790" s="132" t="s">
        <v>1817</v>
      </c>
      <c r="H790" s="100" t="s">
        <v>863</v>
      </c>
      <c r="I790" s="63" t="str">
        <f t="shared" si="46"/>
        <v>青海发投碱业有限公司</v>
      </c>
      <c r="J790" s="157">
        <v>3050</v>
      </c>
      <c r="K790" s="136" t="s">
        <v>28</v>
      </c>
      <c r="L790" s="105" t="s">
        <v>73</v>
      </c>
      <c r="M790" s="89" t="s">
        <v>941</v>
      </c>
      <c r="N790" s="104"/>
      <c r="O790" s="140">
        <f t="shared" si="44"/>
        <v>3050</v>
      </c>
      <c r="P790" s="115"/>
      <c r="Q790" s="61">
        <f t="shared" si="47"/>
        <v>0</v>
      </c>
      <c r="R790" s="68"/>
      <c r="S790" s="72" t="s">
        <v>1818</v>
      </c>
      <c r="T790" s="105" t="s">
        <v>972</v>
      </c>
      <c r="U790" s="59" t="s">
        <v>1465</v>
      </c>
      <c r="V790" s="68"/>
      <c r="W790" s="68"/>
      <c r="X790" s="68"/>
    </row>
    <row r="791" s="17" customFormat="1" ht="36" spans="1:24">
      <c r="A791" s="59">
        <v>788</v>
      </c>
      <c r="B791" s="60" t="s">
        <v>1820</v>
      </c>
      <c r="C791" s="153">
        <f t="shared" si="48"/>
        <v>45307</v>
      </c>
      <c r="D791" s="62" t="str">
        <f ca="1" t="shared" si="50"/>
        <v>一年以上</v>
      </c>
      <c r="E791" s="115">
        <v>45307</v>
      </c>
      <c r="F791" s="115" t="s">
        <v>70</v>
      </c>
      <c r="G791" s="132" t="s">
        <v>1817</v>
      </c>
      <c r="H791" s="100" t="s">
        <v>863</v>
      </c>
      <c r="I791" s="63" t="str">
        <f t="shared" si="46"/>
        <v>青海发投碱业有限公司</v>
      </c>
      <c r="J791" s="157">
        <v>89000</v>
      </c>
      <c r="K791" s="136" t="s">
        <v>28</v>
      </c>
      <c r="L791" s="105" t="s">
        <v>73</v>
      </c>
      <c r="M791" s="89" t="s">
        <v>65</v>
      </c>
      <c r="N791" s="104"/>
      <c r="O791" s="140">
        <f t="shared" si="44"/>
        <v>89000</v>
      </c>
      <c r="P791" s="115"/>
      <c r="Q791" s="61">
        <f t="shared" si="47"/>
        <v>0</v>
      </c>
      <c r="R791" s="68"/>
      <c r="S791" s="72" t="s">
        <v>1821</v>
      </c>
      <c r="T791" s="105" t="s">
        <v>972</v>
      </c>
      <c r="U791" s="59" t="s">
        <v>1465</v>
      </c>
      <c r="V791" s="68"/>
      <c r="W791" s="68"/>
      <c r="X791" s="68"/>
    </row>
    <row r="792" s="17" customFormat="1" ht="36" spans="1:24">
      <c r="A792" s="59">
        <v>789</v>
      </c>
      <c r="B792" s="60" t="s">
        <v>1822</v>
      </c>
      <c r="C792" s="153">
        <f t="shared" si="48"/>
        <v>45308</v>
      </c>
      <c r="D792" s="62" t="str">
        <f ca="1" t="shared" si="50"/>
        <v>一年以上</v>
      </c>
      <c r="E792" s="115">
        <v>45308</v>
      </c>
      <c r="F792" s="115" t="s">
        <v>130</v>
      </c>
      <c r="G792" s="132" t="s">
        <v>1596</v>
      </c>
      <c r="H792" s="100" t="s">
        <v>1801</v>
      </c>
      <c r="I792" s="63" t="str">
        <f t="shared" si="46"/>
        <v>日钢营口中板有限公司</v>
      </c>
      <c r="J792" s="164">
        <v>32000</v>
      </c>
      <c r="K792" s="136" t="s">
        <v>28</v>
      </c>
      <c r="L792" s="105" t="s">
        <v>73</v>
      </c>
      <c r="M792" s="137" t="s">
        <v>133</v>
      </c>
      <c r="N792" s="104"/>
      <c r="O792" s="137">
        <f t="shared" si="44"/>
        <v>32000</v>
      </c>
      <c r="P792" s="115"/>
      <c r="Q792" s="61">
        <f t="shared" si="47"/>
        <v>0</v>
      </c>
      <c r="R792" s="68"/>
      <c r="S792" s="72" t="s">
        <v>1802</v>
      </c>
      <c r="T792" s="105"/>
      <c r="U792" s="68"/>
      <c r="V792" s="68"/>
      <c r="W792" s="68"/>
      <c r="X792" s="68"/>
    </row>
    <row r="793" s="17" customFormat="1" ht="36" spans="1:24">
      <c r="A793" s="59">
        <v>790</v>
      </c>
      <c r="B793" s="60" t="s">
        <v>1823</v>
      </c>
      <c r="C793" s="153">
        <f t="shared" si="48"/>
        <v>45309</v>
      </c>
      <c r="D793" s="62" t="str">
        <f ca="1" t="shared" si="50"/>
        <v>一年以上</v>
      </c>
      <c r="E793" s="115">
        <v>45309</v>
      </c>
      <c r="F793" s="115" t="s">
        <v>130</v>
      </c>
      <c r="G793" s="132" t="s">
        <v>1596</v>
      </c>
      <c r="H793" s="100" t="s">
        <v>863</v>
      </c>
      <c r="I793" s="63" t="str">
        <f t="shared" si="46"/>
        <v>青海发投碱业有限公司</v>
      </c>
      <c r="J793" s="157">
        <v>4450</v>
      </c>
      <c r="K793" s="136" t="s">
        <v>28</v>
      </c>
      <c r="L793" s="105" t="s">
        <v>73</v>
      </c>
      <c r="M793" s="89" t="s">
        <v>133</v>
      </c>
      <c r="N793" s="104"/>
      <c r="O793" s="140">
        <f t="shared" si="44"/>
        <v>4450</v>
      </c>
      <c r="P793" s="115"/>
      <c r="Q793" s="61">
        <f t="shared" si="47"/>
        <v>0</v>
      </c>
      <c r="R793" s="68"/>
      <c r="S793" s="72" t="s">
        <v>1824</v>
      </c>
      <c r="T793" s="105" t="s">
        <v>972</v>
      </c>
      <c r="U793" s="59" t="s">
        <v>1465</v>
      </c>
      <c r="V793" s="68"/>
      <c r="W793" s="68"/>
      <c r="X793" s="68"/>
    </row>
    <row r="794" s="17" customFormat="1" ht="36" hidden="1" spans="1:24">
      <c r="A794" s="59">
        <v>791</v>
      </c>
      <c r="B794" s="60" t="s">
        <v>1825</v>
      </c>
      <c r="C794" s="153">
        <f t="shared" si="48"/>
        <v>45310</v>
      </c>
      <c r="D794" s="62" t="str">
        <f ca="1" t="shared" si="50"/>
        <v>一年以上</v>
      </c>
      <c r="E794" s="115">
        <v>45310</v>
      </c>
      <c r="F794" s="115" t="s">
        <v>632</v>
      </c>
      <c r="G794" s="132" t="s">
        <v>993</v>
      </c>
      <c r="H794" s="100" t="s">
        <v>863</v>
      </c>
      <c r="I794" s="63" t="str">
        <f t="shared" si="46"/>
        <v>青海发投碱业有限公司</v>
      </c>
      <c r="J794" s="157">
        <v>10000</v>
      </c>
      <c r="K794" s="136" t="s">
        <v>28</v>
      </c>
      <c r="L794" s="143" t="s">
        <v>73</v>
      </c>
      <c r="M794" s="89" t="s">
        <v>30</v>
      </c>
      <c r="N794" s="104">
        <v>10000</v>
      </c>
      <c r="O794" s="137">
        <f t="shared" si="44"/>
        <v>0</v>
      </c>
      <c r="P794" s="115">
        <v>45380</v>
      </c>
      <c r="Q794" s="61">
        <f t="shared" si="47"/>
        <v>45380</v>
      </c>
      <c r="R794" s="68"/>
      <c r="S794" s="72" t="s">
        <v>1826</v>
      </c>
      <c r="T794" s="105" t="s">
        <v>972</v>
      </c>
      <c r="U794" s="59" t="s">
        <v>1465</v>
      </c>
      <c r="V794" s="68"/>
      <c r="W794" s="68"/>
      <c r="X794" s="68"/>
    </row>
    <row r="795" s="17" customFormat="1" ht="36" hidden="1" spans="1:24">
      <c r="A795" s="59">
        <v>792</v>
      </c>
      <c r="B795" s="60" t="s">
        <v>1827</v>
      </c>
      <c r="C795" s="153">
        <f t="shared" si="48"/>
        <v>45314</v>
      </c>
      <c r="D795" s="62" t="str">
        <f ca="1" t="shared" si="50"/>
        <v>一年以上</v>
      </c>
      <c r="E795" s="115">
        <v>45314</v>
      </c>
      <c r="F795" s="115" t="s">
        <v>632</v>
      </c>
      <c r="G795" s="132" t="s">
        <v>450</v>
      </c>
      <c r="H795" s="100" t="s">
        <v>863</v>
      </c>
      <c r="I795" s="63" t="str">
        <f t="shared" si="46"/>
        <v>青海发投碱业有限公司</v>
      </c>
      <c r="J795" s="163">
        <v>30000</v>
      </c>
      <c r="K795" s="136" t="s">
        <v>1706</v>
      </c>
      <c r="L795" s="105" t="s">
        <v>73</v>
      </c>
      <c r="M795" s="89" t="s">
        <v>30</v>
      </c>
      <c r="N795" s="104">
        <v>30000</v>
      </c>
      <c r="O795" s="137">
        <f t="shared" ref="O795:O858" si="51">J795-N795</f>
        <v>0</v>
      </c>
      <c r="P795" s="115">
        <v>45365</v>
      </c>
      <c r="Q795" s="61">
        <f t="shared" si="47"/>
        <v>45365</v>
      </c>
      <c r="R795" s="68"/>
      <c r="S795" s="72"/>
      <c r="T795" s="105" t="s">
        <v>972</v>
      </c>
      <c r="U795" s="59" t="s">
        <v>1465</v>
      </c>
      <c r="V795" s="68"/>
      <c r="W795" s="68"/>
      <c r="X795" s="68"/>
    </row>
    <row r="796" s="17" customFormat="1" ht="36" spans="1:24">
      <c r="A796" s="59">
        <v>793</v>
      </c>
      <c r="B796" s="60" t="s">
        <v>1828</v>
      </c>
      <c r="C796" s="153">
        <f t="shared" si="48"/>
        <v>45320</v>
      </c>
      <c r="D796" s="62" t="str">
        <f ca="1" t="shared" si="50"/>
        <v>一年以上</v>
      </c>
      <c r="E796" s="115">
        <v>45320</v>
      </c>
      <c r="F796" s="115" t="s">
        <v>130</v>
      </c>
      <c r="G796" s="132" t="s">
        <v>1596</v>
      </c>
      <c r="H796" s="100" t="s">
        <v>863</v>
      </c>
      <c r="I796" s="63" t="str">
        <f t="shared" si="46"/>
        <v>青海发投碱业有限公司</v>
      </c>
      <c r="J796" s="157">
        <v>15975</v>
      </c>
      <c r="K796" s="136" t="s">
        <v>28</v>
      </c>
      <c r="L796" s="105" t="s">
        <v>73</v>
      </c>
      <c r="M796" s="89" t="s">
        <v>133</v>
      </c>
      <c r="N796" s="104"/>
      <c r="O796" s="140">
        <f t="shared" si="51"/>
        <v>15975</v>
      </c>
      <c r="P796" s="115"/>
      <c r="Q796" s="61">
        <f t="shared" si="47"/>
        <v>0</v>
      </c>
      <c r="R796" s="68"/>
      <c r="S796" s="72" t="s">
        <v>1829</v>
      </c>
      <c r="T796" s="105" t="s">
        <v>972</v>
      </c>
      <c r="U796" s="59" t="s">
        <v>1465</v>
      </c>
      <c r="V796" s="68"/>
      <c r="W796" s="68"/>
      <c r="X796" s="68"/>
    </row>
    <row r="797" s="17" customFormat="1" ht="36" spans="1:24">
      <c r="A797" s="59">
        <v>794</v>
      </c>
      <c r="B797" s="60" t="s">
        <v>1830</v>
      </c>
      <c r="C797" s="153">
        <f t="shared" si="48"/>
        <v>45321</v>
      </c>
      <c r="D797" s="62" t="str">
        <f ca="1" t="shared" si="50"/>
        <v>一年以上</v>
      </c>
      <c r="E797" s="115">
        <v>45321</v>
      </c>
      <c r="F797" s="115" t="s">
        <v>70</v>
      </c>
      <c r="G797" s="132" t="s">
        <v>1817</v>
      </c>
      <c r="H797" s="100" t="s">
        <v>863</v>
      </c>
      <c r="I797" s="63" t="str">
        <f t="shared" si="46"/>
        <v>青海发投碱业有限公司</v>
      </c>
      <c r="J797" s="157">
        <v>17000</v>
      </c>
      <c r="K797" s="136" t="s">
        <v>28</v>
      </c>
      <c r="L797" s="105" t="s">
        <v>73</v>
      </c>
      <c r="M797" s="89" t="s">
        <v>941</v>
      </c>
      <c r="N797" s="104"/>
      <c r="O797" s="140">
        <f t="shared" si="51"/>
        <v>17000</v>
      </c>
      <c r="P797" s="115"/>
      <c r="Q797" s="61">
        <f t="shared" si="47"/>
        <v>0</v>
      </c>
      <c r="R797" s="68"/>
      <c r="S797" s="72" t="s">
        <v>1831</v>
      </c>
      <c r="T797" s="105" t="s">
        <v>972</v>
      </c>
      <c r="U797" s="59" t="s">
        <v>1465</v>
      </c>
      <c r="V797" s="68"/>
      <c r="W797" s="68"/>
      <c r="X797" s="68"/>
    </row>
    <row r="798" s="17" customFormat="1" ht="14" customHeight="1" spans="1:24">
      <c r="A798" s="59">
        <v>795</v>
      </c>
      <c r="B798" s="60" t="s">
        <v>1832</v>
      </c>
      <c r="C798" s="153">
        <f t="shared" si="48"/>
        <v>45320</v>
      </c>
      <c r="D798" s="62" t="str">
        <f ca="1" t="shared" si="50"/>
        <v>一年以上</v>
      </c>
      <c r="E798" s="115">
        <v>45320</v>
      </c>
      <c r="F798" s="115" t="s">
        <v>130</v>
      </c>
      <c r="G798" s="132" t="s">
        <v>1596</v>
      </c>
      <c r="H798" s="100" t="s">
        <v>863</v>
      </c>
      <c r="I798" s="63" t="str">
        <f t="shared" si="46"/>
        <v>青海发投碱业有限公司</v>
      </c>
      <c r="J798" s="157">
        <v>88500</v>
      </c>
      <c r="K798" s="136" t="s">
        <v>28</v>
      </c>
      <c r="L798" s="105" t="s">
        <v>73</v>
      </c>
      <c r="M798" s="89" t="s">
        <v>133</v>
      </c>
      <c r="N798" s="104"/>
      <c r="O798" s="140">
        <f t="shared" si="51"/>
        <v>88500</v>
      </c>
      <c r="P798" s="115"/>
      <c r="Q798" s="61">
        <f t="shared" si="47"/>
        <v>0</v>
      </c>
      <c r="R798" s="68"/>
      <c r="S798" s="72" t="s">
        <v>1833</v>
      </c>
      <c r="T798" s="105" t="s">
        <v>972</v>
      </c>
      <c r="U798" s="59" t="s">
        <v>1465</v>
      </c>
      <c r="V798" s="68"/>
      <c r="W798" s="68"/>
      <c r="X798" s="68"/>
    </row>
    <row r="799" s="17" customFormat="1" ht="14" customHeight="1" spans="1:24">
      <c r="A799" s="59">
        <v>796</v>
      </c>
      <c r="B799" s="60" t="s">
        <v>1834</v>
      </c>
      <c r="C799" s="153">
        <f t="shared" si="48"/>
        <v>45320</v>
      </c>
      <c r="D799" s="62" t="str">
        <f ca="1" t="shared" si="50"/>
        <v>一年以上</v>
      </c>
      <c r="E799" s="115">
        <v>45320</v>
      </c>
      <c r="F799" s="115" t="s">
        <v>130</v>
      </c>
      <c r="G799" s="132" t="s">
        <v>1596</v>
      </c>
      <c r="H799" s="100" t="s">
        <v>863</v>
      </c>
      <c r="I799" s="63" t="str">
        <f t="shared" si="46"/>
        <v>青海发投碱业有限公司</v>
      </c>
      <c r="J799" s="157">
        <v>17000</v>
      </c>
      <c r="K799" s="136" t="s">
        <v>28</v>
      </c>
      <c r="L799" s="105" t="s">
        <v>73</v>
      </c>
      <c r="M799" s="89" t="s">
        <v>133</v>
      </c>
      <c r="N799" s="104"/>
      <c r="O799" s="140">
        <f t="shared" si="51"/>
        <v>17000</v>
      </c>
      <c r="P799" s="115"/>
      <c r="Q799" s="61">
        <f t="shared" si="47"/>
        <v>0</v>
      </c>
      <c r="R799" s="68"/>
      <c r="S799" s="72" t="s">
        <v>1831</v>
      </c>
      <c r="T799" s="105" t="s">
        <v>972</v>
      </c>
      <c r="U799" s="59" t="s">
        <v>1465</v>
      </c>
      <c r="V799" s="68"/>
      <c r="W799" s="68"/>
      <c r="X799" s="68"/>
    </row>
    <row r="800" s="17" customFormat="1" ht="14" customHeight="1" spans="1:24">
      <c r="A800" s="59">
        <v>797</v>
      </c>
      <c r="B800" s="60" t="s">
        <v>1835</v>
      </c>
      <c r="C800" s="153">
        <f t="shared" si="48"/>
        <v>45321</v>
      </c>
      <c r="D800" s="62" t="str">
        <f ca="1" t="shared" si="50"/>
        <v>一年以上</v>
      </c>
      <c r="E800" s="115">
        <v>45321</v>
      </c>
      <c r="F800" s="115" t="s">
        <v>130</v>
      </c>
      <c r="G800" s="132" t="s">
        <v>1596</v>
      </c>
      <c r="H800" s="100" t="s">
        <v>863</v>
      </c>
      <c r="I800" s="63" t="str">
        <f t="shared" si="46"/>
        <v>青海发投碱业有限公司</v>
      </c>
      <c r="J800" s="157">
        <v>29000</v>
      </c>
      <c r="K800" s="136" t="s">
        <v>28</v>
      </c>
      <c r="L800" s="105" t="s">
        <v>73</v>
      </c>
      <c r="M800" s="89" t="s">
        <v>133</v>
      </c>
      <c r="N800" s="104"/>
      <c r="O800" s="140">
        <f t="shared" si="51"/>
        <v>29000</v>
      </c>
      <c r="P800" s="115"/>
      <c r="Q800" s="61">
        <f t="shared" si="47"/>
        <v>0</v>
      </c>
      <c r="R800" s="68"/>
      <c r="S800" s="72" t="s">
        <v>1836</v>
      </c>
      <c r="T800" s="105" t="s">
        <v>972</v>
      </c>
      <c r="U800" s="59" t="s">
        <v>1465</v>
      </c>
      <c r="V800" s="68"/>
      <c r="W800" s="68"/>
      <c r="X800" s="68"/>
    </row>
    <row r="801" s="17" customFormat="1" ht="36" spans="1:24">
      <c r="A801" s="59">
        <v>798</v>
      </c>
      <c r="B801" s="60" t="s">
        <v>1837</v>
      </c>
      <c r="C801" s="153">
        <f t="shared" si="48"/>
        <v>45321</v>
      </c>
      <c r="D801" s="62" t="str">
        <f ca="1" t="shared" si="50"/>
        <v>一年以上</v>
      </c>
      <c r="E801" s="115">
        <v>45321</v>
      </c>
      <c r="F801" s="115" t="s">
        <v>70</v>
      </c>
      <c r="G801" s="132" t="s">
        <v>1817</v>
      </c>
      <c r="H801" s="100" t="s">
        <v>863</v>
      </c>
      <c r="I801" s="63" t="str">
        <f t="shared" si="46"/>
        <v>青海发投碱业有限公司</v>
      </c>
      <c r="J801" s="157">
        <v>4450</v>
      </c>
      <c r="K801" s="136" t="s">
        <v>28</v>
      </c>
      <c r="L801" s="105" t="s">
        <v>73</v>
      </c>
      <c r="M801" s="89" t="s">
        <v>941</v>
      </c>
      <c r="N801" s="104"/>
      <c r="O801" s="140">
        <f t="shared" si="51"/>
        <v>4450</v>
      </c>
      <c r="P801" s="115"/>
      <c r="Q801" s="61">
        <f t="shared" si="47"/>
        <v>0</v>
      </c>
      <c r="R801" s="68"/>
      <c r="S801" s="72" t="s">
        <v>1838</v>
      </c>
      <c r="T801" s="105" t="s">
        <v>972</v>
      </c>
      <c r="U801" s="59" t="s">
        <v>1465</v>
      </c>
      <c r="V801" s="68"/>
      <c r="W801" s="68"/>
      <c r="X801" s="68"/>
    </row>
    <row r="802" s="17" customFormat="1" ht="15" customHeight="1" spans="1:24">
      <c r="A802" s="59">
        <v>799</v>
      </c>
      <c r="B802" s="165" t="s">
        <v>1839</v>
      </c>
      <c r="C802" s="153">
        <f t="shared" si="48"/>
        <v>45299</v>
      </c>
      <c r="D802" s="62" t="str">
        <f ca="1" t="shared" si="50"/>
        <v>一年以上</v>
      </c>
      <c r="E802" s="115">
        <v>45299</v>
      </c>
      <c r="F802" s="115" t="s">
        <v>632</v>
      </c>
      <c r="G802" s="132" t="s">
        <v>450</v>
      </c>
      <c r="H802" s="100" t="s">
        <v>863</v>
      </c>
      <c r="I802" s="63"/>
      <c r="J802" s="157">
        <v>500</v>
      </c>
      <c r="K802" s="105" t="s">
        <v>28</v>
      </c>
      <c r="L802" s="105" t="s">
        <v>73</v>
      </c>
      <c r="M802" s="89" t="s">
        <v>515</v>
      </c>
      <c r="N802" s="117"/>
      <c r="O802" s="137">
        <f t="shared" si="51"/>
        <v>500</v>
      </c>
      <c r="P802" s="115"/>
      <c r="Q802" s="61">
        <f t="shared" si="47"/>
        <v>0</v>
      </c>
      <c r="R802" s="68"/>
      <c r="S802" s="68" t="s">
        <v>1810</v>
      </c>
      <c r="T802" s="105" t="s">
        <v>972</v>
      </c>
      <c r="U802" s="59" t="s">
        <v>1465</v>
      </c>
      <c r="V802" s="68"/>
      <c r="W802" s="68"/>
      <c r="X802" s="68"/>
    </row>
    <row r="803" s="17" customFormat="1" ht="15" customHeight="1" spans="1:24">
      <c r="A803" s="59">
        <v>800</v>
      </c>
      <c r="B803" s="165" t="s">
        <v>1840</v>
      </c>
      <c r="C803" s="153">
        <f t="shared" si="48"/>
        <v>45309</v>
      </c>
      <c r="D803" s="62" t="str">
        <f ca="1" t="shared" si="50"/>
        <v>一年以上</v>
      </c>
      <c r="E803" s="115">
        <v>45309</v>
      </c>
      <c r="F803" s="115" t="s">
        <v>632</v>
      </c>
      <c r="G803" s="132" t="s">
        <v>450</v>
      </c>
      <c r="H803" s="100" t="s">
        <v>863</v>
      </c>
      <c r="I803" s="63"/>
      <c r="J803" s="157">
        <v>500</v>
      </c>
      <c r="K803" s="105" t="s">
        <v>28</v>
      </c>
      <c r="L803" s="105" t="s">
        <v>73</v>
      </c>
      <c r="M803" s="89" t="s">
        <v>515</v>
      </c>
      <c r="N803" s="117"/>
      <c r="O803" s="137">
        <f t="shared" si="51"/>
        <v>500</v>
      </c>
      <c r="P803" s="115"/>
      <c r="Q803" s="61">
        <f t="shared" si="47"/>
        <v>0</v>
      </c>
      <c r="R803" s="68"/>
      <c r="S803" s="68" t="s">
        <v>1826</v>
      </c>
      <c r="T803" s="105" t="s">
        <v>972</v>
      </c>
      <c r="U803" s="59" t="s">
        <v>1465</v>
      </c>
      <c r="V803" s="68"/>
      <c r="W803" s="68"/>
      <c r="X803" s="68"/>
    </row>
    <row r="804" s="17" customFormat="1" ht="15" customHeight="1" spans="1:24">
      <c r="A804" s="59">
        <v>801</v>
      </c>
      <c r="B804" s="165" t="s">
        <v>1841</v>
      </c>
      <c r="C804" s="153">
        <f t="shared" si="48"/>
        <v>45313</v>
      </c>
      <c r="D804" s="62" t="str">
        <f ca="1" t="shared" si="50"/>
        <v>一年以上</v>
      </c>
      <c r="E804" s="115">
        <v>45313</v>
      </c>
      <c r="F804" s="115" t="s">
        <v>632</v>
      </c>
      <c r="G804" s="132" t="s">
        <v>450</v>
      </c>
      <c r="H804" s="100" t="s">
        <v>863</v>
      </c>
      <c r="I804" s="63"/>
      <c r="J804" s="157">
        <v>500</v>
      </c>
      <c r="K804" s="105" t="s">
        <v>28</v>
      </c>
      <c r="L804" s="105" t="s">
        <v>73</v>
      </c>
      <c r="M804" s="89" t="s">
        <v>515</v>
      </c>
      <c r="N804" s="117"/>
      <c r="O804" s="137">
        <f t="shared" si="51"/>
        <v>500</v>
      </c>
      <c r="P804" s="115"/>
      <c r="Q804" s="61">
        <f t="shared" si="47"/>
        <v>0</v>
      </c>
      <c r="R804" s="68"/>
      <c r="S804" s="68" t="s">
        <v>1842</v>
      </c>
      <c r="T804" s="105" t="s">
        <v>972</v>
      </c>
      <c r="U804" s="59" t="s">
        <v>1465</v>
      </c>
      <c r="V804" s="68"/>
      <c r="W804" s="68"/>
      <c r="X804" s="68"/>
    </row>
    <row r="805" s="17" customFormat="1" ht="15" customHeight="1" spans="1:24">
      <c r="A805" s="59">
        <v>802</v>
      </c>
      <c r="B805" s="165" t="s">
        <v>1843</v>
      </c>
      <c r="C805" s="153">
        <f t="shared" si="48"/>
        <v>45322</v>
      </c>
      <c r="D805" s="62" t="str">
        <f ca="1" t="shared" si="50"/>
        <v>一年以上</v>
      </c>
      <c r="E805" s="115">
        <v>45322</v>
      </c>
      <c r="F805" s="115" t="s">
        <v>632</v>
      </c>
      <c r="G805" s="132" t="s">
        <v>450</v>
      </c>
      <c r="H805" s="100" t="s">
        <v>863</v>
      </c>
      <c r="I805" s="63"/>
      <c r="J805" s="157">
        <v>500</v>
      </c>
      <c r="K805" s="105" t="s">
        <v>28</v>
      </c>
      <c r="L805" s="105" t="s">
        <v>73</v>
      </c>
      <c r="M805" s="89" t="s">
        <v>515</v>
      </c>
      <c r="N805" s="117"/>
      <c r="O805" s="137">
        <f t="shared" si="51"/>
        <v>500</v>
      </c>
      <c r="P805" s="115"/>
      <c r="Q805" s="61">
        <f t="shared" si="47"/>
        <v>0</v>
      </c>
      <c r="R805" s="68"/>
      <c r="S805" s="68" t="s">
        <v>1844</v>
      </c>
      <c r="T805" s="105" t="s">
        <v>972</v>
      </c>
      <c r="U805" s="59" t="s">
        <v>1465</v>
      </c>
      <c r="V805" s="68"/>
      <c r="W805" s="68"/>
      <c r="X805" s="68"/>
    </row>
    <row r="806" s="17" customFormat="1" ht="15" customHeight="1" spans="1:24">
      <c r="A806" s="59">
        <v>803</v>
      </c>
      <c r="B806" s="165" t="s">
        <v>1845</v>
      </c>
      <c r="C806" s="153">
        <f t="shared" si="48"/>
        <v>45327</v>
      </c>
      <c r="D806" s="62" t="str">
        <f ca="1" t="shared" si="50"/>
        <v>一年以上</v>
      </c>
      <c r="E806" s="115">
        <v>45327</v>
      </c>
      <c r="F806" s="115" t="s">
        <v>632</v>
      </c>
      <c r="G806" s="132" t="s">
        <v>450</v>
      </c>
      <c r="H806" s="100" t="s">
        <v>863</v>
      </c>
      <c r="I806" s="63"/>
      <c r="J806" s="157">
        <v>500</v>
      </c>
      <c r="K806" s="105" t="s">
        <v>28</v>
      </c>
      <c r="L806" s="105" t="s">
        <v>73</v>
      </c>
      <c r="M806" s="89" t="s">
        <v>515</v>
      </c>
      <c r="N806" s="117"/>
      <c r="O806" s="137">
        <f t="shared" si="51"/>
        <v>500</v>
      </c>
      <c r="P806" s="115"/>
      <c r="Q806" s="61">
        <f t="shared" si="47"/>
        <v>0</v>
      </c>
      <c r="R806" s="68"/>
      <c r="S806" s="68" t="s">
        <v>1844</v>
      </c>
      <c r="T806" s="105" t="s">
        <v>972</v>
      </c>
      <c r="U806" s="59" t="s">
        <v>1465</v>
      </c>
      <c r="V806" s="68"/>
      <c r="W806" s="68"/>
      <c r="X806" s="68"/>
    </row>
    <row r="807" s="17" customFormat="1" ht="15" hidden="1" customHeight="1" spans="1:24">
      <c r="A807" s="59">
        <v>804</v>
      </c>
      <c r="B807" s="60" t="s">
        <v>2661</v>
      </c>
      <c r="C807" s="153">
        <f t="shared" si="48"/>
        <v>45340</v>
      </c>
      <c r="D807" s="62" t="str">
        <f ca="1" t="shared" si="50"/>
        <v>一年以上</v>
      </c>
      <c r="E807" s="115">
        <v>45340</v>
      </c>
      <c r="F807" s="115" t="s">
        <v>632</v>
      </c>
      <c r="G807" s="132" t="s">
        <v>450</v>
      </c>
      <c r="H807" s="100" t="s">
        <v>863</v>
      </c>
      <c r="I807" s="63" t="str">
        <f t="shared" ref="I807:I862" si="52">H807</f>
        <v>青海发投碱业有限公司</v>
      </c>
      <c r="J807" s="157">
        <v>20000</v>
      </c>
      <c r="K807" s="136" t="s">
        <v>28</v>
      </c>
      <c r="L807" s="105" t="s">
        <v>73</v>
      </c>
      <c r="M807" s="89" t="s">
        <v>30</v>
      </c>
      <c r="N807" s="117">
        <v>20000</v>
      </c>
      <c r="O807" s="137">
        <f t="shared" si="51"/>
        <v>0</v>
      </c>
      <c r="P807" s="144">
        <v>45405</v>
      </c>
      <c r="Q807" s="61">
        <f t="shared" si="47"/>
        <v>45405</v>
      </c>
      <c r="R807" s="68"/>
      <c r="S807" s="72" t="s">
        <v>1844</v>
      </c>
      <c r="T807" s="105" t="s">
        <v>972</v>
      </c>
      <c r="U807" s="59" t="s">
        <v>1465</v>
      </c>
      <c r="V807" s="68"/>
      <c r="W807" s="68"/>
      <c r="X807" s="68"/>
    </row>
    <row r="808" s="17" customFormat="1" ht="84" spans="1:24">
      <c r="A808" s="59">
        <v>805</v>
      </c>
      <c r="B808" s="60" t="s">
        <v>1847</v>
      </c>
      <c r="C808" s="153">
        <f t="shared" si="48"/>
        <v>45327</v>
      </c>
      <c r="D808" s="62" t="str">
        <f ca="1" t="shared" si="50"/>
        <v>一年以上</v>
      </c>
      <c r="E808" s="115">
        <v>45327</v>
      </c>
      <c r="F808" s="115" t="s">
        <v>632</v>
      </c>
      <c r="G808" s="132" t="s">
        <v>450</v>
      </c>
      <c r="H808" s="100" t="s">
        <v>863</v>
      </c>
      <c r="I808" s="63" t="str">
        <f t="shared" si="52"/>
        <v>青海发投碱业有限公司</v>
      </c>
      <c r="J808" s="157">
        <v>20000</v>
      </c>
      <c r="K808" s="136" t="s">
        <v>28</v>
      </c>
      <c r="L808" s="105" t="s">
        <v>73</v>
      </c>
      <c r="M808" s="89" t="s">
        <v>30</v>
      </c>
      <c r="N808" s="104"/>
      <c r="O808" s="166">
        <f t="shared" si="51"/>
        <v>20000</v>
      </c>
      <c r="P808" s="115"/>
      <c r="Q808" s="61">
        <f t="shared" si="47"/>
        <v>0</v>
      </c>
      <c r="R808" s="72" t="s">
        <v>2662</v>
      </c>
      <c r="S808" s="72" t="s">
        <v>1844</v>
      </c>
      <c r="T808" s="105" t="s">
        <v>972</v>
      </c>
      <c r="U808" s="59" t="s">
        <v>1465</v>
      </c>
      <c r="V808" s="68"/>
      <c r="W808" s="68"/>
      <c r="X808" s="68"/>
    </row>
    <row r="809" s="17" customFormat="1" ht="36" hidden="1" spans="1:24">
      <c r="A809" s="59">
        <v>806</v>
      </c>
      <c r="B809" s="60" t="s">
        <v>1851</v>
      </c>
      <c r="C809" s="153">
        <f t="shared" si="48"/>
        <v>45340</v>
      </c>
      <c r="D809" s="62" t="str">
        <f ca="1" t="shared" si="50"/>
        <v>一年以上</v>
      </c>
      <c r="E809" s="115">
        <v>45340</v>
      </c>
      <c r="F809" s="115" t="s">
        <v>70</v>
      </c>
      <c r="G809" s="132" t="s">
        <v>1817</v>
      </c>
      <c r="H809" s="100" t="s">
        <v>1852</v>
      </c>
      <c r="I809" s="63" t="str">
        <f t="shared" si="52"/>
        <v>蕉岭县龙腾旋窑水泥有限公司</v>
      </c>
      <c r="J809" s="157">
        <v>1000</v>
      </c>
      <c r="K809" s="143" t="s">
        <v>28</v>
      </c>
      <c r="L809" s="143" t="s">
        <v>73</v>
      </c>
      <c r="M809" s="89" t="s">
        <v>65</v>
      </c>
      <c r="N809" s="104">
        <v>1000</v>
      </c>
      <c r="O809" s="137">
        <f t="shared" si="51"/>
        <v>0</v>
      </c>
      <c r="P809" s="115">
        <v>45343</v>
      </c>
      <c r="Q809" s="61">
        <f t="shared" si="47"/>
        <v>45343</v>
      </c>
      <c r="R809" s="72" t="s">
        <v>1853</v>
      </c>
      <c r="S809" s="72" t="s">
        <v>1854</v>
      </c>
      <c r="T809" s="105"/>
      <c r="U809" s="68"/>
      <c r="V809" s="68"/>
      <c r="W809" s="68"/>
      <c r="X809" s="68"/>
    </row>
    <row r="810" s="17" customFormat="1" ht="36" spans="1:24">
      <c r="A810" s="59">
        <v>807</v>
      </c>
      <c r="B810" s="60" t="s">
        <v>1855</v>
      </c>
      <c r="C810" s="153">
        <f t="shared" si="48"/>
        <v>45341</v>
      </c>
      <c r="D810" s="62" t="str">
        <f ca="1" t="shared" si="50"/>
        <v>一年以上</v>
      </c>
      <c r="E810" s="115">
        <v>45341</v>
      </c>
      <c r="F810" s="115" t="s">
        <v>70</v>
      </c>
      <c r="G810" s="132" t="s">
        <v>1817</v>
      </c>
      <c r="H810" s="100" t="s">
        <v>863</v>
      </c>
      <c r="I810" s="63" t="str">
        <f t="shared" si="52"/>
        <v>青海发投碱业有限公司</v>
      </c>
      <c r="J810" s="167">
        <v>13500</v>
      </c>
      <c r="K810" s="136" t="s">
        <v>28</v>
      </c>
      <c r="L810" s="105" t="s">
        <v>73</v>
      </c>
      <c r="M810" s="89" t="s">
        <v>941</v>
      </c>
      <c r="N810" s="104"/>
      <c r="O810" s="140">
        <f t="shared" si="51"/>
        <v>13500</v>
      </c>
      <c r="P810" s="115"/>
      <c r="Q810" s="61">
        <f t="shared" si="47"/>
        <v>0</v>
      </c>
      <c r="R810" s="72"/>
      <c r="S810" s="72" t="s">
        <v>1471</v>
      </c>
      <c r="T810" s="105" t="s">
        <v>972</v>
      </c>
      <c r="U810" s="59" t="s">
        <v>1465</v>
      </c>
      <c r="V810" s="68"/>
      <c r="W810" s="68"/>
      <c r="X810" s="68"/>
    </row>
    <row r="811" s="17" customFormat="1" ht="36" spans="1:24">
      <c r="A811" s="59">
        <v>808</v>
      </c>
      <c r="B811" s="60" t="s">
        <v>1856</v>
      </c>
      <c r="C811" s="153">
        <f t="shared" si="48"/>
        <v>45355</v>
      </c>
      <c r="D811" s="62" t="str">
        <f ca="1" t="shared" si="50"/>
        <v>一年以上</v>
      </c>
      <c r="E811" s="115">
        <v>45355</v>
      </c>
      <c r="F811" s="115" t="s">
        <v>70</v>
      </c>
      <c r="G811" s="132" t="s">
        <v>1817</v>
      </c>
      <c r="H811" s="100" t="s">
        <v>863</v>
      </c>
      <c r="I811" s="63" t="str">
        <f t="shared" si="52"/>
        <v>青海发投碱业有限公司</v>
      </c>
      <c r="J811" s="157">
        <v>8000</v>
      </c>
      <c r="K811" s="136" t="s">
        <v>28</v>
      </c>
      <c r="L811" s="105" t="s">
        <v>73</v>
      </c>
      <c r="M811" s="89" t="s">
        <v>941</v>
      </c>
      <c r="N811" s="104"/>
      <c r="O811" s="140">
        <f t="shared" si="51"/>
        <v>8000</v>
      </c>
      <c r="P811" s="115"/>
      <c r="Q811" s="61">
        <f t="shared" si="47"/>
        <v>0</v>
      </c>
      <c r="R811" s="72"/>
      <c r="S811" s="72" t="s">
        <v>1517</v>
      </c>
      <c r="T811" s="105" t="s">
        <v>972</v>
      </c>
      <c r="U811" s="59" t="s">
        <v>1465</v>
      </c>
      <c r="V811" s="68"/>
      <c r="W811" s="68"/>
      <c r="X811" s="68"/>
    </row>
    <row r="812" s="17" customFormat="1" ht="36" spans="1:24">
      <c r="A812" s="59">
        <v>809</v>
      </c>
      <c r="B812" s="60" t="s">
        <v>1857</v>
      </c>
      <c r="C812" s="153">
        <f t="shared" si="48"/>
        <v>45355</v>
      </c>
      <c r="D812" s="62" t="str">
        <f ca="1" t="shared" si="50"/>
        <v>一年以上</v>
      </c>
      <c r="E812" s="115">
        <v>45355</v>
      </c>
      <c r="F812" s="115" t="s">
        <v>70</v>
      </c>
      <c r="G812" s="132" t="s">
        <v>1817</v>
      </c>
      <c r="H812" s="100" t="s">
        <v>863</v>
      </c>
      <c r="I812" s="63" t="str">
        <f t="shared" si="52"/>
        <v>青海发投碱业有限公司</v>
      </c>
      <c r="J812" s="157">
        <v>9250</v>
      </c>
      <c r="K812" s="136" t="s">
        <v>28</v>
      </c>
      <c r="L812" s="105" t="s">
        <v>73</v>
      </c>
      <c r="M812" s="89" t="s">
        <v>941</v>
      </c>
      <c r="N812" s="104"/>
      <c r="O812" s="140">
        <f t="shared" si="51"/>
        <v>9250</v>
      </c>
      <c r="P812" s="115"/>
      <c r="Q812" s="61">
        <f t="shared" si="47"/>
        <v>0</v>
      </c>
      <c r="R812" s="72"/>
      <c r="S812" s="168" t="s">
        <v>1858</v>
      </c>
      <c r="T812" s="105" t="s">
        <v>972</v>
      </c>
      <c r="U812" s="59" t="s">
        <v>1465</v>
      </c>
      <c r="V812" s="68"/>
      <c r="W812" s="68"/>
      <c r="X812" s="68"/>
    </row>
    <row r="813" s="25" customFormat="1" ht="36" spans="1:24">
      <c r="A813" s="67">
        <v>810</v>
      </c>
      <c r="B813" s="169" t="s">
        <v>1859</v>
      </c>
      <c r="C813" s="170">
        <f t="shared" si="48"/>
        <v>45342</v>
      </c>
      <c r="D813" s="171" t="str">
        <f ca="1" t="shared" si="50"/>
        <v>一年以上</v>
      </c>
      <c r="E813" s="172">
        <v>45342</v>
      </c>
      <c r="F813" s="172" t="s">
        <v>130</v>
      </c>
      <c r="G813" s="173" t="s">
        <v>1596</v>
      </c>
      <c r="H813" s="100" t="s">
        <v>863</v>
      </c>
      <c r="I813" s="159" t="str">
        <f t="shared" si="52"/>
        <v>青海发投碱业有限公司</v>
      </c>
      <c r="J813" s="167">
        <v>13500</v>
      </c>
      <c r="K813" s="174" t="s">
        <v>28</v>
      </c>
      <c r="L813" s="174" t="s">
        <v>73</v>
      </c>
      <c r="M813" s="175" t="s">
        <v>133</v>
      </c>
      <c r="N813" s="104"/>
      <c r="O813" s="140">
        <f t="shared" si="51"/>
        <v>13500</v>
      </c>
      <c r="P813" s="115"/>
      <c r="Q813" s="61">
        <f t="shared" si="47"/>
        <v>0</v>
      </c>
      <c r="R813" s="72"/>
      <c r="S813" s="176" t="s">
        <v>1471</v>
      </c>
      <c r="T813" s="174" t="s">
        <v>972</v>
      </c>
      <c r="U813" s="67" t="s">
        <v>1465</v>
      </c>
      <c r="V813" s="177"/>
      <c r="W813" s="177"/>
      <c r="X813" s="177"/>
    </row>
    <row r="814" s="17" customFormat="1" ht="36" spans="1:24">
      <c r="A814" s="59">
        <v>811</v>
      </c>
      <c r="B814" s="60" t="s">
        <v>1860</v>
      </c>
      <c r="C814" s="153">
        <f t="shared" si="48"/>
        <v>45343</v>
      </c>
      <c r="D814" s="62" t="str">
        <f ca="1" t="shared" si="50"/>
        <v>一年以上</v>
      </c>
      <c r="E814" s="115">
        <v>45343</v>
      </c>
      <c r="F814" s="115" t="s">
        <v>70</v>
      </c>
      <c r="G814" s="132" t="s">
        <v>1817</v>
      </c>
      <c r="H814" s="100" t="s">
        <v>863</v>
      </c>
      <c r="I814" s="63" t="str">
        <f t="shared" si="52"/>
        <v>青海发投碱业有限公司</v>
      </c>
      <c r="J814" s="178">
        <v>20500</v>
      </c>
      <c r="K814" s="136" t="s">
        <v>28</v>
      </c>
      <c r="L814" s="105" t="s">
        <v>73</v>
      </c>
      <c r="M814" s="89" t="s">
        <v>941</v>
      </c>
      <c r="N814" s="104"/>
      <c r="O814" s="140">
        <f t="shared" si="51"/>
        <v>20500</v>
      </c>
      <c r="P814" s="115"/>
      <c r="Q814" s="61">
        <f t="shared" si="47"/>
        <v>0</v>
      </c>
      <c r="R814" s="72"/>
      <c r="S814" s="176" t="s">
        <v>1861</v>
      </c>
      <c r="T814" s="105" t="s">
        <v>972</v>
      </c>
      <c r="U814" s="59" t="s">
        <v>1465</v>
      </c>
      <c r="V814" s="68"/>
      <c r="W814" s="68"/>
      <c r="X814" s="68"/>
    </row>
    <row r="815" s="17" customFormat="1" ht="14" customHeight="1" spans="1:24">
      <c r="A815" s="59">
        <v>812</v>
      </c>
      <c r="B815" s="60" t="s">
        <v>1862</v>
      </c>
      <c r="C815" s="153">
        <f t="shared" si="48"/>
        <v>45342</v>
      </c>
      <c r="D815" s="62" t="str">
        <f ca="1" t="shared" si="50"/>
        <v>一年以上</v>
      </c>
      <c r="E815" s="115">
        <v>45342</v>
      </c>
      <c r="F815" s="115" t="s">
        <v>130</v>
      </c>
      <c r="G815" s="132" t="s">
        <v>1596</v>
      </c>
      <c r="H815" s="100" t="s">
        <v>863</v>
      </c>
      <c r="I815" s="63" t="str">
        <f t="shared" si="52"/>
        <v>青海发投碱业有限公司</v>
      </c>
      <c r="J815" s="178">
        <v>20500</v>
      </c>
      <c r="K815" s="136" t="s">
        <v>28</v>
      </c>
      <c r="L815" s="105" t="s">
        <v>73</v>
      </c>
      <c r="M815" s="89" t="s">
        <v>133</v>
      </c>
      <c r="N815" s="104"/>
      <c r="O815" s="140">
        <f t="shared" si="51"/>
        <v>20500</v>
      </c>
      <c r="P815" s="115"/>
      <c r="Q815" s="61">
        <f t="shared" si="47"/>
        <v>0</v>
      </c>
      <c r="R815" s="72"/>
      <c r="S815" s="72" t="s">
        <v>1861</v>
      </c>
      <c r="T815" s="105" t="s">
        <v>972</v>
      </c>
      <c r="U815" s="59" t="s">
        <v>1465</v>
      </c>
      <c r="V815" s="68"/>
      <c r="W815" s="68"/>
      <c r="X815" s="68"/>
    </row>
    <row r="816" s="17" customFormat="1" ht="36" spans="1:24">
      <c r="A816" s="59">
        <v>813</v>
      </c>
      <c r="B816" s="60" t="s">
        <v>1863</v>
      </c>
      <c r="C816" s="153">
        <f t="shared" si="48"/>
        <v>45345</v>
      </c>
      <c r="D816" s="62" t="str">
        <f ca="1" t="shared" si="50"/>
        <v>一年以上</v>
      </c>
      <c r="E816" s="115">
        <v>45345</v>
      </c>
      <c r="F816" s="115" t="s">
        <v>70</v>
      </c>
      <c r="G816" s="132" t="s">
        <v>1817</v>
      </c>
      <c r="H816" s="100" t="s">
        <v>1864</v>
      </c>
      <c r="I816" s="63" t="str">
        <f t="shared" si="52"/>
        <v>青海发投碱业有限公司
武汉开明高新科技有限公司</v>
      </c>
      <c r="J816" s="157">
        <v>88500</v>
      </c>
      <c r="K816" s="136" t="s">
        <v>28</v>
      </c>
      <c r="L816" s="105" t="s">
        <v>73</v>
      </c>
      <c r="M816" s="89" t="s">
        <v>941</v>
      </c>
      <c r="N816" s="104"/>
      <c r="O816" s="140">
        <f t="shared" si="51"/>
        <v>88500</v>
      </c>
      <c r="P816" s="115"/>
      <c r="Q816" s="61">
        <f t="shared" si="47"/>
        <v>0</v>
      </c>
      <c r="R816" s="72"/>
      <c r="S816" s="72" t="s">
        <v>1833</v>
      </c>
      <c r="T816" s="105" t="s">
        <v>972</v>
      </c>
      <c r="U816" s="59" t="s">
        <v>1465</v>
      </c>
      <c r="V816" s="68"/>
      <c r="W816" s="68"/>
      <c r="X816" s="68"/>
    </row>
    <row r="817" s="17" customFormat="1" ht="36" spans="1:24">
      <c r="A817" s="59">
        <v>814</v>
      </c>
      <c r="B817" s="60" t="s">
        <v>1866</v>
      </c>
      <c r="C817" s="153">
        <f t="shared" si="48"/>
        <v>45345</v>
      </c>
      <c r="D817" s="62" t="str">
        <f ca="1" t="shared" si="50"/>
        <v>一年以上</v>
      </c>
      <c r="E817" s="115">
        <v>45345</v>
      </c>
      <c r="F817" s="115" t="s">
        <v>70</v>
      </c>
      <c r="G817" s="132" t="s">
        <v>1817</v>
      </c>
      <c r="H817" s="100" t="s">
        <v>663</v>
      </c>
      <c r="I817" s="63" t="str">
        <f t="shared" si="52"/>
        <v>新疆伊犁钢铁有限责任公司</v>
      </c>
      <c r="J817" s="157">
        <v>27200</v>
      </c>
      <c r="K817" s="136" t="s">
        <v>28</v>
      </c>
      <c r="L817" s="105" t="s">
        <v>73</v>
      </c>
      <c r="M817" s="89" t="s">
        <v>941</v>
      </c>
      <c r="N817" s="104"/>
      <c r="O817" s="137">
        <f t="shared" si="51"/>
        <v>27200</v>
      </c>
      <c r="P817" s="115"/>
      <c r="Q817" s="61">
        <f t="shared" si="47"/>
        <v>0</v>
      </c>
      <c r="R817" s="72"/>
      <c r="S817" s="72" t="s">
        <v>1867</v>
      </c>
      <c r="T817" s="105"/>
      <c r="U817" s="68"/>
      <c r="V817" s="68"/>
      <c r="W817" s="68"/>
      <c r="X817" s="68"/>
    </row>
    <row r="818" s="17" customFormat="1" ht="36" hidden="1" spans="1:24">
      <c r="A818" s="59">
        <v>815</v>
      </c>
      <c r="B818" s="60" t="s">
        <v>1868</v>
      </c>
      <c r="C818" s="153">
        <f t="shared" si="48"/>
        <v>45355</v>
      </c>
      <c r="D818" s="62" t="str">
        <f ca="1" t="shared" si="50"/>
        <v>一年以上</v>
      </c>
      <c r="E818" s="115">
        <v>45355</v>
      </c>
      <c r="F818" s="115" t="s">
        <v>632</v>
      </c>
      <c r="G818" s="132" t="s">
        <v>450</v>
      </c>
      <c r="H818" s="100" t="s">
        <v>1318</v>
      </c>
      <c r="I818" s="63" t="str">
        <f t="shared" si="52"/>
        <v>福建安砂建福水泥有限公司</v>
      </c>
      <c r="J818" s="157">
        <v>5000</v>
      </c>
      <c r="K818" s="136" t="s">
        <v>28</v>
      </c>
      <c r="L818" s="136" t="s">
        <v>73</v>
      </c>
      <c r="M818" s="89" t="s">
        <v>30</v>
      </c>
      <c r="N818" s="104">
        <v>5000</v>
      </c>
      <c r="O818" s="137">
        <f t="shared" si="51"/>
        <v>0</v>
      </c>
      <c r="P818" s="115">
        <v>45379</v>
      </c>
      <c r="Q818" s="61">
        <f t="shared" si="47"/>
        <v>45379</v>
      </c>
      <c r="R818" s="72"/>
      <c r="S818" s="168" t="s">
        <v>1869</v>
      </c>
      <c r="T818" s="105"/>
      <c r="U818" s="68"/>
      <c r="V818" s="68"/>
      <c r="W818" s="68"/>
      <c r="X818" s="68"/>
    </row>
    <row r="819" s="17" customFormat="1" ht="15" customHeight="1" spans="1:24">
      <c r="A819" s="59">
        <v>816</v>
      </c>
      <c r="B819" s="60" t="s">
        <v>1870</v>
      </c>
      <c r="C819" s="153">
        <f t="shared" si="48"/>
        <v>45350</v>
      </c>
      <c r="D819" s="62" t="str">
        <f ca="1" t="shared" si="50"/>
        <v>一年以上</v>
      </c>
      <c r="E819" s="115">
        <v>45350</v>
      </c>
      <c r="F819" s="115" t="s">
        <v>130</v>
      </c>
      <c r="G819" s="132" t="s">
        <v>1596</v>
      </c>
      <c r="H819" s="100" t="s">
        <v>863</v>
      </c>
      <c r="I819" s="63" t="str">
        <f t="shared" si="52"/>
        <v>青海发投碱业有限公司</v>
      </c>
      <c r="J819" s="157">
        <v>9250</v>
      </c>
      <c r="K819" s="136" t="s">
        <v>28</v>
      </c>
      <c r="L819" s="105" t="s">
        <v>73</v>
      </c>
      <c r="M819" s="89" t="s">
        <v>133</v>
      </c>
      <c r="N819" s="117"/>
      <c r="O819" s="140">
        <f t="shared" si="51"/>
        <v>9250</v>
      </c>
      <c r="P819" s="115"/>
      <c r="Q819" s="61">
        <f t="shared" si="47"/>
        <v>0</v>
      </c>
      <c r="R819" s="72"/>
      <c r="S819" s="72" t="s">
        <v>1871</v>
      </c>
      <c r="T819" s="105" t="s">
        <v>972</v>
      </c>
      <c r="U819" s="59" t="s">
        <v>1465</v>
      </c>
      <c r="V819" s="68"/>
      <c r="W819" s="68"/>
      <c r="X819" s="68"/>
    </row>
    <row r="820" s="17" customFormat="1" ht="15" customHeight="1" spans="1:24">
      <c r="A820" s="59">
        <v>817</v>
      </c>
      <c r="B820" s="60" t="s">
        <v>1872</v>
      </c>
      <c r="C820" s="153">
        <f t="shared" si="48"/>
        <v>45350</v>
      </c>
      <c r="D820" s="62" t="str">
        <f ca="1" t="shared" si="50"/>
        <v>一年以上</v>
      </c>
      <c r="E820" s="115">
        <v>45350</v>
      </c>
      <c r="F820" s="115" t="s">
        <v>130</v>
      </c>
      <c r="G820" s="132" t="s">
        <v>1596</v>
      </c>
      <c r="H820" s="100" t="s">
        <v>863</v>
      </c>
      <c r="I820" s="63" t="str">
        <f t="shared" si="52"/>
        <v>青海发投碱业有限公司</v>
      </c>
      <c r="J820" s="157">
        <v>8000</v>
      </c>
      <c r="K820" s="136" t="s">
        <v>28</v>
      </c>
      <c r="L820" s="105" t="s">
        <v>73</v>
      </c>
      <c r="M820" s="89" t="s">
        <v>133</v>
      </c>
      <c r="N820" s="117"/>
      <c r="O820" s="140">
        <f t="shared" si="51"/>
        <v>8000</v>
      </c>
      <c r="P820" s="115"/>
      <c r="Q820" s="61">
        <f t="shared" si="47"/>
        <v>0</v>
      </c>
      <c r="R820" s="72"/>
      <c r="S820" s="72" t="s">
        <v>1873</v>
      </c>
      <c r="T820" s="105" t="s">
        <v>972</v>
      </c>
      <c r="U820" s="59" t="s">
        <v>1465</v>
      </c>
      <c r="V820" s="68"/>
      <c r="W820" s="68"/>
      <c r="X820" s="68"/>
    </row>
    <row r="821" s="17" customFormat="1" ht="15" customHeight="1" spans="1:24">
      <c r="A821" s="59">
        <v>818</v>
      </c>
      <c r="B821" s="60" t="s">
        <v>1874</v>
      </c>
      <c r="C821" s="153">
        <f t="shared" si="48"/>
        <v>45351</v>
      </c>
      <c r="D821" s="62" t="str">
        <f ca="1" t="shared" si="50"/>
        <v>一年以上</v>
      </c>
      <c r="E821" s="115">
        <v>45351</v>
      </c>
      <c r="F821" s="115" t="s">
        <v>1875</v>
      </c>
      <c r="G821" s="132" t="s">
        <v>1876</v>
      </c>
      <c r="H821" s="100" t="s">
        <v>863</v>
      </c>
      <c r="I821" s="63" t="str">
        <f t="shared" si="52"/>
        <v>青海发投碱业有限公司</v>
      </c>
      <c r="J821" s="157">
        <v>17000</v>
      </c>
      <c r="K821" s="136" t="s">
        <v>28</v>
      </c>
      <c r="L821" s="105" t="s">
        <v>73</v>
      </c>
      <c r="M821" s="89" t="s">
        <v>65</v>
      </c>
      <c r="N821" s="117"/>
      <c r="O821" s="140">
        <f t="shared" si="51"/>
        <v>17000</v>
      </c>
      <c r="P821" s="115"/>
      <c r="Q821" s="61">
        <f t="shared" si="47"/>
        <v>0</v>
      </c>
      <c r="R821" s="72"/>
      <c r="S821" s="72" t="s">
        <v>1831</v>
      </c>
      <c r="T821" s="105" t="s">
        <v>972</v>
      </c>
      <c r="U821" s="59" t="s">
        <v>1465</v>
      </c>
      <c r="V821" s="68"/>
      <c r="W821" s="68"/>
      <c r="X821" s="68"/>
    </row>
    <row r="822" s="17" customFormat="1" ht="15" customHeight="1" spans="1:24">
      <c r="A822" s="59">
        <v>819</v>
      </c>
      <c r="B822" s="60" t="s">
        <v>1877</v>
      </c>
      <c r="C822" s="153">
        <f t="shared" si="48"/>
        <v>45351</v>
      </c>
      <c r="D822" s="62" t="str">
        <f ca="1" t="shared" si="50"/>
        <v>一年以上</v>
      </c>
      <c r="E822" s="115">
        <v>45351</v>
      </c>
      <c r="F822" s="115" t="s">
        <v>1875</v>
      </c>
      <c r="G822" s="132" t="s">
        <v>1876</v>
      </c>
      <c r="H822" s="100" t="s">
        <v>863</v>
      </c>
      <c r="I822" s="63" t="str">
        <f t="shared" si="52"/>
        <v>青海发投碱业有限公司</v>
      </c>
      <c r="J822" s="157">
        <v>29000</v>
      </c>
      <c r="K822" s="136" t="s">
        <v>28</v>
      </c>
      <c r="L822" s="105" t="s">
        <v>73</v>
      </c>
      <c r="M822" s="89" t="s">
        <v>65</v>
      </c>
      <c r="N822" s="117"/>
      <c r="O822" s="140">
        <f t="shared" si="51"/>
        <v>29000</v>
      </c>
      <c r="P822" s="115"/>
      <c r="Q822" s="61">
        <f t="shared" si="47"/>
        <v>0</v>
      </c>
      <c r="R822" s="72"/>
      <c r="S822" s="72" t="s">
        <v>1836</v>
      </c>
      <c r="T822" s="105" t="s">
        <v>972</v>
      </c>
      <c r="U822" s="59" t="s">
        <v>1465</v>
      </c>
      <c r="V822" s="68"/>
      <c r="W822" s="68"/>
      <c r="X822" s="68"/>
    </row>
    <row r="823" s="17" customFormat="1" ht="36" hidden="1" spans="1:24">
      <c r="A823" s="59">
        <v>820</v>
      </c>
      <c r="B823" s="60" t="s">
        <v>1878</v>
      </c>
      <c r="C823" s="153">
        <f t="shared" si="48"/>
        <v>45355</v>
      </c>
      <c r="D823" s="62" t="str">
        <f ca="1" t="shared" si="50"/>
        <v>一年以上</v>
      </c>
      <c r="E823" s="115">
        <v>45355</v>
      </c>
      <c r="F823" s="115" t="s">
        <v>1875</v>
      </c>
      <c r="G823" s="132" t="s">
        <v>1876</v>
      </c>
      <c r="H823" s="100" t="s">
        <v>222</v>
      </c>
      <c r="I823" s="63" t="str">
        <f t="shared" si="52"/>
        <v>天瑞新登郑州水泥有限公司</v>
      </c>
      <c r="J823" s="157">
        <v>2000</v>
      </c>
      <c r="K823" s="143" t="s">
        <v>28</v>
      </c>
      <c r="L823" s="105" t="s">
        <v>57</v>
      </c>
      <c r="M823" s="89" t="s">
        <v>65</v>
      </c>
      <c r="N823" s="104">
        <v>2000</v>
      </c>
      <c r="O823" s="137">
        <f t="shared" si="51"/>
        <v>0</v>
      </c>
      <c r="P823" s="115">
        <v>45395</v>
      </c>
      <c r="Q823" s="61">
        <f t="shared" si="47"/>
        <v>45395</v>
      </c>
      <c r="R823" s="72" t="s">
        <v>1853</v>
      </c>
      <c r="S823" s="72" t="s">
        <v>1879</v>
      </c>
      <c r="T823" s="105"/>
      <c r="U823" s="68"/>
      <c r="V823" s="68"/>
      <c r="W823" s="68"/>
      <c r="X823" s="68"/>
    </row>
    <row r="824" s="17" customFormat="1" ht="36" hidden="1" spans="1:24">
      <c r="A824" s="59">
        <v>821</v>
      </c>
      <c r="B824" s="60" t="s">
        <v>1880</v>
      </c>
      <c r="C824" s="153">
        <f t="shared" si="48"/>
        <v>45356</v>
      </c>
      <c r="D824" s="62" t="str">
        <f ca="1" t="shared" si="50"/>
        <v>一年以上</v>
      </c>
      <c r="E824" s="115">
        <v>45356</v>
      </c>
      <c r="F824" s="115" t="s">
        <v>1875</v>
      </c>
      <c r="G824" s="132" t="s">
        <v>1876</v>
      </c>
      <c r="H824" s="100" t="s">
        <v>138</v>
      </c>
      <c r="I824" s="63" t="str">
        <f t="shared" si="52"/>
        <v>云南昆钢嘉华水泥建材有限公司</v>
      </c>
      <c r="J824" s="157">
        <v>3500</v>
      </c>
      <c r="K824" s="136" t="s">
        <v>28</v>
      </c>
      <c r="L824" s="105" t="s">
        <v>73</v>
      </c>
      <c r="M824" s="89" t="s">
        <v>65</v>
      </c>
      <c r="N824" s="117">
        <v>3500</v>
      </c>
      <c r="O824" s="137">
        <f t="shared" si="51"/>
        <v>0</v>
      </c>
      <c r="P824" s="115">
        <v>45401</v>
      </c>
      <c r="Q824" s="61">
        <f t="shared" si="47"/>
        <v>45401</v>
      </c>
      <c r="R824" s="72"/>
      <c r="S824" s="72" t="s">
        <v>1881</v>
      </c>
      <c r="T824" s="105"/>
      <c r="U824" s="68"/>
      <c r="V824" s="68"/>
      <c r="W824" s="68"/>
      <c r="X824" s="68"/>
    </row>
    <row r="825" s="17" customFormat="1" ht="36" spans="1:24">
      <c r="A825" s="59">
        <v>822</v>
      </c>
      <c r="B825" s="60" t="s">
        <v>1882</v>
      </c>
      <c r="C825" s="153">
        <f t="shared" si="48"/>
        <v>45358</v>
      </c>
      <c r="D825" s="62" t="str">
        <f ca="1" t="shared" si="50"/>
        <v>一年以上</v>
      </c>
      <c r="E825" s="115">
        <v>45358</v>
      </c>
      <c r="F825" s="115" t="s">
        <v>130</v>
      </c>
      <c r="G825" s="132" t="s">
        <v>1596</v>
      </c>
      <c r="H825" s="100" t="s">
        <v>863</v>
      </c>
      <c r="I825" s="63" t="str">
        <f t="shared" si="52"/>
        <v>青海发投碱业有限公司</v>
      </c>
      <c r="J825" s="157">
        <v>13000</v>
      </c>
      <c r="K825" s="136" t="s">
        <v>28</v>
      </c>
      <c r="L825" s="105" t="s">
        <v>73</v>
      </c>
      <c r="M825" s="89" t="s">
        <v>133</v>
      </c>
      <c r="N825" s="117"/>
      <c r="O825" s="140">
        <f t="shared" si="51"/>
        <v>13000</v>
      </c>
      <c r="P825" s="115"/>
      <c r="Q825" s="61">
        <f t="shared" si="47"/>
        <v>0</v>
      </c>
      <c r="R825" s="68"/>
      <c r="S825" s="72" t="s">
        <v>1883</v>
      </c>
      <c r="T825" s="105" t="s">
        <v>972</v>
      </c>
      <c r="U825" s="59" t="s">
        <v>1465</v>
      </c>
      <c r="V825" s="68"/>
      <c r="W825" s="68"/>
      <c r="X825" s="68"/>
    </row>
    <row r="826" s="17" customFormat="1" ht="36" hidden="1" spans="1:24">
      <c r="A826" s="59">
        <v>823</v>
      </c>
      <c r="B826" s="60" t="s">
        <v>1884</v>
      </c>
      <c r="C826" s="153">
        <f t="shared" si="48"/>
        <v>45362</v>
      </c>
      <c r="D826" s="62" t="str">
        <f ca="1" t="shared" si="50"/>
        <v>一年以上</v>
      </c>
      <c r="E826" s="115">
        <v>45362</v>
      </c>
      <c r="F826" s="115" t="s">
        <v>632</v>
      </c>
      <c r="G826" s="132" t="s">
        <v>450</v>
      </c>
      <c r="H826" s="100" t="s">
        <v>1885</v>
      </c>
      <c r="I826" s="63" t="str">
        <f t="shared" si="52"/>
        <v>冀东水泥重庆江津有限责任公司</v>
      </c>
      <c r="J826" s="157">
        <v>5000</v>
      </c>
      <c r="K826" s="136" t="s">
        <v>356</v>
      </c>
      <c r="L826" s="136" t="s">
        <v>73</v>
      </c>
      <c r="M826" s="89" t="s">
        <v>30</v>
      </c>
      <c r="N826" s="104">
        <v>5000</v>
      </c>
      <c r="O826" s="137">
        <f t="shared" si="51"/>
        <v>0</v>
      </c>
      <c r="P826" s="115">
        <v>45379</v>
      </c>
      <c r="Q826" s="61">
        <f t="shared" si="47"/>
        <v>45379</v>
      </c>
      <c r="R826" s="68"/>
      <c r="S826" s="72" t="s">
        <v>1886</v>
      </c>
      <c r="T826" s="105"/>
      <c r="U826" s="68"/>
      <c r="V826" s="68"/>
      <c r="W826" s="68"/>
      <c r="X826" s="68"/>
    </row>
    <row r="827" s="17" customFormat="1" ht="36" hidden="1" spans="1:24">
      <c r="A827" s="59">
        <v>824</v>
      </c>
      <c r="B827" s="165" t="s">
        <v>1887</v>
      </c>
      <c r="C827" s="153">
        <f t="shared" si="48"/>
        <v>45366</v>
      </c>
      <c r="D827" s="62" t="str">
        <f ca="1" t="shared" si="50"/>
        <v>一年以上</v>
      </c>
      <c r="E827" s="115">
        <v>45366</v>
      </c>
      <c r="F827" s="115" t="s">
        <v>632</v>
      </c>
      <c r="G827" s="132" t="s">
        <v>450</v>
      </c>
      <c r="H827" s="100" t="s">
        <v>1888</v>
      </c>
      <c r="I827" s="63" t="str">
        <f t="shared" si="52"/>
        <v>中盐青海昆仑碱业有限公司</v>
      </c>
      <c r="J827" s="157">
        <v>40000</v>
      </c>
      <c r="K827" s="136" t="s">
        <v>28</v>
      </c>
      <c r="L827" s="105" t="s">
        <v>73</v>
      </c>
      <c r="M827" s="89" t="s">
        <v>30</v>
      </c>
      <c r="N827" s="117">
        <v>40000</v>
      </c>
      <c r="O827" s="137">
        <f t="shared" si="51"/>
        <v>0</v>
      </c>
      <c r="P827" s="144">
        <v>45435</v>
      </c>
      <c r="Q827" s="61">
        <f t="shared" si="47"/>
        <v>45435</v>
      </c>
      <c r="R827" s="68"/>
      <c r="S827" s="72" t="s">
        <v>1889</v>
      </c>
      <c r="T827" s="105"/>
      <c r="U827" s="68"/>
      <c r="V827" s="68"/>
      <c r="W827" s="68"/>
      <c r="X827" s="68"/>
    </row>
    <row r="828" s="17" customFormat="1" ht="36" spans="1:24">
      <c r="A828" s="59">
        <v>825</v>
      </c>
      <c r="B828" s="165" t="s">
        <v>1890</v>
      </c>
      <c r="C828" s="153">
        <f t="shared" si="48"/>
        <v>45359</v>
      </c>
      <c r="D828" s="62" t="str">
        <f ca="1" t="shared" si="50"/>
        <v>一年以上</v>
      </c>
      <c r="E828" s="115">
        <v>45359</v>
      </c>
      <c r="F828" s="115" t="s">
        <v>1875</v>
      </c>
      <c r="G828" s="132" t="s">
        <v>1876</v>
      </c>
      <c r="H828" s="100" t="s">
        <v>863</v>
      </c>
      <c r="I828" s="63" t="str">
        <f t="shared" si="52"/>
        <v>青海发投碱业有限公司</v>
      </c>
      <c r="J828" s="157">
        <v>13000</v>
      </c>
      <c r="K828" s="136" t="s">
        <v>28</v>
      </c>
      <c r="L828" s="105" t="s">
        <v>73</v>
      </c>
      <c r="M828" s="89" t="s">
        <v>65</v>
      </c>
      <c r="N828" s="117"/>
      <c r="O828" s="140">
        <f t="shared" si="51"/>
        <v>13000</v>
      </c>
      <c r="P828" s="115"/>
      <c r="Q828" s="61">
        <f t="shared" si="47"/>
        <v>0</v>
      </c>
      <c r="R828" s="68"/>
      <c r="S828" s="72" t="s">
        <v>1883</v>
      </c>
      <c r="T828" s="105" t="s">
        <v>972</v>
      </c>
      <c r="U828" s="59" t="s">
        <v>1465</v>
      </c>
      <c r="V828" s="68"/>
      <c r="W828" s="68"/>
      <c r="X828" s="68"/>
    </row>
    <row r="829" s="17" customFormat="1" ht="36" spans="1:24">
      <c r="A829" s="59">
        <v>826</v>
      </c>
      <c r="B829" s="165" t="s">
        <v>1891</v>
      </c>
      <c r="C829" s="153">
        <f t="shared" si="48"/>
        <v>45359</v>
      </c>
      <c r="D829" s="62" t="str">
        <f ca="1" t="shared" si="50"/>
        <v>一年以上</v>
      </c>
      <c r="E829" s="115">
        <v>45359</v>
      </c>
      <c r="F829" s="115" t="s">
        <v>1875</v>
      </c>
      <c r="G829" s="132" t="s">
        <v>1876</v>
      </c>
      <c r="H829" s="100" t="s">
        <v>863</v>
      </c>
      <c r="I829" s="63" t="str">
        <f t="shared" si="52"/>
        <v>青海发投碱业有限公司</v>
      </c>
      <c r="J829" s="157">
        <v>13000</v>
      </c>
      <c r="K829" s="136" t="s">
        <v>28</v>
      </c>
      <c r="L829" s="105" t="s">
        <v>73</v>
      </c>
      <c r="M829" s="89" t="s">
        <v>941</v>
      </c>
      <c r="N829" s="117"/>
      <c r="O829" s="140">
        <f t="shared" si="51"/>
        <v>13000</v>
      </c>
      <c r="P829" s="115"/>
      <c r="Q829" s="61">
        <f t="shared" si="47"/>
        <v>0</v>
      </c>
      <c r="R829" s="68"/>
      <c r="S829" s="72" t="s">
        <v>1883</v>
      </c>
      <c r="T829" s="105" t="s">
        <v>972</v>
      </c>
      <c r="U829" s="59" t="s">
        <v>1465</v>
      </c>
      <c r="V829" s="68"/>
      <c r="W829" s="68"/>
      <c r="X829" s="68"/>
    </row>
    <row r="830" s="17" customFormat="1" ht="14" hidden="1" customHeight="1" spans="1:24">
      <c r="A830" s="59">
        <v>827</v>
      </c>
      <c r="B830" s="165" t="s">
        <v>1892</v>
      </c>
      <c r="C830" s="153">
        <f t="shared" si="48"/>
        <v>45371</v>
      </c>
      <c r="D830" s="62" t="str">
        <f ca="1" t="shared" si="50"/>
        <v>一年以上</v>
      </c>
      <c r="E830" s="115">
        <v>45371</v>
      </c>
      <c r="F830" s="115" t="s">
        <v>632</v>
      </c>
      <c r="G830" s="132" t="s">
        <v>450</v>
      </c>
      <c r="H830" s="100" t="s">
        <v>863</v>
      </c>
      <c r="I830" s="63" t="str">
        <f t="shared" si="52"/>
        <v>青海发投碱业有限公司</v>
      </c>
      <c r="J830" s="157">
        <v>50000</v>
      </c>
      <c r="K830" s="136" t="s">
        <v>28</v>
      </c>
      <c r="L830" s="105" t="s">
        <v>73</v>
      </c>
      <c r="M830" s="89" t="s">
        <v>30</v>
      </c>
      <c r="N830" s="117">
        <v>50000</v>
      </c>
      <c r="O830" s="137">
        <f t="shared" si="51"/>
        <v>0</v>
      </c>
      <c r="P830" s="144">
        <v>45443</v>
      </c>
      <c r="Q830" s="61">
        <f t="shared" si="47"/>
        <v>45443</v>
      </c>
      <c r="R830" s="68"/>
      <c r="S830" s="72" t="s">
        <v>1893</v>
      </c>
      <c r="T830" s="105" t="s">
        <v>972</v>
      </c>
      <c r="U830" s="59" t="s">
        <v>1465</v>
      </c>
      <c r="V830" s="68"/>
      <c r="W830" s="68"/>
      <c r="X830" s="68"/>
    </row>
    <row r="831" s="17" customFormat="1" ht="14" customHeight="1" spans="1:24">
      <c r="A831" s="59">
        <v>828</v>
      </c>
      <c r="B831" s="165" t="s">
        <v>1894</v>
      </c>
      <c r="C831" s="153">
        <f t="shared" si="48"/>
        <v>45365</v>
      </c>
      <c r="D831" s="62" t="str">
        <f ca="1" t="shared" si="50"/>
        <v>一年以上</v>
      </c>
      <c r="E831" s="115">
        <v>45365</v>
      </c>
      <c r="F831" s="115" t="s">
        <v>130</v>
      </c>
      <c r="G831" s="132" t="s">
        <v>1596</v>
      </c>
      <c r="H831" s="100" t="s">
        <v>863</v>
      </c>
      <c r="I831" s="63" t="str">
        <f t="shared" si="52"/>
        <v>青海发投碱业有限公司</v>
      </c>
      <c r="J831" s="157">
        <v>65500</v>
      </c>
      <c r="K831" s="136" t="s">
        <v>28</v>
      </c>
      <c r="L831" s="105" t="s">
        <v>73</v>
      </c>
      <c r="M831" s="89" t="s">
        <v>133</v>
      </c>
      <c r="N831" s="117"/>
      <c r="O831" s="140">
        <f t="shared" si="51"/>
        <v>65500</v>
      </c>
      <c r="P831" s="115"/>
      <c r="Q831" s="61">
        <f t="shared" si="47"/>
        <v>0</v>
      </c>
      <c r="R831" s="68"/>
      <c r="S831" s="72" t="s">
        <v>1844</v>
      </c>
      <c r="T831" s="105" t="s">
        <v>972</v>
      </c>
      <c r="U831" s="59" t="s">
        <v>1465</v>
      </c>
      <c r="V831" s="68"/>
      <c r="W831" s="68"/>
      <c r="X831" s="68"/>
    </row>
    <row r="832" s="17" customFormat="1" ht="36" spans="1:24">
      <c r="A832" s="59">
        <v>829</v>
      </c>
      <c r="B832" s="165" t="s">
        <v>1895</v>
      </c>
      <c r="C832" s="153">
        <f t="shared" si="48"/>
        <v>45366</v>
      </c>
      <c r="D832" s="62" t="str">
        <f ca="1" t="shared" si="50"/>
        <v>一年以上</v>
      </c>
      <c r="E832" s="115">
        <v>45366</v>
      </c>
      <c r="F832" s="115" t="s">
        <v>1875</v>
      </c>
      <c r="G832" s="132" t="s">
        <v>1896</v>
      </c>
      <c r="H832" s="100" t="s">
        <v>1864</v>
      </c>
      <c r="I832" s="63" t="str">
        <f t="shared" si="52"/>
        <v>青海发投碱业有限公司
武汉开明高新科技有限公司</v>
      </c>
      <c r="J832" s="157">
        <v>65500</v>
      </c>
      <c r="K832" s="136" t="s">
        <v>28</v>
      </c>
      <c r="L832" s="105" t="s">
        <v>73</v>
      </c>
      <c r="M832" s="89" t="s">
        <v>941</v>
      </c>
      <c r="N832" s="117"/>
      <c r="O832" s="140">
        <f t="shared" si="51"/>
        <v>65500</v>
      </c>
      <c r="P832" s="115"/>
      <c r="Q832" s="61">
        <f t="shared" si="47"/>
        <v>0</v>
      </c>
      <c r="R832" s="68"/>
      <c r="S832" s="72" t="s">
        <v>1844</v>
      </c>
      <c r="T832" s="105" t="s">
        <v>972</v>
      </c>
      <c r="U832" s="59" t="s">
        <v>1465</v>
      </c>
      <c r="V832" s="68"/>
      <c r="W832" s="68"/>
      <c r="X832" s="68"/>
    </row>
    <row r="833" s="17" customFormat="1" ht="14" customHeight="1" spans="1:24">
      <c r="A833" s="59">
        <v>830</v>
      </c>
      <c r="B833" s="165" t="s">
        <v>1898</v>
      </c>
      <c r="C833" s="153">
        <f t="shared" si="48"/>
        <v>45369</v>
      </c>
      <c r="D833" s="62" t="str">
        <f ca="1" t="shared" si="50"/>
        <v>一年以上</v>
      </c>
      <c r="E833" s="115">
        <v>45369</v>
      </c>
      <c r="F833" s="115" t="s">
        <v>1875</v>
      </c>
      <c r="G833" s="132" t="s">
        <v>1876</v>
      </c>
      <c r="H833" s="100" t="s">
        <v>863</v>
      </c>
      <c r="I833" s="63" t="str">
        <f t="shared" si="52"/>
        <v>青海发投碱业有限公司</v>
      </c>
      <c r="J833" s="157">
        <v>66000</v>
      </c>
      <c r="K833" s="136" t="s">
        <v>28</v>
      </c>
      <c r="L833" s="105" t="s">
        <v>73</v>
      </c>
      <c r="M833" s="89" t="s">
        <v>65</v>
      </c>
      <c r="N833" s="117"/>
      <c r="O833" s="140">
        <f t="shared" si="51"/>
        <v>66000</v>
      </c>
      <c r="P833" s="115"/>
      <c r="Q833" s="61">
        <f t="shared" si="47"/>
        <v>0</v>
      </c>
      <c r="R833" s="68"/>
      <c r="S833" s="72"/>
      <c r="T833" s="105" t="s">
        <v>972</v>
      </c>
      <c r="U833" s="59" t="s">
        <v>1465</v>
      </c>
      <c r="V833" s="68"/>
      <c r="W833" s="68"/>
      <c r="X833" s="68"/>
    </row>
    <row r="834" s="17" customFormat="1" ht="36" hidden="1" spans="1:24">
      <c r="A834" s="59">
        <v>831</v>
      </c>
      <c r="B834" s="165" t="s">
        <v>1899</v>
      </c>
      <c r="C834" s="153">
        <f t="shared" si="48"/>
        <v>45373</v>
      </c>
      <c r="D834" s="62" t="str">
        <f ca="1" t="shared" si="50"/>
        <v>一年以上</v>
      </c>
      <c r="E834" s="115">
        <v>45373</v>
      </c>
      <c r="F834" s="115" t="s">
        <v>632</v>
      </c>
      <c r="G834" s="132" t="s">
        <v>450</v>
      </c>
      <c r="H834" s="100" t="s">
        <v>1900</v>
      </c>
      <c r="I834" s="63" t="str">
        <f t="shared" si="52"/>
        <v>中盐吉兰泰氯碱化工有限公司</v>
      </c>
      <c r="J834" s="157">
        <v>5000</v>
      </c>
      <c r="K834" s="136" t="s">
        <v>28</v>
      </c>
      <c r="L834" s="105" t="s">
        <v>73</v>
      </c>
      <c r="M834" s="89" t="s">
        <v>30</v>
      </c>
      <c r="N834" s="155">
        <v>5000</v>
      </c>
      <c r="O834" s="137">
        <f t="shared" si="51"/>
        <v>0</v>
      </c>
      <c r="P834" s="115">
        <v>45398</v>
      </c>
      <c r="Q834" s="61">
        <f t="shared" si="47"/>
        <v>45398</v>
      </c>
      <c r="R834" s="68"/>
      <c r="S834" s="72" t="s">
        <v>1901</v>
      </c>
      <c r="T834" s="105" t="s">
        <v>388</v>
      </c>
      <c r="U834" s="68" t="s">
        <v>1902</v>
      </c>
      <c r="V834" s="68"/>
      <c r="W834" s="68"/>
      <c r="X834" s="68"/>
    </row>
    <row r="835" s="26" customFormat="1" ht="36" spans="1:24">
      <c r="A835" s="179">
        <v>832</v>
      </c>
      <c r="B835" s="180" t="s">
        <v>1898</v>
      </c>
      <c r="C835" s="181">
        <f t="shared" si="48"/>
        <v>45356</v>
      </c>
      <c r="D835" s="62" t="str">
        <f ca="1" t="shared" si="50"/>
        <v>一年以上</v>
      </c>
      <c r="E835" s="182">
        <v>45356</v>
      </c>
      <c r="F835" s="182"/>
      <c r="G835" s="183"/>
      <c r="H835" s="184" t="s">
        <v>1903</v>
      </c>
      <c r="I835" s="159" t="str">
        <f t="shared" si="52"/>
        <v>湖北岚丹建设工程有限公司用于青海发投碱业有限公司</v>
      </c>
      <c r="J835" s="185">
        <v>47850</v>
      </c>
      <c r="K835" s="186" t="s">
        <v>1706</v>
      </c>
      <c r="L835" s="186" t="s">
        <v>73</v>
      </c>
      <c r="M835" s="187" t="s">
        <v>941</v>
      </c>
      <c r="N835" s="134"/>
      <c r="O835" s="140">
        <f t="shared" si="51"/>
        <v>47850</v>
      </c>
      <c r="P835" s="188"/>
      <c r="Q835" s="189">
        <f t="shared" ref="Q835:Q849" si="53">P835</f>
        <v>0</v>
      </c>
      <c r="R835" s="190"/>
      <c r="S835" s="191" t="s">
        <v>1805</v>
      </c>
      <c r="T835" s="186" t="s">
        <v>972</v>
      </c>
      <c r="U835" s="179" t="s">
        <v>1465</v>
      </c>
      <c r="V835" s="190"/>
      <c r="W835" s="190"/>
      <c r="X835" s="190"/>
    </row>
    <row r="836" s="17" customFormat="1" ht="36" spans="1:24">
      <c r="A836" s="59">
        <v>832</v>
      </c>
      <c r="B836" s="165" t="s">
        <v>1905</v>
      </c>
      <c r="C836" s="153">
        <f t="shared" si="48"/>
        <v>45378</v>
      </c>
      <c r="D836" s="62" t="str">
        <f ca="1" t="shared" si="50"/>
        <v>一年以上</v>
      </c>
      <c r="E836" s="115">
        <v>45378</v>
      </c>
      <c r="F836" s="115" t="s">
        <v>1875</v>
      </c>
      <c r="G836" s="132" t="s">
        <v>1876</v>
      </c>
      <c r="H836" s="100" t="s">
        <v>863</v>
      </c>
      <c r="I836" s="63" t="str">
        <f t="shared" si="52"/>
        <v>青海发投碱业有限公司</v>
      </c>
      <c r="J836" s="157">
        <v>48000</v>
      </c>
      <c r="K836" s="136" t="s">
        <v>1706</v>
      </c>
      <c r="L836" s="105" t="s">
        <v>73</v>
      </c>
      <c r="M836" s="89" t="s">
        <v>65</v>
      </c>
      <c r="N836" s="117"/>
      <c r="O836" s="140">
        <f t="shared" si="51"/>
        <v>48000</v>
      </c>
      <c r="P836" s="115"/>
      <c r="Q836" s="61">
        <f t="shared" si="53"/>
        <v>0</v>
      </c>
      <c r="R836" s="68"/>
      <c r="S836" s="72" t="s">
        <v>1805</v>
      </c>
      <c r="T836" s="105" t="s">
        <v>972</v>
      </c>
      <c r="U836" s="59" t="s">
        <v>1465</v>
      </c>
      <c r="V836" s="68"/>
      <c r="W836" s="68"/>
      <c r="X836" s="68"/>
    </row>
    <row r="837" s="17" customFormat="1" ht="36" hidden="1" spans="1:24">
      <c r="A837" s="59">
        <v>834</v>
      </c>
      <c r="B837" s="165" t="s">
        <v>1906</v>
      </c>
      <c r="C837" s="153">
        <f t="shared" si="48"/>
        <v>45380</v>
      </c>
      <c r="D837" s="62" t="str">
        <f ca="1" t="shared" si="50"/>
        <v>一年以上</v>
      </c>
      <c r="E837" s="115">
        <v>45380</v>
      </c>
      <c r="F837" s="115" t="s">
        <v>632</v>
      </c>
      <c r="G837" s="132" t="s">
        <v>450</v>
      </c>
      <c r="H837" s="100" t="s">
        <v>912</v>
      </c>
      <c r="I837" s="63" t="str">
        <f t="shared" si="52"/>
        <v>新疆米东天山水泥有限责任公司</v>
      </c>
      <c r="J837" s="157">
        <v>2000</v>
      </c>
      <c r="K837" s="136" t="s">
        <v>28</v>
      </c>
      <c r="L837" s="105" t="s">
        <v>73</v>
      </c>
      <c r="M837" s="89" t="s">
        <v>30</v>
      </c>
      <c r="N837" s="104">
        <v>2000</v>
      </c>
      <c r="O837" s="137">
        <f t="shared" si="51"/>
        <v>0</v>
      </c>
      <c r="P837" s="115">
        <v>45388</v>
      </c>
      <c r="Q837" s="61">
        <f t="shared" si="53"/>
        <v>45388</v>
      </c>
      <c r="R837" s="68"/>
      <c r="S837" s="72" t="s">
        <v>1907</v>
      </c>
      <c r="T837" s="105"/>
      <c r="U837" s="68"/>
      <c r="V837" s="68"/>
      <c r="W837" s="68"/>
      <c r="X837" s="68"/>
    </row>
    <row r="838" s="17" customFormat="1" ht="36" spans="1:24">
      <c r="A838" s="59">
        <v>835</v>
      </c>
      <c r="B838" s="165" t="s">
        <v>1908</v>
      </c>
      <c r="C838" s="153">
        <f t="shared" si="48"/>
        <v>45357</v>
      </c>
      <c r="D838" s="62" t="str">
        <f ca="1" t="shared" si="50"/>
        <v>一年以上</v>
      </c>
      <c r="E838" s="115">
        <v>45357</v>
      </c>
      <c r="F838" s="115" t="s">
        <v>632</v>
      </c>
      <c r="G838" s="132" t="s">
        <v>450</v>
      </c>
      <c r="H838" s="100" t="s">
        <v>1413</v>
      </c>
      <c r="I838" s="63" t="str">
        <f t="shared" si="52"/>
        <v>中机国际招标有限公司（青海发投碱业有限公司）</v>
      </c>
      <c r="J838" s="157">
        <v>500</v>
      </c>
      <c r="K838" s="105" t="s">
        <v>28</v>
      </c>
      <c r="L838" s="105" t="s">
        <v>73</v>
      </c>
      <c r="M838" s="89" t="s">
        <v>515</v>
      </c>
      <c r="N838" s="117"/>
      <c r="O838" s="140">
        <f t="shared" si="51"/>
        <v>500</v>
      </c>
      <c r="P838" s="115"/>
      <c r="Q838" s="61">
        <f t="shared" si="53"/>
        <v>0</v>
      </c>
      <c r="R838" s="68"/>
      <c r="S838" s="68" t="s">
        <v>1893</v>
      </c>
      <c r="T838" s="105" t="s">
        <v>972</v>
      </c>
      <c r="U838" s="59" t="s">
        <v>1465</v>
      </c>
      <c r="V838" s="68"/>
      <c r="W838" s="68"/>
      <c r="X838" s="68"/>
    </row>
    <row r="839" s="17" customFormat="1" ht="24" spans="1:24">
      <c r="A839" s="59">
        <v>836</v>
      </c>
      <c r="B839" s="165" t="s">
        <v>1909</v>
      </c>
      <c r="C839" s="153">
        <f t="shared" si="48"/>
        <v>45357</v>
      </c>
      <c r="D839" s="62" t="str">
        <f ca="1" t="shared" si="50"/>
        <v>一年以上</v>
      </c>
      <c r="E839" s="115">
        <v>45357</v>
      </c>
      <c r="F839" s="115" t="s">
        <v>632</v>
      </c>
      <c r="G839" s="132" t="s">
        <v>450</v>
      </c>
      <c r="H839" s="100" t="s">
        <v>1888</v>
      </c>
      <c r="I839" s="63" t="str">
        <f t="shared" si="52"/>
        <v>中盐青海昆仑碱业有限公司</v>
      </c>
      <c r="J839" s="157">
        <v>500</v>
      </c>
      <c r="K839" s="105" t="s">
        <v>28</v>
      </c>
      <c r="L839" s="105" t="s">
        <v>73</v>
      </c>
      <c r="M839" s="89" t="s">
        <v>515</v>
      </c>
      <c r="N839" s="117"/>
      <c r="O839" s="137">
        <f t="shared" si="51"/>
        <v>500</v>
      </c>
      <c r="P839" s="115"/>
      <c r="Q839" s="61">
        <f t="shared" si="53"/>
        <v>0</v>
      </c>
      <c r="R839" s="68"/>
      <c r="S839" s="68" t="s">
        <v>1889</v>
      </c>
      <c r="T839" s="105" t="s">
        <v>972</v>
      </c>
      <c r="U839" s="59" t="s">
        <v>1465</v>
      </c>
      <c r="V839" s="68"/>
      <c r="W839" s="68"/>
      <c r="X839" s="68"/>
    </row>
    <row r="840" s="17" customFormat="1" ht="24" spans="1:24">
      <c r="A840" s="59">
        <v>837</v>
      </c>
      <c r="B840" s="165" t="s">
        <v>1910</v>
      </c>
      <c r="C840" s="153">
        <f t="shared" si="48"/>
        <v>45370</v>
      </c>
      <c r="D840" s="62" t="str">
        <f ca="1" t="shared" si="50"/>
        <v>一年以上</v>
      </c>
      <c r="E840" s="115">
        <v>45370</v>
      </c>
      <c r="F840" s="115" t="s">
        <v>632</v>
      </c>
      <c r="G840" s="132" t="s">
        <v>450</v>
      </c>
      <c r="H840" s="100" t="s">
        <v>1900</v>
      </c>
      <c r="I840" s="63" t="str">
        <f t="shared" si="52"/>
        <v>中盐吉兰泰氯碱化工有限公司</v>
      </c>
      <c r="J840" s="157">
        <v>500</v>
      </c>
      <c r="K840" s="105" t="s">
        <v>28</v>
      </c>
      <c r="L840" s="105" t="s">
        <v>73</v>
      </c>
      <c r="M840" s="89" t="s">
        <v>515</v>
      </c>
      <c r="N840" s="117"/>
      <c r="O840" s="137">
        <f t="shared" si="51"/>
        <v>500</v>
      </c>
      <c r="P840" s="115"/>
      <c r="Q840" s="61">
        <f t="shared" si="53"/>
        <v>0</v>
      </c>
      <c r="R840" s="68"/>
      <c r="S840" s="68" t="s">
        <v>1901</v>
      </c>
      <c r="T840" s="105" t="s">
        <v>388</v>
      </c>
      <c r="U840" s="68" t="s">
        <v>1902</v>
      </c>
      <c r="V840" s="68"/>
      <c r="W840" s="68"/>
      <c r="X840" s="68"/>
    </row>
    <row r="841" s="17" customFormat="1" ht="24" spans="1:24">
      <c r="A841" s="59">
        <v>838</v>
      </c>
      <c r="B841" s="165" t="s">
        <v>1911</v>
      </c>
      <c r="C841" s="153">
        <f t="shared" si="48"/>
        <v>45377</v>
      </c>
      <c r="D841" s="62" t="str">
        <f ca="1" t="shared" si="50"/>
        <v>一年以上</v>
      </c>
      <c r="E841" s="115">
        <v>45377</v>
      </c>
      <c r="F841" s="115" t="s">
        <v>632</v>
      </c>
      <c r="G841" s="132" t="s">
        <v>450</v>
      </c>
      <c r="H841" s="165" t="s">
        <v>912</v>
      </c>
      <c r="I841" s="63" t="str">
        <f t="shared" si="52"/>
        <v>新疆米东天山水泥有限责任公司</v>
      </c>
      <c r="J841" s="127">
        <v>200</v>
      </c>
      <c r="K841" s="105" t="s">
        <v>28</v>
      </c>
      <c r="L841" s="105" t="s">
        <v>73</v>
      </c>
      <c r="M841" s="89" t="s">
        <v>515</v>
      </c>
      <c r="N841" s="117"/>
      <c r="O841" s="224">
        <f t="shared" si="51"/>
        <v>200</v>
      </c>
      <c r="P841" s="115"/>
      <c r="Q841" s="61">
        <f t="shared" si="53"/>
        <v>0</v>
      </c>
      <c r="R841" s="68"/>
      <c r="S841" s="68" t="s">
        <v>1907</v>
      </c>
      <c r="T841" s="105" t="s">
        <v>581</v>
      </c>
      <c r="U841" s="68" t="s">
        <v>239</v>
      </c>
      <c r="V841" s="68"/>
      <c r="W841" s="68"/>
      <c r="X841" s="68"/>
    </row>
    <row r="842" s="17" customFormat="1" ht="36" hidden="1" spans="1:24">
      <c r="A842" s="59">
        <v>839</v>
      </c>
      <c r="B842" s="60" t="s">
        <v>1912</v>
      </c>
      <c r="C842" s="153">
        <f t="shared" si="48"/>
        <v>45389</v>
      </c>
      <c r="D842" s="62" t="str">
        <f ca="1" t="shared" si="50"/>
        <v>一年以上</v>
      </c>
      <c r="E842" s="115">
        <v>45389</v>
      </c>
      <c r="F842" s="115" t="s">
        <v>632</v>
      </c>
      <c r="G842" s="132" t="s">
        <v>450</v>
      </c>
      <c r="H842" s="100" t="s">
        <v>851</v>
      </c>
      <c r="I842" s="63" t="str">
        <f t="shared" si="52"/>
        <v>日照钢铁有限公司</v>
      </c>
      <c r="J842" s="157">
        <v>10000</v>
      </c>
      <c r="K842" s="105" t="s">
        <v>28</v>
      </c>
      <c r="L842" s="105" t="s">
        <v>57</v>
      </c>
      <c r="M842" s="89" t="s">
        <v>30</v>
      </c>
      <c r="N842" s="192">
        <v>10000</v>
      </c>
      <c r="O842" s="137">
        <f t="shared" si="51"/>
        <v>0</v>
      </c>
      <c r="P842" s="115">
        <v>45392</v>
      </c>
      <c r="Q842" s="61">
        <f t="shared" si="53"/>
        <v>45392</v>
      </c>
      <c r="R842" s="68"/>
      <c r="S842" s="72" t="s">
        <v>1913</v>
      </c>
      <c r="T842" s="105"/>
      <c r="U842" s="68"/>
      <c r="V842" s="68"/>
      <c r="W842" s="68"/>
      <c r="X842" s="68"/>
    </row>
    <row r="843" s="17" customFormat="1" ht="36" spans="1:24">
      <c r="A843" s="59">
        <v>840</v>
      </c>
      <c r="B843" s="165" t="s">
        <v>1914</v>
      </c>
      <c r="C843" s="153">
        <f t="shared" si="48"/>
        <v>45390</v>
      </c>
      <c r="D843" s="62" t="str">
        <f ca="1" t="shared" si="50"/>
        <v>一年以上</v>
      </c>
      <c r="E843" s="115">
        <v>45390</v>
      </c>
      <c r="F843" s="115" t="s">
        <v>632</v>
      </c>
      <c r="G843" s="132" t="s">
        <v>450</v>
      </c>
      <c r="H843" s="100" t="s">
        <v>1413</v>
      </c>
      <c r="I843" s="63" t="str">
        <f t="shared" si="52"/>
        <v>中机国际招标有限公司（青海发投碱业有限公司）</v>
      </c>
      <c r="J843" s="157">
        <v>500</v>
      </c>
      <c r="K843" s="105" t="s">
        <v>1706</v>
      </c>
      <c r="L843" s="105" t="s">
        <v>73</v>
      </c>
      <c r="M843" s="89" t="s">
        <v>515</v>
      </c>
      <c r="N843" s="117"/>
      <c r="O843" s="140">
        <f t="shared" si="51"/>
        <v>500</v>
      </c>
      <c r="P843" s="115"/>
      <c r="Q843" s="61">
        <f t="shared" si="53"/>
        <v>0</v>
      </c>
      <c r="R843" s="68"/>
      <c r="S843" s="68" t="s">
        <v>1915</v>
      </c>
      <c r="T843" s="105" t="s">
        <v>972</v>
      </c>
      <c r="U843" s="59" t="s">
        <v>1465</v>
      </c>
      <c r="V843" s="68"/>
      <c r="W843" s="68"/>
      <c r="X843" s="68"/>
    </row>
    <row r="844" s="17" customFormat="1" ht="36" spans="1:24">
      <c r="A844" s="59">
        <v>841</v>
      </c>
      <c r="B844" s="165" t="s">
        <v>1916</v>
      </c>
      <c r="C844" s="153">
        <f t="shared" si="48"/>
        <v>45391</v>
      </c>
      <c r="D844" s="62" t="str">
        <f ca="1" t="shared" si="50"/>
        <v>一年以上</v>
      </c>
      <c r="E844" s="115">
        <v>45391</v>
      </c>
      <c r="F844" s="115" t="s">
        <v>1875</v>
      </c>
      <c r="G844" s="132" t="s">
        <v>1876</v>
      </c>
      <c r="H844" s="100" t="s">
        <v>863</v>
      </c>
      <c r="I844" s="63" t="str">
        <f t="shared" si="52"/>
        <v>青海发投碱业有限公司</v>
      </c>
      <c r="J844" s="193">
        <v>2600</v>
      </c>
      <c r="K844" s="105" t="s">
        <v>28</v>
      </c>
      <c r="L844" s="105" t="s">
        <v>73</v>
      </c>
      <c r="M844" s="89" t="s">
        <v>941</v>
      </c>
      <c r="N844" s="117"/>
      <c r="O844" s="140">
        <f t="shared" si="51"/>
        <v>2600</v>
      </c>
      <c r="P844" s="115"/>
      <c r="Q844" s="61">
        <f t="shared" si="53"/>
        <v>0</v>
      </c>
      <c r="R844" s="68"/>
      <c r="S844" s="72" t="s">
        <v>1917</v>
      </c>
      <c r="T844" s="105" t="s">
        <v>972</v>
      </c>
      <c r="U844" s="59" t="s">
        <v>1465</v>
      </c>
      <c r="V844" s="68"/>
      <c r="W844" s="68"/>
      <c r="X844" s="68"/>
    </row>
    <row r="845" s="17" customFormat="1" ht="36" spans="1:24">
      <c r="A845" s="59">
        <v>842</v>
      </c>
      <c r="B845" s="165" t="s">
        <v>1918</v>
      </c>
      <c r="C845" s="153">
        <f t="shared" si="48"/>
        <v>45391</v>
      </c>
      <c r="D845" s="62" t="str">
        <f ca="1" t="shared" si="50"/>
        <v>一年以上</v>
      </c>
      <c r="E845" s="115">
        <v>45391</v>
      </c>
      <c r="F845" s="115" t="s">
        <v>1875</v>
      </c>
      <c r="G845" s="132" t="s">
        <v>1876</v>
      </c>
      <c r="H845" s="100" t="s">
        <v>863</v>
      </c>
      <c r="I845" s="63" t="str">
        <f t="shared" si="52"/>
        <v>青海发投碱业有限公司</v>
      </c>
      <c r="J845" s="193">
        <v>3000</v>
      </c>
      <c r="K845" s="105" t="s">
        <v>28</v>
      </c>
      <c r="L845" s="105" t="s">
        <v>73</v>
      </c>
      <c r="M845" s="89" t="s">
        <v>65</v>
      </c>
      <c r="N845" s="117"/>
      <c r="O845" s="140">
        <f t="shared" si="51"/>
        <v>3000</v>
      </c>
      <c r="P845" s="115"/>
      <c r="Q845" s="61">
        <f t="shared" si="53"/>
        <v>0</v>
      </c>
      <c r="R845" s="68"/>
      <c r="S845" s="72" t="s">
        <v>1917</v>
      </c>
      <c r="T845" s="105" t="s">
        <v>972</v>
      </c>
      <c r="U845" s="59" t="s">
        <v>1465</v>
      </c>
      <c r="V845" s="68"/>
      <c r="W845" s="68"/>
      <c r="X845" s="68"/>
    </row>
    <row r="846" s="17" customFormat="1" ht="14" customHeight="1" spans="1:24">
      <c r="A846" s="59">
        <v>843</v>
      </c>
      <c r="B846" s="165" t="s">
        <v>1919</v>
      </c>
      <c r="C846" s="153">
        <f t="shared" ref="C846:C876" si="54">E846</f>
        <v>45392</v>
      </c>
      <c r="D846" s="62" t="str">
        <f ca="1" t="shared" si="50"/>
        <v>一年以上</v>
      </c>
      <c r="E846" s="115">
        <v>45392</v>
      </c>
      <c r="F846" s="115" t="s">
        <v>130</v>
      </c>
      <c r="G846" s="132" t="s">
        <v>1920</v>
      </c>
      <c r="H846" s="100" t="s">
        <v>863</v>
      </c>
      <c r="I846" s="63" t="str">
        <f t="shared" si="52"/>
        <v>青海发投碱业有限公司</v>
      </c>
      <c r="J846" s="193">
        <v>2600</v>
      </c>
      <c r="K846" s="105" t="s">
        <v>28</v>
      </c>
      <c r="L846" s="105" t="s">
        <v>73</v>
      </c>
      <c r="M846" s="89" t="s">
        <v>133</v>
      </c>
      <c r="N846" s="117"/>
      <c r="O846" s="140">
        <f t="shared" si="51"/>
        <v>2600</v>
      </c>
      <c r="P846" s="115"/>
      <c r="Q846" s="61">
        <f t="shared" si="53"/>
        <v>0</v>
      </c>
      <c r="R846" s="68"/>
      <c r="S846" s="72" t="s">
        <v>1921</v>
      </c>
      <c r="T846" s="105" t="s">
        <v>972</v>
      </c>
      <c r="U846" s="59" t="s">
        <v>1465</v>
      </c>
      <c r="V846" s="68"/>
      <c r="W846" s="68"/>
      <c r="X846" s="68"/>
    </row>
    <row r="847" s="17" customFormat="1" ht="14" customHeight="1" spans="1:24">
      <c r="A847" s="59">
        <v>844</v>
      </c>
      <c r="B847" s="165" t="s">
        <v>1922</v>
      </c>
      <c r="C847" s="153">
        <f t="shared" si="54"/>
        <v>45392</v>
      </c>
      <c r="D847" s="62" t="str">
        <f ca="1" t="shared" si="50"/>
        <v>一年以上</v>
      </c>
      <c r="E847" s="115">
        <v>45392</v>
      </c>
      <c r="F847" s="115" t="s">
        <v>1875</v>
      </c>
      <c r="G847" s="132" t="s">
        <v>1876</v>
      </c>
      <c r="H847" s="100" t="s">
        <v>863</v>
      </c>
      <c r="I847" s="63" t="str">
        <f t="shared" si="52"/>
        <v>青海发投碱业有限公司</v>
      </c>
      <c r="J847" s="193">
        <v>21000</v>
      </c>
      <c r="K847" s="105" t="s">
        <v>28</v>
      </c>
      <c r="L847" s="105" t="s">
        <v>73</v>
      </c>
      <c r="M847" s="89" t="s">
        <v>65</v>
      </c>
      <c r="N847" s="117"/>
      <c r="O847" s="140">
        <f t="shared" si="51"/>
        <v>21000</v>
      </c>
      <c r="P847" s="115"/>
      <c r="Q847" s="61">
        <f t="shared" si="53"/>
        <v>0</v>
      </c>
      <c r="R847" s="68"/>
      <c r="S847" s="72" t="s">
        <v>1923</v>
      </c>
      <c r="T847" s="105" t="s">
        <v>972</v>
      </c>
      <c r="U847" s="59" t="s">
        <v>1465</v>
      </c>
      <c r="V847" s="68"/>
      <c r="W847" s="68"/>
      <c r="X847" s="68"/>
    </row>
    <row r="848" s="17" customFormat="1" ht="36" spans="1:24">
      <c r="A848" s="59">
        <v>845</v>
      </c>
      <c r="B848" s="165" t="s">
        <v>1924</v>
      </c>
      <c r="C848" s="153">
        <f t="shared" si="54"/>
        <v>45393</v>
      </c>
      <c r="D848" s="62" t="str">
        <f ca="1" t="shared" si="50"/>
        <v>一年以上</v>
      </c>
      <c r="E848" s="115">
        <v>45393</v>
      </c>
      <c r="F848" s="115" t="s">
        <v>1875</v>
      </c>
      <c r="G848" s="132" t="s">
        <v>1876</v>
      </c>
      <c r="H848" s="100" t="s">
        <v>863</v>
      </c>
      <c r="I848" s="63" t="str">
        <f t="shared" si="52"/>
        <v>青海发投碱业有限公司</v>
      </c>
      <c r="J848" s="193">
        <v>180044</v>
      </c>
      <c r="K848" s="105" t="s">
        <v>28</v>
      </c>
      <c r="L848" s="105" t="s">
        <v>73</v>
      </c>
      <c r="M848" s="89" t="s">
        <v>941</v>
      </c>
      <c r="N848" s="117"/>
      <c r="O848" s="140">
        <f t="shared" si="51"/>
        <v>180044</v>
      </c>
      <c r="P848" s="115"/>
      <c r="Q848" s="61">
        <f t="shared" si="53"/>
        <v>0</v>
      </c>
      <c r="R848" s="68"/>
      <c r="S848" s="72" t="s">
        <v>1620</v>
      </c>
      <c r="T848" s="105" t="s">
        <v>972</v>
      </c>
      <c r="U848" s="59" t="s">
        <v>1465</v>
      </c>
      <c r="V848" s="68"/>
      <c r="W848" s="68"/>
      <c r="X848" s="68"/>
    </row>
    <row r="849" s="17" customFormat="1" ht="36" spans="1:24">
      <c r="A849" s="59">
        <v>846</v>
      </c>
      <c r="B849" s="165" t="s">
        <v>1926</v>
      </c>
      <c r="C849" s="153">
        <f t="shared" si="54"/>
        <v>45394</v>
      </c>
      <c r="D849" s="62" t="str">
        <f ca="1" t="shared" si="50"/>
        <v>一年以上</v>
      </c>
      <c r="E849" s="115">
        <v>45394</v>
      </c>
      <c r="F849" s="115" t="s">
        <v>130</v>
      </c>
      <c r="G849" s="132" t="s">
        <v>1920</v>
      </c>
      <c r="H849" s="100" t="s">
        <v>863</v>
      </c>
      <c r="I849" s="63" t="str">
        <f t="shared" si="52"/>
        <v>青海发投碱业有限公司</v>
      </c>
      <c r="J849" s="193">
        <v>180000</v>
      </c>
      <c r="K849" s="105" t="s">
        <v>28</v>
      </c>
      <c r="L849" s="105" t="s">
        <v>73</v>
      </c>
      <c r="M849" s="89" t="s">
        <v>133</v>
      </c>
      <c r="N849" s="117"/>
      <c r="O849" s="140">
        <f t="shared" si="51"/>
        <v>180000</v>
      </c>
      <c r="P849" s="115"/>
      <c r="Q849" s="61">
        <f t="shared" si="53"/>
        <v>0</v>
      </c>
      <c r="R849" s="68"/>
      <c r="S849" s="72" t="s">
        <v>1893</v>
      </c>
      <c r="T849" s="105" t="s">
        <v>972</v>
      </c>
      <c r="U849" s="59" t="s">
        <v>1465</v>
      </c>
      <c r="V849" s="68"/>
      <c r="W849" s="68"/>
      <c r="X849" s="68"/>
    </row>
    <row r="850" s="17" customFormat="1" ht="36" spans="1:24">
      <c r="A850" s="59">
        <v>847</v>
      </c>
      <c r="B850" s="165" t="s">
        <v>1927</v>
      </c>
      <c r="C850" s="153">
        <f t="shared" si="54"/>
        <v>45394</v>
      </c>
      <c r="D850" s="62" t="str">
        <f ca="1" t="shared" si="50"/>
        <v>一年以上</v>
      </c>
      <c r="E850" s="115">
        <v>45394</v>
      </c>
      <c r="F850" s="115" t="s">
        <v>70</v>
      </c>
      <c r="G850" s="132" t="s">
        <v>1088</v>
      </c>
      <c r="H850" s="100" t="s">
        <v>797</v>
      </c>
      <c r="I850" s="63" t="str">
        <f t="shared" si="52"/>
        <v>山东泰山钢铁集团有限公司</v>
      </c>
      <c r="J850" s="193">
        <v>10000</v>
      </c>
      <c r="K850" s="105" t="s">
        <v>28</v>
      </c>
      <c r="L850" s="105" t="s">
        <v>73</v>
      </c>
      <c r="M850" s="89" t="s">
        <v>65</v>
      </c>
      <c r="N850" s="117"/>
      <c r="O850" s="137">
        <f t="shared" si="51"/>
        <v>10000</v>
      </c>
      <c r="P850" s="115"/>
      <c r="Q850" s="61"/>
      <c r="R850" s="68"/>
      <c r="S850" s="68" t="s">
        <v>1928</v>
      </c>
      <c r="T850" s="105" t="s">
        <v>86</v>
      </c>
      <c r="U850" s="105" t="s">
        <v>1902</v>
      </c>
      <c r="V850" s="68"/>
      <c r="W850" s="68"/>
      <c r="X850" s="68"/>
    </row>
    <row r="851" s="17" customFormat="1" ht="24" spans="1:24">
      <c r="A851" s="59">
        <v>848</v>
      </c>
      <c r="B851" s="165" t="s">
        <v>1898</v>
      </c>
      <c r="C851" s="153">
        <f t="shared" si="54"/>
        <v>45395</v>
      </c>
      <c r="D851" s="62" t="str">
        <f ca="1" t="shared" si="50"/>
        <v>一年以上</v>
      </c>
      <c r="E851" s="115">
        <v>45395</v>
      </c>
      <c r="F851" s="115" t="s">
        <v>1929</v>
      </c>
      <c r="G851" s="132" t="s">
        <v>450</v>
      </c>
      <c r="H851" s="100" t="s">
        <v>797</v>
      </c>
      <c r="I851" s="63" t="str">
        <f t="shared" si="52"/>
        <v>山东泰山钢铁集团有限公司</v>
      </c>
      <c r="J851" s="193">
        <v>5000</v>
      </c>
      <c r="K851" s="105" t="s">
        <v>28</v>
      </c>
      <c r="L851" s="105" t="s">
        <v>73</v>
      </c>
      <c r="M851" s="89" t="s">
        <v>65</v>
      </c>
      <c r="N851" s="117"/>
      <c r="O851" s="137">
        <f t="shared" si="51"/>
        <v>5000</v>
      </c>
      <c r="P851" s="144"/>
      <c r="Q851" s="61"/>
      <c r="R851" s="68"/>
      <c r="S851" s="68"/>
      <c r="T851" s="105"/>
      <c r="U851" s="105"/>
      <c r="V851" s="68"/>
      <c r="W851" s="68"/>
      <c r="X851" s="68"/>
    </row>
    <row r="852" s="17" customFormat="1" ht="13" customHeight="1" spans="1:24">
      <c r="A852" s="59">
        <v>849</v>
      </c>
      <c r="B852" s="91" t="s">
        <v>2663</v>
      </c>
      <c r="C852" s="153">
        <f t="shared" si="54"/>
        <v>45400</v>
      </c>
      <c r="D852" s="62" t="str">
        <f ca="1" t="shared" si="50"/>
        <v>一年以上</v>
      </c>
      <c r="E852" s="115">
        <v>45400</v>
      </c>
      <c r="F852" s="115" t="s">
        <v>1875</v>
      </c>
      <c r="G852" s="158" t="s">
        <v>1876</v>
      </c>
      <c r="H852" s="100" t="s">
        <v>863</v>
      </c>
      <c r="I852" s="63" t="str">
        <f t="shared" si="52"/>
        <v>青海发投碱业有限公司</v>
      </c>
      <c r="J852" s="193">
        <v>180000</v>
      </c>
      <c r="K852" s="105" t="s">
        <v>28</v>
      </c>
      <c r="L852" s="105" t="s">
        <v>73</v>
      </c>
      <c r="M852" s="109" t="s">
        <v>65</v>
      </c>
      <c r="N852" s="161"/>
      <c r="O852" s="166">
        <f t="shared" si="51"/>
        <v>180000</v>
      </c>
      <c r="P852" s="115"/>
      <c r="Q852" s="61"/>
      <c r="R852" s="68"/>
      <c r="S852" s="72" t="s">
        <v>1931</v>
      </c>
      <c r="T852" s="105" t="s">
        <v>972</v>
      </c>
      <c r="U852" s="59" t="s">
        <v>1465</v>
      </c>
      <c r="V852" s="68"/>
      <c r="W852" s="68"/>
      <c r="X852" s="68"/>
    </row>
    <row r="853" s="25" customFormat="1" ht="18" customHeight="1" spans="1:24">
      <c r="A853" s="67">
        <v>850</v>
      </c>
      <c r="B853" s="194" t="s">
        <v>2664</v>
      </c>
      <c r="C853" s="170">
        <f t="shared" si="54"/>
        <v>45398</v>
      </c>
      <c r="D853" s="171" t="str">
        <f ca="1" t="shared" ref="D853:D876" si="55">IF(TODAY()-E853&lt;60,"2个月内",IF(TODAY()-E853&lt;180,"3-6个月",IF(TODAY()-E853&lt;360,"6个月-1年","一年以上")))</f>
        <v>一年以上</v>
      </c>
      <c r="E853" s="172">
        <v>45398</v>
      </c>
      <c r="F853" s="172" t="s">
        <v>70</v>
      </c>
      <c r="G853" s="195" t="s">
        <v>1933</v>
      </c>
      <c r="H853" s="125" t="s">
        <v>222</v>
      </c>
      <c r="I853" s="159" t="str">
        <f t="shared" si="52"/>
        <v>天瑞新登郑州水泥有限公司</v>
      </c>
      <c r="J853" s="196">
        <v>2000</v>
      </c>
      <c r="K853" s="174" t="s">
        <v>28</v>
      </c>
      <c r="L853" s="174" t="s">
        <v>73</v>
      </c>
      <c r="M853" s="197" t="s">
        <v>65</v>
      </c>
      <c r="N853" s="198"/>
      <c r="O853" s="199">
        <f t="shared" si="51"/>
        <v>2000</v>
      </c>
      <c r="P853" s="172"/>
      <c r="Q853" s="200"/>
      <c r="R853" s="177"/>
      <c r="S853" s="177" t="s">
        <v>1935</v>
      </c>
      <c r="T853" s="174" t="s">
        <v>32</v>
      </c>
      <c r="U853" s="174" t="s">
        <v>294</v>
      </c>
      <c r="V853" s="177"/>
      <c r="W853" s="177"/>
      <c r="X853" s="177"/>
    </row>
    <row r="854" s="17" customFormat="1" ht="25" customHeight="1" spans="1:24">
      <c r="A854" s="59">
        <v>851</v>
      </c>
      <c r="B854" s="91" t="s">
        <v>1936</v>
      </c>
      <c r="C854" s="153">
        <f t="shared" si="54"/>
        <v>45398</v>
      </c>
      <c r="D854" s="62" t="str">
        <f ca="1" t="shared" si="55"/>
        <v>一年以上</v>
      </c>
      <c r="E854" s="115">
        <v>45398</v>
      </c>
      <c r="F854" s="115" t="s">
        <v>632</v>
      </c>
      <c r="G854" s="158" t="s">
        <v>450</v>
      </c>
      <c r="H854" s="100" t="s">
        <v>1413</v>
      </c>
      <c r="I854" s="63" t="str">
        <f t="shared" si="52"/>
        <v>中机国际招标有限公司（青海发投碱业有限公司）</v>
      </c>
      <c r="J854" s="193">
        <v>500</v>
      </c>
      <c r="K854" s="105" t="s">
        <v>28</v>
      </c>
      <c r="L854" s="105" t="s">
        <v>73</v>
      </c>
      <c r="M854" s="109" t="s">
        <v>515</v>
      </c>
      <c r="N854" s="161"/>
      <c r="O854" s="166">
        <f t="shared" si="51"/>
        <v>500</v>
      </c>
      <c r="P854" s="115"/>
      <c r="Q854" s="61"/>
      <c r="R854" s="68"/>
      <c r="S854" s="68" t="s">
        <v>1937</v>
      </c>
      <c r="T854" s="105" t="s">
        <v>972</v>
      </c>
      <c r="U854" s="59" t="s">
        <v>1465</v>
      </c>
      <c r="V854" s="68"/>
      <c r="W854" s="68"/>
      <c r="X854" s="68"/>
    </row>
    <row r="855" s="17" customFormat="1" ht="24" customHeight="1" spans="1:24">
      <c r="A855" s="59">
        <v>852</v>
      </c>
      <c r="B855" s="91" t="s">
        <v>1938</v>
      </c>
      <c r="C855" s="153">
        <f t="shared" si="54"/>
        <v>45399</v>
      </c>
      <c r="D855" s="62" t="str">
        <f ca="1" t="shared" si="55"/>
        <v>一年以上</v>
      </c>
      <c r="E855" s="115">
        <v>45399</v>
      </c>
      <c r="F855" s="115" t="s">
        <v>632</v>
      </c>
      <c r="G855" s="158" t="s">
        <v>450</v>
      </c>
      <c r="H855" s="100" t="s">
        <v>1939</v>
      </c>
      <c r="I855" s="63" t="str">
        <f t="shared" si="52"/>
        <v>青海盐湖镁业有限公司</v>
      </c>
      <c r="J855" s="193">
        <v>1200</v>
      </c>
      <c r="K855" s="105" t="s">
        <v>28</v>
      </c>
      <c r="L855" s="105" t="s">
        <v>73</v>
      </c>
      <c r="M855" s="109" t="s">
        <v>515</v>
      </c>
      <c r="N855" s="161"/>
      <c r="O855" s="162">
        <f t="shared" si="51"/>
        <v>1200</v>
      </c>
      <c r="P855" s="115"/>
      <c r="Q855" s="61"/>
      <c r="R855" s="68"/>
      <c r="S855" s="72" t="s">
        <v>1940</v>
      </c>
      <c r="T855" s="105" t="s">
        <v>972</v>
      </c>
      <c r="U855" s="105" t="s">
        <v>537</v>
      </c>
      <c r="V855" s="68"/>
      <c r="W855" s="68"/>
      <c r="X855" s="68"/>
    </row>
    <row r="856" s="17" customFormat="1" ht="18" customHeight="1" spans="1:24">
      <c r="A856" s="59">
        <v>853</v>
      </c>
      <c r="B856" s="91" t="s">
        <v>1941</v>
      </c>
      <c r="C856" s="153">
        <f t="shared" si="54"/>
        <v>45400</v>
      </c>
      <c r="D856" s="62" t="str">
        <f ca="1" t="shared" si="55"/>
        <v>一年以上</v>
      </c>
      <c r="E856" s="115">
        <v>45400</v>
      </c>
      <c r="F856" s="115" t="s">
        <v>632</v>
      </c>
      <c r="G856" s="158" t="s">
        <v>450</v>
      </c>
      <c r="H856" s="100" t="s">
        <v>1665</v>
      </c>
      <c r="I856" s="63" t="str">
        <f t="shared" si="52"/>
        <v>北方水泥有限公司（总部）</v>
      </c>
      <c r="J856" s="193">
        <v>200</v>
      </c>
      <c r="K856" s="105" t="s">
        <v>28</v>
      </c>
      <c r="L856" s="105" t="s">
        <v>73</v>
      </c>
      <c r="M856" s="109" t="s">
        <v>515</v>
      </c>
      <c r="N856" s="161"/>
      <c r="O856" s="162">
        <f t="shared" si="51"/>
        <v>200</v>
      </c>
      <c r="P856" s="115"/>
      <c r="Q856" s="61"/>
      <c r="R856" s="68"/>
      <c r="S856" s="68" t="s">
        <v>1942</v>
      </c>
      <c r="T856" s="105" t="s">
        <v>1943</v>
      </c>
      <c r="U856" s="105" t="s">
        <v>294</v>
      </c>
      <c r="V856" s="68"/>
      <c r="W856" s="68"/>
      <c r="X856" s="68"/>
    </row>
    <row r="857" s="25" customFormat="1" ht="18" hidden="1" customHeight="1" spans="1:24">
      <c r="A857" s="67">
        <v>854</v>
      </c>
      <c r="B857" s="169" t="s">
        <v>1944</v>
      </c>
      <c r="C857" s="170">
        <f t="shared" si="54"/>
        <v>45400</v>
      </c>
      <c r="D857" s="171" t="str">
        <f ca="1" t="shared" si="55"/>
        <v>一年以上</v>
      </c>
      <c r="E857" s="172">
        <v>45400</v>
      </c>
      <c r="F857" s="172" t="s">
        <v>632</v>
      </c>
      <c r="G857" s="195" t="s">
        <v>450</v>
      </c>
      <c r="H857" s="125" t="s">
        <v>1665</v>
      </c>
      <c r="I857" s="159" t="str">
        <f t="shared" si="52"/>
        <v>北方水泥有限公司（总部）</v>
      </c>
      <c r="J857" s="196">
        <v>4000</v>
      </c>
      <c r="K857" s="174" t="s">
        <v>28</v>
      </c>
      <c r="L857" s="174" t="s">
        <v>73</v>
      </c>
      <c r="M857" s="197" t="s">
        <v>30</v>
      </c>
      <c r="N857" s="198">
        <v>4000</v>
      </c>
      <c r="O857" s="199">
        <f t="shared" si="51"/>
        <v>0</v>
      </c>
      <c r="P857" s="172">
        <v>45404</v>
      </c>
      <c r="Q857" s="200">
        <f>P857</f>
        <v>45404</v>
      </c>
      <c r="R857" s="177"/>
      <c r="S857" s="177" t="s">
        <v>1942</v>
      </c>
      <c r="T857" s="174" t="s">
        <v>1943</v>
      </c>
      <c r="U857" s="174" t="s">
        <v>294</v>
      </c>
      <c r="V857" s="177"/>
      <c r="W857" s="177"/>
      <c r="X857" s="177"/>
    </row>
    <row r="858" s="17" customFormat="1" ht="36" hidden="1" spans="1:24">
      <c r="A858" s="59">
        <v>855</v>
      </c>
      <c r="B858" s="60" t="s">
        <v>2665</v>
      </c>
      <c r="C858" s="153">
        <f t="shared" si="54"/>
        <v>45412</v>
      </c>
      <c r="D858" s="62" t="str">
        <f ca="1" t="shared" si="55"/>
        <v>一年以上</v>
      </c>
      <c r="E858" s="115">
        <v>45412</v>
      </c>
      <c r="F858" s="115" t="s">
        <v>632</v>
      </c>
      <c r="G858" s="158" t="s">
        <v>450</v>
      </c>
      <c r="H858" s="100" t="s">
        <v>1939</v>
      </c>
      <c r="I858" s="63" t="str">
        <f t="shared" si="52"/>
        <v>青海盐湖镁业有限公司</v>
      </c>
      <c r="J858" s="160">
        <v>20000</v>
      </c>
      <c r="K858" s="105" t="s">
        <v>28</v>
      </c>
      <c r="L858" s="105" t="s">
        <v>73</v>
      </c>
      <c r="M858" s="109" t="s">
        <v>30</v>
      </c>
      <c r="N858" s="161">
        <v>20000</v>
      </c>
      <c r="O858" s="162">
        <f t="shared" si="51"/>
        <v>0</v>
      </c>
      <c r="P858" s="144" t="s">
        <v>2666</v>
      </c>
      <c r="Q858" s="61"/>
      <c r="R858" s="68"/>
      <c r="S858" s="72" t="s">
        <v>1940</v>
      </c>
      <c r="T858" s="105" t="s">
        <v>972</v>
      </c>
      <c r="U858" s="105" t="s">
        <v>537</v>
      </c>
      <c r="V858" s="68"/>
      <c r="W858" s="68"/>
      <c r="X858" s="68"/>
    </row>
    <row r="859" s="17" customFormat="1" ht="36" spans="1:24">
      <c r="A859" s="59">
        <v>856</v>
      </c>
      <c r="B859" s="60" t="s">
        <v>1946</v>
      </c>
      <c r="C859" s="153">
        <f t="shared" si="54"/>
        <v>45409</v>
      </c>
      <c r="D859" s="62" t="str">
        <f ca="1" t="shared" si="55"/>
        <v>一年以上</v>
      </c>
      <c r="E859" s="115">
        <v>45409</v>
      </c>
      <c r="F859" s="115" t="s">
        <v>1875</v>
      </c>
      <c r="G859" s="158" t="s">
        <v>1876</v>
      </c>
      <c r="H859" s="100" t="s">
        <v>863</v>
      </c>
      <c r="I859" s="63" t="str">
        <f t="shared" si="52"/>
        <v>青海发投碱业有限公司</v>
      </c>
      <c r="J859" s="160">
        <v>3000</v>
      </c>
      <c r="K859" s="105" t="s">
        <v>28</v>
      </c>
      <c r="L859" s="105" t="s">
        <v>73</v>
      </c>
      <c r="M859" s="109" t="s">
        <v>65</v>
      </c>
      <c r="N859" s="161"/>
      <c r="O859" s="166">
        <f t="shared" ref="O859:O873" si="56">J859-N859</f>
        <v>3000</v>
      </c>
      <c r="P859" s="144"/>
      <c r="Q859" s="61"/>
      <c r="R859" s="68"/>
      <c r="S859" s="72" t="s">
        <v>1947</v>
      </c>
      <c r="T859" s="105" t="s">
        <v>972</v>
      </c>
      <c r="U859" s="59" t="s">
        <v>1465</v>
      </c>
      <c r="V859" s="68"/>
      <c r="W859" s="68"/>
      <c r="X859" s="68"/>
    </row>
    <row r="860" s="17" customFormat="1" ht="14" customHeight="1" spans="1:24">
      <c r="A860" s="59">
        <v>857</v>
      </c>
      <c r="B860" s="60" t="s">
        <v>1948</v>
      </c>
      <c r="C860" s="153">
        <f t="shared" si="54"/>
        <v>45407</v>
      </c>
      <c r="D860" s="62" t="str">
        <f ca="1" t="shared" si="55"/>
        <v>一年以上</v>
      </c>
      <c r="E860" s="115">
        <v>45407</v>
      </c>
      <c r="F860" s="115" t="s">
        <v>1875</v>
      </c>
      <c r="G860" s="158" t="s">
        <v>1876</v>
      </c>
      <c r="H860" s="100" t="s">
        <v>863</v>
      </c>
      <c r="I860" s="63" t="str">
        <f t="shared" si="52"/>
        <v>青海发投碱业有限公司</v>
      </c>
      <c r="J860" s="160">
        <v>10000</v>
      </c>
      <c r="K860" s="105" t="s">
        <v>28</v>
      </c>
      <c r="L860" s="105" t="s">
        <v>73</v>
      </c>
      <c r="M860" s="109" t="s">
        <v>65</v>
      </c>
      <c r="N860" s="161"/>
      <c r="O860" s="166">
        <f t="shared" si="56"/>
        <v>10000</v>
      </c>
      <c r="P860" s="144"/>
      <c r="Q860" s="61"/>
      <c r="R860" s="68"/>
      <c r="S860" s="72" t="s">
        <v>2667</v>
      </c>
      <c r="T860" s="105" t="s">
        <v>972</v>
      </c>
      <c r="U860" s="59" t="s">
        <v>1465</v>
      </c>
      <c r="V860" s="68"/>
      <c r="W860" s="68"/>
      <c r="X860" s="68"/>
    </row>
    <row r="861" s="17" customFormat="1" ht="14" customHeight="1" spans="1:24">
      <c r="A861" s="59">
        <v>858</v>
      </c>
      <c r="B861" s="60" t="s">
        <v>1950</v>
      </c>
      <c r="C861" s="153">
        <f t="shared" si="54"/>
        <v>45407</v>
      </c>
      <c r="D861" s="62" t="str">
        <f ca="1" t="shared" si="55"/>
        <v>一年以上</v>
      </c>
      <c r="E861" s="115">
        <v>45407</v>
      </c>
      <c r="F861" s="115" t="s">
        <v>1875</v>
      </c>
      <c r="G861" s="132" t="s">
        <v>1876</v>
      </c>
      <c r="H861" s="100" t="s">
        <v>863</v>
      </c>
      <c r="I861" s="63" t="str">
        <f t="shared" si="52"/>
        <v>青海发投碱业有限公司</v>
      </c>
      <c r="J861" s="116">
        <v>8000</v>
      </c>
      <c r="K861" s="105" t="s">
        <v>28</v>
      </c>
      <c r="L861" s="105" t="s">
        <v>73</v>
      </c>
      <c r="M861" s="89" t="s">
        <v>65</v>
      </c>
      <c r="N861" s="117"/>
      <c r="O861" s="140">
        <f t="shared" si="56"/>
        <v>8000</v>
      </c>
      <c r="P861" s="144"/>
      <c r="Q861" s="61"/>
      <c r="R861" s="68"/>
      <c r="S861" s="72" t="s">
        <v>1951</v>
      </c>
      <c r="T861" s="105" t="s">
        <v>972</v>
      </c>
      <c r="U861" s="59" t="s">
        <v>1465</v>
      </c>
      <c r="V861" s="68"/>
      <c r="W861" s="68"/>
      <c r="X861" s="68"/>
    </row>
    <row r="862" s="17" customFormat="1" ht="14" customHeight="1" spans="1:24">
      <c r="A862" s="59">
        <v>859</v>
      </c>
      <c r="B862" s="60" t="s">
        <v>1952</v>
      </c>
      <c r="C862" s="153">
        <f t="shared" si="54"/>
        <v>45407</v>
      </c>
      <c r="D862" s="62" t="str">
        <f ca="1" t="shared" si="55"/>
        <v>一年以上</v>
      </c>
      <c r="E862" s="115">
        <v>45407</v>
      </c>
      <c r="F862" s="115" t="s">
        <v>1875</v>
      </c>
      <c r="G862" s="132" t="s">
        <v>1876</v>
      </c>
      <c r="H862" s="100" t="s">
        <v>863</v>
      </c>
      <c r="I862" s="63" t="str">
        <f t="shared" si="52"/>
        <v>青海发投碱业有限公司</v>
      </c>
      <c r="J862" s="116">
        <v>5000</v>
      </c>
      <c r="K862" s="105" t="s">
        <v>28</v>
      </c>
      <c r="L862" s="105" t="s">
        <v>73</v>
      </c>
      <c r="M862" s="89" t="s">
        <v>65</v>
      </c>
      <c r="N862" s="117"/>
      <c r="O862" s="140">
        <f t="shared" si="56"/>
        <v>5000</v>
      </c>
      <c r="P862" s="144"/>
      <c r="Q862" s="61"/>
      <c r="R862" s="68"/>
      <c r="S862" s="72" t="s">
        <v>1953</v>
      </c>
      <c r="T862" s="105" t="s">
        <v>972</v>
      </c>
      <c r="U862" s="59" t="s">
        <v>1465</v>
      </c>
      <c r="V862" s="68"/>
      <c r="W862" s="68"/>
      <c r="X862" s="68"/>
    </row>
    <row r="863" s="27" customFormat="1" ht="19" customHeight="1" spans="1:24">
      <c r="A863" s="201">
        <v>860</v>
      </c>
      <c r="B863" s="165" t="s">
        <v>1954</v>
      </c>
      <c r="C863" s="153">
        <f t="shared" si="54"/>
        <v>45411</v>
      </c>
      <c r="D863" s="62" t="str">
        <f ca="1" t="shared" si="55"/>
        <v>一年以上</v>
      </c>
      <c r="E863" s="202">
        <v>45411</v>
      </c>
      <c r="F863" s="115" t="s">
        <v>1875</v>
      </c>
      <c r="G863" s="165" t="s">
        <v>1876</v>
      </c>
      <c r="H863" s="100" t="s">
        <v>863</v>
      </c>
      <c r="I863" s="100" t="s">
        <v>863</v>
      </c>
      <c r="J863" s="203">
        <v>14000</v>
      </c>
      <c r="K863" s="105" t="s">
        <v>28</v>
      </c>
      <c r="L863" s="105" t="s">
        <v>73</v>
      </c>
      <c r="M863" s="165" t="s">
        <v>65</v>
      </c>
      <c r="N863" s="204"/>
      <c r="O863" s="140">
        <f t="shared" si="56"/>
        <v>14000</v>
      </c>
      <c r="P863" s="205"/>
      <c r="Q863" s="165"/>
      <c r="R863" s="206">
        <v>0</v>
      </c>
      <c r="S863" s="165" t="s">
        <v>1955</v>
      </c>
      <c r="T863" s="165" t="s">
        <v>1956</v>
      </c>
      <c r="U863" s="165" t="s">
        <v>1957</v>
      </c>
      <c r="V863" s="165" t="s">
        <v>653</v>
      </c>
      <c r="W863" s="201"/>
      <c r="X863" s="201"/>
    </row>
    <row r="864" s="27" customFormat="1" ht="36" hidden="1" spans="1:24">
      <c r="A864" s="201">
        <v>861</v>
      </c>
      <c r="B864" s="165" t="s">
        <v>1958</v>
      </c>
      <c r="C864" s="153">
        <f t="shared" si="54"/>
        <v>45417</v>
      </c>
      <c r="D864" s="62" t="str">
        <f ca="1" t="shared" si="55"/>
        <v>一年以上</v>
      </c>
      <c r="E864" s="202">
        <v>45417</v>
      </c>
      <c r="F864" s="165" t="s">
        <v>632</v>
      </c>
      <c r="G864" s="165" t="s">
        <v>450</v>
      </c>
      <c r="H864" s="165" t="s">
        <v>851</v>
      </c>
      <c r="I864" s="165" t="s">
        <v>851</v>
      </c>
      <c r="J864" s="206">
        <v>10000</v>
      </c>
      <c r="K864" s="105" t="s">
        <v>28</v>
      </c>
      <c r="L864" s="105" t="s">
        <v>73</v>
      </c>
      <c r="M864" s="165" t="s">
        <v>30</v>
      </c>
      <c r="N864" s="204">
        <v>10000</v>
      </c>
      <c r="O864" s="137">
        <f t="shared" si="56"/>
        <v>0</v>
      </c>
      <c r="P864" s="207">
        <v>45441</v>
      </c>
      <c r="Q864" s="208">
        <v>45413</v>
      </c>
      <c r="R864" s="206">
        <v>0</v>
      </c>
      <c r="S864" s="165" t="s">
        <v>1959</v>
      </c>
      <c r="T864" s="165" t="s">
        <v>1956</v>
      </c>
      <c r="U864" s="165"/>
      <c r="V864" s="165" t="s">
        <v>653</v>
      </c>
      <c r="W864" s="201"/>
      <c r="X864" s="201"/>
    </row>
    <row r="865" s="27" customFormat="1" ht="36" hidden="1" spans="1:24">
      <c r="A865" s="201">
        <v>862</v>
      </c>
      <c r="B865" s="165" t="s">
        <v>1960</v>
      </c>
      <c r="C865" s="153">
        <f t="shared" si="54"/>
        <v>45418</v>
      </c>
      <c r="D865" s="62" t="str">
        <f ca="1" t="shared" si="55"/>
        <v>一年以上</v>
      </c>
      <c r="E865" s="202">
        <v>45418</v>
      </c>
      <c r="F865" s="165" t="s">
        <v>632</v>
      </c>
      <c r="G865" s="165" t="s">
        <v>450</v>
      </c>
      <c r="H865" s="165" t="s">
        <v>1900</v>
      </c>
      <c r="I865" s="165" t="s">
        <v>1900</v>
      </c>
      <c r="J865" s="206">
        <v>8000</v>
      </c>
      <c r="K865" s="105" t="s">
        <v>28</v>
      </c>
      <c r="L865" s="105" t="s">
        <v>73</v>
      </c>
      <c r="M865" s="165" t="s">
        <v>30</v>
      </c>
      <c r="N865" s="204">
        <v>8000</v>
      </c>
      <c r="O865" s="137">
        <f t="shared" si="56"/>
        <v>0</v>
      </c>
      <c r="P865" s="205">
        <v>45468</v>
      </c>
      <c r="Q865" s="165"/>
      <c r="R865" s="206">
        <v>0</v>
      </c>
      <c r="S865" s="165" t="s">
        <v>1961</v>
      </c>
      <c r="T865" s="165" t="s">
        <v>1956</v>
      </c>
      <c r="U865" s="165" t="s">
        <v>1957</v>
      </c>
      <c r="V865" s="165" t="s">
        <v>653</v>
      </c>
      <c r="W865" s="201"/>
      <c r="X865" s="201"/>
    </row>
    <row r="866" s="27" customFormat="1" ht="14" customHeight="1" spans="1:24">
      <c r="A866" s="201">
        <v>863</v>
      </c>
      <c r="B866" s="165" t="s">
        <v>1962</v>
      </c>
      <c r="C866" s="153">
        <f t="shared" si="54"/>
        <v>45420</v>
      </c>
      <c r="D866" s="62" t="str">
        <f ca="1" t="shared" si="55"/>
        <v>一年以上</v>
      </c>
      <c r="E866" s="202">
        <v>45420</v>
      </c>
      <c r="F866" s="165" t="s">
        <v>130</v>
      </c>
      <c r="G866" s="165" t="s">
        <v>1963</v>
      </c>
      <c r="H866" s="165" t="s">
        <v>863</v>
      </c>
      <c r="I866" s="165" t="s">
        <v>863</v>
      </c>
      <c r="J866" s="206">
        <v>14300</v>
      </c>
      <c r="K866" s="105" t="s">
        <v>28</v>
      </c>
      <c r="L866" s="105" t="s">
        <v>73</v>
      </c>
      <c r="M866" s="165" t="s">
        <v>133</v>
      </c>
      <c r="N866" s="204"/>
      <c r="O866" s="140">
        <f t="shared" si="56"/>
        <v>14300</v>
      </c>
      <c r="P866" s="205"/>
      <c r="Q866" s="165"/>
      <c r="R866" s="206">
        <v>0</v>
      </c>
      <c r="S866" s="165" t="s">
        <v>1964</v>
      </c>
      <c r="T866" s="165" t="s">
        <v>1956</v>
      </c>
      <c r="U866" s="165" t="s">
        <v>1957</v>
      </c>
      <c r="V866" s="165" t="s">
        <v>653</v>
      </c>
      <c r="W866" s="201"/>
      <c r="X866" s="201"/>
    </row>
    <row r="867" s="27" customFormat="1" ht="14" hidden="1" customHeight="1" spans="1:24">
      <c r="A867" s="201">
        <v>864</v>
      </c>
      <c r="B867" s="165" t="s">
        <v>1965</v>
      </c>
      <c r="C867" s="153">
        <f t="shared" si="54"/>
        <v>45423</v>
      </c>
      <c r="D867" s="62" t="str">
        <f ca="1" t="shared" si="55"/>
        <v>一年以上</v>
      </c>
      <c r="E867" s="209">
        <v>45423</v>
      </c>
      <c r="F867" s="210" t="s">
        <v>1875</v>
      </c>
      <c r="G867" s="165" t="s">
        <v>1876</v>
      </c>
      <c r="H867" s="165" t="s">
        <v>863</v>
      </c>
      <c r="I867" s="165" t="s">
        <v>863</v>
      </c>
      <c r="J867" s="206">
        <v>14300</v>
      </c>
      <c r="K867" s="105" t="s">
        <v>28</v>
      </c>
      <c r="L867" s="105" t="s">
        <v>73</v>
      </c>
      <c r="M867" s="165" t="s">
        <v>753</v>
      </c>
      <c r="N867" s="204"/>
      <c r="O867" s="140">
        <f t="shared" si="56"/>
        <v>14300</v>
      </c>
      <c r="P867" s="205"/>
      <c r="Q867" s="165"/>
      <c r="R867" s="206">
        <v>0</v>
      </c>
      <c r="S867" s="165" t="s">
        <v>1964</v>
      </c>
      <c r="T867" s="165" t="s">
        <v>1798</v>
      </c>
      <c r="U867" s="165" t="s">
        <v>1957</v>
      </c>
      <c r="V867" s="165" t="s">
        <v>653</v>
      </c>
      <c r="W867" s="201"/>
      <c r="X867" s="201"/>
    </row>
    <row r="868" s="27" customFormat="1" ht="14" hidden="1" customHeight="1" spans="1:24">
      <c r="A868" s="201">
        <v>865</v>
      </c>
      <c r="B868" s="165" t="s">
        <v>1966</v>
      </c>
      <c r="C868" s="153">
        <f t="shared" si="54"/>
        <v>45423</v>
      </c>
      <c r="D868" s="62" t="str">
        <f ca="1" t="shared" si="55"/>
        <v>一年以上</v>
      </c>
      <c r="E868" s="209">
        <v>45423</v>
      </c>
      <c r="F868" s="210" t="s">
        <v>1875</v>
      </c>
      <c r="G868" s="165" t="s">
        <v>1876</v>
      </c>
      <c r="H868" s="165" t="s">
        <v>863</v>
      </c>
      <c r="I868" s="165" t="s">
        <v>863</v>
      </c>
      <c r="J868" s="206">
        <v>15000</v>
      </c>
      <c r="K868" s="105" t="s">
        <v>28</v>
      </c>
      <c r="L868" s="105" t="s">
        <v>73</v>
      </c>
      <c r="M868" s="165" t="s">
        <v>65</v>
      </c>
      <c r="N868" s="204"/>
      <c r="O868" s="140">
        <f t="shared" si="56"/>
        <v>15000</v>
      </c>
      <c r="P868" s="205"/>
      <c r="Q868" s="165"/>
      <c r="R868" s="206">
        <v>0</v>
      </c>
      <c r="S868" s="165" t="s">
        <v>1964</v>
      </c>
      <c r="T868" s="165" t="s">
        <v>1798</v>
      </c>
      <c r="U868" s="165" t="s">
        <v>1957</v>
      </c>
      <c r="V868" s="165" t="s">
        <v>653</v>
      </c>
      <c r="W868" s="201"/>
      <c r="X868" s="201"/>
    </row>
    <row r="869" s="28" customFormat="1" ht="14" hidden="1" customHeight="1" spans="1:24">
      <c r="A869" s="211">
        <v>866</v>
      </c>
      <c r="B869" s="212" t="s">
        <v>1967</v>
      </c>
      <c r="C869" s="170">
        <f t="shared" si="54"/>
        <v>45432</v>
      </c>
      <c r="D869" s="171" t="str">
        <f ca="1" t="shared" si="55"/>
        <v>一年以上</v>
      </c>
      <c r="E869" s="209">
        <v>45432</v>
      </c>
      <c r="F869" s="210" t="s">
        <v>632</v>
      </c>
      <c r="G869" s="212" t="s">
        <v>450</v>
      </c>
      <c r="H869" s="212" t="s">
        <v>851</v>
      </c>
      <c r="I869" s="212" t="s">
        <v>851</v>
      </c>
      <c r="J869" s="203">
        <v>10000</v>
      </c>
      <c r="K869" s="174" t="s">
        <v>28</v>
      </c>
      <c r="L869" s="174" t="s">
        <v>73</v>
      </c>
      <c r="M869" s="212" t="s">
        <v>30</v>
      </c>
      <c r="N869" s="213">
        <v>10000</v>
      </c>
      <c r="O869" s="214">
        <f t="shared" si="56"/>
        <v>0</v>
      </c>
      <c r="P869" s="207">
        <v>45482</v>
      </c>
      <c r="Q869" s="208">
        <v>45474</v>
      </c>
      <c r="R869" s="203">
        <v>0</v>
      </c>
      <c r="S869" s="212" t="s">
        <v>1968</v>
      </c>
      <c r="T869" s="212" t="s">
        <v>1798</v>
      </c>
      <c r="U869" s="212"/>
      <c r="V869" s="212" t="s">
        <v>653</v>
      </c>
      <c r="W869" s="211"/>
      <c r="X869" s="211"/>
    </row>
    <row r="870" s="27" customFormat="1" ht="36" hidden="1" spans="1:24">
      <c r="A870" s="201">
        <v>867</v>
      </c>
      <c r="B870" s="165" t="s">
        <v>1969</v>
      </c>
      <c r="C870" s="153">
        <f t="shared" si="54"/>
        <v>45429</v>
      </c>
      <c r="D870" s="62" t="str">
        <f ca="1" t="shared" si="55"/>
        <v>一年以上</v>
      </c>
      <c r="E870" s="215">
        <v>45429</v>
      </c>
      <c r="F870" s="210" t="s">
        <v>632</v>
      </c>
      <c r="G870" s="204" t="s">
        <v>450</v>
      </c>
      <c r="H870" s="165" t="s">
        <v>1418</v>
      </c>
      <c r="I870" s="165" t="s">
        <v>1418</v>
      </c>
      <c r="J870" s="206">
        <v>8000</v>
      </c>
      <c r="K870" s="105" t="s">
        <v>28</v>
      </c>
      <c r="L870" s="105" t="s">
        <v>73</v>
      </c>
      <c r="M870" s="165" t="s">
        <v>30</v>
      </c>
      <c r="N870" s="204"/>
      <c r="O870" s="137">
        <f t="shared" si="56"/>
        <v>8000</v>
      </c>
      <c r="P870" s="205"/>
      <c r="Q870" s="165"/>
      <c r="R870" s="206">
        <v>0</v>
      </c>
      <c r="S870" s="165" t="s">
        <v>1971</v>
      </c>
      <c r="T870" s="165" t="s">
        <v>1798</v>
      </c>
      <c r="U870" s="165" t="s">
        <v>1957</v>
      </c>
      <c r="V870" s="165" t="s">
        <v>653</v>
      </c>
      <c r="W870" s="201"/>
      <c r="X870" s="201"/>
    </row>
    <row r="871" s="27" customFormat="1" ht="36" hidden="1" spans="1:24">
      <c r="A871" s="201">
        <v>868</v>
      </c>
      <c r="B871" s="165" t="s">
        <v>1972</v>
      </c>
      <c r="C871" s="153">
        <f t="shared" si="54"/>
        <v>45427</v>
      </c>
      <c r="D871" s="62" t="str">
        <f ca="1" t="shared" si="55"/>
        <v>一年以上</v>
      </c>
      <c r="E871" s="215">
        <v>45427</v>
      </c>
      <c r="F871" s="210" t="s">
        <v>632</v>
      </c>
      <c r="G871" s="165" t="s">
        <v>450</v>
      </c>
      <c r="H871" s="165" t="s">
        <v>1900</v>
      </c>
      <c r="I871" s="165" t="s">
        <v>1900</v>
      </c>
      <c r="J871" s="206">
        <v>20000</v>
      </c>
      <c r="K871" s="105" t="s">
        <v>28</v>
      </c>
      <c r="L871" s="105" t="s">
        <v>73</v>
      </c>
      <c r="M871" s="165" t="s">
        <v>30</v>
      </c>
      <c r="N871" s="204">
        <v>20000</v>
      </c>
      <c r="O871" s="137">
        <f t="shared" si="56"/>
        <v>0</v>
      </c>
      <c r="P871" s="205">
        <v>45460</v>
      </c>
      <c r="Q871" s="165"/>
      <c r="R871" s="206">
        <v>0</v>
      </c>
      <c r="S871" s="165" t="s">
        <v>1973</v>
      </c>
      <c r="T871" s="165" t="s">
        <v>1798</v>
      </c>
      <c r="U871" s="165" t="s">
        <v>1957</v>
      </c>
      <c r="V871" s="165" t="s">
        <v>653</v>
      </c>
      <c r="W871" s="201"/>
      <c r="X871" s="201"/>
    </row>
    <row r="872" s="27" customFormat="1" ht="18" hidden="1" customHeight="1" spans="1:24">
      <c r="A872" s="201">
        <v>869</v>
      </c>
      <c r="B872" s="165" t="s">
        <v>1974</v>
      </c>
      <c r="C872" s="153">
        <f t="shared" si="54"/>
        <v>0</v>
      </c>
      <c r="D872" s="62" t="str">
        <f ca="1" t="shared" si="55"/>
        <v>一年以上</v>
      </c>
      <c r="E872" s="210"/>
      <c r="F872" s="210" t="s">
        <v>632</v>
      </c>
      <c r="G872" s="165" t="s">
        <v>450</v>
      </c>
      <c r="H872" s="165" t="s">
        <v>1487</v>
      </c>
      <c r="I872" s="165" t="s">
        <v>1487</v>
      </c>
      <c r="J872" s="206">
        <v>0</v>
      </c>
      <c r="K872" s="105" t="s">
        <v>28</v>
      </c>
      <c r="L872" s="105" t="s">
        <v>73</v>
      </c>
      <c r="M872" s="165" t="s">
        <v>30</v>
      </c>
      <c r="N872" s="204"/>
      <c r="O872" s="137">
        <f t="shared" si="56"/>
        <v>0</v>
      </c>
      <c r="P872" s="205"/>
      <c r="Q872" s="165"/>
      <c r="R872" s="206">
        <v>0</v>
      </c>
      <c r="S872" s="165" t="s">
        <v>1975</v>
      </c>
      <c r="T872" s="165" t="s">
        <v>1798</v>
      </c>
      <c r="U872" s="165" t="s">
        <v>1957</v>
      </c>
      <c r="V872" s="165" t="s">
        <v>653</v>
      </c>
      <c r="W872" s="201"/>
      <c r="X872" s="201"/>
    </row>
    <row r="873" s="29" customFormat="1" ht="18" customHeight="1" spans="1:24">
      <c r="A873" s="216">
        <v>870</v>
      </c>
      <c r="B873" s="210" t="s">
        <v>1976</v>
      </c>
      <c r="C873" s="217">
        <f t="shared" si="54"/>
        <v>45433</v>
      </c>
      <c r="D873" s="121" t="str">
        <f ca="1" t="shared" si="55"/>
        <v>一年以上</v>
      </c>
      <c r="E873" s="209">
        <v>45433</v>
      </c>
      <c r="F873" s="210" t="s">
        <v>70</v>
      </c>
      <c r="G873" s="165" t="s">
        <v>1977</v>
      </c>
      <c r="H873" s="210" t="s">
        <v>1610</v>
      </c>
      <c r="I873" s="210" t="s">
        <v>1610</v>
      </c>
      <c r="J873" s="218">
        <v>5000</v>
      </c>
      <c r="K873" s="131" t="s">
        <v>28</v>
      </c>
      <c r="L873" s="131" t="s">
        <v>73</v>
      </c>
      <c r="M873" s="210" t="s">
        <v>65</v>
      </c>
      <c r="N873" s="219"/>
      <c r="O873" s="140">
        <f t="shared" si="56"/>
        <v>5000</v>
      </c>
      <c r="P873" s="220"/>
      <c r="Q873" s="210"/>
      <c r="R873" s="218">
        <v>0</v>
      </c>
      <c r="S873" s="210" t="s">
        <v>653</v>
      </c>
      <c r="T873" s="210" t="s">
        <v>1956</v>
      </c>
      <c r="U873" s="210" t="s">
        <v>1957</v>
      </c>
      <c r="V873" s="210" t="s">
        <v>653</v>
      </c>
      <c r="W873" s="216"/>
      <c r="X873" s="216"/>
    </row>
    <row r="874" s="29" customFormat="1" ht="15" hidden="1" customHeight="1" spans="1:24">
      <c r="A874" s="216">
        <v>871</v>
      </c>
      <c r="B874" s="210" t="s">
        <v>1978</v>
      </c>
      <c r="C874" s="217">
        <f t="shared" si="54"/>
        <v>45443</v>
      </c>
      <c r="D874" s="121" t="str">
        <f ca="1" t="shared" si="55"/>
        <v>一年以上</v>
      </c>
      <c r="E874" s="215">
        <v>45443</v>
      </c>
      <c r="F874" s="210" t="s">
        <v>632</v>
      </c>
      <c r="G874" s="165" t="s">
        <v>450</v>
      </c>
      <c r="H874" s="210" t="s">
        <v>90</v>
      </c>
      <c r="I874" s="210" t="s">
        <v>90</v>
      </c>
      <c r="J874" s="218">
        <v>20000</v>
      </c>
      <c r="K874" s="131" t="s">
        <v>28</v>
      </c>
      <c r="L874" s="219" t="s">
        <v>1798</v>
      </c>
      <c r="M874" s="124" t="s">
        <v>30</v>
      </c>
      <c r="N874" s="219"/>
      <c r="O874" s="140">
        <v>0</v>
      </c>
      <c r="P874" s="220"/>
      <c r="Q874" s="210"/>
      <c r="R874" s="218">
        <v>0</v>
      </c>
      <c r="S874" s="210" t="s">
        <v>1979</v>
      </c>
      <c r="T874" s="216"/>
      <c r="U874" s="210" t="s">
        <v>1957</v>
      </c>
      <c r="V874" s="210" t="s">
        <v>653</v>
      </c>
      <c r="W874" s="216"/>
      <c r="X874" s="216"/>
    </row>
    <row r="875" s="29" customFormat="1" ht="15" hidden="1" customHeight="1" spans="1:24">
      <c r="A875" s="216">
        <v>872</v>
      </c>
      <c r="B875" s="210" t="s">
        <v>1980</v>
      </c>
      <c r="C875" s="217">
        <f t="shared" si="54"/>
        <v>45443</v>
      </c>
      <c r="D875" s="121" t="str">
        <f ca="1" t="shared" si="55"/>
        <v>一年以上</v>
      </c>
      <c r="E875" s="215">
        <v>45443</v>
      </c>
      <c r="F875" s="210" t="s">
        <v>632</v>
      </c>
      <c r="G875" s="165" t="s">
        <v>450</v>
      </c>
      <c r="H875" s="210" t="s">
        <v>90</v>
      </c>
      <c r="I875" s="210" t="s">
        <v>90</v>
      </c>
      <c r="J875" s="218">
        <v>50000</v>
      </c>
      <c r="K875" s="131" t="s">
        <v>28</v>
      </c>
      <c r="L875" s="219" t="s">
        <v>1798</v>
      </c>
      <c r="M875" s="124" t="s">
        <v>30</v>
      </c>
      <c r="N875" s="219"/>
      <c r="O875" s="140">
        <v>0</v>
      </c>
      <c r="P875" s="220"/>
      <c r="Q875" s="210"/>
      <c r="R875" s="218">
        <v>0</v>
      </c>
      <c r="S875" s="210" t="s">
        <v>2668</v>
      </c>
      <c r="T875" s="216"/>
      <c r="U875" s="210" t="s">
        <v>1957</v>
      </c>
      <c r="V875" s="210" t="s">
        <v>653</v>
      </c>
      <c r="W875" s="216"/>
      <c r="X875" s="216"/>
    </row>
    <row r="876" s="29" customFormat="1" ht="15" hidden="1" customHeight="1" spans="1:24">
      <c r="A876" s="216">
        <v>873</v>
      </c>
      <c r="B876" s="210" t="s">
        <v>1984</v>
      </c>
      <c r="C876" s="217">
        <f t="shared" si="54"/>
        <v>0</v>
      </c>
      <c r="D876" s="121" t="str">
        <f ca="1" t="shared" si="55"/>
        <v>一年以上</v>
      </c>
      <c r="E876" s="210"/>
      <c r="F876" s="210" t="s">
        <v>70</v>
      </c>
      <c r="G876" s="165" t="s">
        <v>1977</v>
      </c>
      <c r="H876" s="210" t="s">
        <v>797</v>
      </c>
      <c r="I876" s="210" t="s">
        <v>797</v>
      </c>
      <c r="J876" s="218">
        <v>0</v>
      </c>
      <c r="K876" s="131" t="s">
        <v>28</v>
      </c>
      <c r="L876" s="219" t="s">
        <v>1798</v>
      </c>
      <c r="M876" s="210" t="s">
        <v>65</v>
      </c>
      <c r="N876" s="219"/>
      <c r="O876" s="140">
        <f t="shared" ref="O876:O885" si="57">J876-N876</f>
        <v>0</v>
      </c>
      <c r="P876" s="220"/>
      <c r="Q876" s="210"/>
      <c r="R876" s="218">
        <v>0</v>
      </c>
      <c r="S876" s="210" t="s">
        <v>653</v>
      </c>
      <c r="T876" s="216"/>
      <c r="U876" s="210" t="s">
        <v>1957</v>
      </c>
      <c r="V876" s="210" t="s">
        <v>653</v>
      </c>
      <c r="W876" s="216"/>
      <c r="X876" s="216"/>
    </row>
    <row r="877" s="24" customFormat="1" ht="15" customHeight="1" spans="1:24">
      <c r="A877" s="216">
        <v>874</v>
      </c>
      <c r="B877" s="210" t="s">
        <v>1985</v>
      </c>
      <c r="C877" s="217"/>
      <c r="D877" s="121"/>
      <c r="E877" s="209" t="s">
        <v>2669</v>
      </c>
      <c r="F877" s="210" t="s">
        <v>130</v>
      </c>
      <c r="G877" s="165" t="s">
        <v>1963</v>
      </c>
      <c r="H877" s="210" t="s">
        <v>863</v>
      </c>
      <c r="I877" s="210" t="s">
        <v>863</v>
      </c>
      <c r="J877" s="218">
        <v>6950</v>
      </c>
      <c r="K877" s="131" t="s">
        <v>28</v>
      </c>
      <c r="L877" s="131" t="s">
        <v>73</v>
      </c>
      <c r="M877" s="131" t="s">
        <v>133</v>
      </c>
      <c r="N877" s="219"/>
      <c r="O877" s="140">
        <f t="shared" si="57"/>
        <v>6950</v>
      </c>
      <c r="P877" s="121"/>
      <c r="Q877" s="209"/>
      <c r="R877" s="210"/>
      <c r="S877" s="210" t="s">
        <v>1986</v>
      </c>
      <c r="T877" s="210" t="s">
        <v>1956</v>
      </c>
      <c r="U877" s="210" t="s">
        <v>1957</v>
      </c>
      <c r="V877" s="131"/>
      <c r="W877" s="130"/>
      <c r="X877" s="130"/>
    </row>
    <row r="878" s="24" customFormat="1" ht="15" customHeight="1" spans="1:24">
      <c r="A878" s="216">
        <v>875</v>
      </c>
      <c r="B878" s="210" t="s">
        <v>1987</v>
      </c>
      <c r="C878" s="217"/>
      <c r="D878" s="121"/>
      <c r="E878" s="209" t="s">
        <v>2670</v>
      </c>
      <c r="F878" s="210" t="s">
        <v>632</v>
      </c>
      <c r="G878" s="204" t="s">
        <v>450</v>
      </c>
      <c r="H878" s="210" t="s">
        <v>1988</v>
      </c>
      <c r="I878" s="210" t="s">
        <v>1988</v>
      </c>
      <c r="J878" s="218">
        <v>2000</v>
      </c>
      <c r="K878" s="131" t="s">
        <v>28</v>
      </c>
      <c r="L878" s="131" t="s">
        <v>73</v>
      </c>
      <c r="M878" s="131" t="s">
        <v>30</v>
      </c>
      <c r="N878" s="219"/>
      <c r="O878" s="140">
        <f t="shared" si="57"/>
        <v>2000</v>
      </c>
      <c r="P878" s="121"/>
      <c r="Q878" s="209"/>
      <c r="R878" s="210"/>
      <c r="S878" s="210" t="s">
        <v>1990</v>
      </c>
      <c r="T878" s="210" t="s">
        <v>1956</v>
      </c>
      <c r="U878" s="210" t="s">
        <v>1957</v>
      </c>
      <c r="V878" s="131"/>
      <c r="W878" s="130"/>
      <c r="X878" s="130"/>
    </row>
    <row r="879" s="24" customFormat="1" ht="15" customHeight="1" spans="1:24">
      <c r="A879" s="216">
        <v>876</v>
      </c>
      <c r="B879" s="210" t="s">
        <v>1991</v>
      </c>
      <c r="C879" s="217"/>
      <c r="D879" s="121"/>
      <c r="E879" s="209" t="s">
        <v>2671</v>
      </c>
      <c r="F879" s="210" t="s">
        <v>1992</v>
      </c>
      <c r="G879" s="165" t="s">
        <v>1977</v>
      </c>
      <c r="H879" s="210" t="s">
        <v>863</v>
      </c>
      <c r="I879" s="210" t="s">
        <v>863</v>
      </c>
      <c r="J879" s="218">
        <v>7000</v>
      </c>
      <c r="K879" s="131" t="s">
        <v>28</v>
      </c>
      <c r="L879" s="131" t="s">
        <v>73</v>
      </c>
      <c r="M879" s="131" t="s">
        <v>65</v>
      </c>
      <c r="N879" s="219"/>
      <c r="O879" s="140">
        <f t="shared" si="57"/>
        <v>7000</v>
      </c>
      <c r="P879" s="121"/>
      <c r="Q879" s="209"/>
      <c r="R879" s="210"/>
      <c r="S879" s="210" t="s">
        <v>1986</v>
      </c>
      <c r="T879" s="210" t="s">
        <v>1956</v>
      </c>
      <c r="U879" s="210" t="s">
        <v>1957</v>
      </c>
      <c r="V879" s="131"/>
      <c r="W879" s="130"/>
      <c r="X879" s="130"/>
    </row>
    <row r="880" s="24" customFormat="1" ht="15" customHeight="1" spans="1:24">
      <c r="A880" s="216">
        <v>877</v>
      </c>
      <c r="B880" s="210" t="s">
        <v>1993</v>
      </c>
      <c r="C880" s="217"/>
      <c r="D880" s="121"/>
      <c r="E880" s="209" t="s">
        <v>2671</v>
      </c>
      <c r="F880" s="210" t="s">
        <v>1992</v>
      </c>
      <c r="G880" s="165" t="s">
        <v>1977</v>
      </c>
      <c r="H880" s="210" t="s">
        <v>863</v>
      </c>
      <c r="I880" s="210" t="s">
        <v>863</v>
      </c>
      <c r="J880" s="218">
        <v>6950</v>
      </c>
      <c r="K880" s="131" t="s">
        <v>28</v>
      </c>
      <c r="L880" s="131" t="s">
        <v>73</v>
      </c>
      <c r="M880" s="131" t="s">
        <v>2672</v>
      </c>
      <c r="N880" s="219"/>
      <c r="O880" s="140">
        <f t="shared" si="57"/>
        <v>6950</v>
      </c>
      <c r="P880" s="121"/>
      <c r="Q880" s="209"/>
      <c r="R880" s="210"/>
      <c r="S880" s="210" t="s">
        <v>1986</v>
      </c>
      <c r="T880" s="210" t="s">
        <v>1956</v>
      </c>
      <c r="U880" s="210" t="s">
        <v>1957</v>
      </c>
      <c r="V880" s="131"/>
      <c r="W880" s="130"/>
      <c r="X880" s="130"/>
    </row>
    <row r="881" s="24" customFormat="1" ht="15" hidden="1" customHeight="1" spans="1:24">
      <c r="A881" s="216">
        <v>878</v>
      </c>
      <c r="B881" s="210" t="s">
        <v>1994</v>
      </c>
      <c r="C881" s="217"/>
      <c r="D881" s="121"/>
      <c r="E881" s="209" t="s">
        <v>2673</v>
      </c>
      <c r="F881" s="210" t="s">
        <v>632</v>
      </c>
      <c r="G881" s="165" t="s">
        <v>450</v>
      </c>
      <c r="H881" s="210"/>
      <c r="I881" s="210" t="s">
        <v>1814</v>
      </c>
      <c r="J881" s="218">
        <v>6000</v>
      </c>
      <c r="K881" s="131" t="s">
        <v>28</v>
      </c>
      <c r="L881" s="131" t="s">
        <v>73</v>
      </c>
      <c r="M881" s="131" t="s">
        <v>30</v>
      </c>
      <c r="N881" s="219">
        <v>6000</v>
      </c>
      <c r="O881" s="140">
        <f t="shared" si="57"/>
        <v>0</v>
      </c>
      <c r="P881" s="121" t="s">
        <v>2674</v>
      </c>
      <c r="Q881" s="209"/>
      <c r="R881" s="210"/>
      <c r="S881" s="210" t="s">
        <v>1995</v>
      </c>
      <c r="T881" s="210" t="s">
        <v>1956</v>
      </c>
      <c r="U881" s="210" t="s">
        <v>1957</v>
      </c>
      <c r="V881" s="131"/>
      <c r="W881" s="130"/>
      <c r="X881" s="130"/>
    </row>
    <row r="882" s="24" customFormat="1" ht="15" customHeight="1" spans="1:24">
      <c r="A882" s="216">
        <v>879</v>
      </c>
      <c r="B882" s="221" t="s">
        <v>1996</v>
      </c>
      <c r="C882" s="217"/>
      <c r="D882" s="121"/>
      <c r="E882" s="209" t="s">
        <v>2675</v>
      </c>
      <c r="F882" s="210" t="s">
        <v>632</v>
      </c>
      <c r="G882" s="204" t="s">
        <v>450</v>
      </c>
      <c r="H882" s="210"/>
      <c r="I882" s="210" t="s">
        <v>1569</v>
      </c>
      <c r="J882" s="218">
        <v>28875</v>
      </c>
      <c r="K882" s="131" t="s">
        <v>28</v>
      </c>
      <c r="L882" s="131" t="s">
        <v>73</v>
      </c>
      <c r="M882" s="131" t="s">
        <v>30</v>
      </c>
      <c r="N882" s="219"/>
      <c r="O882" s="140">
        <f t="shared" si="57"/>
        <v>28875</v>
      </c>
      <c r="P882" s="121"/>
      <c r="Q882" s="209"/>
      <c r="R882" s="210"/>
      <c r="S882" s="210" t="s">
        <v>1998</v>
      </c>
      <c r="T882" s="210" t="s">
        <v>1956</v>
      </c>
      <c r="U882" s="210" t="s">
        <v>1957</v>
      </c>
      <c r="V882" s="131"/>
      <c r="W882" s="130" t="s">
        <v>1983</v>
      </c>
      <c r="X882" s="130" t="s">
        <v>1902</v>
      </c>
    </row>
    <row r="883" s="24" customFormat="1" ht="16" customHeight="1" spans="1:24">
      <c r="A883" s="216">
        <v>880</v>
      </c>
      <c r="B883" s="221" t="s">
        <v>1999</v>
      </c>
      <c r="C883" s="217"/>
      <c r="D883" s="121"/>
      <c r="E883" s="209" t="s">
        <v>2676</v>
      </c>
      <c r="F883" s="210" t="s">
        <v>632</v>
      </c>
      <c r="G883" s="204" t="s">
        <v>450</v>
      </c>
      <c r="H883" s="210"/>
      <c r="I883" s="210" t="s">
        <v>863</v>
      </c>
      <c r="J883" s="218">
        <v>4000</v>
      </c>
      <c r="K883" s="131" t="s">
        <v>28</v>
      </c>
      <c r="L883" s="219" t="s">
        <v>1798</v>
      </c>
      <c r="M883" s="131" t="s">
        <v>30</v>
      </c>
      <c r="N883" s="219"/>
      <c r="O883" s="140">
        <f t="shared" si="57"/>
        <v>4000</v>
      </c>
      <c r="P883" s="121"/>
      <c r="Q883" s="209"/>
      <c r="R883" s="210"/>
      <c r="S883" s="210" t="s">
        <v>2001</v>
      </c>
      <c r="T883" s="130"/>
      <c r="U883" s="210" t="s">
        <v>1957</v>
      </c>
      <c r="V883" s="131"/>
      <c r="W883" s="130"/>
      <c r="X883" s="130"/>
    </row>
    <row r="884" s="24" customFormat="1" ht="15" hidden="1" customHeight="1" spans="1:24">
      <c r="A884" s="216">
        <v>881</v>
      </c>
      <c r="B884" s="221" t="s">
        <v>2002</v>
      </c>
      <c r="C884" s="217"/>
      <c r="D884" s="121"/>
      <c r="E884" s="209" t="s">
        <v>2677</v>
      </c>
      <c r="F884" s="210" t="s">
        <v>632</v>
      </c>
      <c r="G884" s="165" t="s">
        <v>450</v>
      </c>
      <c r="H884" s="210"/>
      <c r="I884" s="210" t="s">
        <v>325</v>
      </c>
      <c r="J884" s="218">
        <v>0</v>
      </c>
      <c r="K884" s="131" t="s">
        <v>356</v>
      </c>
      <c r="L884" s="219" t="s">
        <v>2003</v>
      </c>
      <c r="M884" s="131" t="s">
        <v>30</v>
      </c>
      <c r="N884" s="219"/>
      <c r="O884" s="140">
        <f t="shared" si="57"/>
        <v>0</v>
      </c>
      <c r="P884" s="121"/>
      <c r="Q884" s="209"/>
      <c r="R884" s="210"/>
      <c r="S884" s="210" t="s">
        <v>2004</v>
      </c>
      <c r="T884" s="130"/>
      <c r="U884" s="210" t="s">
        <v>1957</v>
      </c>
      <c r="V884" s="131"/>
      <c r="W884" s="130"/>
      <c r="X884" s="130"/>
    </row>
    <row r="885" s="24" customFormat="1" ht="15" customHeight="1" spans="1:24">
      <c r="A885" s="216">
        <v>882</v>
      </c>
      <c r="B885" s="222" t="s">
        <v>2678</v>
      </c>
      <c r="C885" s="217"/>
      <c r="D885" s="121"/>
      <c r="E885" s="209"/>
      <c r="F885" s="210" t="s">
        <v>632</v>
      </c>
      <c r="G885" s="204" t="s">
        <v>450</v>
      </c>
      <c r="H885" s="210"/>
      <c r="I885" s="223" t="s">
        <v>863</v>
      </c>
      <c r="J885" s="218">
        <v>30000</v>
      </c>
      <c r="K885" s="131" t="s">
        <v>1706</v>
      </c>
      <c r="L885" s="219" t="s">
        <v>73</v>
      </c>
      <c r="M885" s="131" t="s">
        <v>30</v>
      </c>
      <c r="N885" s="219"/>
      <c r="O885" s="140">
        <f t="shared" si="57"/>
        <v>30000</v>
      </c>
      <c r="P885" s="121"/>
      <c r="Q885" s="209"/>
      <c r="R885" s="210"/>
      <c r="S885" s="223" t="s">
        <v>2006</v>
      </c>
      <c r="T885" s="210" t="s">
        <v>1956</v>
      </c>
      <c r="U885" s="210" t="s">
        <v>1957</v>
      </c>
      <c r="V885" s="131"/>
      <c r="W885" s="130"/>
      <c r="X885" s="130"/>
    </row>
    <row r="886" s="24" customFormat="1" ht="15" customHeight="1" spans="1:24">
      <c r="A886" s="216"/>
      <c r="B886" s="222"/>
      <c r="C886" s="217"/>
      <c r="D886" s="121"/>
      <c r="E886" s="209"/>
      <c r="F886" s="210"/>
      <c r="G886" s="204"/>
      <c r="H886" s="210"/>
      <c r="I886" s="223"/>
      <c r="J886" s="218"/>
      <c r="K886" s="131"/>
      <c r="L886" s="219"/>
      <c r="M886" s="131"/>
      <c r="N886" s="219"/>
      <c r="O886" s="140"/>
      <c r="P886" s="121"/>
      <c r="Q886" s="209"/>
      <c r="R886" s="210"/>
      <c r="S886" s="223"/>
      <c r="T886" s="210"/>
      <c r="U886" s="210"/>
      <c r="V886" s="131"/>
      <c r="W886" s="130"/>
      <c r="X886" s="130"/>
    </row>
    <row r="887" s="24" customFormat="1" ht="15" customHeight="1" spans="1:24">
      <c r="A887" s="216"/>
      <c r="B887" s="222"/>
      <c r="C887" s="217"/>
      <c r="D887" s="121"/>
      <c r="E887" s="209"/>
      <c r="F887" s="210"/>
      <c r="G887" s="204"/>
      <c r="H887" s="210"/>
      <c r="I887" s="223"/>
      <c r="J887" s="218"/>
      <c r="K887" s="131"/>
      <c r="L887" s="219"/>
      <c r="M887" s="131"/>
      <c r="N887" s="219"/>
      <c r="O887" s="140"/>
      <c r="P887" s="121"/>
      <c r="Q887" s="209"/>
      <c r="R887" s="210"/>
      <c r="S887" s="223"/>
      <c r="T887" s="210"/>
      <c r="U887" s="210"/>
      <c r="V887" s="131"/>
      <c r="W887" s="130"/>
      <c r="X887" s="130"/>
    </row>
    <row r="888" s="24" customFormat="1" ht="15" customHeight="1" spans="1:24">
      <c r="A888" s="216"/>
      <c r="B888" s="222"/>
      <c r="C888" s="217"/>
      <c r="D888" s="121"/>
      <c r="E888" s="209"/>
      <c r="F888" s="210"/>
      <c r="G888" s="204"/>
      <c r="H888" s="210"/>
      <c r="I888" s="223"/>
      <c r="J888" s="218"/>
      <c r="K888" s="131"/>
      <c r="L888" s="219"/>
      <c r="M888" s="131"/>
      <c r="N888" s="219"/>
      <c r="O888" s="140"/>
      <c r="P888" s="121"/>
      <c r="Q888" s="209"/>
      <c r="R888" s="210"/>
      <c r="S888" s="223"/>
      <c r="T888" s="210"/>
      <c r="U888" s="210"/>
      <c r="V888" s="131"/>
      <c r="W888" s="130"/>
      <c r="X888" s="130"/>
    </row>
    <row r="889" s="24" customFormat="1" ht="15" customHeight="1" spans="1:24">
      <c r="A889" s="216"/>
      <c r="B889" s="222"/>
      <c r="C889" s="217"/>
      <c r="D889" s="121"/>
      <c r="E889" s="209"/>
      <c r="F889" s="210"/>
      <c r="G889" s="204"/>
      <c r="H889" s="210"/>
      <c r="I889" s="223"/>
      <c r="J889" s="218"/>
      <c r="K889" s="131"/>
      <c r="L889" s="219"/>
      <c r="M889" s="131"/>
      <c r="N889" s="219"/>
      <c r="O889" s="140"/>
      <c r="P889" s="121"/>
      <c r="Q889" s="209"/>
      <c r="R889" s="210"/>
      <c r="S889" s="223"/>
      <c r="T889" s="210"/>
      <c r="U889" s="210"/>
      <c r="V889" s="131"/>
      <c r="W889" s="130"/>
      <c r="X889" s="130"/>
    </row>
    <row r="890" s="24" customFormat="1" ht="15" customHeight="1" spans="1:24">
      <c r="A890" s="216"/>
      <c r="B890" s="210"/>
      <c r="C890" s="217"/>
      <c r="D890" s="121"/>
      <c r="E890" s="209"/>
      <c r="F890" s="210"/>
      <c r="G890" s="219"/>
      <c r="H890" s="210"/>
      <c r="I890" s="218"/>
      <c r="J890" s="131"/>
      <c r="K890" s="131"/>
      <c r="L890" s="210"/>
      <c r="M890" s="216"/>
      <c r="N890" s="219"/>
      <c r="O890" s="120"/>
      <c r="P890" s="121"/>
      <c r="Q890" s="209"/>
      <c r="R890" s="210"/>
      <c r="S890" s="210"/>
      <c r="T890" s="210"/>
      <c r="U890" s="218"/>
      <c r="V890" s="131"/>
      <c r="W890" s="130"/>
      <c r="X890" s="130"/>
    </row>
  </sheetData>
  <sheetProtection formatCells="0" formatColumns="0" formatRows="0" insertRows="0" insertColumns="0" insertHyperlinks="0" deleteColumns="0" deleteRows="0" sort="0" autoFilter="0" pivotTables="0"/>
  <autoFilter xmlns:etc="http://www.wps.cn/officeDocument/2017/etCustomData" ref="A2:X885" etc:filterBottomFollowUsedRange="0">
    <filterColumn colId="14">
      <filters>
        <filter val="21,000.00"/>
        <filter val="1,000.00"/>
        <filter val="1,200.00"/>
        <filter val="11,500.00"/>
        <filter val="1,500.00"/>
        <filter val="180,000.00"/>
        <filter val="20,000.00"/>
        <filter val="10,000.00"/>
        <filter val="30,000.00"/>
        <filter val="50,000.00"/>
        <filter val="180,044.00"/>
        <filter val="20,500.00"/>
        <filter val="20.00"/>
        <filter val="30.00"/>
        <filter val="100.00"/>
        <filter val="200.00"/>
        <filter val="218.00"/>
        <filter val="220.00"/>
        <filter val="300.00"/>
        <filter val="320.00"/>
        <filter val="400.00"/>
        <filter val="500.00"/>
        <filter val="600.00"/>
        <filter val="900.00"/>
        <filter val="15,000.00"/>
        <filter val="5,000.00"/>
        <filter val="65,500.00"/>
        <filter val="15,800.00"/>
        <filter val="15,975.00"/>
        <filter val="14,000.00"/>
        <filter val="4,000.00"/>
        <filter val="14,300.00"/>
        <filter val="4,450.00"/>
        <filter val="44,802.00"/>
        <filter val="13,000.00"/>
        <filter val="3,000.00"/>
        <filter val="3,050.00"/>
        <filter val="13,500.00"/>
        <filter val="3,600.00"/>
        <filter val="3,800.00"/>
        <filter val="3,840.00"/>
        <filter val="12,000.00"/>
        <filter val="32,000.00"/>
        <filter val="2,000.00"/>
        <filter val="32,300.00"/>
        <filter val="32,400.00"/>
        <filter val="2,500.00"/>
        <filter val="2,600.00"/>
        <filter val="12,800.00"/>
        <filter val="29,000.00"/>
        <filter val="59,000.00"/>
        <filter val="89,000.00"/>
        <filter val="9,000.00"/>
        <filter val="9,250.00"/>
        <filter val="39,390.00"/>
        <filter val="28,000.00"/>
        <filter val="48,000.00"/>
        <filter val="8,000.00"/>
        <filter val="88,500.00"/>
        <filter val="28,875.00"/>
        <filter val="17,000.00"/>
        <filter val="7,000.00"/>
        <filter val="17,100.00"/>
        <filter val="27,200.00"/>
        <filter val="47,850.00"/>
        <filter val="27,999.00"/>
        <filter val="66,000.00"/>
        <filter val="6,000.00"/>
        <filter val="6,950.00"/>
      </filters>
    </filterColumn>
    <filterColumn colId="19">
      <filters blank="1">
        <filter val="山东省"/>
        <filter val="北京市"/>
        <filter val="新疆"/>
        <filter val="全部支付"/>
        <filter val="四川省"/>
        <filter val="安徽省"/>
        <filter val="辽宁省"/>
        <filter val="贵州省"/>
        <filter val="云南省"/>
        <filter val="吉林省"/>
        <filter val="山西省"/>
        <filter val="河北省"/>
        <filter val="河南省"/>
        <filter val="湖北省"/>
        <filter val="湖南省"/>
        <filter val="江苏省"/>
        <filter val="江西省"/>
        <filter val="甘肃省"/>
        <filter val="青海省"/>
        <filter val="陕西省"/>
        <filter val="黑龙江省"/>
        <filter val="内蒙古"/>
      </filters>
    </filterColumn>
    <extLst/>
  </autoFilter>
  <conditionalFormatting sqref="B877:B878">
    <cfRule type="duplicateValues" dxfId="5" priority="9"/>
  </conditionalFormatting>
  <conditionalFormatting sqref="B881:B889">
    <cfRule type="duplicateValues" dxfId="5" priority="5"/>
  </conditionalFormatting>
  <conditionalFormatting sqref="E877:E878">
    <cfRule type="duplicateValues" dxfId="5" priority="3"/>
  </conditionalFormatting>
  <conditionalFormatting sqref="E879:E881">
    <cfRule type="duplicateValues" dxfId="5" priority="2"/>
  </conditionalFormatting>
  <conditionalFormatting sqref="E882:E889">
    <cfRule type="duplicateValues" dxfId="5" priority="4"/>
  </conditionalFormatting>
  <conditionalFormatting sqref="F877:F889">
    <cfRule type="duplicateValues" dxfId="5" priority="1"/>
  </conditionalFormatting>
  <conditionalFormatting sqref="B1:B876 E863 E864:F876 B891:B1048576">
    <cfRule type="duplicateValues" dxfId="5" priority="10"/>
  </conditionalFormatting>
  <conditionalFormatting sqref="N877:N878 Q877:R878">
    <cfRule type="duplicateValues" dxfId="5" priority="8"/>
  </conditionalFormatting>
  <conditionalFormatting sqref="B879:B880 B890 E890:F890">
    <cfRule type="duplicateValues" dxfId="5" priority="7"/>
  </conditionalFormatting>
  <conditionalFormatting sqref="N879:N890 Q879:R890">
    <cfRule type="duplicateValues" dxfId="5" priority="6"/>
  </conditionalFormatting>
  <dataValidations count="3">
    <dataValidation allowBlank="1" showInputMessage="1" showErrorMessage="1" sqref="H133 H150 H356 H372 H426 H432 H452 H494 H200:H275 H277:H333 H335:H339 H341:H347 H447:H448 H473:H474"/>
    <dataValidation type="list" allowBlank="1" showInputMessage="1" showErrorMessage="1" sqref="H190 H195 H199 H425 H429 M640 M848 M851 F437:F440 F442:F443 F445:F448 F473:F474 H348:H350 H353:H355 H357:H358 H375:H378 H434:H440 H442:H443 H445:H446 L423:L424 M1:M88 M90:M431 M433:M613 M615:M617 M620:M621 M634:M638 M646:M791 M793:M826 M828:M829 M832:M833 M838:M841 M843:M844 M853:M875">
      <formula1>#REF!</formula1>
    </dataValidation>
    <dataValidation type="list" allowBlank="1" showInputMessage="1" showErrorMessage="1" sqref="M432 M614 M639 M618:M619 M622:M633 M641:M645">
      <formula1>$G$867:$G$875</formula1>
    </dataValidation>
  </dataValidations>
  <pageMargins left="0.75" right="0.75" top="1" bottom="1" header="0.5" footer="0.5"/>
  <pageSetup paperSize="9" orientation="portrait"/>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X890"/>
  <sheetViews>
    <sheetView workbookViewId="0">
      <pane ySplit="2" topLeftCell="A3" activePane="bottomLeft" state="frozen"/>
      <selection/>
      <selection pane="bottomLeft" activeCell="B1026" sqref="B1026"/>
    </sheetView>
  </sheetViews>
  <sheetFormatPr defaultColWidth="9.64166666666667" defaultRowHeight="12"/>
  <cols>
    <col min="1" max="1" width="6.24166666666667" style="30" customWidth="1"/>
    <col min="2" max="2" width="8.44166666666667" style="31" customWidth="1"/>
    <col min="3" max="3" width="10.5666666666667" style="32" customWidth="1"/>
    <col min="4" max="4" width="9.29166666666667" style="33" customWidth="1"/>
    <col min="5" max="5" width="11.5083333333333" style="30" customWidth="1"/>
    <col min="6" max="6" width="7.25" style="30" customWidth="1"/>
    <col min="7" max="7" width="8.38333333333333" style="30" customWidth="1"/>
    <col min="8" max="8" width="17.75" style="31" hidden="1" customWidth="1"/>
    <col min="9" max="9" width="20.5083333333333" style="31" customWidth="1"/>
    <col min="10" max="10" width="12.1083333333333" style="34" customWidth="1"/>
    <col min="11" max="11" width="7.575" style="30" customWidth="1"/>
    <col min="12" max="12" width="10.35" style="30" customWidth="1"/>
    <col min="13" max="13" width="12.7416666666667" style="20" customWidth="1"/>
    <col min="14" max="14" width="13.1416666666667" style="35" customWidth="1"/>
    <col min="15" max="15" width="12.225" style="36" customWidth="1"/>
    <col min="16" max="16" width="10.35" style="37" customWidth="1"/>
    <col min="17" max="17" width="11.3416666666667" style="32" customWidth="1"/>
    <col min="18" max="18" width="12.75" style="20" customWidth="1"/>
    <col min="19" max="19" width="40.6333333333333" style="38" customWidth="1"/>
    <col min="20" max="21" width="7.65833333333333" style="30" customWidth="1"/>
    <col min="22" max="22" width="20.4416666666667" style="17" customWidth="1"/>
    <col min="23" max="23" width="5.66666666666667" style="17" customWidth="1"/>
    <col min="24" max="24" width="6.775" style="17" customWidth="1"/>
    <col min="25" max="16384" width="9.29166666666667" style="17"/>
  </cols>
  <sheetData>
    <row r="1" s="17" customFormat="1" spans="1:24">
      <c r="A1" s="30"/>
      <c r="B1" s="31"/>
      <c r="C1" s="39" t="s">
        <v>0</v>
      </c>
      <c r="D1" s="40"/>
      <c r="E1" s="41"/>
      <c r="F1" s="42"/>
      <c r="G1" s="42"/>
      <c r="H1" s="43"/>
      <c r="I1" s="44"/>
      <c r="J1" s="45"/>
      <c r="K1" s="42"/>
      <c r="L1" s="42"/>
      <c r="M1" s="18"/>
      <c r="N1" s="46"/>
      <c r="O1" s="47"/>
      <c r="P1" s="48"/>
      <c r="Q1" s="41"/>
      <c r="R1" s="42"/>
      <c r="S1" s="49"/>
      <c r="T1" s="30"/>
    </row>
    <row r="2" s="18" customFormat="1" ht="24" spans="1:24">
      <c r="A2" s="50" t="s">
        <v>1</v>
      </c>
      <c r="B2" s="51" t="s">
        <v>2</v>
      </c>
      <c r="C2" s="52" t="s">
        <v>3</v>
      </c>
      <c r="D2" s="53" t="s">
        <v>4</v>
      </c>
      <c r="E2" s="50" t="s">
        <v>5</v>
      </c>
      <c r="F2" s="50" t="s">
        <v>6</v>
      </c>
      <c r="G2" s="50" t="s">
        <v>7</v>
      </c>
      <c r="H2" s="50" t="s">
        <v>8</v>
      </c>
      <c r="I2" s="50" t="s">
        <v>9</v>
      </c>
      <c r="J2" s="54" t="s">
        <v>10</v>
      </c>
      <c r="K2" s="50" t="s">
        <v>11</v>
      </c>
      <c r="L2" s="50" t="s">
        <v>12</v>
      </c>
      <c r="M2" s="50" t="s">
        <v>13</v>
      </c>
      <c r="N2" s="55" t="s">
        <v>14</v>
      </c>
      <c r="O2" s="56" t="s">
        <v>15</v>
      </c>
      <c r="P2" s="57" t="s">
        <v>16</v>
      </c>
      <c r="Q2" s="52" t="s">
        <v>17</v>
      </c>
      <c r="R2" s="50" t="s">
        <v>18</v>
      </c>
      <c r="S2" s="51" t="s">
        <v>19</v>
      </c>
      <c r="T2" s="50" t="s">
        <v>20</v>
      </c>
      <c r="U2" s="50" t="s">
        <v>21</v>
      </c>
      <c r="V2" s="58" t="s">
        <v>22</v>
      </c>
      <c r="W2" s="50" t="s">
        <v>23</v>
      </c>
      <c r="X2" s="50" t="s">
        <v>24</v>
      </c>
    </row>
    <row r="3" s="17" customFormat="1" ht="24" hidden="1" spans="1:24">
      <c r="A3" s="59">
        <v>182</v>
      </c>
      <c r="B3" s="60" t="s">
        <v>26</v>
      </c>
      <c r="C3" s="61">
        <v>42370</v>
      </c>
      <c r="D3" s="62" t="str">
        <f ca="1" t="shared" ref="D3:D66" si="0">IF(TODAY()-E3&lt;60,"2个月内",IF(TODAY()-E3&lt;180,"3-6个月",IF(TODAY()-E3&lt;360,"6个月-1年","一年以上")))</f>
        <v>一年以上</v>
      </c>
      <c r="E3" s="59"/>
      <c r="F3" s="59"/>
      <c r="G3" s="59"/>
      <c r="H3" s="63" t="s">
        <v>27</v>
      </c>
      <c r="I3" s="63" t="s">
        <v>27</v>
      </c>
      <c r="J3" s="64">
        <v>1000</v>
      </c>
      <c r="K3" s="59" t="s">
        <v>28</v>
      </c>
      <c r="L3" s="59" t="s">
        <v>29</v>
      </c>
      <c r="M3" s="59" t="s">
        <v>30</v>
      </c>
      <c r="N3" s="65"/>
      <c r="O3" s="65">
        <f t="shared" ref="O3:O10" si="1">J3-N3</f>
        <v>1000</v>
      </c>
      <c r="P3" s="66"/>
      <c r="Q3" s="61">
        <f t="shared" ref="Q3:Q66" si="2">P3</f>
        <v>0</v>
      </c>
      <c r="R3" s="67" t="s">
        <v>31</v>
      </c>
      <c r="S3" s="59"/>
      <c r="T3" s="59" t="s">
        <v>32</v>
      </c>
      <c r="U3" s="59" t="str">
        <f>VLOOKUP(T3,[1]区域划分!$A$1:$C$39,3,0)</f>
        <v>方渊</v>
      </c>
      <c r="V3" s="59"/>
      <c r="W3" s="68"/>
      <c r="X3" s="68"/>
    </row>
    <row r="4" s="17" customFormat="1" hidden="1" spans="1:24">
      <c r="A4" s="59">
        <v>183</v>
      </c>
      <c r="B4" s="60" t="s">
        <v>33</v>
      </c>
      <c r="C4" s="61">
        <v>42370</v>
      </c>
      <c r="D4" s="62" t="str">
        <f ca="1" t="shared" si="0"/>
        <v>一年以上</v>
      </c>
      <c r="E4" s="59"/>
      <c r="F4" s="59"/>
      <c r="G4" s="59"/>
      <c r="H4" s="63" t="s">
        <v>34</v>
      </c>
      <c r="I4" s="63" t="s">
        <v>34</v>
      </c>
      <c r="J4" s="64">
        <v>50000</v>
      </c>
      <c r="K4" s="59"/>
      <c r="L4" s="59" t="s">
        <v>29</v>
      </c>
      <c r="M4" s="59" t="s">
        <v>30</v>
      </c>
      <c r="N4" s="65">
        <v>50000</v>
      </c>
      <c r="O4" s="65">
        <f t="shared" si="1"/>
        <v>0</v>
      </c>
      <c r="P4" s="66">
        <v>44155</v>
      </c>
      <c r="Q4" s="61">
        <f t="shared" si="2"/>
        <v>44155</v>
      </c>
      <c r="R4" s="59"/>
      <c r="S4" s="59"/>
      <c r="T4" s="59"/>
      <c r="U4" s="59"/>
      <c r="V4" s="59"/>
      <c r="W4" s="68"/>
      <c r="X4" s="68"/>
    </row>
    <row r="5" s="17" customFormat="1" ht="24" hidden="1" spans="1:24">
      <c r="A5" s="59">
        <v>184</v>
      </c>
      <c r="B5" s="60" t="s">
        <v>35</v>
      </c>
      <c r="C5" s="61">
        <v>42370</v>
      </c>
      <c r="D5" s="62" t="str">
        <f ca="1" t="shared" si="0"/>
        <v>一年以上</v>
      </c>
      <c r="E5" s="59"/>
      <c r="F5" s="59"/>
      <c r="G5" s="59"/>
      <c r="H5" s="63" t="s">
        <v>36</v>
      </c>
      <c r="I5" s="63" t="s">
        <v>36</v>
      </c>
      <c r="J5" s="64">
        <v>3000</v>
      </c>
      <c r="K5" s="59" t="s">
        <v>28</v>
      </c>
      <c r="L5" s="59" t="s">
        <v>29</v>
      </c>
      <c r="M5" s="59" t="s">
        <v>30</v>
      </c>
      <c r="N5" s="65"/>
      <c r="O5" s="65">
        <f t="shared" si="1"/>
        <v>3000</v>
      </c>
      <c r="P5" s="66"/>
      <c r="Q5" s="61">
        <f t="shared" si="2"/>
        <v>0</v>
      </c>
      <c r="R5" s="59"/>
      <c r="S5" s="59" t="s">
        <v>37</v>
      </c>
      <c r="T5" s="59" t="s">
        <v>38</v>
      </c>
      <c r="U5" s="59" t="str">
        <f>VLOOKUP(T5,[1]区域划分!$A$1:$C$39,3,0)</f>
        <v>方渊</v>
      </c>
      <c r="V5" s="59"/>
      <c r="W5" s="68"/>
      <c r="X5" s="68"/>
    </row>
    <row r="6" s="17" customFormat="1" ht="72" hidden="1" spans="1:24">
      <c r="A6" s="59">
        <v>186</v>
      </c>
      <c r="B6" s="60" t="s">
        <v>39</v>
      </c>
      <c r="C6" s="61">
        <v>42370</v>
      </c>
      <c r="D6" s="62" t="str">
        <f ca="1" t="shared" si="0"/>
        <v>一年以上</v>
      </c>
      <c r="E6" s="59"/>
      <c r="F6" s="59"/>
      <c r="G6" s="59"/>
      <c r="H6" s="63" t="s">
        <v>40</v>
      </c>
      <c r="I6" s="63" t="s">
        <v>41</v>
      </c>
      <c r="J6" s="64">
        <v>3800</v>
      </c>
      <c r="K6" s="59" t="s">
        <v>28</v>
      </c>
      <c r="L6" s="59" t="s">
        <v>29</v>
      </c>
      <c r="M6" s="59" t="s">
        <v>30</v>
      </c>
      <c r="N6" s="65"/>
      <c r="O6" s="69">
        <f t="shared" si="1"/>
        <v>3800</v>
      </c>
      <c r="P6" s="66"/>
      <c r="Q6" s="61">
        <f t="shared" si="2"/>
        <v>0</v>
      </c>
      <c r="R6" s="60" t="s">
        <v>42</v>
      </c>
      <c r="S6" s="59" t="s">
        <v>43</v>
      </c>
      <c r="T6" s="59" t="s">
        <v>44</v>
      </c>
      <c r="U6" s="59" t="str">
        <f>VLOOKUP(T6,[1]区域划分!$A$1:$C$39,3,0)</f>
        <v>殷坤鹏</v>
      </c>
      <c r="V6" s="59" t="s">
        <v>45</v>
      </c>
      <c r="W6" s="68"/>
      <c r="X6" s="68"/>
    </row>
    <row r="7" s="17" customFormat="1" ht="24" hidden="1" spans="1:24">
      <c r="A7" s="59">
        <v>187</v>
      </c>
      <c r="B7" s="60" t="s">
        <v>46</v>
      </c>
      <c r="C7" s="61">
        <v>42370</v>
      </c>
      <c r="D7" s="62" t="str">
        <f ca="1" t="shared" si="0"/>
        <v>一年以上</v>
      </c>
      <c r="E7" s="59"/>
      <c r="F7" s="59"/>
      <c r="G7" s="59"/>
      <c r="H7" s="63" t="s">
        <v>47</v>
      </c>
      <c r="I7" s="63" t="s">
        <v>47</v>
      </c>
      <c r="J7" s="64">
        <v>20000</v>
      </c>
      <c r="K7" s="59" t="s">
        <v>28</v>
      </c>
      <c r="L7" s="59" t="s">
        <v>29</v>
      </c>
      <c r="M7" s="59" t="s">
        <v>30</v>
      </c>
      <c r="N7" s="65"/>
      <c r="O7" s="65">
        <f t="shared" si="1"/>
        <v>20000</v>
      </c>
      <c r="P7" s="66"/>
      <c r="Q7" s="61">
        <f t="shared" si="2"/>
        <v>0</v>
      </c>
      <c r="R7" s="59" t="s">
        <v>48</v>
      </c>
      <c r="S7" s="59" t="s">
        <v>48</v>
      </c>
      <c r="T7" s="59" t="s">
        <v>49</v>
      </c>
      <c r="U7" s="59" t="str">
        <f>VLOOKUP(T7,[1]区域划分!$A$1:$C$39,3,0)</f>
        <v>龚运谱</v>
      </c>
      <c r="V7" s="59"/>
      <c r="W7" s="68"/>
      <c r="X7" s="68"/>
    </row>
    <row r="8" s="17" customFormat="1" ht="24" hidden="1" spans="1:24">
      <c r="A8" s="59">
        <v>188</v>
      </c>
      <c r="B8" s="60" t="s">
        <v>50</v>
      </c>
      <c r="C8" s="61">
        <v>42370</v>
      </c>
      <c r="D8" s="62" t="str">
        <f ca="1" t="shared" si="0"/>
        <v>一年以上</v>
      </c>
      <c r="E8" s="59"/>
      <c r="F8" s="59"/>
      <c r="G8" s="59"/>
      <c r="H8" s="63" t="s">
        <v>51</v>
      </c>
      <c r="I8" s="63" t="s">
        <v>51</v>
      </c>
      <c r="J8" s="64">
        <v>300</v>
      </c>
      <c r="K8" s="59"/>
      <c r="L8" s="59" t="s">
        <v>29</v>
      </c>
      <c r="M8" s="59" t="s">
        <v>30</v>
      </c>
      <c r="N8" s="65">
        <v>300</v>
      </c>
      <c r="O8" s="65">
        <f t="shared" si="1"/>
        <v>0</v>
      </c>
      <c r="P8" s="66">
        <v>44728</v>
      </c>
      <c r="Q8" s="61">
        <f t="shared" si="2"/>
        <v>44728</v>
      </c>
      <c r="R8" s="59"/>
      <c r="S8" s="59" t="s">
        <v>52</v>
      </c>
      <c r="T8" s="59"/>
      <c r="U8" s="59"/>
      <c r="V8" s="59"/>
      <c r="W8" s="68"/>
      <c r="X8" s="68"/>
    </row>
    <row r="9" s="17" customFormat="1" ht="72" hidden="1" spans="1:24">
      <c r="A9" s="59">
        <v>185</v>
      </c>
      <c r="B9" s="60" t="s">
        <v>53</v>
      </c>
      <c r="C9" s="61">
        <v>42370</v>
      </c>
      <c r="D9" s="62" t="str">
        <f ca="1" t="shared" si="0"/>
        <v>一年以上</v>
      </c>
      <c r="E9" s="66">
        <v>42390</v>
      </c>
      <c r="F9" s="59"/>
      <c r="G9" s="59" t="s">
        <v>54</v>
      </c>
      <c r="H9" s="63" t="s">
        <v>55</v>
      </c>
      <c r="I9" s="63" t="s">
        <v>56</v>
      </c>
      <c r="J9" s="64">
        <v>20000</v>
      </c>
      <c r="K9" s="59" t="s">
        <v>28</v>
      </c>
      <c r="L9" s="59" t="s">
        <v>57</v>
      </c>
      <c r="M9" s="59" t="s">
        <v>30</v>
      </c>
      <c r="N9" s="65"/>
      <c r="O9" s="70">
        <f t="shared" si="1"/>
        <v>20000</v>
      </c>
      <c r="P9" s="66"/>
      <c r="Q9" s="61">
        <f t="shared" si="2"/>
        <v>0</v>
      </c>
      <c r="R9" s="59" t="s">
        <v>42</v>
      </c>
      <c r="S9" s="59" t="s">
        <v>58</v>
      </c>
      <c r="T9" s="59" t="s">
        <v>44</v>
      </c>
      <c r="U9" s="59" t="str">
        <f>VLOOKUP(T9,[1]区域划分!$A$1:$C$39,3,0)</f>
        <v>殷坤鹏</v>
      </c>
      <c r="V9" s="59" t="s">
        <v>45</v>
      </c>
      <c r="W9" s="68"/>
      <c r="X9" s="68"/>
    </row>
    <row r="10" s="19" customFormat="1" ht="24" hidden="1" spans="1:24">
      <c r="A10" s="59">
        <v>189</v>
      </c>
      <c r="B10" s="60" t="s">
        <v>59</v>
      </c>
      <c r="C10" s="61">
        <v>42370</v>
      </c>
      <c r="D10" s="62" t="str">
        <f ca="1" t="shared" si="0"/>
        <v>一年以上</v>
      </c>
      <c r="E10" s="66">
        <v>42400</v>
      </c>
      <c r="F10" s="66"/>
      <c r="G10" s="59"/>
      <c r="H10" s="60" t="s">
        <v>60</v>
      </c>
      <c r="I10" s="63" t="s">
        <v>60</v>
      </c>
      <c r="J10" s="71">
        <v>10000</v>
      </c>
      <c r="K10" s="59" t="s">
        <v>28</v>
      </c>
      <c r="L10" s="59" t="s">
        <v>61</v>
      </c>
      <c r="M10" s="59" t="s">
        <v>30</v>
      </c>
      <c r="N10" s="65"/>
      <c r="O10" s="65">
        <f t="shared" si="1"/>
        <v>10000</v>
      </c>
      <c r="P10" s="66"/>
      <c r="Q10" s="61">
        <f t="shared" si="2"/>
        <v>0</v>
      </c>
      <c r="R10" s="59" t="s">
        <v>62</v>
      </c>
      <c r="S10" s="72" t="s">
        <v>63</v>
      </c>
      <c r="T10" s="59" t="s">
        <v>49</v>
      </c>
      <c r="U10" s="59" t="str">
        <f>VLOOKUP(T10,[1]区域划分!$A$1:$C$39,3,0)</f>
        <v>龚运谱</v>
      </c>
      <c r="V10" s="59"/>
      <c r="W10" s="73"/>
      <c r="X10" s="73"/>
    </row>
    <row r="11" s="17" customFormat="1" hidden="1" spans="1:24">
      <c r="A11" s="59">
        <v>1</v>
      </c>
      <c r="B11" s="60" t="s">
        <v>64</v>
      </c>
      <c r="C11" s="61">
        <v>42887</v>
      </c>
      <c r="D11" s="62" t="str">
        <f ca="1" t="shared" si="0"/>
        <v>一年以上</v>
      </c>
      <c r="E11" s="61">
        <v>42887</v>
      </c>
      <c r="F11" s="59"/>
      <c r="G11" s="59"/>
      <c r="H11" s="371" t="s">
        <v>60</v>
      </c>
      <c r="I11" s="63" t="s">
        <v>60</v>
      </c>
      <c r="J11" s="64">
        <v>10000</v>
      </c>
      <c r="K11" s="59" t="s">
        <v>28</v>
      </c>
      <c r="L11" s="59" t="s">
        <v>61</v>
      </c>
      <c r="M11" s="59" t="s">
        <v>65</v>
      </c>
      <c r="N11" s="65"/>
      <c r="O11" s="65">
        <v>10000</v>
      </c>
      <c r="P11" s="66"/>
      <c r="Q11" s="61">
        <f t="shared" si="2"/>
        <v>0</v>
      </c>
      <c r="R11" s="59"/>
      <c r="S11" s="59"/>
      <c r="T11" s="59" t="s">
        <v>49</v>
      </c>
      <c r="U11" s="59" t="str">
        <f>VLOOKUP(T11,[1]区域划分!$A$1:$C$39,3,0)</f>
        <v>龚运谱</v>
      </c>
      <c r="V11" s="59"/>
      <c r="W11" s="68"/>
      <c r="X11" s="68"/>
    </row>
    <row r="12" s="20" customFormat="1" ht="24" hidden="1" spans="1:24">
      <c r="A12" s="59">
        <v>190</v>
      </c>
      <c r="B12" s="60" t="s">
        <v>67</v>
      </c>
      <c r="C12" s="61">
        <v>43466</v>
      </c>
      <c r="D12" s="62" t="str">
        <f ca="1" t="shared" si="0"/>
        <v>一年以上</v>
      </c>
      <c r="E12" s="66">
        <v>43475</v>
      </c>
      <c r="F12" s="66"/>
      <c r="G12" s="59" t="s">
        <v>68</v>
      </c>
      <c r="H12" s="60" t="s">
        <v>60</v>
      </c>
      <c r="I12" s="63" t="s">
        <v>60</v>
      </c>
      <c r="J12" s="71">
        <v>50000</v>
      </c>
      <c r="K12" s="59" t="s">
        <v>28</v>
      </c>
      <c r="L12" s="59" t="s">
        <v>61</v>
      </c>
      <c r="M12" s="59" t="s">
        <v>30</v>
      </c>
      <c r="N12" s="65"/>
      <c r="O12" s="65">
        <f>J12-N12</f>
        <v>50000</v>
      </c>
      <c r="P12" s="66"/>
      <c r="Q12" s="61">
        <f t="shared" si="2"/>
        <v>0</v>
      </c>
      <c r="R12" s="59" t="s">
        <v>62</v>
      </c>
      <c r="S12" s="72" t="s">
        <v>63</v>
      </c>
      <c r="T12" s="59" t="s">
        <v>49</v>
      </c>
      <c r="U12" s="59" t="str">
        <f>VLOOKUP(T12,[1]区域划分!$A$1:$C$39,3,0)</f>
        <v>龚运谱</v>
      </c>
      <c r="V12" s="59"/>
      <c r="W12" s="59"/>
      <c r="X12" s="59"/>
    </row>
    <row r="13" s="17" customFormat="1" ht="24" hidden="1" spans="1:24">
      <c r="A13" s="59">
        <v>5</v>
      </c>
      <c r="B13" s="60" t="s">
        <v>69</v>
      </c>
      <c r="C13" s="61">
        <v>43101</v>
      </c>
      <c r="D13" s="62" t="str">
        <f ca="1" t="shared" si="0"/>
        <v>一年以上</v>
      </c>
      <c r="E13" s="66">
        <v>43113</v>
      </c>
      <c r="F13" s="66" t="s">
        <v>70</v>
      </c>
      <c r="G13" s="59" t="s">
        <v>71</v>
      </c>
      <c r="H13" s="60" t="s">
        <v>72</v>
      </c>
      <c r="I13" s="63" t="s">
        <v>72</v>
      </c>
      <c r="J13" s="71">
        <v>2000</v>
      </c>
      <c r="K13" s="59"/>
      <c r="L13" s="59" t="s">
        <v>73</v>
      </c>
      <c r="M13" s="59" t="s">
        <v>65</v>
      </c>
      <c r="N13" s="65">
        <v>2000</v>
      </c>
      <c r="O13" s="65">
        <f>J13-N13</f>
        <v>0</v>
      </c>
      <c r="P13" s="66">
        <v>44099</v>
      </c>
      <c r="Q13" s="61">
        <f t="shared" si="2"/>
        <v>44099</v>
      </c>
      <c r="R13" s="66"/>
      <c r="S13" s="59" t="s">
        <v>74</v>
      </c>
      <c r="T13" s="59"/>
      <c r="U13" s="59"/>
      <c r="V13" s="59"/>
      <c r="W13" s="68"/>
      <c r="X13" s="68"/>
    </row>
    <row r="14" s="17" customFormat="1" ht="48" hidden="1" spans="1:24">
      <c r="A14" s="59">
        <v>2</v>
      </c>
      <c r="B14" s="60" t="s">
        <v>75</v>
      </c>
      <c r="C14" s="61">
        <v>43101</v>
      </c>
      <c r="D14" s="62" t="str">
        <f ca="1" t="shared" si="0"/>
        <v>一年以上</v>
      </c>
      <c r="E14" s="66">
        <v>43124</v>
      </c>
      <c r="F14" s="59"/>
      <c r="G14" s="59" t="s">
        <v>76</v>
      </c>
      <c r="H14" s="74" t="s">
        <v>77</v>
      </c>
      <c r="I14" s="63" t="s">
        <v>77</v>
      </c>
      <c r="J14" s="64">
        <v>7000</v>
      </c>
      <c r="K14" s="59" t="s">
        <v>28</v>
      </c>
      <c r="L14" s="59"/>
      <c r="M14" s="59" t="s">
        <v>65</v>
      </c>
      <c r="N14" s="65"/>
      <c r="O14" s="65">
        <v>7000</v>
      </c>
      <c r="P14" s="66"/>
      <c r="Q14" s="61">
        <f t="shared" si="2"/>
        <v>0</v>
      </c>
      <c r="R14" s="60" t="s">
        <v>78</v>
      </c>
      <c r="S14" s="59" t="s">
        <v>79</v>
      </c>
      <c r="T14" s="59" t="s">
        <v>80</v>
      </c>
      <c r="U14" s="59" t="str">
        <f>VLOOKUP(T14,[1]区域划分!$A$1:$C$39,3,0)</f>
        <v>殷坤鹏</v>
      </c>
      <c r="V14" s="59"/>
      <c r="W14" s="68"/>
      <c r="X14" s="68"/>
    </row>
    <row r="15" s="17" customFormat="1" ht="24" hidden="1" spans="1:24">
      <c r="A15" s="59">
        <v>10</v>
      </c>
      <c r="B15" s="60" t="s">
        <v>81</v>
      </c>
      <c r="C15" s="61">
        <v>43252</v>
      </c>
      <c r="D15" s="62" t="str">
        <f ca="1" t="shared" si="0"/>
        <v>一年以上</v>
      </c>
      <c r="E15" s="66">
        <v>43255</v>
      </c>
      <c r="F15" s="66" t="s">
        <v>82</v>
      </c>
      <c r="G15" s="59" t="s">
        <v>83</v>
      </c>
      <c r="H15" s="60" t="s">
        <v>84</v>
      </c>
      <c r="I15" s="63" t="s">
        <v>84</v>
      </c>
      <c r="J15" s="71">
        <v>15000</v>
      </c>
      <c r="K15" s="59" t="s">
        <v>28</v>
      </c>
      <c r="L15" s="59" t="s">
        <v>57</v>
      </c>
      <c r="M15" s="59" t="s">
        <v>65</v>
      </c>
      <c r="N15" s="65">
        <v>15000</v>
      </c>
      <c r="O15" s="65">
        <f t="shared" ref="O15:O78" si="3">J15-N15</f>
        <v>0</v>
      </c>
      <c r="P15" s="66">
        <v>44936</v>
      </c>
      <c r="Q15" s="61">
        <f t="shared" si="2"/>
        <v>44936</v>
      </c>
      <c r="R15" s="59"/>
      <c r="S15" s="59" t="s">
        <v>85</v>
      </c>
      <c r="T15" s="59" t="s">
        <v>86</v>
      </c>
      <c r="U15" s="59" t="s">
        <v>87</v>
      </c>
      <c r="V15" s="59"/>
      <c r="W15" s="68"/>
      <c r="X15" s="68"/>
    </row>
    <row r="16" s="17" customFormat="1" hidden="1" spans="1:24">
      <c r="A16" s="59">
        <v>15</v>
      </c>
      <c r="B16" s="60" t="s">
        <v>88</v>
      </c>
      <c r="C16" s="61">
        <v>43313</v>
      </c>
      <c r="D16" s="62" t="str">
        <f ca="1" t="shared" si="0"/>
        <v>一年以上</v>
      </c>
      <c r="E16" s="66">
        <v>43330</v>
      </c>
      <c r="F16" s="66" t="s">
        <v>70</v>
      </c>
      <c r="G16" s="59" t="s">
        <v>89</v>
      </c>
      <c r="H16" s="60" t="s">
        <v>90</v>
      </c>
      <c r="I16" s="63" t="s">
        <v>90</v>
      </c>
      <c r="J16" s="71">
        <v>2000</v>
      </c>
      <c r="K16" s="59"/>
      <c r="L16" s="59" t="s">
        <v>73</v>
      </c>
      <c r="M16" s="59" t="s">
        <v>65</v>
      </c>
      <c r="N16" s="65">
        <v>2000</v>
      </c>
      <c r="O16" s="65">
        <f t="shared" si="3"/>
        <v>0</v>
      </c>
      <c r="P16" s="66">
        <v>43707</v>
      </c>
      <c r="Q16" s="61">
        <f t="shared" si="2"/>
        <v>43707</v>
      </c>
      <c r="R16" s="66"/>
      <c r="S16" s="59"/>
      <c r="T16" s="59"/>
      <c r="U16" s="59"/>
      <c r="V16" s="59"/>
      <c r="W16" s="68"/>
      <c r="X16" s="68"/>
    </row>
    <row r="17" s="17" customFormat="1" ht="24" hidden="1" spans="1:24">
      <c r="A17" s="59">
        <v>6</v>
      </c>
      <c r="B17" s="60" t="s">
        <v>91</v>
      </c>
      <c r="C17" s="61">
        <v>43374</v>
      </c>
      <c r="D17" s="62" t="str">
        <f ca="1" t="shared" si="0"/>
        <v>一年以上</v>
      </c>
      <c r="E17" s="66">
        <v>43393</v>
      </c>
      <c r="F17" s="66" t="s">
        <v>70</v>
      </c>
      <c r="G17" s="59" t="s">
        <v>92</v>
      </c>
      <c r="H17" s="60" t="s">
        <v>93</v>
      </c>
      <c r="I17" s="63" t="s">
        <v>93</v>
      </c>
      <c r="J17" s="71">
        <v>3000</v>
      </c>
      <c r="K17" s="59"/>
      <c r="L17" s="59" t="s">
        <v>73</v>
      </c>
      <c r="M17" s="59" t="s">
        <v>65</v>
      </c>
      <c r="N17" s="65">
        <v>3000</v>
      </c>
      <c r="O17" s="65">
        <f t="shared" si="3"/>
        <v>0</v>
      </c>
      <c r="P17" s="66">
        <v>44126</v>
      </c>
      <c r="Q17" s="61">
        <f t="shared" si="2"/>
        <v>44126</v>
      </c>
      <c r="R17" s="66"/>
      <c r="S17" s="59" t="s">
        <v>94</v>
      </c>
      <c r="T17" s="59"/>
      <c r="U17" s="59"/>
      <c r="V17" s="59"/>
      <c r="W17" s="68"/>
      <c r="X17" s="68"/>
    </row>
    <row r="18" s="20" customFormat="1" hidden="1" spans="1:24">
      <c r="A18" s="59">
        <v>19</v>
      </c>
      <c r="B18" s="60" t="s">
        <v>95</v>
      </c>
      <c r="C18" s="61">
        <v>43374</v>
      </c>
      <c r="D18" s="62" t="str">
        <f ca="1" t="shared" si="0"/>
        <v>一年以上</v>
      </c>
      <c r="E18" s="66">
        <v>43404</v>
      </c>
      <c r="F18" s="66" t="s">
        <v>70</v>
      </c>
      <c r="G18" s="59" t="s">
        <v>76</v>
      </c>
      <c r="H18" s="60" t="s">
        <v>77</v>
      </c>
      <c r="I18" s="63" t="s">
        <v>77</v>
      </c>
      <c r="J18" s="71">
        <v>7000</v>
      </c>
      <c r="K18" s="59"/>
      <c r="L18" s="59" t="s">
        <v>96</v>
      </c>
      <c r="M18" s="59" t="s">
        <v>65</v>
      </c>
      <c r="N18" s="65">
        <v>7000</v>
      </c>
      <c r="O18" s="65">
        <f t="shared" si="3"/>
        <v>0</v>
      </c>
      <c r="P18" s="66">
        <v>43480</v>
      </c>
      <c r="Q18" s="61">
        <f t="shared" si="2"/>
        <v>43480</v>
      </c>
      <c r="R18" s="66"/>
      <c r="S18" s="59"/>
      <c r="T18" s="59"/>
      <c r="U18" s="59"/>
      <c r="V18" s="59"/>
      <c r="W18" s="59"/>
      <c r="X18" s="59"/>
    </row>
    <row r="19" s="20" customFormat="1" ht="24" hidden="1" spans="1:24">
      <c r="A19" s="59">
        <v>3</v>
      </c>
      <c r="B19" s="60" t="s">
        <v>97</v>
      </c>
      <c r="C19" s="61">
        <v>43405</v>
      </c>
      <c r="D19" s="62" t="str">
        <f ca="1" t="shared" si="0"/>
        <v>一年以上</v>
      </c>
      <c r="E19" s="66">
        <v>43414</v>
      </c>
      <c r="F19" s="66" t="s">
        <v>70</v>
      </c>
      <c r="G19" s="59" t="s">
        <v>76</v>
      </c>
      <c r="H19" s="60" t="s">
        <v>98</v>
      </c>
      <c r="I19" s="63" t="s">
        <v>98</v>
      </c>
      <c r="J19" s="71">
        <f>20000</f>
        <v>20000</v>
      </c>
      <c r="K19" s="59" t="s">
        <v>28</v>
      </c>
      <c r="L19" s="59" t="s">
        <v>73</v>
      </c>
      <c r="M19" s="59" t="s">
        <v>65</v>
      </c>
      <c r="N19" s="65">
        <v>20000</v>
      </c>
      <c r="O19" s="65">
        <f t="shared" si="3"/>
        <v>0</v>
      </c>
      <c r="P19" s="66"/>
      <c r="Q19" s="61">
        <f t="shared" si="2"/>
        <v>0</v>
      </c>
      <c r="R19" s="66"/>
      <c r="S19" s="59" t="s">
        <v>99</v>
      </c>
      <c r="T19" s="59"/>
      <c r="U19" s="59"/>
      <c r="V19" s="59"/>
      <c r="W19" s="59"/>
      <c r="X19" s="59"/>
    </row>
    <row r="20" s="20" customFormat="1" ht="24" hidden="1" spans="1:24">
      <c r="A20" s="59">
        <v>4</v>
      </c>
      <c r="B20" s="60" t="s">
        <v>100</v>
      </c>
      <c r="C20" s="61">
        <v>43435</v>
      </c>
      <c r="D20" s="62" t="str">
        <f ca="1" t="shared" si="0"/>
        <v>一年以上</v>
      </c>
      <c r="E20" s="66">
        <v>43446</v>
      </c>
      <c r="F20" s="66" t="s">
        <v>70</v>
      </c>
      <c r="G20" s="59" t="s">
        <v>101</v>
      </c>
      <c r="H20" s="60" t="s">
        <v>102</v>
      </c>
      <c r="I20" s="63" t="s">
        <v>102</v>
      </c>
      <c r="J20" s="71">
        <v>8000</v>
      </c>
      <c r="K20" s="59"/>
      <c r="L20" s="59" t="s">
        <v>73</v>
      </c>
      <c r="M20" s="59" t="s">
        <v>65</v>
      </c>
      <c r="N20" s="65">
        <v>8000</v>
      </c>
      <c r="O20" s="65">
        <f t="shared" si="3"/>
        <v>0</v>
      </c>
      <c r="P20" s="66">
        <v>43609</v>
      </c>
      <c r="Q20" s="61">
        <f t="shared" si="2"/>
        <v>43609</v>
      </c>
      <c r="R20" s="66"/>
      <c r="S20" s="59"/>
      <c r="T20" s="59"/>
      <c r="U20" s="59"/>
      <c r="V20" s="59"/>
      <c r="W20" s="59"/>
      <c r="X20" s="59"/>
    </row>
    <row r="21" s="20" customFormat="1" ht="24" hidden="1" spans="1:24">
      <c r="A21" s="59">
        <v>12</v>
      </c>
      <c r="B21" s="60" t="s">
        <v>103</v>
      </c>
      <c r="C21" s="61">
        <v>43466</v>
      </c>
      <c r="D21" s="62" t="str">
        <f ca="1" t="shared" si="0"/>
        <v>一年以上</v>
      </c>
      <c r="E21" s="66">
        <v>43493</v>
      </c>
      <c r="F21" s="66" t="s">
        <v>70</v>
      </c>
      <c r="G21" s="59" t="s">
        <v>104</v>
      </c>
      <c r="H21" s="60" t="s">
        <v>105</v>
      </c>
      <c r="I21" s="63" t="s">
        <v>105</v>
      </c>
      <c r="J21" s="71">
        <v>10000</v>
      </c>
      <c r="K21" s="59"/>
      <c r="L21" s="59" t="s">
        <v>73</v>
      </c>
      <c r="M21" s="59" t="s">
        <v>65</v>
      </c>
      <c r="N21" s="65">
        <v>10000</v>
      </c>
      <c r="O21" s="65">
        <f t="shared" si="3"/>
        <v>0</v>
      </c>
      <c r="P21" s="66">
        <v>43664</v>
      </c>
      <c r="Q21" s="61">
        <f t="shared" si="2"/>
        <v>43664</v>
      </c>
      <c r="R21" s="66"/>
      <c r="S21" s="59"/>
      <c r="T21" s="59"/>
      <c r="U21" s="59"/>
      <c r="V21" s="59"/>
      <c r="W21" s="59"/>
      <c r="X21" s="59"/>
    </row>
    <row r="22" s="20" customFormat="1" hidden="1" spans="1:24">
      <c r="A22" s="59">
        <v>11</v>
      </c>
      <c r="B22" s="60" t="s">
        <v>106</v>
      </c>
      <c r="C22" s="61">
        <v>43497</v>
      </c>
      <c r="D22" s="62" t="str">
        <f ca="1" t="shared" si="0"/>
        <v>一年以上</v>
      </c>
      <c r="E22" s="66">
        <v>43511</v>
      </c>
      <c r="F22" s="66" t="s">
        <v>70</v>
      </c>
      <c r="G22" s="59" t="s">
        <v>83</v>
      </c>
      <c r="H22" s="60" t="s">
        <v>107</v>
      </c>
      <c r="I22" s="63" t="s">
        <v>107</v>
      </c>
      <c r="J22" s="71">
        <v>3000</v>
      </c>
      <c r="K22" s="59"/>
      <c r="L22" s="59" t="s">
        <v>73</v>
      </c>
      <c r="M22" s="59" t="s">
        <v>65</v>
      </c>
      <c r="N22" s="65">
        <v>3000</v>
      </c>
      <c r="O22" s="65">
        <f t="shared" si="3"/>
        <v>0</v>
      </c>
      <c r="P22" s="66">
        <v>43646</v>
      </c>
      <c r="Q22" s="61">
        <f t="shared" si="2"/>
        <v>43646</v>
      </c>
      <c r="R22" s="66"/>
      <c r="S22" s="59"/>
      <c r="T22" s="59"/>
      <c r="U22" s="59"/>
      <c r="V22" s="59"/>
      <c r="W22" s="59"/>
      <c r="X22" s="59"/>
    </row>
    <row r="23" s="20" customFormat="1" ht="24" hidden="1" spans="1:24">
      <c r="A23" s="59">
        <v>8</v>
      </c>
      <c r="B23" s="60" t="s">
        <v>108</v>
      </c>
      <c r="C23" s="61">
        <v>43497</v>
      </c>
      <c r="D23" s="62" t="str">
        <f ca="1" t="shared" si="0"/>
        <v>一年以上</v>
      </c>
      <c r="E23" s="66">
        <v>43516</v>
      </c>
      <c r="F23" s="66" t="s">
        <v>70</v>
      </c>
      <c r="G23" s="59" t="s">
        <v>109</v>
      </c>
      <c r="H23" s="60" t="s">
        <v>110</v>
      </c>
      <c r="I23" s="63" t="s">
        <v>110</v>
      </c>
      <c r="J23" s="71">
        <v>1000</v>
      </c>
      <c r="K23" s="59"/>
      <c r="L23" s="59" t="s">
        <v>73</v>
      </c>
      <c r="M23" s="59" t="s">
        <v>65</v>
      </c>
      <c r="N23" s="65">
        <v>1000</v>
      </c>
      <c r="O23" s="65">
        <f t="shared" si="3"/>
        <v>0</v>
      </c>
      <c r="P23" s="66">
        <v>43692</v>
      </c>
      <c r="Q23" s="61">
        <f t="shared" si="2"/>
        <v>43692</v>
      </c>
      <c r="R23" s="66"/>
      <c r="S23" s="59"/>
      <c r="T23" s="59"/>
      <c r="U23" s="59"/>
      <c r="V23" s="59"/>
      <c r="W23" s="59"/>
      <c r="X23" s="59"/>
    </row>
    <row r="24" s="20" customFormat="1" ht="24" hidden="1" spans="1:24">
      <c r="A24" s="59">
        <v>14</v>
      </c>
      <c r="B24" s="60" t="s">
        <v>111</v>
      </c>
      <c r="C24" s="61">
        <v>43525</v>
      </c>
      <c r="D24" s="62" t="str">
        <f ca="1" t="shared" si="0"/>
        <v>一年以上</v>
      </c>
      <c r="E24" s="66">
        <v>43526</v>
      </c>
      <c r="F24" s="66" t="s">
        <v>70</v>
      </c>
      <c r="G24" s="59" t="s">
        <v>112</v>
      </c>
      <c r="H24" s="60" t="s">
        <v>113</v>
      </c>
      <c r="I24" s="63" t="s">
        <v>113</v>
      </c>
      <c r="J24" s="71">
        <v>2000</v>
      </c>
      <c r="K24" s="59"/>
      <c r="L24" s="59" t="s">
        <v>73</v>
      </c>
      <c r="M24" s="59" t="s">
        <v>65</v>
      </c>
      <c r="N24" s="65">
        <v>2000</v>
      </c>
      <c r="O24" s="65">
        <f t="shared" si="3"/>
        <v>0</v>
      </c>
      <c r="P24" s="66">
        <v>43698</v>
      </c>
      <c r="Q24" s="61">
        <f t="shared" si="2"/>
        <v>43698</v>
      </c>
      <c r="R24" s="66"/>
      <c r="S24" s="59"/>
      <c r="T24" s="59"/>
      <c r="U24" s="59"/>
      <c r="V24" s="59"/>
      <c r="W24" s="59"/>
      <c r="X24" s="59"/>
    </row>
    <row r="25" s="20" customFormat="1" ht="24" hidden="1" spans="1:24">
      <c r="A25" s="59">
        <v>13</v>
      </c>
      <c r="B25" s="60" t="s">
        <v>114</v>
      </c>
      <c r="C25" s="61">
        <v>43525</v>
      </c>
      <c r="D25" s="62" t="str">
        <f ca="1" t="shared" si="0"/>
        <v>一年以上</v>
      </c>
      <c r="E25" s="66">
        <v>43530</v>
      </c>
      <c r="F25" s="66" t="s">
        <v>70</v>
      </c>
      <c r="G25" s="59" t="s">
        <v>112</v>
      </c>
      <c r="H25" s="60" t="s">
        <v>115</v>
      </c>
      <c r="I25" s="63" t="s">
        <v>115</v>
      </c>
      <c r="J25" s="71">
        <v>3000</v>
      </c>
      <c r="K25" s="59"/>
      <c r="L25" s="59" t="s">
        <v>73</v>
      </c>
      <c r="M25" s="59" t="s">
        <v>65</v>
      </c>
      <c r="N25" s="65">
        <v>3000</v>
      </c>
      <c r="O25" s="65">
        <f t="shared" si="3"/>
        <v>0</v>
      </c>
      <c r="P25" s="66">
        <v>43700</v>
      </c>
      <c r="Q25" s="61">
        <f t="shared" si="2"/>
        <v>43700</v>
      </c>
      <c r="R25" s="66"/>
      <c r="S25" s="59"/>
      <c r="T25" s="59"/>
      <c r="U25" s="59"/>
      <c r="V25" s="59"/>
      <c r="W25" s="59"/>
      <c r="X25" s="59"/>
    </row>
    <row r="26" s="20" customFormat="1" ht="24" hidden="1" spans="1:24">
      <c r="A26" s="59">
        <v>9</v>
      </c>
      <c r="B26" s="60" t="s">
        <v>116</v>
      </c>
      <c r="C26" s="61">
        <v>43525</v>
      </c>
      <c r="D26" s="62" t="str">
        <f ca="1" t="shared" si="0"/>
        <v>一年以上</v>
      </c>
      <c r="E26" s="66">
        <v>43539</v>
      </c>
      <c r="F26" s="66" t="s">
        <v>70</v>
      </c>
      <c r="G26" s="59" t="s">
        <v>109</v>
      </c>
      <c r="H26" s="60" t="s">
        <v>117</v>
      </c>
      <c r="I26" s="63" t="s">
        <v>117</v>
      </c>
      <c r="J26" s="71">
        <v>10000</v>
      </c>
      <c r="K26" s="59"/>
      <c r="L26" s="59" t="s">
        <v>73</v>
      </c>
      <c r="M26" s="59" t="s">
        <v>65</v>
      </c>
      <c r="N26" s="65">
        <v>10000</v>
      </c>
      <c r="O26" s="65">
        <f t="shared" si="3"/>
        <v>0</v>
      </c>
      <c r="P26" s="66">
        <v>43613</v>
      </c>
      <c r="Q26" s="61">
        <f t="shared" si="2"/>
        <v>43613</v>
      </c>
      <c r="R26" s="66"/>
      <c r="S26" s="59"/>
      <c r="T26" s="59"/>
      <c r="U26" s="59"/>
      <c r="V26" s="59"/>
      <c r="W26" s="59"/>
      <c r="X26" s="59"/>
    </row>
    <row r="27" s="20" customFormat="1" hidden="1" spans="1:24">
      <c r="A27" s="59">
        <v>7</v>
      </c>
      <c r="B27" s="60" t="s">
        <v>118</v>
      </c>
      <c r="C27" s="61">
        <v>43556</v>
      </c>
      <c r="D27" s="62" t="str">
        <f ca="1" t="shared" si="0"/>
        <v>一年以上</v>
      </c>
      <c r="E27" s="66">
        <v>43557</v>
      </c>
      <c r="F27" s="66" t="s">
        <v>70</v>
      </c>
      <c r="G27" s="59" t="s">
        <v>119</v>
      </c>
      <c r="H27" s="60" t="s">
        <v>120</v>
      </c>
      <c r="I27" s="63" t="s">
        <v>120</v>
      </c>
      <c r="J27" s="71">
        <v>5000</v>
      </c>
      <c r="K27" s="59"/>
      <c r="L27" s="59" t="s">
        <v>73</v>
      </c>
      <c r="M27" s="59" t="s">
        <v>65</v>
      </c>
      <c r="N27" s="65">
        <v>5000</v>
      </c>
      <c r="O27" s="65">
        <f t="shared" si="3"/>
        <v>0</v>
      </c>
      <c r="P27" s="66">
        <v>43633</v>
      </c>
      <c r="Q27" s="61">
        <f t="shared" si="2"/>
        <v>43633</v>
      </c>
      <c r="R27" s="66"/>
      <c r="S27" s="59"/>
      <c r="T27" s="59"/>
      <c r="U27" s="59"/>
      <c r="V27" s="59"/>
      <c r="W27" s="59"/>
      <c r="X27" s="59"/>
    </row>
    <row r="28" s="20" customFormat="1" ht="24" hidden="1" spans="1:24">
      <c r="A28" s="59">
        <v>16</v>
      </c>
      <c r="B28" s="60" t="s">
        <v>121</v>
      </c>
      <c r="C28" s="61">
        <v>43556</v>
      </c>
      <c r="D28" s="62" t="str">
        <f ca="1" t="shared" si="0"/>
        <v>一年以上</v>
      </c>
      <c r="E28" s="66">
        <v>43560</v>
      </c>
      <c r="F28" s="66" t="s">
        <v>122</v>
      </c>
      <c r="G28" s="59" t="s">
        <v>68</v>
      </c>
      <c r="H28" s="60" t="s">
        <v>123</v>
      </c>
      <c r="I28" s="63" t="s">
        <v>123</v>
      </c>
      <c r="J28" s="71">
        <v>124500</v>
      </c>
      <c r="K28" s="59" t="s">
        <v>28</v>
      </c>
      <c r="L28" s="59" t="s">
        <v>57</v>
      </c>
      <c r="M28" s="59" t="s">
        <v>65</v>
      </c>
      <c r="N28" s="65">
        <v>124500</v>
      </c>
      <c r="O28" s="65">
        <f t="shared" si="3"/>
        <v>0</v>
      </c>
      <c r="P28" s="66">
        <v>44890</v>
      </c>
      <c r="Q28" s="61">
        <f t="shared" si="2"/>
        <v>44890</v>
      </c>
      <c r="R28" s="59"/>
      <c r="S28" s="59" t="s">
        <v>124</v>
      </c>
      <c r="T28" s="59" t="s">
        <v>49</v>
      </c>
      <c r="U28" s="59" t="s">
        <v>125</v>
      </c>
      <c r="V28" s="59" t="s">
        <v>126</v>
      </c>
      <c r="W28" s="59"/>
      <c r="X28" s="59"/>
    </row>
    <row r="29" s="20" customFormat="1" hidden="1" spans="1:24">
      <c r="A29" s="59">
        <v>194</v>
      </c>
      <c r="B29" s="60" t="s">
        <v>127</v>
      </c>
      <c r="C29" s="61">
        <v>43556</v>
      </c>
      <c r="D29" s="62" t="str">
        <f ca="1" t="shared" si="0"/>
        <v>一年以上</v>
      </c>
      <c r="E29" s="66">
        <v>43570</v>
      </c>
      <c r="F29" s="66"/>
      <c r="G29" s="59" t="s">
        <v>128</v>
      </c>
      <c r="H29" s="60" t="s">
        <v>90</v>
      </c>
      <c r="I29" s="63" t="s">
        <v>90</v>
      </c>
      <c r="J29" s="71">
        <v>10000</v>
      </c>
      <c r="K29" s="59"/>
      <c r="L29" s="59" t="s">
        <v>73</v>
      </c>
      <c r="M29" s="59" t="s">
        <v>30</v>
      </c>
      <c r="N29" s="65">
        <v>10000</v>
      </c>
      <c r="O29" s="65">
        <f t="shared" si="3"/>
        <v>0</v>
      </c>
      <c r="P29" s="66">
        <v>44064</v>
      </c>
      <c r="Q29" s="61">
        <f t="shared" si="2"/>
        <v>44064</v>
      </c>
      <c r="R29" s="59"/>
      <c r="S29" s="75" t="s">
        <v>62</v>
      </c>
      <c r="T29" s="59"/>
      <c r="U29" s="59"/>
      <c r="V29" s="59"/>
      <c r="W29" s="59"/>
      <c r="X29" s="59"/>
    </row>
    <row r="30" s="20" customFormat="1" ht="24" hidden="1" spans="1:24">
      <c r="A30" s="59">
        <v>343</v>
      </c>
      <c r="B30" s="60" t="s">
        <v>129</v>
      </c>
      <c r="C30" s="61">
        <v>43556</v>
      </c>
      <c r="D30" s="62" t="str">
        <f ca="1" t="shared" si="0"/>
        <v>一年以上</v>
      </c>
      <c r="E30" s="66">
        <v>43585</v>
      </c>
      <c r="F30" s="66" t="s">
        <v>130</v>
      </c>
      <c r="G30" s="59" t="s">
        <v>131</v>
      </c>
      <c r="H30" s="60" t="s">
        <v>132</v>
      </c>
      <c r="I30" s="63" t="s">
        <v>132</v>
      </c>
      <c r="J30" s="76">
        <v>10000</v>
      </c>
      <c r="K30" s="59"/>
      <c r="L30" s="59" t="s">
        <v>73</v>
      </c>
      <c r="M30" s="59" t="s">
        <v>133</v>
      </c>
      <c r="N30" s="65">
        <v>10000</v>
      </c>
      <c r="O30" s="65">
        <f t="shared" si="3"/>
        <v>0</v>
      </c>
      <c r="P30" s="66">
        <v>43938</v>
      </c>
      <c r="Q30" s="61">
        <f t="shared" si="2"/>
        <v>43938</v>
      </c>
      <c r="R30" s="59"/>
      <c r="S30" s="59" t="s">
        <v>133</v>
      </c>
      <c r="T30" s="59"/>
      <c r="U30" s="59"/>
      <c r="V30" s="59"/>
      <c r="W30" s="59"/>
      <c r="X30" s="59"/>
    </row>
    <row r="31" s="20" customFormat="1" ht="24" hidden="1" spans="1:24">
      <c r="A31" s="59">
        <v>17</v>
      </c>
      <c r="B31" s="60" t="s">
        <v>134</v>
      </c>
      <c r="C31" s="61">
        <v>43586</v>
      </c>
      <c r="D31" s="62" t="str">
        <f ca="1" t="shared" si="0"/>
        <v>一年以上</v>
      </c>
      <c r="E31" s="66">
        <v>43600</v>
      </c>
      <c r="F31" s="66" t="s">
        <v>70</v>
      </c>
      <c r="G31" s="59" t="s">
        <v>135</v>
      </c>
      <c r="H31" s="60" t="s">
        <v>136</v>
      </c>
      <c r="I31" s="63" t="s">
        <v>136</v>
      </c>
      <c r="J31" s="71">
        <v>3000</v>
      </c>
      <c r="K31" s="59"/>
      <c r="L31" s="59" t="s">
        <v>73</v>
      </c>
      <c r="M31" s="59" t="s">
        <v>65</v>
      </c>
      <c r="N31" s="65">
        <v>3000</v>
      </c>
      <c r="O31" s="65">
        <f t="shared" si="3"/>
        <v>0</v>
      </c>
      <c r="P31" s="66">
        <v>43824</v>
      </c>
      <c r="Q31" s="61">
        <f t="shared" si="2"/>
        <v>43824</v>
      </c>
      <c r="R31" s="66"/>
      <c r="S31" s="59"/>
      <c r="T31" s="59"/>
      <c r="U31" s="59"/>
      <c r="V31" s="59"/>
      <c r="W31" s="59"/>
      <c r="X31" s="59"/>
    </row>
    <row r="32" s="20" customFormat="1" ht="24" hidden="1" spans="1:24">
      <c r="A32" s="59">
        <v>18</v>
      </c>
      <c r="B32" s="60" t="s">
        <v>137</v>
      </c>
      <c r="C32" s="61">
        <v>43586</v>
      </c>
      <c r="D32" s="62" t="str">
        <f ca="1" t="shared" si="0"/>
        <v>一年以上</v>
      </c>
      <c r="E32" s="66">
        <v>43601</v>
      </c>
      <c r="F32" s="66" t="s">
        <v>70</v>
      </c>
      <c r="G32" s="59" t="s">
        <v>104</v>
      </c>
      <c r="H32" s="60" t="s">
        <v>138</v>
      </c>
      <c r="I32" s="63" t="s">
        <v>138</v>
      </c>
      <c r="J32" s="71">
        <v>3000</v>
      </c>
      <c r="K32" s="59"/>
      <c r="L32" s="59" t="s">
        <v>73</v>
      </c>
      <c r="M32" s="59" t="s">
        <v>65</v>
      </c>
      <c r="N32" s="65">
        <v>3000</v>
      </c>
      <c r="O32" s="65">
        <f t="shared" si="3"/>
        <v>0</v>
      </c>
      <c r="P32" s="66">
        <v>44484</v>
      </c>
      <c r="Q32" s="61">
        <f t="shared" si="2"/>
        <v>44484</v>
      </c>
      <c r="R32" s="66"/>
      <c r="S32" s="59"/>
      <c r="T32" s="59"/>
      <c r="U32" s="59"/>
      <c r="V32" s="59"/>
      <c r="W32" s="59"/>
      <c r="X32" s="59"/>
    </row>
    <row r="33" s="20" customFormat="1" hidden="1" spans="1:24">
      <c r="A33" s="59">
        <v>20</v>
      </c>
      <c r="B33" s="60" t="s">
        <v>139</v>
      </c>
      <c r="C33" s="61">
        <v>43586</v>
      </c>
      <c r="D33" s="62" t="str">
        <f ca="1" t="shared" si="0"/>
        <v>一年以上</v>
      </c>
      <c r="E33" s="66">
        <v>43601</v>
      </c>
      <c r="F33" s="66" t="s">
        <v>70</v>
      </c>
      <c r="G33" s="59" t="s">
        <v>140</v>
      </c>
      <c r="H33" s="60" t="s">
        <v>141</v>
      </c>
      <c r="I33" s="63" t="s">
        <v>141</v>
      </c>
      <c r="J33" s="71">
        <v>10000</v>
      </c>
      <c r="K33" s="59"/>
      <c r="L33" s="59" t="s">
        <v>73</v>
      </c>
      <c r="M33" s="59" t="s">
        <v>65</v>
      </c>
      <c r="N33" s="65">
        <v>10000</v>
      </c>
      <c r="O33" s="65">
        <f t="shared" si="3"/>
        <v>0</v>
      </c>
      <c r="P33" s="66">
        <v>43973</v>
      </c>
      <c r="Q33" s="61">
        <f t="shared" si="2"/>
        <v>43973</v>
      </c>
      <c r="R33" s="66"/>
      <c r="S33" s="59"/>
      <c r="T33" s="59"/>
      <c r="U33" s="59"/>
      <c r="V33" s="59"/>
      <c r="W33" s="59"/>
      <c r="X33" s="59"/>
    </row>
    <row r="34" s="20" customFormat="1" hidden="1" spans="1:24">
      <c r="A34" s="59">
        <v>21</v>
      </c>
      <c r="B34" s="60" t="s">
        <v>142</v>
      </c>
      <c r="C34" s="61">
        <v>43617</v>
      </c>
      <c r="D34" s="62" t="str">
        <f ca="1" t="shared" si="0"/>
        <v>一年以上</v>
      </c>
      <c r="E34" s="66">
        <v>43621</v>
      </c>
      <c r="F34" s="66" t="s">
        <v>70</v>
      </c>
      <c r="G34" s="59" t="s">
        <v>143</v>
      </c>
      <c r="H34" s="60" t="s">
        <v>144</v>
      </c>
      <c r="I34" s="63" t="s">
        <v>144</v>
      </c>
      <c r="J34" s="71">
        <v>2000</v>
      </c>
      <c r="K34" s="59"/>
      <c r="L34" s="59" t="s">
        <v>96</v>
      </c>
      <c r="M34" s="59" t="s">
        <v>65</v>
      </c>
      <c r="N34" s="65">
        <v>2000</v>
      </c>
      <c r="O34" s="65">
        <f t="shared" si="3"/>
        <v>0</v>
      </c>
      <c r="P34" s="66">
        <v>43676</v>
      </c>
      <c r="Q34" s="61">
        <f t="shared" si="2"/>
        <v>43676</v>
      </c>
      <c r="R34" s="66"/>
      <c r="S34" s="59"/>
      <c r="T34" s="59"/>
      <c r="U34" s="59"/>
      <c r="V34" s="59"/>
      <c r="W34" s="59"/>
      <c r="X34" s="59"/>
    </row>
    <row r="35" s="20" customFormat="1" hidden="1" spans="1:24">
      <c r="A35" s="59">
        <v>22</v>
      </c>
      <c r="B35" s="60" t="s">
        <v>145</v>
      </c>
      <c r="C35" s="61">
        <v>43617</v>
      </c>
      <c r="D35" s="62" t="str">
        <f ca="1" t="shared" si="0"/>
        <v>一年以上</v>
      </c>
      <c r="E35" s="66">
        <v>43628</v>
      </c>
      <c r="F35" s="66" t="s">
        <v>70</v>
      </c>
      <c r="G35" s="59" t="s">
        <v>146</v>
      </c>
      <c r="H35" s="60" t="s">
        <v>147</v>
      </c>
      <c r="I35" s="63" t="s">
        <v>147</v>
      </c>
      <c r="J35" s="71">
        <v>5000</v>
      </c>
      <c r="K35" s="59"/>
      <c r="L35" s="59" t="s">
        <v>73</v>
      </c>
      <c r="M35" s="59" t="s">
        <v>65</v>
      </c>
      <c r="N35" s="65">
        <v>5000</v>
      </c>
      <c r="O35" s="65">
        <f t="shared" si="3"/>
        <v>0</v>
      </c>
      <c r="P35" s="66">
        <v>43641</v>
      </c>
      <c r="Q35" s="61">
        <f t="shared" si="2"/>
        <v>43641</v>
      </c>
      <c r="R35" s="66"/>
      <c r="S35" s="59"/>
      <c r="T35" s="59"/>
      <c r="U35" s="59"/>
      <c r="V35" s="59"/>
      <c r="W35" s="59"/>
      <c r="X35" s="59"/>
    </row>
    <row r="36" s="20" customFormat="1" ht="24" hidden="1" spans="1:24">
      <c r="A36" s="59">
        <v>23</v>
      </c>
      <c r="B36" s="60" t="s">
        <v>148</v>
      </c>
      <c r="C36" s="61">
        <v>43617</v>
      </c>
      <c r="D36" s="62" t="str">
        <f ca="1" t="shared" si="0"/>
        <v>一年以上</v>
      </c>
      <c r="E36" s="66">
        <v>43635</v>
      </c>
      <c r="F36" s="66" t="s">
        <v>70</v>
      </c>
      <c r="G36" s="59" t="s">
        <v>149</v>
      </c>
      <c r="H36" s="60" t="s">
        <v>150</v>
      </c>
      <c r="I36" s="63" t="s">
        <v>150</v>
      </c>
      <c r="J36" s="71">
        <v>2000</v>
      </c>
      <c r="K36" s="59"/>
      <c r="L36" s="59" t="s">
        <v>73</v>
      </c>
      <c r="M36" s="59" t="s">
        <v>65</v>
      </c>
      <c r="N36" s="65">
        <v>2000</v>
      </c>
      <c r="O36" s="65">
        <f t="shared" si="3"/>
        <v>0</v>
      </c>
      <c r="P36" s="66">
        <v>43644</v>
      </c>
      <c r="Q36" s="61">
        <f t="shared" si="2"/>
        <v>43644</v>
      </c>
      <c r="R36" s="66"/>
      <c r="S36" s="59"/>
      <c r="T36" s="59"/>
      <c r="U36" s="59"/>
      <c r="V36" s="59"/>
      <c r="W36" s="59"/>
      <c r="X36" s="59"/>
    </row>
    <row r="37" s="20" customFormat="1" ht="24" hidden="1" spans="1:24">
      <c r="A37" s="59">
        <v>24</v>
      </c>
      <c r="B37" s="60" t="s">
        <v>151</v>
      </c>
      <c r="C37" s="61">
        <v>43617</v>
      </c>
      <c r="D37" s="62" t="str">
        <f ca="1" t="shared" si="0"/>
        <v>一年以上</v>
      </c>
      <c r="E37" s="66">
        <v>43644</v>
      </c>
      <c r="F37" s="66" t="s">
        <v>70</v>
      </c>
      <c r="G37" s="59" t="s">
        <v>135</v>
      </c>
      <c r="H37" s="60" t="s">
        <v>152</v>
      </c>
      <c r="I37" s="63" t="s">
        <v>152</v>
      </c>
      <c r="J37" s="71">
        <v>10000</v>
      </c>
      <c r="K37" s="59"/>
      <c r="L37" s="59" t="s">
        <v>73</v>
      </c>
      <c r="M37" s="59" t="s">
        <v>65</v>
      </c>
      <c r="N37" s="65">
        <v>10000</v>
      </c>
      <c r="O37" s="65">
        <f t="shared" si="3"/>
        <v>0</v>
      </c>
      <c r="P37" s="66">
        <v>43703</v>
      </c>
      <c r="Q37" s="61">
        <f t="shared" si="2"/>
        <v>43703</v>
      </c>
      <c r="R37" s="66"/>
      <c r="S37" s="59"/>
      <c r="T37" s="59"/>
      <c r="U37" s="59"/>
      <c r="V37" s="59"/>
      <c r="W37" s="59"/>
      <c r="X37" s="59"/>
    </row>
    <row r="38" s="20" customFormat="1" hidden="1" spans="1:24">
      <c r="A38" s="59">
        <v>25</v>
      </c>
      <c r="B38" s="60" t="s">
        <v>153</v>
      </c>
      <c r="C38" s="61">
        <v>43647</v>
      </c>
      <c r="D38" s="62" t="str">
        <f ca="1" t="shared" si="0"/>
        <v>一年以上</v>
      </c>
      <c r="E38" s="66">
        <v>43657</v>
      </c>
      <c r="F38" s="66" t="s">
        <v>70</v>
      </c>
      <c r="G38" s="59" t="s">
        <v>104</v>
      </c>
      <c r="H38" s="60" t="s">
        <v>154</v>
      </c>
      <c r="I38" s="63" t="s">
        <v>154</v>
      </c>
      <c r="J38" s="71">
        <v>3000</v>
      </c>
      <c r="K38" s="59"/>
      <c r="L38" s="59" t="s">
        <v>73</v>
      </c>
      <c r="M38" s="59" t="s">
        <v>65</v>
      </c>
      <c r="N38" s="65">
        <v>3000</v>
      </c>
      <c r="O38" s="65">
        <f t="shared" si="3"/>
        <v>0</v>
      </c>
      <c r="P38" s="66">
        <v>43703</v>
      </c>
      <c r="Q38" s="61">
        <f t="shared" si="2"/>
        <v>43703</v>
      </c>
      <c r="R38" s="66"/>
      <c r="S38" s="59"/>
      <c r="T38" s="59"/>
      <c r="U38" s="59"/>
      <c r="V38" s="59"/>
      <c r="W38" s="59"/>
      <c r="X38" s="59"/>
    </row>
    <row r="39" s="20" customFormat="1" hidden="1" spans="1:24">
      <c r="A39" s="59">
        <v>27</v>
      </c>
      <c r="B39" s="60" t="s">
        <v>155</v>
      </c>
      <c r="C39" s="61">
        <v>43647</v>
      </c>
      <c r="D39" s="62" t="str">
        <f ca="1" t="shared" si="0"/>
        <v>一年以上</v>
      </c>
      <c r="E39" s="66">
        <v>43657</v>
      </c>
      <c r="F39" s="66" t="s">
        <v>70</v>
      </c>
      <c r="G39" s="59" t="s">
        <v>156</v>
      </c>
      <c r="H39" s="60" t="s">
        <v>157</v>
      </c>
      <c r="I39" s="63" t="s">
        <v>157</v>
      </c>
      <c r="J39" s="71">
        <v>1000</v>
      </c>
      <c r="K39" s="59"/>
      <c r="L39" s="59" t="s">
        <v>96</v>
      </c>
      <c r="M39" s="59" t="s">
        <v>65</v>
      </c>
      <c r="N39" s="65">
        <v>1000</v>
      </c>
      <c r="O39" s="65">
        <f t="shared" si="3"/>
        <v>0</v>
      </c>
      <c r="P39" s="66">
        <v>43661</v>
      </c>
      <c r="Q39" s="61">
        <f t="shared" si="2"/>
        <v>43661</v>
      </c>
      <c r="R39" s="66"/>
      <c r="S39" s="59"/>
      <c r="T39" s="59"/>
      <c r="U39" s="59"/>
      <c r="V39" s="59"/>
      <c r="W39" s="59"/>
      <c r="X39" s="59"/>
    </row>
    <row r="40" s="20" customFormat="1" ht="24" hidden="1" spans="1:24">
      <c r="A40" s="59">
        <v>26</v>
      </c>
      <c r="B40" s="60" t="s">
        <v>158</v>
      </c>
      <c r="C40" s="61">
        <v>43647</v>
      </c>
      <c r="D40" s="62" t="str">
        <f ca="1" t="shared" si="0"/>
        <v>一年以上</v>
      </c>
      <c r="E40" s="66">
        <v>43664</v>
      </c>
      <c r="F40" s="66" t="s">
        <v>70</v>
      </c>
      <c r="G40" s="59" t="s">
        <v>104</v>
      </c>
      <c r="H40" s="60" t="s">
        <v>159</v>
      </c>
      <c r="I40" s="63" t="s">
        <v>159</v>
      </c>
      <c r="J40" s="71">
        <v>3000</v>
      </c>
      <c r="K40" s="59"/>
      <c r="L40" s="59" t="s">
        <v>73</v>
      </c>
      <c r="M40" s="59" t="s">
        <v>65</v>
      </c>
      <c r="N40" s="65">
        <v>3000</v>
      </c>
      <c r="O40" s="65">
        <f t="shared" si="3"/>
        <v>0</v>
      </c>
      <c r="P40" s="66">
        <v>43794</v>
      </c>
      <c r="Q40" s="61">
        <f t="shared" si="2"/>
        <v>43794</v>
      </c>
      <c r="R40" s="66"/>
      <c r="S40" s="59"/>
      <c r="T40" s="59" t="s">
        <v>160</v>
      </c>
      <c r="U40" s="59"/>
      <c r="V40" s="59"/>
      <c r="W40" s="59"/>
      <c r="X40" s="59"/>
    </row>
    <row r="41" s="20" customFormat="1" ht="24" hidden="1" spans="1:24">
      <c r="A41" s="59">
        <v>28</v>
      </c>
      <c r="B41" s="60" t="s">
        <v>161</v>
      </c>
      <c r="C41" s="61">
        <v>43678</v>
      </c>
      <c r="D41" s="62" t="str">
        <f ca="1" t="shared" si="0"/>
        <v>一年以上</v>
      </c>
      <c r="E41" s="66">
        <v>43678</v>
      </c>
      <c r="F41" s="66" t="s">
        <v>70</v>
      </c>
      <c r="G41" s="59" t="s">
        <v>140</v>
      </c>
      <c r="H41" s="60" t="s">
        <v>162</v>
      </c>
      <c r="I41" s="63" t="s">
        <v>162</v>
      </c>
      <c r="J41" s="71">
        <v>2000</v>
      </c>
      <c r="K41" s="59"/>
      <c r="L41" s="59" t="s">
        <v>73</v>
      </c>
      <c r="M41" s="59" t="s">
        <v>65</v>
      </c>
      <c r="N41" s="65">
        <v>2000</v>
      </c>
      <c r="O41" s="65">
        <f t="shared" si="3"/>
        <v>0</v>
      </c>
      <c r="P41" s="66">
        <v>43700</v>
      </c>
      <c r="Q41" s="61">
        <f t="shared" si="2"/>
        <v>43700</v>
      </c>
      <c r="R41" s="66"/>
      <c r="S41" s="59"/>
      <c r="T41" s="59"/>
      <c r="U41" s="59"/>
      <c r="V41" s="59"/>
      <c r="W41" s="59"/>
      <c r="X41" s="59"/>
    </row>
    <row r="42" s="20" customFormat="1" hidden="1" spans="1:24">
      <c r="A42" s="59">
        <v>29</v>
      </c>
      <c r="B42" s="60" t="s">
        <v>163</v>
      </c>
      <c r="C42" s="61">
        <v>43678</v>
      </c>
      <c r="D42" s="62" t="str">
        <f ca="1" t="shared" si="0"/>
        <v>一年以上</v>
      </c>
      <c r="E42" s="66">
        <v>43685</v>
      </c>
      <c r="F42" s="66" t="s">
        <v>130</v>
      </c>
      <c r="G42" s="59" t="s">
        <v>54</v>
      </c>
      <c r="H42" s="60" t="s">
        <v>164</v>
      </c>
      <c r="I42" s="63" t="s">
        <v>164</v>
      </c>
      <c r="J42" s="71">
        <v>10000</v>
      </c>
      <c r="K42" s="59"/>
      <c r="L42" s="59" t="s">
        <v>73</v>
      </c>
      <c r="M42" s="59" t="s">
        <v>65</v>
      </c>
      <c r="N42" s="65">
        <v>10000</v>
      </c>
      <c r="O42" s="65">
        <f t="shared" si="3"/>
        <v>0</v>
      </c>
      <c r="P42" s="66">
        <v>44403</v>
      </c>
      <c r="Q42" s="61">
        <f t="shared" si="2"/>
        <v>44403</v>
      </c>
      <c r="R42" s="66"/>
      <c r="S42" s="59"/>
      <c r="T42" s="59"/>
      <c r="U42" s="59"/>
      <c r="V42" s="59"/>
      <c r="W42" s="59"/>
      <c r="X42" s="59"/>
    </row>
    <row r="43" s="20" customFormat="1" ht="24" hidden="1" spans="1:24">
      <c r="A43" s="59">
        <v>30</v>
      </c>
      <c r="B43" s="60" t="s">
        <v>165</v>
      </c>
      <c r="C43" s="61">
        <v>43678</v>
      </c>
      <c r="D43" s="62" t="str">
        <f ca="1" t="shared" si="0"/>
        <v>一年以上</v>
      </c>
      <c r="E43" s="66">
        <v>43692</v>
      </c>
      <c r="F43" s="66" t="s">
        <v>70</v>
      </c>
      <c r="G43" s="59" t="s">
        <v>166</v>
      </c>
      <c r="H43" s="60" t="s">
        <v>167</v>
      </c>
      <c r="I43" s="63" t="s">
        <v>167</v>
      </c>
      <c r="J43" s="71">
        <v>10000</v>
      </c>
      <c r="K43" s="59"/>
      <c r="L43" s="59" t="s">
        <v>73</v>
      </c>
      <c r="M43" s="59" t="s">
        <v>65</v>
      </c>
      <c r="N43" s="65">
        <v>10000</v>
      </c>
      <c r="O43" s="65">
        <f t="shared" si="3"/>
        <v>0</v>
      </c>
      <c r="P43" s="66">
        <v>43701</v>
      </c>
      <c r="Q43" s="61">
        <f t="shared" si="2"/>
        <v>43701</v>
      </c>
      <c r="R43" s="66"/>
      <c r="S43" s="59"/>
      <c r="T43" s="59"/>
      <c r="U43" s="59"/>
      <c r="V43" s="59"/>
      <c r="W43" s="59"/>
      <c r="X43" s="59"/>
    </row>
    <row r="44" s="20" customFormat="1" ht="24" hidden="1" spans="1:24">
      <c r="A44" s="59">
        <v>31</v>
      </c>
      <c r="B44" s="60" t="s">
        <v>168</v>
      </c>
      <c r="C44" s="61">
        <v>43678</v>
      </c>
      <c r="D44" s="62" t="str">
        <f ca="1" t="shared" si="0"/>
        <v>一年以上</v>
      </c>
      <c r="E44" s="66">
        <v>43696</v>
      </c>
      <c r="F44" s="66" t="s">
        <v>70</v>
      </c>
      <c r="G44" s="59" t="s">
        <v>89</v>
      </c>
      <c r="H44" s="60" t="s">
        <v>169</v>
      </c>
      <c r="I44" s="63" t="s">
        <v>169</v>
      </c>
      <c r="J44" s="71">
        <v>2000</v>
      </c>
      <c r="K44" s="59" t="s">
        <v>28</v>
      </c>
      <c r="L44" s="59" t="s">
        <v>57</v>
      </c>
      <c r="M44" s="59" t="s">
        <v>65</v>
      </c>
      <c r="N44" s="65">
        <v>2000</v>
      </c>
      <c r="O44" s="65">
        <f t="shared" si="3"/>
        <v>0</v>
      </c>
      <c r="P44" s="66">
        <v>45012</v>
      </c>
      <c r="Q44" s="61">
        <f t="shared" si="2"/>
        <v>45012</v>
      </c>
      <c r="R44" s="77"/>
      <c r="S44" s="59" t="s">
        <v>170</v>
      </c>
      <c r="T44" s="59" t="s">
        <v>171</v>
      </c>
      <c r="U44" s="59" t="s">
        <v>172</v>
      </c>
      <c r="V44" s="59"/>
      <c r="W44" s="59"/>
      <c r="X44" s="59"/>
    </row>
    <row r="45" s="20" customFormat="1" ht="24" hidden="1" spans="1:24">
      <c r="A45" s="59">
        <v>342</v>
      </c>
      <c r="B45" s="60" t="s">
        <v>173</v>
      </c>
      <c r="C45" s="61">
        <v>43678</v>
      </c>
      <c r="D45" s="62" t="str">
        <f ca="1" t="shared" si="0"/>
        <v>一年以上</v>
      </c>
      <c r="E45" s="66">
        <v>43696</v>
      </c>
      <c r="F45" s="66" t="s">
        <v>130</v>
      </c>
      <c r="G45" s="59" t="s">
        <v>54</v>
      </c>
      <c r="H45" s="60" t="s">
        <v>174</v>
      </c>
      <c r="I45" s="63" t="s">
        <v>174</v>
      </c>
      <c r="J45" s="76">
        <v>20000</v>
      </c>
      <c r="K45" s="59"/>
      <c r="L45" s="59" t="s">
        <v>73</v>
      </c>
      <c r="M45" s="59" t="s">
        <v>133</v>
      </c>
      <c r="N45" s="65">
        <v>20000</v>
      </c>
      <c r="O45" s="65">
        <f t="shared" si="3"/>
        <v>0</v>
      </c>
      <c r="P45" s="66">
        <v>44673</v>
      </c>
      <c r="Q45" s="61">
        <f t="shared" si="2"/>
        <v>44673</v>
      </c>
      <c r="R45" s="59"/>
      <c r="S45" s="59" t="s">
        <v>175</v>
      </c>
      <c r="T45" s="59"/>
      <c r="U45" s="59"/>
      <c r="V45" s="59"/>
      <c r="W45" s="59"/>
      <c r="X45" s="59"/>
    </row>
    <row r="46" s="20" customFormat="1" ht="24" hidden="1" spans="1:24">
      <c r="A46" s="59">
        <v>32</v>
      </c>
      <c r="B46" s="60" t="s">
        <v>176</v>
      </c>
      <c r="C46" s="61">
        <v>43678</v>
      </c>
      <c r="D46" s="62" t="str">
        <f ca="1" t="shared" si="0"/>
        <v>一年以上</v>
      </c>
      <c r="E46" s="66">
        <v>43698</v>
      </c>
      <c r="F46" s="66" t="s">
        <v>70</v>
      </c>
      <c r="G46" s="59" t="s">
        <v>135</v>
      </c>
      <c r="H46" s="60" t="s">
        <v>177</v>
      </c>
      <c r="I46" s="63" t="s">
        <v>177</v>
      </c>
      <c r="J46" s="71">
        <v>2000</v>
      </c>
      <c r="K46" s="59"/>
      <c r="L46" s="59" t="s">
        <v>73</v>
      </c>
      <c r="M46" s="59" t="s">
        <v>65</v>
      </c>
      <c r="N46" s="65">
        <v>2000</v>
      </c>
      <c r="O46" s="65">
        <f t="shared" si="3"/>
        <v>0</v>
      </c>
      <c r="P46" s="66">
        <v>43829</v>
      </c>
      <c r="Q46" s="61">
        <f t="shared" si="2"/>
        <v>43829</v>
      </c>
      <c r="R46" s="66"/>
      <c r="S46" s="59"/>
      <c r="T46" s="59"/>
      <c r="U46" s="59"/>
      <c r="V46" s="59"/>
      <c r="W46" s="59"/>
      <c r="X46" s="59"/>
    </row>
    <row r="47" s="20" customFormat="1" hidden="1" spans="1:24">
      <c r="A47" s="59">
        <v>33</v>
      </c>
      <c r="B47" s="60" t="s">
        <v>178</v>
      </c>
      <c r="C47" s="61">
        <v>43678</v>
      </c>
      <c r="D47" s="62" t="str">
        <f ca="1" t="shared" si="0"/>
        <v>一年以上</v>
      </c>
      <c r="E47" s="66">
        <v>43700</v>
      </c>
      <c r="F47" s="66" t="s">
        <v>70</v>
      </c>
      <c r="G47" s="59" t="s">
        <v>149</v>
      </c>
      <c r="H47" s="60" t="s">
        <v>179</v>
      </c>
      <c r="I47" s="63" t="s">
        <v>179</v>
      </c>
      <c r="J47" s="71">
        <v>1000</v>
      </c>
      <c r="K47" s="59"/>
      <c r="L47" s="59" t="s">
        <v>96</v>
      </c>
      <c r="M47" s="59" t="s">
        <v>65</v>
      </c>
      <c r="N47" s="65">
        <v>1000</v>
      </c>
      <c r="O47" s="65">
        <f t="shared" si="3"/>
        <v>0</v>
      </c>
      <c r="P47" s="66">
        <v>43718</v>
      </c>
      <c r="Q47" s="61">
        <f t="shared" si="2"/>
        <v>43718</v>
      </c>
      <c r="R47" s="66"/>
      <c r="S47" s="59"/>
      <c r="T47" s="59"/>
      <c r="U47" s="59"/>
      <c r="V47" s="59"/>
      <c r="W47" s="59"/>
      <c r="X47" s="59"/>
    </row>
    <row r="48" s="20" customFormat="1" hidden="1" spans="1:24">
      <c r="A48" s="59">
        <v>34</v>
      </c>
      <c r="B48" s="60" t="s">
        <v>180</v>
      </c>
      <c r="C48" s="61">
        <v>43709</v>
      </c>
      <c r="D48" s="62" t="str">
        <f ca="1" t="shared" si="0"/>
        <v>一年以上</v>
      </c>
      <c r="E48" s="66">
        <v>43710</v>
      </c>
      <c r="F48" s="66" t="s">
        <v>130</v>
      </c>
      <c r="G48" s="59" t="s">
        <v>54</v>
      </c>
      <c r="H48" s="60" t="s">
        <v>174</v>
      </c>
      <c r="I48" s="63" t="s">
        <v>174</v>
      </c>
      <c r="J48" s="71">
        <v>25350</v>
      </c>
      <c r="K48" s="59" t="s">
        <v>28</v>
      </c>
      <c r="L48" s="59" t="s">
        <v>57</v>
      </c>
      <c r="M48" s="59" t="s">
        <v>65</v>
      </c>
      <c r="N48" s="65">
        <v>25350</v>
      </c>
      <c r="O48" s="65">
        <f t="shared" si="3"/>
        <v>0</v>
      </c>
      <c r="P48" s="66">
        <v>44673</v>
      </c>
      <c r="Q48" s="61">
        <f t="shared" si="2"/>
        <v>44673</v>
      </c>
      <c r="R48" s="59"/>
      <c r="S48" s="59" t="s">
        <v>181</v>
      </c>
      <c r="T48" s="59" t="s">
        <v>182</v>
      </c>
      <c r="U48" s="59" t="s">
        <v>125</v>
      </c>
      <c r="V48" s="59"/>
      <c r="W48" s="59"/>
      <c r="X48" s="59"/>
    </row>
    <row r="49" s="20" customFormat="1" ht="24" hidden="1" spans="1:24">
      <c r="A49" s="59">
        <v>35</v>
      </c>
      <c r="B49" s="60" t="s">
        <v>183</v>
      </c>
      <c r="C49" s="61">
        <v>43709</v>
      </c>
      <c r="D49" s="62" t="str">
        <f ca="1" t="shared" si="0"/>
        <v>一年以上</v>
      </c>
      <c r="E49" s="66">
        <v>43719</v>
      </c>
      <c r="F49" s="66" t="s">
        <v>70</v>
      </c>
      <c r="G49" s="59" t="s">
        <v>135</v>
      </c>
      <c r="H49" s="60" t="s">
        <v>184</v>
      </c>
      <c r="I49" s="63" t="s">
        <v>184</v>
      </c>
      <c r="J49" s="71">
        <v>4000</v>
      </c>
      <c r="K49" s="59"/>
      <c r="L49" s="59" t="s">
        <v>73</v>
      </c>
      <c r="M49" s="59" t="s">
        <v>65</v>
      </c>
      <c r="N49" s="65">
        <v>4000</v>
      </c>
      <c r="O49" s="65">
        <f t="shared" si="3"/>
        <v>0</v>
      </c>
      <c r="P49" s="66">
        <v>43723</v>
      </c>
      <c r="Q49" s="61">
        <f t="shared" si="2"/>
        <v>43723</v>
      </c>
      <c r="R49" s="66"/>
      <c r="S49" s="59"/>
      <c r="T49" s="59"/>
      <c r="U49" s="59"/>
      <c r="V49" s="59"/>
      <c r="W49" s="59"/>
      <c r="X49" s="59"/>
    </row>
    <row r="50" s="20" customFormat="1" ht="24" hidden="1" spans="1:24">
      <c r="A50" s="59">
        <v>36</v>
      </c>
      <c r="B50" s="60" t="s">
        <v>185</v>
      </c>
      <c r="C50" s="61">
        <v>43709</v>
      </c>
      <c r="D50" s="62" t="str">
        <f ca="1" t="shared" si="0"/>
        <v>一年以上</v>
      </c>
      <c r="E50" s="66">
        <v>43727</v>
      </c>
      <c r="F50" s="66" t="s">
        <v>70</v>
      </c>
      <c r="G50" s="59" t="s">
        <v>104</v>
      </c>
      <c r="H50" s="60" t="s">
        <v>186</v>
      </c>
      <c r="I50" s="63" t="s">
        <v>186</v>
      </c>
      <c r="J50" s="71">
        <v>3000</v>
      </c>
      <c r="K50" s="59"/>
      <c r="L50" s="59" t="s">
        <v>96</v>
      </c>
      <c r="M50" s="59" t="s">
        <v>65</v>
      </c>
      <c r="N50" s="65">
        <v>3000</v>
      </c>
      <c r="O50" s="65">
        <f t="shared" si="3"/>
        <v>0</v>
      </c>
      <c r="P50" s="66">
        <v>43761</v>
      </c>
      <c r="Q50" s="61">
        <f t="shared" si="2"/>
        <v>43761</v>
      </c>
      <c r="R50" s="66"/>
      <c r="S50" s="59"/>
      <c r="T50" s="59"/>
      <c r="U50" s="59"/>
      <c r="V50" s="59"/>
      <c r="W50" s="59"/>
      <c r="X50" s="59"/>
    </row>
    <row r="51" s="20" customFormat="1" ht="24" hidden="1" spans="1:24">
      <c r="A51" s="59">
        <v>37</v>
      </c>
      <c r="B51" s="60" t="s">
        <v>187</v>
      </c>
      <c r="C51" s="61">
        <v>43709</v>
      </c>
      <c r="D51" s="62" t="str">
        <f ca="1" t="shared" si="0"/>
        <v>一年以上</v>
      </c>
      <c r="E51" s="66">
        <v>43731</v>
      </c>
      <c r="F51" s="66" t="s">
        <v>70</v>
      </c>
      <c r="G51" s="59" t="s">
        <v>83</v>
      </c>
      <c r="H51" s="60" t="s">
        <v>188</v>
      </c>
      <c r="I51" s="63" t="s">
        <v>188</v>
      </c>
      <c r="J51" s="71">
        <v>2000</v>
      </c>
      <c r="K51" s="59"/>
      <c r="L51" s="59" t="s">
        <v>73</v>
      </c>
      <c r="M51" s="59" t="s">
        <v>65</v>
      </c>
      <c r="N51" s="65">
        <v>2000</v>
      </c>
      <c r="O51" s="65">
        <f t="shared" si="3"/>
        <v>0</v>
      </c>
      <c r="P51" s="66">
        <v>43829</v>
      </c>
      <c r="Q51" s="61">
        <f t="shared" si="2"/>
        <v>43829</v>
      </c>
      <c r="R51" s="66"/>
      <c r="S51" s="59"/>
      <c r="T51" s="59"/>
      <c r="U51" s="59"/>
      <c r="V51" s="59"/>
      <c r="W51" s="59"/>
      <c r="X51" s="59"/>
    </row>
    <row r="52" s="20" customFormat="1" ht="24" hidden="1" spans="1:24">
      <c r="A52" s="59">
        <v>38</v>
      </c>
      <c r="B52" s="60" t="s">
        <v>189</v>
      </c>
      <c r="C52" s="61">
        <v>43709</v>
      </c>
      <c r="D52" s="62" t="str">
        <f ca="1" t="shared" si="0"/>
        <v>一年以上</v>
      </c>
      <c r="E52" s="66">
        <v>43731</v>
      </c>
      <c r="F52" s="66" t="s">
        <v>70</v>
      </c>
      <c r="G52" s="59" t="s">
        <v>190</v>
      </c>
      <c r="H52" s="60" t="s">
        <v>191</v>
      </c>
      <c r="I52" s="63" t="s">
        <v>191</v>
      </c>
      <c r="J52" s="71">
        <v>7160</v>
      </c>
      <c r="K52" s="59"/>
      <c r="L52" s="59" t="s">
        <v>73</v>
      </c>
      <c r="M52" s="59" t="s">
        <v>65</v>
      </c>
      <c r="N52" s="65">
        <v>7160</v>
      </c>
      <c r="O52" s="65">
        <f t="shared" si="3"/>
        <v>0</v>
      </c>
      <c r="P52" s="66">
        <v>43847</v>
      </c>
      <c r="Q52" s="61">
        <f t="shared" si="2"/>
        <v>43847</v>
      </c>
      <c r="R52" s="66"/>
      <c r="S52" s="59"/>
      <c r="T52" s="59"/>
      <c r="U52" s="59"/>
      <c r="V52" s="59"/>
      <c r="W52" s="59"/>
      <c r="X52" s="59"/>
    </row>
    <row r="53" s="20" customFormat="1" ht="24" hidden="1" spans="1:24">
      <c r="A53" s="59">
        <v>39</v>
      </c>
      <c r="B53" s="60" t="s">
        <v>192</v>
      </c>
      <c r="C53" s="61">
        <v>43709</v>
      </c>
      <c r="D53" s="62" t="str">
        <f ca="1" t="shared" si="0"/>
        <v>一年以上</v>
      </c>
      <c r="E53" s="66">
        <v>43733</v>
      </c>
      <c r="F53" s="66" t="s">
        <v>70</v>
      </c>
      <c r="G53" s="59" t="s">
        <v>109</v>
      </c>
      <c r="H53" s="60" t="s">
        <v>193</v>
      </c>
      <c r="I53" s="63" t="s">
        <v>193</v>
      </c>
      <c r="J53" s="71">
        <v>2000</v>
      </c>
      <c r="K53" s="59"/>
      <c r="L53" s="59" t="s">
        <v>96</v>
      </c>
      <c r="M53" s="59" t="s">
        <v>65</v>
      </c>
      <c r="N53" s="65">
        <v>2000</v>
      </c>
      <c r="O53" s="65">
        <f t="shared" si="3"/>
        <v>0</v>
      </c>
      <c r="P53" s="66">
        <v>43755</v>
      </c>
      <c r="Q53" s="61">
        <f t="shared" si="2"/>
        <v>43755</v>
      </c>
      <c r="R53" s="66"/>
      <c r="S53" s="59"/>
      <c r="T53" s="59"/>
      <c r="U53" s="59"/>
      <c r="V53" s="59"/>
      <c r="W53" s="59"/>
      <c r="X53" s="59"/>
    </row>
    <row r="54" s="20" customFormat="1" ht="24" hidden="1" spans="1:24">
      <c r="A54" s="59">
        <v>40</v>
      </c>
      <c r="B54" s="60" t="s">
        <v>194</v>
      </c>
      <c r="C54" s="61">
        <v>43739</v>
      </c>
      <c r="D54" s="62" t="str">
        <f ca="1" t="shared" si="0"/>
        <v>一年以上</v>
      </c>
      <c r="E54" s="66">
        <v>43749</v>
      </c>
      <c r="F54" s="66" t="s">
        <v>70</v>
      </c>
      <c r="G54" s="59" t="s">
        <v>195</v>
      </c>
      <c r="H54" s="78" t="s">
        <v>36</v>
      </c>
      <c r="I54" s="63" t="s">
        <v>36</v>
      </c>
      <c r="J54" s="71">
        <v>2600</v>
      </c>
      <c r="K54" s="59"/>
      <c r="L54" s="59" t="s">
        <v>73</v>
      </c>
      <c r="M54" s="59" t="s">
        <v>65</v>
      </c>
      <c r="N54" s="65">
        <v>2600</v>
      </c>
      <c r="O54" s="65">
        <f t="shared" si="3"/>
        <v>0</v>
      </c>
      <c r="P54" s="66">
        <v>43776</v>
      </c>
      <c r="Q54" s="61">
        <f t="shared" si="2"/>
        <v>43776</v>
      </c>
      <c r="R54" s="66"/>
      <c r="S54" s="59"/>
      <c r="T54" s="59"/>
      <c r="U54" s="59"/>
      <c r="V54" s="59"/>
      <c r="W54" s="59"/>
      <c r="X54" s="59"/>
    </row>
    <row r="55" s="20" customFormat="1" hidden="1" spans="1:24">
      <c r="A55" s="59">
        <v>41</v>
      </c>
      <c r="B55" s="60" t="s">
        <v>196</v>
      </c>
      <c r="C55" s="61">
        <v>43739</v>
      </c>
      <c r="D55" s="62" t="str">
        <f ca="1" t="shared" si="0"/>
        <v>一年以上</v>
      </c>
      <c r="E55" s="66">
        <v>43749</v>
      </c>
      <c r="F55" s="66" t="s">
        <v>70</v>
      </c>
      <c r="G55" s="59" t="s">
        <v>197</v>
      </c>
      <c r="H55" s="60" t="s">
        <v>157</v>
      </c>
      <c r="I55" s="63" t="s">
        <v>157</v>
      </c>
      <c r="J55" s="71">
        <v>1000</v>
      </c>
      <c r="K55" s="59"/>
      <c r="L55" s="59" t="s">
        <v>96</v>
      </c>
      <c r="M55" s="59" t="s">
        <v>65</v>
      </c>
      <c r="N55" s="65">
        <v>1000</v>
      </c>
      <c r="O55" s="65">
        <f t="shared" si="3"/>
        <v>0</v>
      </c>
      <c r="P55" s="66">
        <v>43725</v>
      </c>
      <c r="Q55" s="61">
        <f t="shared" si="2"/>
        <v>43725</v>
      </c>
      <c r="R55" s="66"/>
      <c r="S55" s="59"/>
      <c r="T55" s="59"/>
      <c r="U55" s="59"/>
      <c r="V55" s="59"/>
      <c r="W55" s="59"/>
      <c r="X55" s="59"/>
    </row>
    <row r="56" s="20" customFormat="1" ht="24" hidden="1" spans="1:24">
      <c r="A56" s="59">
        <v>43</v>
      </c>
      <c r="B56" s="60" t="s">
        <v>198</v>
      </c>
      <c r="C56" s="61">
        <v>43739</v>
      </c>
      <c r="D56" s="62" t="str">
        <f ca="1" t="shared" si="0"/>
        <v>一年以上</v>
      </c>
      <c r="E56" s="66">
        <v>43759</v>
      </c>
      <c r="F56" s="66" t="s">
        <v>70</v>
      </c>
      <c r="G56" s="59" t="s">
        <v>149</v>
      </c>
      <c r="H56" s="60" t="s">
        <v>199</v>
      </c>
      <c r="I56" s="63" t="s">
        <v>199</v>
      </c>
      <c r="J56" s="71">
        <v>3000</v>
      </c>
      <c r="K56" s="59"/>
      <c r="L56" s="59" t="s">
        <v>96</v>
      </c>
      <c r="M56" s="59" t="s">
        <v>65</v>
      </c>
      <c r="N56" s="65">
        <v>3000</v>
      </c>
      <c r="O56" s="65">
        <f t="shared" si="3"/>
        <v>0</v>
      </c>
      <c r="P56" s="66">
        <v>43789</v>
      </c>
      <c r="Q56" s="61">
        <f t="shared" si="2"/>
        <v>43789</v>
      </c>
      <c r="R56" s="66"/>
      <c r="S56" s="59"/>
      <c r="T56" s="59"/>
      <c r="U56" s="59"/>
      <c r="V56" s="59"/>
      <c r="W56" s="59"/>
      <c r="X56" s="59"/>
    </row>
    <row r="57" s="20" customFormat="1" ht="24" hidden="1" spans="1:24">
      <c r="A57" s="59">
        <v>44</v>
      </c>
      <c r="B57" s="60" t="s">
        <v>200</v>
      </c>
      <c r="C57" s="61">
        <v>43739</v>
      </c>
      <c r="D57" s="62" t="str">
        <f ca="1" t="shared" si="0"/>
        <v>一年以上</v>
      </c>
      <c r="E57" s="66">
        <v>43761</v>
      </c>
      <c r="F57" s="66" t="s">
        <v>70</v>
      </c>
      <c r="G57" s="59" t="s">
        <v>104</v>
      </c>
      <c r="H57" s="60" t="s">
        <v>201</v>
      </c>
      <c r="I57" s="63" t="s">
        <v>201</v>
      </c>
      <c r="J57" s="71">
        <v>3000</v>
      </c>
      <c r="K57" s="59"/>
      <c r="L57" s="59" t="s">
        <v>96</v>
      </c>
      <c r="M57" s="59" t="s">
        <v>65</v>
      </c>
      <c r="N57" s="65">
        <v>3000</v>
      </c>
      <c r="O57" s="65">
        <f t="shared" si="3"/>
        <v>0</v>
      </c>
      <c r="P57" s="66">
        <v>43768</v>
      </c>
      <c r="Q57" s="61">
        <f t="shared" si="2"/>
        <v>43768</v>
      </c>
      <c r="R57" s="66"/>
      <c r="S57" s="59"/>
      <c r="T57" s="59"/>
      <c r="U57" s="59"/>
      <c r="V57" s="59"/>
      <c r="W57" s="59"/>
      <c r="X57" s="59"/>
    </row>
    <row r="58" s="20" customFormat="1" ht="24" hidden="1" spans="1:24">
      <c r="A58" s="59">
        <v>42</v>
      </c>
      <c r="B58" s="60" t="s">
        <v>202</v>
      </c>
      <c r="C58" s="61">
        <v>43739</v>
      </c>
      <c r="D58" s="62" t="str">
        <f ca="1" t="shared" si="0"/>
        <v>一年以上</v>
      </c>
      <c r="E58" s="66">
        <v>43766</v>
      </c>
      <c r="F58" s="66" t="s">
        <v>70</v>
      </c>
      <c r="G58" s="59" t="s">
        <v>92</v>
      </c>
      <c r="H58" s="78" t="s">
        <v>203</v>
      </c>
      <c r="I58" s="63" t="s">
        <v>203</v>
      </c>
      <c r="J58" s="71">
        <v>4000</v>
      </c>
      <c r="K58" s="59"/>
      <c r="L58" s="59" t="s">
        <v>73</v>
      </c>
      <c r="M58" s="59" t="s">
        <v>65</v>
      </c>
      <c r="N58" s="65">
        <v>4000</v>
      </c>
      <c r="O58" s="65">
        <f t="shared" si="3"/>
        <v>0</v>
      </c>
      <c r="P58" s="66">
        <v>44465</v>
      </c>
      <c r="Q58" s="61">
        <f t="shared" si="2"/>
        <v>44465</v>
      </c>
      <c r="R58" s="66"/>
      <c r="S58" s="59"/>
      <c r="T58" s="59"/>
      <c r="U58" s="59"/>
      <c r="V58" s="59"/>
      <c r="W58" s="59"/>
      <c r="X58" s="59"/>
    </row>
    <row r="59" s="20" customFormat="1" ht="24" hidden="1" spans="1:24">
      <c r="A59" s="59">
        <v>45</v>
      </c>
      <c r="B59" s="60" t="s">
        <v>204</v>
      </c>
      <c r="C59" s="61">
        <v>43770</v>
      </c>
      <c r="D59" s="62" t="str">
        <f ca="1" t="shared" si="0"/>
        <v>一年以上</v>
      </c>
      <c r="E59" s="66">
        <v>43774</v>
      </c>
      <c r="F59" s="66" t="s">
        <v>70</v>
      </c>
      <c r="G59" s="59" t="s">
        <v>205</v>
      </c>
      <c r="H59" s="60" t="s">
        <v>206</v>
      </c>
      <c r="I59" s="63" t="s">
        <v>206</v>
      </c>
      <c r="J59" s="71">
        <v>10000</v>
      </c>
      <c r="K59" s="59"/>
      <c r="L59" s="59" t="s">
        <v>73</v>
      </c>
      <c r="M59" s="59" t="s">
        <v>65</v>
      </c>
      <c r="N59" s="65">
        <v>10000</v>
      </c>
      <c r="O59" s="65">
        <f t="shared" si="3"/>
        <v>0</v>
      </c>
      <c r="P59" s="66">
        <v>43976</v>
      </c>
      <c r="Q59" s="61">
        <f t="shared" si="2"/>
        <v>43976</v>
      </c>
      <c r="R59" s="66"/>
      <c r="S59" s="59"/>
      <c r="T59" s="59"/>
      <c r="U59" s="59"/>
      <c r="V59" s="59"/>
      <c r="W59" s="59"/>
      <c r="X59" s="59"/>
    </row>
    <row r="60" s="20" customFormat="1" ht="36" hidden="1" spans="1:24">
      <c r="A60" s="59">
        <v>191</v>
      </c>
      <c r="B60" s="60" t="s">
        <v>207</v>
      </c>
      <c r="C60" s="61">
        <v>43770</v>
      </c>
      <c r="D60" s="62" t="str">
        <f ca="1" t="shared" si="0"/>
        <v>一年以上</v>
      </c>
      <c r="E60" s="66">
        <v>43774</v>
      </c>
      <c r="F60" s="66"/>
      <c r="G60" s="59" t="s">
        <v>208</v>
      </c>
      <c r="H60" s="60" t="s">
        <v>209</v>
      </c>
      <c r="I60" s="63" t="s">
        <v>209</v>
      </c>
      <c r="J60" s="71">
        <v>50000</v>
      </c>
      <c r="K60" s="59" t="s">
        <v>28</v>
      </c>
      <c r="L60" s="59" t="s">
        <v>73</v>
      </c>
      <c r="M60" s="59" t="s">
        <v>30</v>
      </c>
      <c r="N60" s="65">
        <v>50000</v>
      </c>
      <c r="O60" s="65">
        <f t="shared" si="3"/>
        <v>0</v>
      </c>
      <c r="P60" s="66">
        <v>44908</v>
      </c>
      <c r="Q60" s="61">
        <f t="shared" si="2"/>
        <v>44908</v>
      </c>
      <c r="R60" s="59" t="s">
        <v>210</v>
      </c>
      <c r="S60" s="75" t="s">
        <v>211</v>
      </c>
      <c r="T60" s="59"/>
      <c r="U60" s="59"/>
      <c r="V60" s="59"/>
      <c r="W60" s="59"/>
      <c r="X60" s="59"/>
    </row>
    <row r="61" s="20" customFormat="1" ht="24" hidden="1" spans="1:24">
      <c r="A61" s="59">
        <v>46</v>
      </c>
      <c r="B61" s="60" t="s">
        <v>212</v>
      </c>
      <c r="C61" s="61">
        <v>43770</v>
      </c>
      <c r="D61" s="62" t="str">
        <f ca="1" t="shared" si="0"/>
        <v>一年以上</v>
      </c>
      <c r="E61" s="66">
        <v>43775</v>
      </c>
      <c r="F61" s="66" t="s">
        <v>70</v>
      </c>
      <c r="G61" s="59" t="s">
        <v>190</v>
      </c>
      <c r="H61" s="60" t="s">
        <v>201</v>
      </c>
      <c r="I61" s="63" t="s">
        <v>201</v>
      </c>
      <c r="J61" s="71">
        <v>2000</v>
      </c>
      <c r="K61" s="59"/>
      <c r="L61" s="59" t="s">
        <v>96</v>
      </c>
      <c r="M61" s="59" t="s">
        <v>65</v>
      </c>
      <c r="N61" s="65">
        <v>2000</v>
      </c>
      <c r="O61" s="65">
        <f t="shared" si="3"/>
        <v>0</v>
      </c>
      <c r="P61" s="66">
        <v>43787</v>
      </c>
      <c r="Q61" s="61">
        <f t="shared" si="2"/>
        <v>43787</v>
      </c>
      <c r="R61" s="66"/>
      <c r="S61" s="59"/>
      <c r="T61" s="59"/>
      <c r="U61" s="59"/>
      <c r="V61" s="59"/>
      <c r="W61" s="59"/>
      <c r="X61" s="59"/>
    </row>
    <row r="62" s="21" customFormat="1" ht="24" hidden="1" spans="1:24">
      <c r="A62" s="59">
        <v>47</v>
      </c>
      <c r="B62" s="60" t="s">
        <v>213</v>
      </c>
      <c r="C62" s="61">
        <v>43770</v>
      </c>
      <c r="D62" s="62" t="str">
        <f ca="1" t="shared" si="0"/>
        <v>一年以上</v>
      </c>
      <c r="E62" s="66">
        <v>43796</v>
      </c>
      <c r="F62" s="66" t="s">
        <v>70</v>
      </c>
      <c r="G62" s="59" t="s">
        <v>149</v>
      </c>
      <c r="H62" s="60" t="s">
        <v>186</v>
      </c>
      <c r="I62" s="63" t="s">
        <v>186</v>
      </c>
      <c r="J62" s="71">
        <v>2000</v>
      </c>
      <c r="K62" s="59"/>
      <c r="L62" s="59" t="s">
        <v>96</v>
      </c>
      <c r="M62" s="59" t="s">
        <v>65</v>
      </c>
      <c r="N62" s="65">
        <v>2000</v>
      </c>
      <c r="O62" s="65">
        <f t="shared" si="3"/>
        <v>0</v>
      </c>
      <c r="P62" s="66">
        <v>43801</v>
      </c>
      <c r="Q62" s="61">
        <f t="shared" si="2"/>
        <v>43801</v>
      </c>
      <c r="R62" s="66"/>
      <c r="S62" s="59"/>
      <c r="T62" s="59"/>
      <c r="U62" s="59"/>
      <c r="V62" s="59"/>
      <c r="W62" s="79"/>
      <c r="X62" s="79"/>
    </row>
    <row r="63" s="20" customFormat="1" hidden="1" spans="1:24">
      <c r="A63" s="59">
        <v>193</v>
      </c>
      <c r="B63" s="60" t="s">
        <v>214</v>
      </c>
      <c r="C63" s="61">
        <v>43800</v>
      </c>
      <c r="D63" s="62" t="str">
        <f ca="1" t="shared" si="0"/>
        <v>一年以上</v>
      </c>
      <c r="E63" s="66">
        <v>43804</v>
      </c>
      <c r="F63" s="66"/>
      <c r="G63" s="59" t="s">
        <v>125</v>
      </c>
      <c r="H63" s="60" t="s">
        <v>215</v>
      </c>
      <c r="I63" s="63" t="s">
        <v>215</v>
      </c>
      <c r="J63" s="71">
        <v>10000</v>
      </c>
      <c r="K63" s="59"/>
      <c r="L63" s="59" t="s">
        <v>73</v>
      </c>
      <c r="M63" s="59" t="s">
        <v>30</v>
      </c>
      <c r="N63" s="65">
        <v>10000</v>
      </c>
      <c r="O63" s="65">
        <f t="shared" si="3"/>
        <v>0</v>
      </c>
      <c r="P63" s="66">
        <v>44018</v>
      </c>
      <c r="Q63" s="61">
        <f t="shared" si="2"/>
        <v>44018</v>
      </c>
      <c r="R63" s="59"/>
      <c r="S63" s="75"/>
      <c r="T63" s="59"/>
      <c r="U63" s="59"/>
      <c r="V63" s="59"/>
      <c r="W63" s="59"/>
      <c r="X63" s="59"/>
    </row>
    <row r="64" s="20" customFormat="1" ht="24" hidden="1" spans="1:24">
      <c r="A64" s="59">
        <v>48</v>
      </c>
      <c r="B64" s="60" t="s">
        <v>216</v>
      </c>
      <c r="C64" s="61">
        <v>43800</v>
      </c>
      <c r="D64" s="62" t="str">
        <f ca="1" t="shared" si="0"/>
        <v>一年以上</v>
      </c>
      <c r="E64" s="66">
        <v>43805</v>
      </c>
      <c r="F64" s="66" t="s">
        <v>70</v>
      </c>
      <c r="G64" s="59" t="s">
        <v>190</v>
      </c>
      <c r="H64" s="60" t="s">
        <v>115</v>
      </c>
      <c r="I64" s="63" t="s">
        <v>115</v>
      </c>
      <c r="J64" s="71">
        <v>2700</v>
      </c>
      <c r="K64" s="59"/>
      <c r="L64" s="59" t="s">
        <v>73</v>
      </c>
      <c r="M64" s="59" t="s">
        <v>65</v>
      </c>
      <c r="N64" s="65">
        <v>2700</v>
      </c>
      <c r="O64" s="65">
        <f t="shared" si="3"/>
        <v>0</v>
      </c>
      <c r="P64" s="66">
        <v>43985</v>
      </c>
      <c r="Q64" s="61">
        <f t="shared" si="2"/>
        <v>43985</v>
      </c>
      <c r="R64" s="66"/>
      <c r="S64" s="59"/>
      <c r="T64" s="59"/>
      <c r="U64" s="59"/>
      <c r="V64" s="59"/>
      <c r="W64" s="59"/>
      <c r="X64" s="59"/>
    </row>
    <row r="65" s="22" customFormat="1" hidden="1" spans="1:24">
      <c r="A65" s="59">
        <v>50</v>
      </c>
      <c r="B65" s="60" t="s">
        <v>217</v>
      </c>
      <c r="C65" s="61">
        <v>43800</v>
      </c>
      <c r="D65" s="62" t="str">
        <f ca="1" t="shared" si="0"/>
        <v>一年以上</v>
      </c>
      <c r="E65" s="66">
        <v>43808</v>
      </c>
      <c r="F65" s="66" t="s">
        <v>70</v>
      </c>
      <c r="G65" s="59" t="s">
        <v>104</v>
      </c>
      <c r="H65" s="60" t="s">
        <v>179</v>
      </c>
      <c r="I65" s="63" t="s">
        <v>179</v>
      </c>
      <c r="J65" s="71">
        <v>2000</v>
      </c>
      <c r="K65" s="59"/>
      <c r="L65" s="59" t="s">
        <v>96</v>
      </c>
      <c r="M65" s="59" t="s">
        <v>65</v>
      </c>
      <c r="N65" s="65">
        <v>2000</v>
      </c>
      <c r="O65" s="65">
        <f t="shared" si="3"/>
        <v>0</v>
      </c>
      <c r="P65" s="66">
        <v>43819</v>
      </c>
      <c r="Q65" s="61">
        <f t="shared" si="2"/>
        <v>43819</v>
      </c>
      <c r="R65" s="66"/>
      <c r="S65" s="59"/>
      <c r="T65" s="59"/>
      <c r="U65" s="59"/>
      <c r="V65" s="59"/>
      <c r="W65" s="80"/>
      <c r="X65" s="80"/>
    </row>
    <row r="66" s="20" customFormat="1" ht="24" hidden="1" spans="1:24">
      <c r="A66" s="59">
        <v>49</v>
      </c>
      <c r="B66" s="60" t="s">
        <v>218</v>
      </c>
      <c r="C66" s="61">
        <v>43800</v>
      </c>
      <c r="D66" s="62" t="str">
        <f ca="1" t="shared" si="0"/>
        <v>一年以上</v>
      </c>
      <c r="E66" s="66">
        <v>43812</v>
      </c>
      <c r="F66" s="66" t="s">
        <v>70</v>
      </c>
      <c r="G66" s="59" t="s">
        <v>219</v>
      </c>
      <c r="H66" s="78" t="s">
        <v>220</v>
      </c>
      <c r="I66" s="63" t="s">
        <v>220</v>
      </c>
      <c r="J66" s="71">
        <v>3000</v>
      </c>
      <c r="K66" s="59"/>
      <c r="L66" s="59" t="s">
        <v>73</v>
      </c>
      <c r="M66" s="59" t="s">
        <v>65</v>
      </c>
      <c r="N66" s="65">
        <v>3000</v>
      </c>
      <c r="O66" s="65">
        <f t="shared" si="3"/>
        <v>0</v>
      </c>
      <c r="P66" s="66">
        <v>44189</v>
      </c>
      <c r="Q66" s="61">
        <f t="shared" si="2"/>
        <v>44189</v>
      </c>
      <c r="R66" s="66"/>
      <c r="S66" s="59"/>
      <c r="T66" s="59"/>
      <c r="U66" s="59"/>
      <c r="V66" s="59"/>
      <c r="W66" s="59"/>
      <c r="X66" s="59"/>
    </row>
    <row r="67" s="20" customFormat="1" ht="24" hidden="1" spans="1:24">
      <c r="A67" s="59">
        <v>51</v>
      </c>
      <c r="B67" s="60" t="s">
        <v>221</v>
      </c>
      <c r="C67" s="61">
        <v>43800</v>
      </c>
      <c r="D67" s="62" t="str">
        <f ca="1" t="shared" ref="D67:D130" si="4">IF(TODAY()-E67&lt;60,"2个月内",IF(TODAY()-E67&lt;180,"3-6个月",IF(TODAY()-E67&lt;360,"6个月-1年","一年以上")))</f>
        <v>一年以上</v>
      </c>
      <c r="E67" s="66">
        <v>43823</v>
      </c>
      <c r="F67" s="66" t="s">
        <v>70</v>
      </c>
      <c r="G67" s="59" t="s">
        <v>104</v>
      </c>
      <c r="H67" s="60" t="s">
        <v>222</v>
      </c>
      <c r="I67" s="63" t="s">
        <v>222</v>
      </c>
      <c r="J67" s="71">
        <v>2000</v>
      </c>
      <c r="K67" s="59"/>
      <c r="L67" s="59" t="s">
        <v>96</v>
      </c>
      <c r="M67" s="59" t="s">
        <v>65</v>
      </c>
      <c r="N67" s="65">
        <v>2000</v>
      </c>
      <c r="O67" s="65">
        <f t="shared" si="3"/>
        <v>0</v>
      </c>
      <c r="P67" s="66">
        <v>43834</v>
      </c>
      <c r="Q67" s="61">
        <f t="shared" ref="Q67:Q130" si="5">P67</f>
        <v>43834</v>
      </c>
      <c r="R67" s="66"/>
      <c r="S67" s="59"/>
      <c r="T67" s="59"/>
      <c r="U67" s="59"/>
      <c r="V67" s="59"/>
      <c r="W67" s="59"/>
      <c r="X67" s="59"/>
    </row>
    <row r="68" s="20" customFormat="1" ht="24" hidden="1" spans="1:24">
      <c r="A68" s="59">
        <v>52</v>
      </c>
      <c r="B68" s="60" t="s">
        <v>223</v>
      </c>
      <c r="C68" s="61">
        <v>43800</v>
      </c>
      <c r="D68" s="62" t="str">
        <f ca="1" t="shared" si="4"/>
        <v>一年以上</v>
      </c>
      <c r="E68" s="66">
        <v>43825</v>
      </c>
      <c r="F68" s="66" t="s">
        <v>70</v>
      </c>
      <c r="G68" s="59" t="s">
        <v>224</v>
      </c>
      <c r="H68" s="60" t="s">
        <v>225</v>
      </c>
      <c r="I68" s="63" t="s">
        <v>225</v>
      </c>
      <c r="J68" s="71">
        <v>5000</v>
      </c>
      <c r="K68" s="59"/>
      <c r="L68" s="59" t="s">
        <v>73</v>
      </c>
      <c r="M68" s="59" t="s">
        <v>65</v>
      </c>
      <c r="N68" s="65">
        <v>5000</v>
      </c>
      <c r="O68" s="65">
        <f t="shared" si="3"/>
        <v>0</v>
      </c>
      <c r="P68" s="66">
        <v>44099</v>
      </c>
      <c r="Q68" s="61">
        <f t="shared" si="5"/>
        <v>44099</v>
      </c>
      <c r="R68" s="66"/>
      <c r="S68" s="59"/>
      <c r="T68" s="59"/>
      <c r="U68" s="59"/>
      <c r="V68" s="59"/>
      <c r="W68" s="59"/>
      <c r="X68" s="59"/>
    </row>
    <row r="69" s="20" customFormat="1" hidden="1" spans="1:24">
      <c r="A69" s="59">
        <v>73</v>
      </c>
      <c r="B69" s="60" t="s">
        <v>226</v>
      </c>
      <c r="C69" s="61">
        <v>43800</v>
      </c>
      <c r="D69" s="62" t="str">
        <f ca="1" t="shared" si="4"/>
        <v>一年以上</v>
      </c>
      <c r="E69" s="66">
        <v>43830</v>
      </c>
      <c r="F69" s="66" t="s">
        <v>130</v>
      </c>
      <c r="G69" s="59" t="s">
        <v>125</v>
      </c>
      <c r="H69" s="60" t="s">
        <v>60</v>
      </c>
      <c r="I69" s="63" t="s">
        <v>60</v>
      </c>
      <c r="J69" s="64">
        <v>900</v>
      </c>
      <c r="K69" s="59" t="s">
        <v>28</v>
      </c>
      <c r="L69" s="59" t="s">
        <v>96</v>
      </c>
      <c r="M69" s="59" t="s">
        <v>65</v>
      </c>
      <c r="N69" s="65"/>
      <c r="O69" s="65">
        <f t="shared" si="3"/>
        <v>900</v>
      </c>
      <c r="P69" s="66"/>
      <c r="Q69" s="61">
        <f t="shared" si="5"/>
        <v>0</v>
      </c>
      <c r="R69" s="77" t="s">
        <v>227</v>
      </c>
      <c r="S69" s="59" t="s">
        <v>228</v>
      </c>
      <c r="T69" s="59" t="s">
        <v>49</v>
      </c>
      <c r="U69" s="59" t="str">
        <f>VLOOKUP(T69,[1]区域划分!$A$1:$C$39,3,0)</f>
        <v>龚运谱</v>
      </c>
      <c r="V69" s="59"/>
      <c r="W69" s="59"/>
      <c r="X69" s="59"/>
    </row>
    <row r="70" s="20" customFormat="1" ht="24" hidden="1" spans="1:24">
      <c r="A70" s="59">
        <v>53</v>
      </c>
      <c r="B70" s="60" t="s">
        <v>229</v>
      </c>
      <c r="C70" s="61">
        <v>43831</v>
      </c>
      <c r="D70" s="62" t="str">
        <f ca="1" t="shared" si="4"/>
        <v>一年以上</v>
      </c>
      <c r="E70" s="66">
        <v>43840</v>
      </c>
      <c r="F70" s="66" t="s">
        <v>70</v>
      </c>
      <c r="G70" s="59" t="s">
        <v>230</v>
      </c>
      <c r="H70" s="60" t="s">
        <v>231</v>
      </c>
      <c r="I70" s="63" t="s">
        <v>231</v>
      </c>
      <c r="J70" s="71">
        <v>3000</v>
      </c>
      <c r="K70" s="59"/>
      <c r="L70" s="59" t="s">
        <v>96</v>
      </c>
      <c r="M70" s="59" t="s">
        <v>65</v>
      </c>
      <c r="N70" s="65">
        <v>3000</v>
      </c>
      <c r="O70" s="65">
        <f t="shared" si="3"/>
        <v>0</v>
      </c>
      <c r="P70" s="66">
        <v>43920</v>
      </c>
      <c r="Q70" s="61">
        <f t="shared" si="5"/>
        <v>43920</v>
      </c>
      <c r="R70" s="66"/>
      <c r="S70" s="59"/>
      <c r="T70" s="59"/>
      <c r="U70" s="59"/>
      <c r="V70" s="59"/>
      <c r="W70" s="59"/>
      <c r="X70" s="59"/>
    </row>
    <row r="71" s="20" customFormat="1" ht="24" hidden="1" spans="1:24">
      <c r="A71" s="59">
        <v>54</v>
      </c>
      <c r="B71" s="60" t="s">
        <v>232</v>
      </c>
      <c r="C71" s="81">
        <v>43831</v>
      </c>
      <c r="D71" s="82" t="str">
        <f ca="1" t="shared" si="4"/>
        <v>一年以上</v>
      </c>
      <c r="E71" s="83">
        <v>43840</v>
      </c>
      <c r="F71" s="83" t="s">
        <v>70</v>
      </c>
      <c r="G71" s="79" t="s">
        <v>233</v>
      </c>
      <c r="H71" s="84" t="s">
        <v>234</v>
      </c>
      <c r="I71" s="63" t="s">
        <v>234</v>
      </c>
      <c r="J71" s="85">
        <v>2000</v>
      </c>
      <c r="K71" s="79" t="s">
        <v>28</v>
      </c>
      <c r="L71" s="79" t="s">
        <v>57</v>
      </c>
      <c r="M71" s="79" t="s">
        <v>65</v>
      </c>
      <c r="N71" s="86">
        <v>2000</v>
      </c>
      <c r="O71" s="86">
        <f t="shared" si="3"/>
        <v>0</v>
      </c>
      <c r="P71" s="83">
        <v>45035</v>
      </c>
      <c r="Q71" s="61">
        <f t="shared" si="5"/>
        <v>45035</v>
      </c>
      <c r="R71" s="83" t="s">
        <v>235</v>
      </c>
      <c r="S71" s="79" t="s">
        <v>236</v>
      </c>
      <c r="T71" s="79" t="s">
        <v>182</v>
      </c>
      <c r="U71" s="79" t="s">
        <v>125</v>
      </c>
      <c r="V71" s="79" t="s">
        <v>237</v>
      </c>
      <c r="W71" s="59"/>
      <c r="X71" s="59"/>
    </row>
    <row r="72" s="20" customFormat="1" ht="24" hidden="1" spans="1:24">
      <c r="A72" s="59">
        <v>195</v>
      </c>
      <c r="B72" s="60" t="s">
        <v>238</v>
      </c>
      <c r="C72" s="61">
        <v>43831</v>
      </c>
      <c r="D72" s="62" t="str">
        <f ca="1" t="shared" si="4"/>
        <v>一年以上</v>
      </c>
      <c r="E72" s="66">
        <v>43840</v>
      </c>
      <c r="F72" s="66"/>
      <c r="G72" s="59" t="s">
        <v>239</v>
      </c>
      <c r="H72" s="60" t="s">
        <v>240</v>
      </c>
      <c r="I72" s="63" t="s">
        <v>240</v>
      </c>
      <c r="J72" s="71">
        <v>10000</v>
      </c>
      <c r="K72" s="59"/>
      <c r="L72" s="59" t="s">
        <v>73</v>
      </c>
      <c r="M72" s="59" t="s">
        <v>30</v>
      </c>
      <c r="N72" s="65">
        <v>10000</v>
      </c>
      <c r="O72" s="65">
        <f t="shared" si="3"/>
        <v>0</v>
      </c>
      <c r="P72" s="66">
        <v>43913</v>
      </c>
      <c r="Q72" s="61">
        <f t="shared" si="5"/>
        <v>43913</v>
      </c>
      <c r="R72" s="59"/>
      <c r="S72" s="75" t="s">
        <v>62</v>
      </c>
      <c r="T72" s="59"/>
      <c r="U72" s="59"/>
      <c r="V72" s="59"/>
      <c r="W72" s="59"/>
      <c r="X72" s="59"/>
    </row>
    <row r="73" s="20" customFormat="1" ht="24" hidden="1" spans="1:24">
      <c r="A73" s="59">
        <v>55</v>
      </c>
      <c r="B73" s="60" t="s">
        <v>241</v>
      </c>
      <c r="C73" s="61">
        <v>43831</v>
      </c>
      <c r="D73" s="62" t="str">
        <f ca="1" t="shared" si="4"/>
        <v>一年以上</v>
      </c>
      <c r="E73" s="66">
        <v>43843</v>
      </c>
      <c r="F73" s="66" t="s">
        <v>70</v>
      </c>
      <c r="G73" s="59" t="s">
        <v>146</v>
      </c>
      <c r="H73" s="60" t="s">
        <v>220</v>
      </c>
      <c r="I73" s="63" t="s">
        <v>220</v>
      </c>
      <c r="J73" s="71">
        <v>3000</v>
      </c>
      <c r="K73" s="59" t="s">
        <v>28</v>
      </c>
      <c r="L73" s="59" t="s">
        <v>73</v>
      </c>
      <c r="M73" s="59" t="s">
        <v>65</v>
      </c>
      <c r="N73" s="65">
        <v>2900</v>
      </c>
      <c r="O73" s="65">
        <f t="shared" si="3"/>
        <v>100</v>
      </c>
      <c r="P73" s="66"/>
      <c r="Q73" s="61">
        <f t="shared" si="5"/>
        <v>0</v>
      </c>
      <c r="R73" s="59" t="s">
        <v>2654</v>
      </c>
      <c r="S73" s="59"/>
      <c r="T73" s="59" t="s">
        <v>80</v>
      </c>
      <c r="U73" s="59" t="str">
        <f>VLOOKUP(T73,[1]区域划分!$A$1:$C$39,3,0)</f>
        <v>殷坤鹏</v>
      </c>
      <c r="V73" s="59"/>
      <c r="W73" s="59"/>
      <c r="X73" s="59"/>
    </row>
    <row r="74" s="20" customFormat="1" ht="24" hidden="1" spans="1:24">
      <c r="A74" s="59">
        <v>344</v>
      </c>
      <c r="B74" s="60" t="s">
        <v>243</v>
      </c>
      <c r="C74" s="61">
        <v>43831</v>
      </c>
      <c r="D74" s="62" t="str">
        <f ca="1" t="shared" si="4"/>
        <v>一年以上</v>
      </c>
      <c r="E74" s="66">
        <v>43843</v>
      </c>
      <c r="F74" s="66" t="s">
        <v>130</v>
      </c>
      <c r="G74" s="59" t="s">
        <v>128</v>
      </c>
      <c r="H74" s="60" t="s">
        <v>244</v>
      </c>
      <c r="I74" s="63" t="s">
        <v>244</v>
      </c>
      <c r="J74" s="76">
        <v>24000</v>
      </c>
      <c r="K74" s="59"/>
      <c r="L74" s="59" t="s">
        <v>73</v>
      </c>
      <c r="M74" s="59" t="s">
        <v>133</v>
      </c>
      <c r="N74" s="65">
        <v>24000</v>
      </c>
      <c r="O74" s="65">
        <f t="shared" si="3"/>
        <v>0</v>
      </c>
      <c r="P74" s="66">
        <v>44193</v>
      </c>
      <c r="Q74" s="61">
        <f t="shared" si="5"/>
        <v>44193</v>
      </c>
      <c r="R74" s="59"/>
      <c r="S74" s="59" t="s">
        <v>133</v>
      </c>
      <c r="T74" s="59"/>
      <c r="U74" s="59"/>
      <c r="V74" s="59"/>
      <c r="W74" s="59"/>
      <c r="X74" s="59"/>
    </row>
    <row r="75" s="20" customFormat="1" ht="24" hidden="1" spans="1:24">
      <c r="A75" s="59">
        <v>56</v>
      </c>
      <c r="B75" s="60" t="s">
        <v>245</v>
      </c>
      <c r="C75" s="61">
        <v>43891</v>
      </c>
      <c r="D75" s="62" t="str">
        <f ca="1" t="shared" si="4"/>
        <v>一年以上</v>
      </c>
      <c r="E75" s="66">
        <v>43920</v>
      </c>
      <c r="F75" s="66" t="s">
        <v>70</v>
      </c>
      <c r="G75" s="59" t="s">
        <v>246</v>
      </c>
      <c r="H75" s="87" t="s">
        <v>247</v>
      </c>
      <c r="I75" s="63" t="s">
        <v>247</v>
      </c>
      <c r="J75" s="71">
        <v>5000</v>
      </c>
      <c r="K75" s="59"/>
      <c r="L75" s="59" t="s">
        <v>96</v>
      </c>
      <c r="M75" s="59" t="s">
        <v>65</v>
      </c>
      <c r="N75" s="65">
        <v>5000</v>
      </c>
      <c r="O75" s="65">
        <f t="shared" si="3"/>
        <v>0</v>
      </c>
      <c r="P75" s="66">
        <v>44039</v>
      </c>
      <c r="Q75" s="61">
        <f t="shared" si="5"/>
        <v>44039</v>
      </c>
      <c r="R75" s="66"/>
      <c r="S75" s="59"/>
      <c r="T75" s="59"/>
      <c r="U75" s="59"/>
      <c r="V75" s="59"/>
      <c r="W75" s="59"/>
      <c r="X75" s="59"/>
    </row>
    <row r="76" s="20" customFormat="1" ht="60" hidden="1" spans="1:24">
      <c r="A76" s="59">
        <v>57</v>
      </c>
      <c r="B76" s="60" t="s">
        <v>248</v>
      </c>
      <c r="C76" s="61">
        <v>43922</v>
      </c>
      <c r="D76" s="62" t="str">
        <f ca="1" t="shared" si="4"/>
        <v>一年以上</v>
      </c>
      <c r="E76" s="66">
        <v>43923</v>
      </c>
      <c r="F76" s="66" t="s">
        <v>70</v>
      </c>
      <c r="G76" s="59" t="s">
        <v>205</v>
      </c>
      <c r="H76" s="60" t="s">
        <v>167</v>
      </c>
      <c r="I76" s="63" t="s">
        <v>167</v>
      </c>
      <c r="J76" s="71">
        <v>10000</v>
      </c>
      <c r="K76" s="59" t="s">
        <v>28</v>
      </c>
      <c r="L76" s="59" t="s">
        <v>57</v>
      </c>
      <c r="M76" s="59" t="s">
        <v>65</v>
      </c>
      <c r="N76" s="65"/>
      <c r="O76" s="88">
        <f t="shared" si="3"/>
        <v>10000</v>
      </c>
      <c r="P76" s="66"/>
      <c r="Q76" s="61">
        <f t="shared" si="5"/>
        <v>0</v>
      </c>
      <c r="R76" s="66" t="s">
        <v>249</v>
      </c>
      <c r="S76" s="59" t="s">
        <v>250</v>
      </c>
      <c r="T76" s="59" t="s">
        <v>251</v>
      </c>
      <c r="U76" s="59" t="str">
        <f>VLOOKUP(T76,[1]区域划分!$A$1:$C$39,3,0)</f>
        <v>曾江利</v>
      </c>
      <c r="V76" s="59"/>
      <c r="W76" s="59"/>
      <c r="X76" s="59"/>
    </row>
    <row r="77" s="20" customFormat="1" hidden="1" spans="1:24">
      <c r="A77" s="59">
        <v>196</v>
      </c>
      <c r="B77" s="60" t="s">
        <v>252</v>
      </c>
      <c r="C77" s="61">
        <v>43922</v>
      </c>
      <c r="D77" s="62" t="str">
        <f ca="1" t="shared" si="4"/>
        <v>一年以上</v>
      </c>
      <c r="E77" s="66">
        <v>43936</v>
      </c>
      <c r="F77" s="66"/>
      <c r="G77" s="59" t="s">
        <v>54</v>
      </c>
      <c r="H77" s="60" t="s">
        <v>253</v>
      </c>
      <c r="I77" s="63" t="s">
        <v>253</v>
      </c>
      <c r="J77" s="71">
        <v>10000</v>
      </c>
      <c r="K77" s="59"/>
      <c r="L77" s="59" t="s">
        <v>73</v>
      </c>
      <c r="M77" s="59" t="s">
        <v>30</v>
      </c>
      <c r="N77" s="65">
        <v>10000</v>
      </c>
      <c r="O77" s="65">
        <f t="shared" si="3"/>
        <v>0</v>
      </c>
      <c r="P77" s="66">
        <v>44155</v>
      </c>
      <c r="Q77" s="61">
        <f t="shared" si="5"/>
        <v>44155</v>
      </c>
      <c r="R77" s="59"/>
      <c r="S77" s="59" t="s">
        <v>30</v>
      </c>
      <c r="T77" s="59"/>
      <c r="U77" s="59"/>
      <c r="V77" s="59"/>
      <c r="W77" s="59"/>
      <c r="X77" s="59"/>
    </row>
    <row r="78" s="20" customFormat="1" ht="24" hidden="1" spans="1:24">
      <c r="A78" s="59">
        <v>58</v>
      </c>
      <c r="B78" s="60" t="s">
        <v>254</v>
      </c>
      <c r="C78" s="61">
        <v>43952</v>
      </c>
      <c r="D78" s="62" t="str">
        <f ca="1" t="shared" si="4"/>
        <v>一年以上</v>
      </c>
      <c r="E78" s="66">
        <v>43967</v>
      </c>
      <c r="F78" s="66" t="s">
        <v>70</v>
      </c>
      <c r="G78" s="59" t="s">
        <v>255</v>
      </c>
      <c r="H78" s="60" t="s">
        <v>150</v>
      </c>
      <c r="I78" s="63" t="s">
        <v>150</v>
      </c>
      <c r="J78" s="71">
        <v>5000</v>
      </c>
      <c r="K78" s="59"/>
      <c r="L78" s="59" t="s">
        <v>73</v>
      </c>
      <c r="M78" s="59" t="s">
        <v>65</v>
      </c>
      <c r="N78" s="65">
        <v>5000</v>
      </c>
      <c r="O78" s="65">
        <f t="shared" si="3"/>
        <v>0</v>
      </c>
      <c r="P78" s="66">
        <v>44463</v>
      </c>
      <c r="Q78" s="61">
        <f t="shared" si="5"/>
        <v>44463</v>
      </c>
      <c r="R78" s="66"/>
      <c r="S78" s="59"/>
      <c r="T78" s="59"/>
      <c r="U78" s="59"/>
      <c r="V78" s="59"/>
      <c r="W78" s="59"/>
      <c r="X78" s="59"/>
    </row>
    <row r="79" s="20" customFormat="1" hidden="1" spans="1:24">
      <c r="A79" s="59">
        <v>59</v>
      </c>
      <c r="B79" s="60" t="s">
        <v>256</v>
      </c>
      <c r="C79" s="61">
        <v>43952</v>
      </c>
      <c r="D79" s="62" t="str">
        <f ca="1" t="shared" si="4"/>
        <v>一年以上</v>
      </c>
      <c r="E79" s="66">
        <v>43969</v>
      </c>
      <c r="F79" s="66" t="s">
        <v>70</v>
      </c>
      <c r="G79" s="59" t="s">
        <v>83</v>
      </c>
      <c r="H79" s="60" t="s">
        <v>257</v>
      </c>
      <c r="I79" s="63" t="s">
        <v>257</v>
      </c>
      <c r="J79" s="71">
        <v>2000</v>
      </c>
      <c r="K79" s="59"/>
      <c r="L79" s="59" t="s">
        <v>96</v>
      </c>
      <c r="M79" s="59" t="s">
        <v>65</v>
      </c>
      <c r="N79" s="65">
        <v>2000</v>
      </c>
      <c r="O79" s="65">
        <f t="shared" ref="O79:O142" si="6">J79-N79</f>
        <v>0</v>
      </c>
      <c r="P79" s="66">
        <v>44034</v>
      </c>
      <c r="Q79" s="61">
        <f t="shared" si="5"/>
        <v>44034</v>
      </c>
      <c r="R79" s="66"/>
      <c r="S79" s="59"/>
      <c r="T79" s="59"/>
      <c r="U79" s="59"/>
      <c r="V79" s="59"/>
      <c r="W79" s="59"/>
      <c r="X79" s="59"/>
    </row>
    <row r="80" s="20" customFormat="1" ht="24" hidden="1" spans="1:24">
      <c r="A80" s="59">
        <v>60</v>
      </c>
      <c r="B80" s="60" t="s">
        <v>258</v>
      </c>
      <c r="C80" s="61">
        <v>43952</v>
      </c>
      <c r="D80" s="62" t="str">
        <f ca="1" t="shared" si="4"/>
        <v>一年以上</v>
      </c>
      <c r="E80" s="66">
        <v>43969</v>
      </c>
      <c r="F80" s="66" t="s">
        <v>70</v>
      </c>
      <c r="G80" s="59" t="s">
        <v>259</v>
      </c>
      <c r="H80" s="60" t="s">
        <v>136</v>
      </c>
      <c r="I80" s="63" t="s">
        <v>136</v>
      </c>
      <c r="J80" s="64">
        <v>3000</v>
      </c>
      <c r="K80" s="59"/>
      <c r="L80" s="59" t="s">
        <v>73</v>
      </c>
      <c r="M80" s="59" t="s">
        <v>65</v>
      </c>
      <c r="N80" s="65">
        <v>3000</v>
      </c>
      <c r="O80" s="65">
        <f t="shared" si="6"/>
        <v>0</v>
      </c>
      <c r="P80" s="66">
        <v>44035</v>
      </c>
      <c r="Q80" s="61">
        <f t="shared" si="5"/>
        <v>44035</v>
      </c>
      <c r="R80" s="66"/>
      <c r="S80" s="59"/>
      <c r="T80" s="59"/>
      <c r="U80" s="59"/>
      <c r="V80" s="59"/>
      <c r="W80" s="59"/>
      <c r="X80" s="59"/>
    </row>
    <row r="81" s="20" customFormat="1" ht="24" hidden="1" spans="1:24">
      <c r="A81" s="59">
        <v>61</v>
      </c>
      <c r="B81" s="60" t="s">
        <v>260</v>
      </c>
      <c r="C81" s="61">
        <v>43952</v>
      </c>
      <c r="D81" s="62" t="str">
        <f ca="1" t="shared" si="4"/>
        <v>一年以上</v>
      </c>
      <c r="E81" s="66">
        <v>43977</v>
      </c>
      <c r="F81" s="66" t="s">
        <v>70</v>
      </c>
      <c r="G81" s="59" t="s">
        <v>224</v>
      </c>
      <c r="H81" s="60" t="s">
        <v>105</v>
      </c>
      <c r="I81" s="63" t="s">
        <v>105</v>
      </c>
      <c r="J81" s="64">
        <v>5000</v>
      </c>
      <c r="K81" s="59"/>
      <c r="L81" s="59" t="s">
        <v>73</v>
      </c>
      <c r="M81" s="59" t="s">
        <v>65</v>
      </c>
      <c r="N81" s="65">
        <v>5000</v>
      </c>
      <c r="O81" s="65">
        <f t="shared" si="6"/>
        <v>0</v>
      </c>
      <c r="P81" s="66">
        <v>44491</v>
      </c>
      <c r="Q81" s="61">
        <f t="shared" si="5"/>
        <v>44491</v>
      </c>
      <c r="R81" s="66"/>
      <c r="S81" s="59"/>
      <c r="T81" s="59"/>
      <c r="U81" s="59"/>
      <c r="V81" s="59"/>
      <c r="W81" s="59"/>
      <c r="X81" s="59"/>
    </row>
    <row r="82" s="20" customFormat="1" ht="24" hidden="1" spans="1:24">
      <c r="A82" s="59">
        <v>62</v>
      </c>
      <c r="B82" s="60" t="s">
        <v>261</v>
      </c>
      <c r="C82" s="61">
        <v>43983</v>
      </c>
      <c r="D82" s="62" t="str">
        <f ca="1" t="shared" si="4"/>
        <v>一年以上</v>
      </c>
      <c r="E82" s="66">
        <v>43992</v>
      </c>
      <c r="F82" s="66" t="s">
        <v>70</v>
      </c>
      <c r="G82" s="59" t="s">
        <v>255</v>
      </c>
      <c r="H82" s="60" t="s">
        <v>115</v>
      </c>
      <c r="I82" s="63" t="s">
        <v>115</v>
      </c>
      <c r="J82" s="64">
        <v>2000</v>
      </c>
      <c r="K82" s="59"/>
      <c r="L82" s="59" t="s">
        <v>73</v>
      </c>
      <c r="M82" s="59" t="s">
        <v>65</v>
      </c>
      <c r="N82" s="65">
        <v>2000</v>
      </c>
      <c r="O82" s="65">
        <f t="shared" si="6"/>
        <v>0</v>
      </c>
      <c r="P82" s="66">
        <v>44083</v>
      </c>
      <c r="Q82" s="61">
        <f t="shared" si="5"/>
        <v>44083</v>
      </c>
      <c r="R82" s="66"/>
      <c r="S82" s="59"/>
      <c r="T82" s="59"/>
      <c r="U82" s="59"/>
      <c r="V82" s="59"/>
      <c r="W82" s="59"/>
      <c r="X82" s="59"/>
    </row>
    <row r="83" s="20" customFormat="1" ht="24" hidden="1" spans="1:24">
      <c r="A83" s="59">
        <v>63</v>
      </c>
      <c r="B83" s="60" t="s">
        <v>262</v>
      </c>
      <c r="C83" s="61">
        <v>43983</v>
      </c>
      <c r="D83" s="62" t="str">
        <f ca="1" t="shared" si="4"/>
        <v>一年以上</v>
      </c>
      <c r="E83" s="66">
        <v>44010</v>
      </c>
      <c r="F83" s="66" t="s">
        <v>70</v>
      </c>
      <c r="G83" s="59" t="s">
        <v>233</v>
      </c>
      <c r="H83" s="60" t="s">
        <v>263</v>
      </c>
      <c r="I83" s="63" t="s">
        <v>263</v>
      </c>
      <c r="J83" s="64">
        <v>1500</v>
      </c>
      <c r="K83" s="59"/>
      <c r="L83" s="59" t="s">
        <v>73</v>
      </c>
      <c r="M83" s="59" t="s">
        <v>65</v>
      </c>
      <c r="N83" s="65">
        <v>1500</v>
      </c>
      <c r="O83" s="65">
        <f t="shared" si="6"/>
        <v>0</v>
      </c>
      <c r="P83" s="66">
        <v>44130</v>
      </c>
      <c r="Q83" s="61">
        <f t="shared" si="5"/>
        <v>44130</v>
      </c>
      <c r="R83" s="66"/>
      <c r="S83" s="59"/>
      <c r="T83" s="59"/>
      <c r="U83" s="59"/>
      <c r="V83" s="59"/>
      <c r="W83" s="59"/>
      <c r="X83" s="59"/>
    </row>
    <row r="84" s="20" customFormat="1" ht="24" hidden="1" spans="1:24">
      <c r="A84" s="59">
        <v>197</v>
      </c>
      <c r="B84" s="60" t="s">
        <v>264</v>
      </c>
      <c r="C84" s="61">
        <v>43983</v>
      </c>
      <c r="D84" s="62" t="str">
        <f ca="1" t="shared" si="4"/>
        <v>一年以上</v>
      </c>
      <c r="E84" s="66">
        <v>44011</v>
      </c>
      <c r="F84" s="66"/>
      <c r="G84" s="59" t="s">
        <v>128</v>
      </c>
      <c r="H84" s="60" t="s">
        <v>265</v>
      </c>
      <c r="I84" s="63" t="s">
        <v>90</v>
      </c>
      <c r="J84" s="71">
        <v>50000</v>
      </c>
      <c r="K84" s="59" t="s">
        <v>28</v>
      </c>
      <c r="L84" s="59" t="s">
        <v>73</v>
      </c>
      <c r="M84" s="59" t="s">
        <v>30</v>
      </c>
      <c r="N84" s="65"/>
      <c r="O84" s="88">
        <f t="shared" si="6"/>
        <v>50000</v>
      </c>
      <c r="P84" s="66"/>
      <c r="Q84" s="61">
        <f t="shared" si="5"/>
        <v>0</v>
      </c>
      <c r="R84" s="59" t="s">
        <v>310</v>
      </c>
      <c r="S84" s="75" t="s">
        <v>266</v>
      </c>
      <c r="T84" s="59" t="s">
        <v>267</v>
      </c>
      <c r="U84" s="59" t="str">
        <f>VLOOKUP(T84,[1]区域划分!$A$1:$C$39,3,0)</f>
        <v>牛国庆</v>
      </c>
      <c r="V84" s="59"/>
      <c r="W84" s="59"/>
      <c r="X84" s="59"/>
    </row>
    <row r="85" s="20" customFormat="1" ht="24" hidden="1" spans="1:24">
      <c r="A85" s="59">
        <v>64</v>
      </c>
      <c r="B85" s="60" t="s">
        <v>268</v>
      </c>
      <c r="C85" s="61">
        <v>43983</v>
      </c>
      <c r="D85" s="62" t="str">
        <f ca="1" t="shared" si="4"/>
        <v>一年以上</v>
      </c>
      <c r="E85" s="66">
        <v>44012</v>
      </c>
      <c r="F85" s="66" t="s">
        <v>130</v>
      </c>
      <c r="G85" s="59" t="s">
        <v>125</v>
      </c>
      <c r="H85" s="60" t="s">
        <v>269</v>
      </c>
      <c r="I85" s="63" t="s">
        <v>269</v>
      </c>
      <c r="J85" s="64">
        <v>3000</v>
      </c>
      <c r="K85" s="59"/>
      <c r="L85" s="59" t="s">
        <v>96</v>
      </c>
      <c r="M85" s="59" t="s">
        <v>65</v>
      </c>
      <c r="N85" s="65">
        <v>3000</v>
      </c>
      <c r="O85" s="65">
        <f t="shared" si="6"/>
        <v>0</v>
      </c>
      <c r="P85" s="66">
        <v>44196</v>
      </c>
      <c r="Q85" s="61">
        <f t="shared" si="5"/>
        <v>44196</v>
      </c>
      <c r="R85" s="66"/>
      <c r="S85" s="59"/>
      <c r="T85" s="59"/>
      <c r="U85" s="59"/>
      <c r="V85" s="59"/>
      <c r="W85" s="59"/>
      <c r="X85" s="59"/>
    </row>
    <row r="86" s="20" customFormat="1" ht="24" hidden="1" spans="1:24">
      <c r="A86" s="59">
        <v>65</v>
      </c>
      <c r="B86" s="60" t="s">
        <v>270</v>
      </c>
      <c r="C86" s="61">
        <v>44013</v>
      </c>
      <c r="D86" s="62" t="str">
        <f ca="1" t="shared" si="4"/>
        <v>一年以上</v>
      </c>
      <c r="E86" s="66">
        <v>44018</v>
      </c>
      <c r="F86" s="66" t="s">
        <v>70</v>
      </c>
      <c r="G86" s="59" t="s">
        <v>230</v>
      </c>
      <c r="H86" s="60" t="s">
        <v>115</v>
      </c>
      <c r="I86" s="63" t="s">
        <v>115</v>
      </c>
      <c r="J86" s="64">
        <v>2000</v>
      </c>
      <c r="K86" s="59"/>
      <c r="L86" s="59" t="s">
        <v>73</v>
      </c>
      <c r="M86" s="59" t="s">
        <v>65</v>
      </c>
      <c r="N86" s="65">
        <v>2000</v>
      </c>
      <c r="O86" s="65">
        <f t="shared" si="6"/>
        <v>0</v>
      </c>
      <c r="P86" s="66">
        <v>44083</v>
      </c>
      <c r="Q86" s="61">
        <f t="shared" si="5"/>
        <v>44083</v>
      </c>
      <c r="R86" s="66"/>
      <c r="S86" s="59"/>
      <c r="T86" s="59"/>
      <c r="U86" s="59"/>
      <c r="V86" s="59"/>
      <c r="W86" s="59"/>
      <c r="X86" s="59"/>
    </row>
    <row r="87" s="20" customFormat="1" ht="24" hidden="1" spans="1:24">
      <c r="A87" s="59">
        <v>66</v>
      </c>
      <c r="B87" s="60" t="s">
        <v>271</v>
      </c>
      <c r="C87" s="61">
        <v>44013</v>
      </c>
      <c r="D87" s="62" t="str">
        <f ca="1" t="shared" si="4"/>
        <v>一年以上</v>
      </c>
      <c r="E87" s="66">
        <v>44021</v>
      </c>
      <c r="F87" s="66" t="s">
        <v>70</v>
      </c>
      <c r="G87" s="59" t="s">
        <v>146</v>
      </c>
      <c r="H87" s="60" t="s">
        <v>272</v>
      </c>
      <c r="I87" s="63" t="s">
        <v>272</v>
      </c>
      <c r="J87" s="64">
        <v>1000</v>
      </c>
      <c r="K87" s="59"/>
      <c r="L87" s="59" t="s">
        <v>73</v>
      </c>
      <c r="M87" s="59" t="s">
        <v>65</v>
      </c>
      <c r="N87" s="65">
        <v>1000</v>
      </c>
      <c r="O87" s="65">
        <f t="shared" si="6"/>
        <v>0</v>
      </c>
      <c r="P87" s="66">
        <v>44069</v>
      </c>
      <c r="Q87" s="61">
        <f t="shared" si="5"/>
        <v>44069</v>
      </c>
      <c r="R87" s="66"/>
      <c r="S87" s="59" t="s">
        <v>273</v>
      </c>
      <c r="T87" s="59"/>
      <c r="U87" s="59"/>
      <c r="V87" s="59"/>
      <c r="W87" s="59"/>
      <c r="X87" s="59"/>
    </row>
    <row r="88" s="20" customFormat="1" ht="24" hidden="1" spans="1:24">
      <c r="A88" s="59">
        <v>68</v>
      </c>
      <c r="B88" s="60" t="s">
        <v>274</v>
      </c>
      <c r="C88" s="61">
        <v>44013</v>
      </c>
      <c r="D88" s="62" t="str">
        <f ca="1" t="shared" si="4"/>
        <v>一年以上</v>
      </c>
      <c r="E88" s="66">
        <v>44025</v>
      </c>
      <c r="F88" s="66" t="s">
        <v>70</v>
      </c>
      <c r="G88" s="59" t="s">
        <v>149</v>
      </c>
      <c r="H88" s="60" t="s">
        <v>275</v>
      </c>
      <c r="I88" s="63" t="s">
        <v>275</v>
      </c>
      <c r="J88" s="64">
        <v>2000</v>
      </c>
      <c r="K88" s="59"/>
      <c r="L88" s="59" t="s">
        <v>73</v>
      </c>
      <c r="M88" s="59" t="s">
        <v>65</v>
      </c>
      <c r="N88" s="65">
        <v>2000</v>
      </c>
      <c r="O88" s="65">
        <f t="shared" si="6"/>
        <v>0</v>
      </c>
      <c r="P88" s="66">
        <v>44223</v>
      </c>
      <c r="Q88" s="61">
        <f t="shared" si="5"/>
        <v>44223</v>
      </c>
      <c r="R88" s="66"/>
      <c r="S88" s="89" t="s">
        <v>276</v>
      </c>
      <c r="T88" s="59"/>
      <c r="U88" s="59"/>
      <c r="V88" s="59"/>
      <c r="W88" s="59"/>
      <c r="X88" s="59"/>
    </row>
    <row r="89" s="20" customFormat="1" ht="24" hidden="1" spans="1:24">
      <c r="A89" s="59">
        <v>67</v>
      </c>
      <c r="B89" s="60" t="s">
        <v>277</v>
      </c>
      <c r="C89" s="61">
        <v>44013</v>
      </c>
      <c r="D89" s="62" t="str">
        <f ca="1" t="shared" si="4"/>
        <v>一年以上</v>
      </c>
      <c r="E89" s="66">
        <v>44027</v>
      </c>
      <c r="F89" s="66" t="s">
        <v>70</v>
      </c>
      <c r="G89" s="59" t="s">
        <v>146</v>
      </c>
      <c r="H89" s="60" t="s">
        <v>278</v>
      </c>
      <c r="I89" s="63" t="s">
        <v>278</v>
      </c>
      <c r="J89" s="64">
        <v>1000</v>
      </c>
      <c r="K89" s="59"/>
      <c r="L89" s="59" t="s">
        <v>73</v>
      </c>
      <c r="M89" s="59" t="s">
        <v>65</v>
      </c>
      <c r="N89" s="65">
        <v>1000</v>
      </c>
      <c r="O89" s="65">
        <f t="shared" si="6"/>
        <v>0</v>
      </c>
      <c r="P89" s="66">
        <v>44547</v>
      </c>
      <c r="Q89" s="61">
        <f t="shared" si="5"/>
        <v>44547</v>
      </c>
      <c r="R89" s="59"/>
      <c r="S89" s="59"/>
      <c r="T89" s="59"/>
      <c r="U89" s="59"/>
      <c r="V89" s="59"/>
      <c r="W89" s="59"/>
      <c r="X89" s="59"/>
    </row>
    <row r="90" s="20" customFormat="1" ht="24" hidden="1" spans="1:24">
      <c r="A90" s="59">
        <v>69</v>
      </c>
      <c r="B90" s="60" t="s">
        <v>279</v>
      </c>
      <c r="C90" s="61">
        <v>44013</v>
      </c>
      <c r="D90" s="62" t="str">
        <f ca="1" t="shared" si="4"/>
        <v>一年以上</v>
      </c>
      <c r="E90" s="66">
        <v>44034</v>
      </c>
      <c r="F90" s="66" t="s">
        <v>70</v>
      </c>
      <c r="G90" s="59" t="s">
        <v>149</v>
      </c>
      <c r="H90" s="60" t="s">
        <v>120</v>
      </c>
      <c r="I90" s="63" t="s">
        <v>120</v>
      </c>
      <c r="J90" s="64">
        <v>3000</v>
      </c>
      <c r="K90" s="59"/>
      <c r="L90" s="59" t="s">
        <v>73</v>
      </c>
      <c r="M90" s="59" t="s">
        <v>65</v>
      </c>
      <c r="N90" s="65">
        <v>3000</v>
      </c>
      <c r="O90" s="65">
        <f t="shared" si="6"/>
        <v>0</v>
      </c>
      <c r="P90" s="66">
        <v>44071</v>
      </c>
      <c r="Q90" s="61">
        <f t="shared" si="5"/>
        <v>44071</v>
      </c>
      <c r="R90" s="66"/>
      <c r="S90" s="90" t="s">
        <v>280</v>
      </c>
      <c r="T90" s="59"/>
      <c r="U90" s="59"/>
      <c r="V90" s="59"/>
      <c r="W90" s="59"/>
      <c r="X90" s="59"/>
    </row>
    <row r="91" s="20" customFormat="1" hidden="1" spans="1:24">
      <c r="A91" s="59">
        <v>70</v>
      </c>
      <c r="B91" s="60" t="s">
        <v>281</v>
      </c>
      <c r="C91" s="61">
        <v>44013</v>
      </c>
      <c r="D91" s="62" t="str">
        <f ca="1" t="shared" si="4"/>
        <v>一年以上</v>
      </c>
      <c r="E91" s="66">
        <v>44034</v>
      </c>
      <c r="F91" s="66" t="s">
        <v>282</v>
      </c>
      <c r="G91" s="59" t="s">
        <v>233</v>
      </c>
      <c r="H91" s="60" t="s">
        <v>283</v>
      </c>
      <c r="I91" s="63" t="s">
        <v>283</v>
      </c>
      <c r="J91" s="64">
        <v>3200</v>
      </c>
      <c r="K91" s="59" t="s">
        <v>28</v>
      </c>
      <c r="L91" s="59" t="s">
        <v>57</v>
      </c>
      <c r="M91" s="59" t="s">
        <v>65</v>
      </c>
      <c r="N91" s="65">
        <v>3200</v>
      </c>
      <c r="O91" s="65">
        <f t="shared" si="6"/>
        <v>0</v>
      </c>
      <c r="P91" s="66">
        <v>44678</v>
      </c>
      <c r="Q91" s="61">
        <f t="shared" si="5"/>
        <v>44678</v>
      </c>
      <c r="R91" s="59"/>
      <c r="S91" s="59" t="s">
        <v>65</v>
      </c>
      <c r="T91" s="59" t="s">
        <v>182</v>
      </c>
      <c r="U91" s="59" t="s">
        <v>125</v>
      </c>
      <c r="V91" s="59" t="s">
        <v>284</v>
      </c>
      <c r="W91" s="59"/>
      <c r="X91" s="59"/>
    </row>
    <row r="92" s="20" customFormat="1" ht="24" hidden="1" spans="1:24">
      <c r="A92" s="59">
        <v>71</v>
      </c>
      <c r="B92" s="60" t="s">
        <v>285</v>
      </c>
      <c r="C92" s="61">
        <v>44013</v>
      </c>
      <c r="D92" s="62" t="str">
        <f ca="1" t="shared" si="4"/>
        <v>一年以上</v>
      </c>
      <c r="E92" s="66">
        <v>44034</v>
      </c>
      <c r="F92" s="66" t="s">
        <v>70</v>
      </c>
      <c r="G92" s="59" t="s">
        <v>83</v>
      </c>
      <c r="H92" s="60" t="s">
        <v>286</v>
      </c>
      <c r="I92" s="63" t="s">
        <v>286</v>
      </c>
      <c r="J92" s="64">
        <v>3000</v>
      </c>
      <c r="K92" s="59"/>
      <c r="L92" s="59" t="s">
        <v>73</v>
      </c>
      <c r="M92" s="59" t="s">
        <v>65</v>
      </c>
      <c r="N92" s="65">
        <v>3000</v>
      </c>
      <c r="O92" s="65">
        <f t="shared" si="6"/>
        <v>0</v>
      </c>
      <c r="P92" s="66">
        <v>44221</v>
      </c>
      <c r="Q92" s="61">
        <f t="shared" si="5"/>
        <v>44221</v>
      </c>
      <c r="R92" s="66"/>
      <c r="S92" s="90" t="s">
        <v>287</v>
      </c>
      <c r="T92" s="59"/>
      <c r="U92" s="59"/>
      <c r="V92" s="59"/>
      <c r="W92" s="59"/>
      <c r="X92" s="59"/>
    </row>
    <row r="93" s="20" customFormat="1" ht="24" hidden="1" spans="1:24">
      <c r="A93" s="59">
        <v>72</v>
      </c>
      <c r="B93" s="60" t="s">
        <v>288</v>
      </c>
      <c r="C93" s="61">
        <v>44013</v>
      </c>
      <c r="D93" s="62" t="str">
        <f ca="1" t="shared" si="4"/>
        <v>一年以上</v>
      </c>
      <c r="E93" s="66">
        <v>44038</v>
      </c>
      <c r="F93" s="66" t="s">
        <v>70</v>
      </c>
      <c r="G93" s="59" t="s">
        <v>149</v>
      </c>
      <c r="H93" s="60" t="s">
        <v>98</v>
      </c>
      <c r="I93" s="63" t="s">
        <v>98</v>
      </c>
      <c r="J93" s="64">
        <v>10000</v>
      </c>
      <c r="K93" s="59"/>
      <c r="L93" s="59" t="s">
        <v>73</v>
      </c>
      <c r="M93" s="59" t="s">
        <v>65</v>
      </c>
      <c r="N93" s="65">
        <v>10000</v>
      </c>
      <c r="O93" s="65">
        <f t="shared" si="6"/>
        <v>0</v>
      </c>
      <c r="P93" s="66">
        <v>44073</v>
      </c>
      <c r="Q93" s="61">
        <f t="shared" si="5"/>
        <v>44073</v>
      </c>
      <c r="R93" s="66"/>
      <c r="S93" s="90" t="s">
        <v>289</v>
      </c>
      <c r="T93" s="59"/>
      <c r="U93" s="59"/>
      <c r="V93" s="59"/>
      <c r="W93" s="59"/>
      <c r="X93" s="59"/>
    </row>
    <row r="94" s="20" customFormat="1" ht="36" hidden="1" spans="1:24">
      <c r="A94" s="59">
        <v>74</v>
      </c>
      <c r="B94" s="60" t="s">
        <v>290</v>
      </c>
      <c r="C94" s="61">
        <v>44044</v>
      </c>
      <c r="D94" s="62" t="str">
        <f ca="1" t="shared" si="4"/>
        <v>一年以上</v>
      </c>
      <c r="E94" s="66">
        <v>44048</v>
      </c>
      <c r="F94" s="66" t="s">
        <v>130</v>
      </c>
      <c r="G94" s="59" t="s">
        <v>128</v>
      </c>
      <c r="H94" s="60" t="s">
        <v>291</v>
      </c>
      <c r="I94" s="63" t="s">
        <v>291</v>
      </c>
      <c r="J94" s="64">
        <v>2000</v>
      </c>
      <c r="K94" s="59" t="s">
        <v>28</v>
      </c>
      <c r="L94" s="59" t="s">
        <v>57</v>
      </c>
      <c r="M94" s="59" t="s">
        <v>65</v>
      </c>
      <c r="N94" s="65">
        <v>2000</v>
      </c>
      <c r="O94" s="65">
        <f t="shared" si="6"/>
        <v>0</v>
      </c>
      <c r="P94" s="66">
        <v>44707</v>
      </c>
      <c r="Q94" s="61">
        <f t="shared" si="5"/>
        <v>44707</v>
      </c>
      <c r="R94" s="59" t="s">
        <v>292</v>
      </c>
      <c r="S94" s="59" t="s">
        <v>65</v>
      </c>
      <c r="T94" s="59" t="s">
        <v>293</v>
      </c>
      <c r="U94" s="59" t="s">
        <v>294</v>
      </c>
      <c r="V94" s="59" t="s">
        <v>295</v>
      </c>
      <c r="W94" s="59"/>
      <c r="X94" s="59"/>
    </row>
    <row r="95" s="20" customFormat="1" ht="48" hidden="1" spans="1:24">
      <c r="A95" s="59">
        <v>75</v>
      </c>
      <c r="B95" s="60" t="s">
        <v>296</v>
      </c>
      <c r="C95" s="61">
        <v>44044</v>
      </c>
      <c r="D95" s="62" t="str">
        <f ca="1" t="shared" si="4"/>
        <v>一年以上</v>
      </c>
      <c r="E95" s="66">
        <v>44050</v>
      </c>
      <c r="F95" s="66" t="s">
        <v>130</v>
      </c>
      <c r="G95" s="59" t="s">
        <v>297</v>
      </c>
      <c r="H95" s="60" t="s">
        <v>298</v>
      </c>
      <c r="I95" s="63" t="s">
        <v>298</v>
      </c>
      <c r="J95" s="64">
        <v>10000</v>
      </c>
      <c r="K95" s="59" t="s">
        <v>28</v>
      </c>
      <c r="L95" s="59" t="s">
        <v>73</v>
      </c>
      <c r="M95" s="59" t="s">
        <v>65</v>
      </c>
      <c r="N95" s="65">
        <v>10000</v>
      </c>
      <c r="O95" s="65">
        <f t="shared" si="6"/>
        <v>0</v>
      </c>
      <c r="P95" s="66">
        <v>45070</v>
      </c>
      <c r="Q95" s="61">
        <f t="shared" si="5"/>
        <v>45070</v>
      </c>
      <c r="R95" s="59" t="s">
        <v>299</v>
      </c>
      <c r="S95" s="59" t="s">
        <v>65</v>
      </c>
      <c r="T95" s="59" t="s">
        <v>300</v>
      </c>
      <c r="U95" s="59" t="s">
        <v>301</v>
      </c>
      <c r="V95" s="59"/>
      <c r="W95" s="59"/>
      <c r="X95" s="59"/>
    </row>
    <row r="96" s="20" customFormat="1" ht="24" hidden="1" spans="1:24">
      <c r="A96" s="59">
        <v>76</v>
      </c>
      <c r="B96" s="60" t="s">
        <v>302</v>
      </c>
      <c r="C96" s="61">
        <v>44044</v>
      </c>
      <c r="D96" s="62" t="str">
        <f ca="1" t="shared" si="4"/>
        <v>一年以上</v>
      </c>
      <c r="E96" s="66">
        <v>44053</v>
      </c>
      <c r="F96" s="66" t="s">
        <v>130</v>
      </c>
      <c r="G96" s="59" t="s">
        <v>128</v>
      </c>
      <c r="H96" s="60" t="s">
        <v>303</v>
      </c>
      <c r="I96" s="63" t="s">
        <v>303</v>
      </c>
      <c r="J96" s="64">
        <v>3000</v>
      </c>
      <c r="K96" s="59"/>
      <c r="L96" s="59" t="s">
        <v>73</v>
      </c>
      <c r="M96" s="59" t="s">
        <v>65</v>
      </c>
      <c r="N96" s="65">
        <v>3000</v>
      </c>
      <c r="O96" s="65">
        <f t="shared" si="6"/>
        <v>0</v>
      </c>
      <c r="P96" s="66">
        <v>44094</v>
      </c>
      <c r="Q96" s="61">
        <f t="shared" si="5"/>
        <v>44094</v>
      </c>
      <c r="R96" s="66"/>
      <c r="S96" s="59"/>
      <c r="T96" s="59"/>
      <c r="U96" s="59"/>
      <c r="V96" s="59"/>
      <c r="W96" s="59"/>
      <c r="X96" s="59"/>
    </row>
    <row r="97" s="20" customFormat="1" ht="24" hidden="1" spans="1:24">
      <c r="A97" s="59">
        <v>77</v>
      </c>
      <c r="B97" s="60" t="s">
        <v>304</v>
      </c>
      <c r="C97" s="61">
        <v>44044</v>
      </c>
      <c r="D97" s="62" t="str">
        <f ca="1" t="shared" si="4"/>
        <v>一年以上</v>
      </c>
      <c r="E97" s="66">
        <v>44057</v>
      </c>
      <c r="F97" s="66" t="s">
        <v>130</v>
      </c>
      <c r="G97" s="59" t="s">
        <v>128</v>
      </c>
      <c r="H97" s="60" t="s">
        <v>305</v>
      </c>
      <c r="I97" s="63" t="s">
        <v>305</v>
      </c>
      <c r="J97" s="64">
        <v>3000</v>
      </c>
      <c r="K97" s="59"/>
      <c r="L97" s="59" t="s">
        <v>73</v>
      </c>
      <c r="M97" s="59" t="s">
        <v>65</v>
      </c>
      <c r="N97" s="65">
        <v>3000</v>
      </c>
      <c r="O97" s="65">
        <f t="shared" si="6"/>
        <v>0</v>
      </c>
      <c r="P97" s="66">
        <v>44335</v>
      </c>
      <c r="Q97" s="61">
        <f t="shared" si="5"/>
        <v>44335</v>
      </c>
      <c r="R97" s="66"/>
      <c r="S97" s="59"/>
      <c r="T97" s="59"/>
      <c r="U97" s="59"/>
      <c r="V97" s="59"/>
      <c r="W97" s="59"/>
      <c r="X97" s="59"/>
    </row>
    <row r="98" s="20" customFormat="1" ht="24" hidden="1" spans="1:24">
      <c r="A98" s="59">
        <v>78</v>
      </c>
      <c r="B98" s="60" t="s">
        <v>306</v>
      </c>
      <c r="C98" s="61">
        <v>44044</v>
      </c>
      <c r="D98" s="62" t="str">
        <f ca="1" t="shared" si="4"/>
        <v>一年以上</v>
      </c>
      <c r="E98" s="66">
        <v>44063</v>
      </c>
      <c r="F98" s="66" t="s">
        <v>130</v>
      </c>
      <c r="G98" s="59" t="s">
        <v>307</v>
      </c>
      <c r="H98" s="78" t="s">
        <v>308</v>
      </c>
      <c r="I98" s="63" t="s">
        <v>308</v>
      </c>
      <c r="J98" s="64">
        <v>5000</v>
      </c>
      <c r="K98" s="59"/>
      <c r="L98" s="59" t="s">
        <v>96</v>
      </c>
      <c r="M98" s="59" t="s">
        <v>65</v>
      </c>
      <c r="N98" s="65">
        <v>5000</v>
      </c>
      <c r="O98" s="65">
        <f t="shared" si="6"/>
        <v>0</v>
      </c>
      <c r="P98" s="66">
        <v>44068</v>
      </c>
      <c r="Q98" s="61">
        <f t="shared" si="5"/>
        <v>44068</v>
      </c>
      <c r="R98" s="66"/>
      <c r="S98" s="59"/>
      <c r="T98" s="59"/>
      <c r="U98" s="59"/>
      <c r="V98" s="59"/>
      <c r="W98" s="59"/>
      <c r="X98" s="59"/>
    </row>
    <row r="99" s="22" customFormat="1" hidden="1" spans="1:24">
      <c r="A99" s="59">
        <v>198</v>
      </c>
      <c r="B99" s="60" t="s">
        <v>309</v>
      </c>
      <c r="C99" s="61">
        <v>44075</v>
      </c>
      <c r="D99" s="62" t="str">
        <f ca="1" t="shared" si="4"/>
        <v>一年以上</v>
      </c>
      <c r="E99" s="66">
        <v>44078</v>
      </c>
      <c r="F99" s="66"/>
      <c r="G99" s="59" t="s">
        <v>307</v>
      </c>
      <c r="H99" s="60" t="s">
        <v>34</v>
      </c>
      <c r="I99" s="63" t="s">
        <v>34</v>
      </c>
      <c r="J99" s="71">
        <v>50000</v>
      </c>
      <c r="K99" s="59" t="s">
        <v>28</v>
      </c>
      <c r="L99" s="59" t="s">
        <v>73</v>
      </c>
      <c r="M99" s="59" t="s">
        <v>30</v>
      </c>
      <c r="N99" s="65">
        <v>50000</v>
      </c>
      <c r="O99" s="65">
        <f t="shared" si="6"/>
        <v>0</v>
      </c>
      <c r="P99" s="66">
        <v>45257</v>
      </c>
      <c r="Q99" s="61">
        <f t="shared" si="5"/>
        <v>45257</v>
      </c>
      <c r="R99" s="59" t="s">
        <v>310</v>
      </c>
      <c r="S99" s="75" t="s">
        <v>62</v>
      </c>
      <c r="T99" s="59" t="s">
        <v>311</v>
      </c>
      <c r="U99" s="59" t="str">
        <f>VLOOKUP(T99,[1]区域划分!$A$1:$C$39,3,0)</f>
        <v>牛国庆</v>
      </c>
      <c r="V99" s="59"/>
      <c r="W99" s="80"/>
      <c r="X99" s="80"/>
    </row>
    <row r="100" s="20" customFormat="1" hidden="1" spans="1:24">
      <c r="A100" s="59">
        <v>199</v>
      </c>
      <c r="B100" s="60" t="s">
        <v>312</v>
      </c>
      <c r="C100" s="61">
        <v>44075</v>
      </c>
      <c r="D100" s="62" t="str">
        <f ca="1" t="shared" si="4"/>
        <v>一年以上</v>
      </c>
      <c r="E100" s="66">
        <v>44085</v>
      </c>
      <c r="F100" s="66"/>
      <c r="G100" s="59" t="s">
        <v>54</v>
      </c>
      <c r="H100" s="60" t="s">
        <v>313</v>
      </c>
      <c r="I100" s="63" t="s">
        <v>313</v>
      </c>
      <c r="J100" s="71">
        <v>2000</v>
      </c>
      <c r="K100" s="59"/>
      <c r="L100" s="59" t="s">
        <v>73</v>
      </c>
      <c r="M100" s="59" t="s">
        <v>30</v>
      </c>
      <c r="N100" s="65">
        <v>2000</v>
      </c>
      <c r="O100" s="65">
        <f t="shared" si="6"/>
        <v>0</v>
      </c>
      <c r="P100" s="66">
        <v>44559</v>
      </c>
      <c r="Q100" s="61">
        <f t="shared" si="5"/>
        <v>44559</v>
      </c>
      <c r="R100" s="59"/>
      <c r="S100" s="59" t="s">
        <v>30</v>
      </c>
      <c r="T100" s="59"/>
      <c r="U100" s="59"/>
      <c r="V100" s="59"/>
      <c r="W100" s="59"/>
      <c r="X100" s="59"/>
    </row>
    <row r="101" s="20" customFormat="1" ht="24" hidden="1" spans="1:24">
      <c r="A101" s="59">
        <v>200</v>
      </c>
      <c r="B101" s="60" t="s">
        <v>314</v>
      </c>
      <c r="C101" s="61">
        <v>44075</v>
      </c>
      <c r="D101" s="62" t="str">
        <f ca="1" t="shared" si="4"/>
        <v>一年以上</v>
      </c>
      <c r="E101" s="66">
        <v>44092</v>
      </c>
      <c r="F101" s="66"/>
      <c r="G101" s="59" t="s">
        <v>297</v>
      </c>
      <c r="H101" s="78" t="s">
        <v>315</v>
      </c>
      <c r="I101" s="63" t="s">
        <v>315</v>
      </c>
      <c r="J101" s="71">
        <v>100000</v>
      </c>
      <c r="K101" s="59"/>
      <c r="L101" s="59" t="s">
        <v>73</v>
      </c>
      <c r="M101" s="59" t="s">
        <v>30</v>
      </c>
      <c r="N101" s="65">
        <v>100000</v>
      </c>
      <c r="O101" s="65">
        <f t="shared" si="6"/>
        <v>0</v>
      </c>
      <c r="P101" s="66">
        <v>44208</v>
      </c>
      <c r="Q101" s="61">
        <f t="shared" si="5"/>
        <v>44208</v>
      </c>
      <c r="R101" s="59"/>
      <c r="S101" s="59" t="s">
        <v>30</v>
      </c>
      <c r="T101" s="59"/>
      <c r="U101" s="59"/>
      <c r="V101" s="59"/>
      <c r="W101" s="59"/>
      <c r="X101" s="59"/>
    </row>
    <row r="102" s="22" customFormat="1" ht="24" hidden="1" spans="1:24">
      <c r="A102" s="59">
        <v>201</v>
      </c>
      <c r="B102" s="60" t="s">
        <v>316</v>
      </c>
      <c r="C102" s="61">
        <v>44105</v>
      </c>
      <c r="D102" s="62" t="str">
        <f ca="1" t="shared" si="4"/>
        <v>一年以上</v>
      </c>
      <c r="E102" s="66">
        <v>44113</v>
      </c>
      <c r="F102" s="66"/>
      <c r="G102" s="59" t="s">
        <v>301</v>
      </c>
      <c r="H102" s="60" t="s">
        <v>317</v>
      </c>
      <c r="I102" s="63" t="s">
        <v>317</v>
      </c>
      <c r="J102" s="71">
        <v>3000</v>
      </c>
      <c r="K102" s="59"/>
      <c r="L102" s="59" t="s">
        <v>73</v>
      </c>
      <c r="M102" s="59" t="s">
        <v>30</v>
      </c>
      <c r="N102" s="65">
        <v>3000</v>
      </c>
      <c r="O102" s="65">
        <f t="shared" si="6"/>
        <v>0</v>
      </c>
      <c r="P102" s="66">
        <v>44162</v>
      </c>
      <c r="Q102" s="61">
        <f t="shared" si="5"/>
        <v>44162</v>
      </c>
      <c r="R102" s="59"/>
      <c r="S102" s="59" t="s">
        <v>318</v>
      </c>
      <c r="T102" s="59"/>
      <c r="U102" s="59"/>
      <c r="V102" s="59"/>
      <c r="W102" s="80"/>
      <c r="X102" s="80"/>
    </row>
    <row r="103" s="20" customFormat="1" ht="24" hidden="1" spans="1:24">
      <c r="A103" s="59">
        <v>202</v>
      </c>
      <c r="B103" s="60" t="s">
        <v>319</v>
      </c>
      <c r="C103" s="61">
        <v>44105</v>
      </c>
      <c r="D103" s="62" t="str">
        <f ca="1" t="shared" si="4"/>
        <v>一年以上</v>
      </c>
      <c r="E103" s="66">
        <v>44123</v>
      </c>
      <c r="F103" s="66"/>
      <c r="G103" s="59" t="s">
        <v>54</v>
      </c>
      <c r="H103" s="91" t="s">
        <v>320</v>
      </c>
      <c r="I103" s="63" t="s">
        <v>320</v>
      </c>
      <c r="J103" s="71">
        <v>20000</v>
      </c>
      <c r="K103" s="59"/>
      <c r="L103" s="59" t="s">
        <v>73</v>
      </c>
      <c r="M103" s="59" t="s">
        <v>30</v>
      </c>
      <c r="N103" s="65">
        <v>20000</v>
      </c>
      <c r="O103" s="65">
        <f t="shared" si="6"/>
        <v>0</v>
      </c>
      <c r="P103" s="66">
        <v>44209</v>
      </c>
      <c r="Q103" s="61">
        <f t="shared" si="5"/>
        <v>44209</v>
      </c>
      <c r="R103" s="59"/>
      <c r="S103" s="59"/>
      <c r="T103" s="59"/>
      <c r="U103" s="59"/>
      <c r="V103" s="59"/>
      <c r="W103" s="59"/>
      <c r="X103" s="59"/>
    </row>
    <row r="104" s="20" customFormat="1" ht="24" hidden="1" spans="1:24">
      <c r="A104" s="59">
        <v>203</v>
      </c>
      <c r="B104" s="60" t="s">
        <v>321</v>
      </c>
      <c r="C104" s="61">
        <v>44105</v>
      </c>
      <c r="D104" s="62" t="str">
        <f ca="1" t="shared" si="4"/>
        <v>一年以上</v>
      </c>
      <c r="E104" s="66">
        <v>44130</v>
      </c>
      <c r="F104" s="66"/>
      <c r="G104" s="59" t="s">
        <v>322</v>
      </c>
      <c r="H104" s="91" t="s">
        <v>323</v>
      </c>
      <c r="I104" s="63" t="s">
        <v>323</v>
      </c>
      <c r="J104" s="71">
        <v>20000</v>
      </c>
      <c r="K104" s="59"/>
      <c r="L104" s="59" t="s">
        <v>73</v>
      </c>
      <c r="M104" s="59" t="s">
        <v>30</v>
      </c>
      <c r="N104" s="65">
        <v>20000</v>
      </c>
      <c r="O104" s="65">
        <f t="shared" si="6"/>
        <v>0</v>
      </c>
      <c r="P104" s="66">
        <v>44186</v>
      </c>
      <c r="Q104" s="61">
        <f t="shared" si="5"/>
        <v>44186</v>
      </c>
      <c r="R104" s="59"/>
      <c r="S104" s="59"/>
      <c r="T104" s="59"/>
      <c r="U104" s="59"/>
      <c r="V104" s="59"/>
      <c r="W104" s="59"/>
      <c r="X104" s="59"/>
    </row>
    <row r="105" s="22" customFormat="1" ht="24" hidden="1" spans="1:24">
      <c r="A105" s="59">
        <v>204</v>
      </c>
      <c r="B105" s="60" t="s">
        <v>324</v>
      </c>
      <c r="C105" s="61">
        <v>44105</v>
      </c>
      <c r="D105" s="62" t="str">
        <f ca="1" t="shared" si="4"/>
        <v>一年以上</v>
      </c>
      <c r="E105" s="66">
        <v>44132</v>
      </c>
      <c r="F105" s="66"/>
      <c r="G105" s="59" t="s">
        <v>54</v>
      </c>
      <c r="H105" s="91" t="s">
        <v>325</v>
      </c>
      <c r="I105" s="63" t="s">
        <v>325</v>
      </c>
      <c r="J105" s="71">
        <v>2000</v>
      </c>
      <c r="K105" s="59"/>
      <c r="L105" s="59" t="s">
        <v>73</v>
      </c>
      <c r="M105" s="59" t="s">
        <v>30</v>
      </c>
      <c r="N105" s="65">
        <v>2000</v>
      </c>
      <c r="O105" s="65">
        <f t="shared" si="6"/>
        <v>0</v>
      </c>
      <c r="P105" s="66">
        <v>44217</v>
      </c>
      <c r="Q105" s="61">
        <f t="shared" si="5"/>
        <v>44217</v>
      </c>
      <c r="R105" s="59"/>
      <c r="S105" s="59"/>
      <c r="T105" s="59"/>
      <c r="U105" s="59"/>
      <c r="V105" s="59"/>
      <c r="W105" s="80"/>
      <c r="X105" s="80"/>
    </row>
    <row r="106" s="20" customFormat="1" ht="24" hidden="1" spans="1:24">
      <c r="A106" s="59">
        <v>205</v>
      </c>
      <c r="B106" s="60" t="s">
        <v>326</v>
      </c>
      <c r="C106" s="61">
        <v>44136</v>
      </c>
      <c r="D106" s="62" t="str">
        <f ca="1" t="shared" si="4"/>
        <v>一年以上</v>
      </c>
      <c r="E106" s="66">
        <v>44141</v>
      </c>
      <c r="F106" s="66"/>
      <c r="G106" s="59" t="s">
        <v>294</v>
      </c>
      <c r="H106" s="91" t="s">
        <v>327</v>
      </c>
      <c r="I106" s="63" t="s">
        <v>327</v>
      </c>
      <c r="J106" s="71">
        <v>20000</v>
      </c>
      <c r="K106" s="59" t="s">
        <v>28</v>
      </c>
      <c r="L106" s="59" t="s">
        <v>73</v>
      </c>
      <c r="M106" s="59" t="s">
        <v>30</v>
      </c>
      <c r="N106" s="65"/>
      <c r="O106" s="65">
        <f t="shared" si="6"/>
        <v>20000</v>
      </c>
      <c r="P106" s="66"/>
      <c r="Q106" s="61">
        <f t="shared" si="5"/>
        <v>0</v>
      </c>
      <c r="R106" s="92" t="s">
        <v>328</v>
      </c>
      <c r="S106" s="75" t="s">
        <v>329</v>
      </c>
      <c r="T106" s="59" t="s">
        <v>330</v>
      </c>
      <c r="U106" s="59" t="str">
        <f>VLOOKUP(T106,[1]区域划分!$A$1:$C$39,3,0)</f>
        <v>伍平</v>
      </c>
      <c r="V106" s="59"/>
      <c r="W106" s="59"/>
      <c r="X106" s="59"/>
    </row>
    <row r="107" s="20" customFormat="1" ht="24" hidden="1" spans="1:24">
      <c r="A107" s="59">
        <v>79</v>
      </c>
      <c r="B107" s="60" t="s">
        <v>331</v>
      </c>
      <c r="C107" s="61">
        <v>44136</v>
      </c>
      <c r="D107" s="62" t="str">
        <f ca="1" t="shared" si="4"/>
        <v>一年以上</v>
      </c>
      <c r="E107" s="66">
        <v>44148</v>
      </c>
      <c r="F107" s="66" t="s">
        <v>70</v>
      </c>
      <c r="G107" s="59" t="s">
        <v>190</v>
      </c>
      <c r="H107" s="60" t="s">
        <v>332</v>
      </c>
      <c r="I107" s="63" t="s">
        <v>332</v>
      </c>
      <c r="J107" s="64">
        <v>6000</v>
      </c>
      <c r="K107" s="59"/>
      <c r="L107" s="59" t="s">
        <v>73</v>
      </c>
      <c r="M107" s="59" t="s">
        <v>65</v>
      </c>
      <c r="N107" s="65">
        <v>6000</v>
      </c>
      <c r="O107" s="65">
        <f t="shared" si="6"/>
        <v>0</v>
      </c>
      <c r="P107" s="66">
        <v>44181</v>
      </c>
      <c r="Q107" s="61">
        <f t="shared" si="5"/>
        <v>44181</v>
      </c>
      <c r="R107" s="66"/>
      <c r="S107" s="59" t="s">
        <v>333</v>
      </c>
      <c r="T107" s="59"/>
      <c r="U107" s="59"/>
      <c r="V107" s="59"/>
      <c r="W107" s="59"/>
      <c r="X107" s="59"/>
    </row>
    <row r="108" s="20" customFormat="1" ht="24" hidden="1" spans="1:24">
      <c r="A108" s="59">
        <v>80</v>
      </c>
      <c r="B108" s="60" t="s">
        <v>334</v>
      </c>
      <c r="C108" s="61">
        <v>44136</v>
      </c>
      <c r="D108" s="62" t="str">
        <f ca="1" t="shared" si="4"/>
        <v>一年以上</v>
      </c>
      <c r="E108" s="66">
        <v>44148</v>
      </c>
      <c r="F108" s="66" t="s">
        <v>70</v>
      </c>
      <c r="G108" s="59" t="s">
        <v>335</v>
      </c>
      <c r="H108" s="60" t="s">
        <v>98</v>
      </c>
      <c r="I108" s="63" t="s">
        <v>98</v>
      </c>
      <c r="J108" s="64">
        <v>10000</v>
      </c>
      <c r="K108" s="59"/>
      <c r="L108" s="59" t="s">
        <v>73</v>
      </c>
      <c r="M108" s="59" t="s">
        <v>65</v>
      </c>
      <c r="N108" s="65">
        <v>10000</v>
      </c>
      <c r="O108" s="65">
        <f t="shared" si="6"/>
        <v>0</v>
      </c>
      <c r="P108" s="66">
        <v>44491</v>
      </c>
      <c r="Q108" s="61">
        <f t="shared" si="5"/>
        <v>44491</v>
      </c>
      <c r="R108" s="66"/>
      <c r="S108" s="59"/>
      <c r="T108" s="59"/>
      <c r="U108" s="59"/>
      <c r="V108" s="59"/>
      <c r="W108" s="59"/>
      <c r="X108" s="59"/>
    </row>
    <row r="109" s="20" customFormat="1" ht="24" hidden="1" spans="1:24">
      <c r="A109" s="59">
        <v>81</v>
      </c>
      <c r="B109" s="60" t="s">
        <v>336</v>
      </c>
      <c r="C109" s="61">
        <v>44136</v>
      </c>
      <c r="D109" s="62" t="str">
        <f ca="1" t="shared" si="4"/>
        <v>一年以上</v>
      </c>
      <c r="E109" s="66">
        <v>44162</v>
      </c>
      <c r="F109" s="66" t="s">
        <v>70</v>
      </c>
      <c r="G109" s="59" t="s">
        <v>259</v>
      </c>
      <c r="H109" s="60" t="s">
        <v>222</v>
      </c>
      <c r="I109" s="63" t="s">
        <v>222</v>
      </c>
      <c r="J109" s="64">
        <v>3000</v>
      </c>
      <c r="K109" s="59"/>
      <c r="L109" s="59" t="s">
        <v>73</v>
      </c>
      <c r="M109" s="59" t="s">
        <v>65</v>
      </c>
      <c r="N109" s="65">
        <v>3000</v>
      </c>
      <c r="O109" s="65">
        <f t="shared" si="6"/>
        <v>0</v>
      </c>
      <c r="P109" s="66">
        <v>44555</v>
      </c>
      <c r="Q109" s="61">
        <f t="shared" si="5"/>
        <v>44555</v>
      </c>
      <c r="R109" s="59"/>
      <c r="S109" s="59"/>
      <c r="T109" s="59"/>
      <c r="U109" s="59"/>
      <c r="V109" s="59"/>
      <c r="W109" s="59"/>
      <c r="X109" s="59"/>
    </row>
    <row r="110" s="20" customFormat="1" hidden="1" spans="1:24">
      <c r="A110" s="59">
        <v>192</v>
      </c>
      <c r="B110" s="60" t="s">
        <v>337</v>
      </c>
      <c r="C110" s="61">
        <v>44136</v>
      </c>
      <c r="D110" s="62" t="str">
        <f ca="1" t="shared" si="4"/>
        <v>一年以上</v>
      </c>
      <c r="E110" s="66">
        <v>44165</v>
      </c>
      <c r="F110" s="66"/>
      <c r="G110" s="59"/>
      <c r="H110" s="60" t="s">
        <v>209</v>
      </c>
      <c r="I110" s="63" t="s">
        <v>209</v>
      </c>
      <c r="J110" s="71">
        <v>50000</v>
      </c>
      <c r="K110" s="59" t="s">
        <v>338</v>
      </c>
      <c r="L110" s="59" t="s">
        <v>73</v>
      </c>
      <c r="M110" s="59" t="s">
        <v>30</v>
      </c>
      <c r="N110" s="65">
        <v>50000</v>
      </c>
      <c r="O110" s="65">
        <f t="shared" si="6"/>
        <v>0</v>
      </c>
      <c r="P110" s="66">
        <v>44943</v>
      </c>
      <c r="Q110" s="61">
        <f t="shared" si="5"/>
        <v>44943</v>
      </c>
      <c r="R110" s="59"/>
      <c r="S110" s="75"/>
      <c r="T110" s="59"/>
      <c r="U110" s="59"/>
      <c r="V110" s="59"/>
      <c r="W110" s="59"/>
      <c r="X110" s="59"/>
    </row>
    <row r="111" s="20" customFormat="1" hidden="1" spans="1:24">
      <c r="A111" s="59">
        <v>82</v>
      </c>
      <c r="B111" s="60" t="s">
        <v>339</v>
      </c>
      <c r="C111" s="61">
        <v>44166</v>
      </c>
      <c r="D111" s="62" t="str">
        <f ca="1" t="shared" si="4"/>
        <v>一年以上</v>
      </c>
      <c r="E111" s="66">
        <v>44172</v>
      </c>
      <c r="F111" s="66" t="s">
        <v>70</v>
      </c>
      <c r="G111" s="59" t="s">
        <v>340</v>
      </c>
      <c r="H111" s="60" t="s">
        <v>341</v>
      </c>
      <c r="I111" s="63" t="s">
        <v>341</v>
      </c>
      <c r="J111" s="64">
        <v>2000</v>
      </c>
      <c r="K111" s="59"/>
      <c r="L111" s="59" t="s">
        <v>73</v>
      </c>
      <c r="M111" s="59" t="s">
        <v>65</v>
      </c>
      <c r="N111" s="65">
        <v>2000</v>
      </c>
      <c r="O111" s="65">
        <f t="shared" si="6"/>
        <v>0</v>
      </c>
      <c r="P111" s="66">
        <v>44532</v>
      </c>
      <c r="Q111" s="61">
        <f t="shared" si="5"/>
        <v>44532</v>
      </c>
      <c r="R111" s="66"/>
      <c r="S111" s="59"/>
      <c r="T111" s="59"/>
      <c r="U111" s="59"/>
      <c r="V111" s="59"/>
      <c r="W111" s="59"/>
      <c r="X111" s="59"/>
    </row>
    <row r="112" s="20" customFormat="1" ht="24" hidden="1" spans="1:24">
      <c r="A112" s="59">
        <v>83</v>
      </c>
      <c r="B112" s="60" t="s">
        <v>342</v>
      </c>
      <c r="C112" s="61">
        <v>44166</v>
      </c>
      <c r="D112" s="62" t="str">
        <f ca="1" t="shared" si="4"/>
        <v>一年以上</v>
      </c>
      <c r="E112" s="66">
        <v>44172</v>
      </c>
      <c r="F112" s="66" t="s">
        <v>70</v>
      </c>
      <c r="G112" s="59" t="s">
        <v>149</v>
      </c>
      <c r="H112" s="60" t="s">
        <v>343</v>
      </c>
      <c r="I112" s="63" t="s">
        <v>343</v>
      </c>
      <c r="J112" s="64">
        <v>2000</v>
      </c>
      <c r="K112" s="59"/>
      <c r="L112" s="59" t="s">
        <v>96</v>
      </c>
      <c r="M112" s="59" t="s">
        <v>65</v>
      </c>
      <c r="N112" s="65">
        <v>2000</v>
      </c>
      <c r="O112" s="65">
        <f t="shared" si="6"/>
        <v>0</v>
      </c>
      <c r="P112" s="93">
        <v>44330</v>
      </c>
      <c r="Q112" s="61">
        <f t="shared" si="5"/>
        <v>44330</v>
      </c>
      <c r="R112" s="93"/>
      <c r="S112" s="89" t="s">
        <v>344</v>
      </c>
      <c r="T112" s="59"/>
      <c r="U112" s="59"/>
      <c r="V112" s="59"/>
      <c r="W112" s="59"/>
      <c r="X112" s="59"/>
    </row>
    <row r="113" s="20" customFormat="1" ht="24" hidden="1" spans="1:24">
      <c r="A113" s="59">
        <v>345</v>
      </c>
      <c r="B113" s="60" t="s">
        <v>345</v>
      </c>
      <c r="C113" s="61">
        <v>44166</v>
      </c>
      <c r="D113" s="62" t="str">
        <f ca="1" t="shared" si="4"/>
        <v>一年以上</v>
      </c>
      <c r="E113" s="66">
        <v>44176</v>
      </c>
      <c r="F113" s="66" t="s">
        <v>130</v>
      </c>
      <c r="G113" s="59" t="s">
        <v>125</v>
      </c>
      <c r="H113" s="91" t="s">
        <v>346</v>
      </c>
      <c r="I113" s="63" t="s">
        <v>346</v>
      </c>
      <c r="J113" s="76">
        <v>10800</v>
      </c>
      <c r="K113" s="59"/>
      <c r="L113" s="59" t="s">
        <v>73</v>
      </c>
      <c r="M113" s="59" t="s">
        <v>133</v>
      </c>
      <c r="N113" s="65">
        <v>10800</v>
      </c>
      <c r="O113" s="65">
        <f t="shared" si="6"/>
        <v>0</v>
      </c>
      <c r="P113" s="66">
        <v>44250</v>
      </c>
      <c r="Q113" s="61">
        <f t="shared" si="5"/>
        <v>44250</v>
      </c>
      <c r="R113" s="59"/>
      <c r="S113" s="59" t="s">
        <v>133</v>
      </c>
      <c r="T113" s="59"/>
      <c r="U113" s="59"/>
      <c r="V113" s="59"/>
      <c r="W113" s="59"/>
      <c r="X113" s="59"/>
    </row>
    <row r="114" s="20" customFormat="1" ht="36" hidden="1" spans="1:24">
      <c r="A114" s="59">
        <v>84</v>
      </c>
      <c r="B114" s="60" t="s">
        <v>347</v>
      </c>
      <c r="C114" s="61">
        <v>44166</v>
      </c>
      <c r="D114" s="62" t="str">
        <f ca="1" t="shared" si="4"/>
        <v>一年以上</v>
      </c>
      <c r="E114" s="66">
        <v>44179</v>
      </c>
      <c r="F114" s="66" t="s">
        <v>70</v>
      </c>
      <c r="G114" s="59" t="s">
        <v>340</v>
      </c>
      <c r="H114" s="60" t="s">
        <v>348</v>
      </c>
      <c r="I114" s="63" t="s">
        <v>348</v>
      </c>
      <c r="J114" s="64">
        <v>10000</v>
      </c>
      <c r="K114" s="59" t="s">
        <v>28</v>
      </c>
      <c r="L114" s="59" t="s">
        <v>73</v>
      </c>
      <c r="M114" s="59" t="s">
        <v>65</v>
      </c>
      <c r="N114" s="65">
        <v>9800</v>
      </c>
      <c r="O114" s="65">
        <f t="shared" si="6"/>
        <v>200</v>
      </c>
      <c r="P114" s="66">
        <v>44249</v>
      </c>
      <c r="Q114" s="61">
        <f t="shared" si="5"/>
        <v>44249</v>
      </c>
      <c r="R114" s="59" t="s">
        <v>349</v>
      </c>
      <c r="S114" s="59"/>
      <c r="T114" s="59" t="s">
        <v>300</v>
      </c>
      <c r="U114" s="59" t="str">
        <f>VLOOKUP(T114,[1]区域划分!$A$1:$C$39,3,0)</f>
        <v>林维</v>
      </c>
      <c r="V114" s="59"/>
      <c r="W114" s="59"/>
      <c r="X114" s="59"/>
    </row>
    <row r="115" s="20" customFormat="1" ht="24" hidden="1" spans="1:24">
      <c r="A115" s="59">
        <v>85</v>
      </c>
      <c r="B115" s="60" t="s">
        <v>350</v>
      </c>
      <c r="C115" s="61">
        <v>44166</v>
      </c>
      <c r="D115" s="62" t="str">
        <f ca="1" t="shared" si="4"/>
        <v>一年以上</v>
      </c>
      <c r="E115" s="66">
        <v>44181</v>
      </c>
      <c r="F115" s="66" t="s">
        <v>70</v>
      </c>
      <c r="G115" s="59" t="s">
        <v>119</v>
      </c>
      <c r="H115" s="60" t="s">
        <v>269</v>
      </c>
      <c r="I115" s="63" t="s">
        <v>269</v>
      </c>
      <c r="J115" s="64">
        <v>3000</v>
      </c>
      <c r="K115" s="59"/>
      <c r="L115" s="59" t="s">
        <v>96</v>
      </c>
      <c r="M115" s="59" t="s">
        <v>65</v>
      </c>
      <c r="N115" s="65">
        <v>3000</v>
      </c>
      <c r="O115" s="65">
        <f t="shared" si="6"/>
        <v>0</v>
      </c>
      <c r="P115" s="66">
        <v>44227</v>
      </c>
      <c r="Q115" s="61">
        <f t="shared" si="5"/>
        <v>44227</v>
      </c>
      <c r="R115" s="66"/>
      <c r="S115" s="59"/>
      <c r="T115" s="59"/>
      <c r="U115" s="59"/>
      <c r="V115" s="59"/>
      <c r="W115" s="59"/>
      <c r="X115" s="59"/>
    </row>
    <row r="116" s="20" customFormat="1" ht="24" hidden="1" spans="1:24">
      <c r="A116" s="59">
        <v>206</v>
      </c>
      <c r="B116" s="60" t="s">
        <v>351</v>
      </c>
      <c r="C116" s="61">
        <v>44166</v>
      </c>
      <c r="D116" s="62" t="str">
        <f ca="1" t="shared" si="4"/>
        <v>一年以上</v>
      </c>
      <c r="E116" s="66">
        <v>44181</v>
      </c>
      <c r="F116" s="66"/>
      <c r="G116" s="59" t="s">
        <v>297</v>
      </c>
      <c r="H116" s="91" t="s">
        <v>352</v>
      </c>
      <c r="I116" s="63" t="s">
        <v>352</v>
      </c>
      <c r="J116" s="71">
        <v>10000</v>
      </c>
      <c r="K116" s="59"/>
      <c r="L116" s="59" t="s">
        <v>73</v>
      </c>
      <c r="M116" s="59" t="s">
        <v>30</v>
      </c>
      <c r="N116" s="65">
        <v>10000</v>
      </c>
      <c r="O116" s="65">
        <f t="shared" si="6"/>
        <v>0</v>
      </c>
      <c r="P116" s="66">
        <v>44216</v>
      </c>
      <c r="Q116" s="61">
        <f t="shared" si="5"/>
        <v>44216</v>
      </c>
      <c r="R116" s="59"/>
      <c r="S116" s="59"/>
      <c r="T116" s="59"/>
      <c r="U116" s="59"/>
      <c r="V116" s="59"/>
      <c r="W116" s="59"/>
      <c r="X116" s="59"/>
    </row>
    <row r="117" s="20" customFormat="1" hidden="1" spans="1:24">
      <c r="A117" s="59">
        <v>86</v>
      </c>
      <c r="B117" s="60" t="s">
        <v>353</v>
      </c>
      <c r="C117" s="61">
        <v>44166</v>
      </c>
      <c r="D117" s="62" t="str">
        <f ca="1" t="shared" si="4"/>
        <v>一年以上</v>
      </c>
      <c r="E117" s="66">
        <v>44182</v>
      </c>
      <c r="F117" s="66" t="s">
        <v>70</v>
      </c>
      <c r="G117" s="59" t="s">
        <v>219</v>
      </c>
      <c r="H117" s="60" t="s">
        <v>179</v>
      </c>
      <c r="I117" s="63" t="s">
        <v>179</v>
      </c>
      <c r="J117" s="64">
        <f>5000</f>
        <v>5000</v>
      </c>
      <c r="K117" s="59"/>
      <c r="L117" s="59" t="s">
        <v>96</v>
      </c>
      <c r="M117" s="59" t="s">
        <v>65</v>
      </c>
      <c r="N117" s="65">
        <v>5000</v>
      </c>
      <c r="O117" s="65">
        <f t="shared" si="6"/>
        <v>0</v>
      </c>
      <c r="P117" s="66">
        <v>44211</v>
      </c>
      <c r="Q117" s="61">
        <f t="shared" si="5"/>
        <v>44211</v>
      </c>
      <c r="R117" s="66"/>
      <c r="S117" s="59" t="s">
        <v>354</v>
      </c>
      <c r="T117" s="59"/>
      <c r="U117" s="59"/>
      <c r="V117" s="59"/>
      <c r="W117" s="59"/>
      <c r="X117" s="59"/>
    </row>
    <row r="118" s="17" customFormat="1" hidden="1" spans="1:24">
      <c r="A118" s="59">
        <v>113</v>
      </c>
      <c r="B118" s="60" t="s">
        <v>355</v>
      </c>
      <c r="C118" s="61"/>
      <c r="D118" s="62" t="str">
        <f ca="1" t="shared" si="4"/>
        <v>一年以上</v>
      </c>
      <c r="E118" s="66">
        <v>44182</v>
      </c>
      <c r="F118" s="66" t="s">
        <v>70</v>
      </c>
      <c r="G118" s="59" t="s">
        <v>119</v>
      </c>
      <c r="H118" s="60" t="s">
        <v>179</v>
      </c>
      <c r="I118" s="63" t="s">
        <v>179</v>
      </c>
      <c r="J118" s="64">
        <v>1500</v>
      </c>
      <c r="K118" s="59" t="s">
        <v>356</v>
      </c>
      <c r="L118" s="59" t="s">
        <v>357</v>
      </c>
      <c r="M118" s="59" t="s">
        <v>65</v>
      </c>
      <c r="N118" s="65">
        <v>1500</v>
      </c>
      <c r="O118" s="65">
        <f t="shared" si="6"/>
        <v>0</v>
      </c>
      <c r="P118" s="66">
        <v>44237</v>
      </c>
      <c r="Q118" s="61">
        <f t="shared" si="5"/>
        <v>44237</v>
      </c>
      <c r="R118" s="59"/>
      <c r="S118" s="59"/>
      <c r="T118" s="59"/>
      <c r="U118" s="59"/>
      <c r="V118" s="59"/>
      <c r="W118" s="68"/>
      <c r="X118" s="68"/>
    </row>
    <row r="119" s="20" customFormat="1" ht="24" hidden="1" spans="1:24">
      <c r="A119" s="59">
        <v>207</v>
      </c>
      <c r="B119" s="60" t="s">
        <v>358</v>
      </c>
      <c r="C119" s="61">
        <v>44166</v>
      </c>
      <c r="D119" s="62" t="str">
        <f ca="1" t="shared" si="4"/>
        <v>一年以上</v>
      </c>
      <c r="E119" s="66">
        <v>44186</v>
      </c>
      <c r="F119" s="66"/>
      <c r="G119" s="59" t="s">
        <v>54</v>
      </c>
      <c r="H119" s="91" t="s">
        <v>325</v>
      </c>
      <c r="I119" s="63" t="s">
        <v>325</v>
      </c>
      <c r="J119" s="71">
        <v>5000</v>
      </c>
      <c r="K119" s="59"/>
      <c r="L119" s="59" t="s">
        <v>73</v>
      </c>
      <c r="M119" s="59" t="s">
        <v>30</v>
      </c>
      <c r="N119" s="65">
        <v>5000</v>
      </c>
      <c r="O119" s="65">
        <f t="shared" si="6"/>
        <v>0</v>
      </c>
      <c r="P119" s="66">
        <v>44217</v>
      </c>
      <c r="Q119" s="61">
        <f t="shared" si="5"/>
        <v>44217</v>
      </c>
      <c r="R119" s="59"/>
      <c r="S119" s="59"/>
      <c r="T119" s="59"/>
      <c r="U119" s="59"/>
      <c r="V119" s="59"/>
      <c r="W119" s="59"/>
      <c r="X119" s="59"/>
    </row>
    <row r="120" s="20" customFormat="1" ht="36" hidden="1" spans="1:24">
      <c r="A120" s="59">
        <v>208</v>
      </c>
      <c r="B120" s="60" t="s">
        <v>359</v>
      </c>
      <c r="C120" s="61">
        <v>44166</v>
      </c>
      <c r="D120" s="62" t="str">
        <f ca="1" t="shared" si="4"/>
        <v>一年以上</v>
      </c>
      <c r="E120" s="66">
        <v>44186</v>
      </c>
      <c r="F120" s="66"/>
      <c r="G120" s="59" t="s">
        <v>54</v>
      </c>
      <c r="H120" s="91" t="s">
        <v>360</v>
      </c>
      <c r="I120" s="63" t="s">
        <v>360</v>
      </c>
      <c r="J120" s="71">
        <v>10000</v>
      </c>
      <c r="K120" s="59"/>
      <c r="L120" s="59" t="s">
        <v>73</v>
      </c>
      <c r="M120" s="59" t="s">
        <v>30</v>
      </c>
      <c r="N120" s="65">
        <v>10000</v>
      </c>
      <c r="O120" s="65">
        <f t="shared" si="6"/>
        <v>0</v>
      </c>
      <c r="P120" s="66">
        <v>44251</v>
      </c>
      <c r="Q120" s="61">
        <f t="shared" si="5"/>
        <v>44251</v>
      </c>
      <c r="R120" s="59"/>
      <c r="S120" s="59"/>
      <c r="T120" s="59"/>
      <c r="U120" s="59"/>
      <c r="V120" s="59"/>
      <c r="W120" s="59"/>
      <c r="X120" s="59"/>
    </row>
    <row r="121" s="20" customFormat="1" ht="24" hidden="1" spans="1:24">
      <c r="A121" s="59">
        <v>209</v>
      </c>
      <c r="B121" s="60" t="s">
        <v>361</v>
      </c>
      <c r="C121" s="61">
        <v>44166</v>
      </c>
      <c r="D121" s="62" t="str">
        <f ca="1" t="shared" si="4"/>
        <v>一年以上</v>
      </c>
      <c r="E121" s="66">
        <v>44188</v>
      </c>
      <c r="F121" s="66"/>
      <c r="G121" s="59" t="s">
        <v>239</v>
      </c>
      <c r="H121" s="91" t="s">
        <v>362</v>
      </c>
      <c r="I121" s="63" t="s">
        <v>362</v>
      </c>
      <c r="J121" s="71">
        <v>3000</v>
      </c>
      <c r="K121" s="59"/>
      <c r="L121" s="59" t="s">
        <v>96</v>
      </c>
      <c r="M121" s="59" t="s">
        <v>30</v>
      </c>
      <c r="N121" s="65">
        <v>3000</v>
      </c>
      <c r="O121" s="65">
        <f t="shared" si="6"/>
        <v>0</v>
      </c>
      <c r="P121" s="66">
        <v>44201</v>
      </c>
      <c r="Q121" s="61">
        <f t="shared" si="5"/>
        <v>44201</v>
      </c>
      <c r="R121" s="59"/>
      <c r="S121" s="59"/>
      <c r="T121" s="59"/>
      <c r="U121" s="59"/>
      <c r="V121" s="59"/>
      <c r="W121" s="59"/>
      <c r="X121" s="59"/>
    </row>
    <row r="122" s="20" customFormat="1" ht="24" hidden="1" spans="1:24">
      <c r="A122" s="59">
        <v>87</v>
      </c>
      <c r="B122" s="60" t="s">
        <v>363</v>
      </c>
      <c r="C122" s="61">
        <v>44166</v>
      </c>
      <c r="D122" s="62" t="str">
        <f ca="1" t="shared" si="4"/>
        <v>一年以上</v>
      </c>
      <c r="E122" s="66">
        <v>44190</v>
      </c>
      <c r="F122" s="66" t="s">
        <v>70</v>
      </c>
      <c r="G122" s="59" t="s">
        <v>149</v>
      </c>
      <c r="H122" s="60" t="s">
        <v>152</v>
      </c>
      <c r="I122" s="63" t="s">
        <v>152</v>
      </c>
      <c r="J122" s="64">
        <v>10000</v>
      </c>
      <c r="K122" s="59"/>
      <c r="L122" s="59" t="s">
        <v>73</v>
      </c>
      <c r="M122" s="59" t="s">
        <v>65</v>
      </c>
      <c r="N122" s="65">
        <v>10000</v>
      </c>
      <c r="O122" s="65">
        <f t="shared" si="6"/>
        <v>0</v>
      </c>
      <c r="P122" s="66">
        <v>44233</v>
      </c>
      <c r="Q122" s="61">
        <f t="shared" si="5"/>
        <v>44233</v>
      </c>
      <c r="R122" s="66"/>
      <c r="S122" s="89" t="s">
        <v>364</v>
      </c>
      <c r="T122" s="59"/>
      <c r="U122" s="59"/>
      <c r="V122" s="59"/>
      <c r="W122" s="59"/>
      <c r="X122" s="59"/>
    </row>
    <row r="123" s="20" customFormat="1" ht="24" hidden="1" spans="1:24">
      <c r="A123" s="59">
        <v>88</v>
      </c>
      <c r="B123" s="60" t="s">
        <v>365</v>
      </c>
      <c r="C123" s="61">
        <v>44166</v>
      </c>
      <c r="D123" s="62" t="str">
        <f ca="1" t="shared" si="4"/>
        <v>一年以上</v>
      </c>
      <c r="E123" s="66">
        <v>44193</v>
      </c>
      <c r="F123" s="66" t="s">
        <v>82</v>
      </c>
      <c r="G123" s="59" t="s">
        <v>119</v>
      </c>
      <c r="H123" s="60" t="s">
        <v>366</v>
      </c>
      <c r="I123" s="63" t="s">
        <v>366</v>
      </c>
      <c r="J123" s="64">
        <v>2000</v>
      </c>
      <c r="K123" s="59" t="s">
        <v>28</v>
      </c>
      <c r="L123" s="59" t="s">
        <v>57</v>
      </c>
      <c r="M123" s="59" t="s">
        <v>65</v>
      </c>
      <c r="N123" s="65">
        <v>2000</v>
      </c>
      <c r="O123" s="65">
        <f t="shared" si="6"/>
        <v>0</v>
      </c>
      <c r="P123" s="66">
        <v>45069</v>
      </c>
      <c r="Q123" s="61">
        <f t="shared" si="5"/>
        <v>45069</v>
      </c>
      <c r="R123" s="59"/>
      <c r="S123" s="59" t="s">
        <v>367</v>
      </c>
      <c r="T123" s="59" t="s">
        <v>182</v>
      </c>
      <c r="U123" s="59" t="s">
        <v>125</v>
      </c>
      <c r="V123" s="59"/>
      <c r="W123" s="59"/>
      <c r="X123" s="59"/>
    </row>
    <row r="124" s="20" customFormat="1" hidden="1" spans="1:24">
      <c r="A124" s="59">
        <v>210</v>
      </c>
      <c r="B124" s="60" t="s">
        <v>368</v>
      </c>
      <c r="C124" s="61">
        <v>44166</v>
      </c>
      <c r="D124" s="62" t="str">
        <f ca="1" t="shared" si="4"/>
        <v>一年以上</v>
      </c>
      <c r="E124" s="66">
        <v>44195</v>
      </c>
      <c r="F124" s="66"/>
      <c r="G124" s="59" t="s">
        <v>54</v>
      </c>
      <c r="H124" s="60" t="s">
        <v>313</v>
      </c>
      <c r="I124" s="63" t="s">
        <v>313</v>
      </c>
      <c r="J124" s="71">
        <v>3000</v>
      </c>
      <c r="K124" s="59"/>
      <c r="L124" s="59" t="s">
        <v>73</v>
      </c>
      <c r="M124" s="59" t="s">
        <v>30</v>
      </c>
      <c r="N124" s="65">
        <v>3000</v>
      </c>
      <c r="O124" s="65">
        <f t="shared" si="6"/>
        <v>0</v>
      </c>
      <c r="P124" s="66">
        <v>44280</v>
      </c>
      <c r="Q124" s="61">
        <f t="shared" si="5"/>
        <v>44280</v>
      </c>
      <c r="R124" s="59"/>
      <c r="S124" s="59"/>
      <c r="T124" s="59"/>
      <c r="U124" s="59"/>
      <c r="V124" s="59"/>
      <c r="W124" s="59"/>
      <c r="X124" s="59"/>
    </row>
    <row r="125" s="22" customFormat="1" ht="24" hidden="1" spans="1:24">
      <c r="A125" s="59">
        <v>89</v>
      </c>
      <c r="B125" s="60" t="s">
        <v>369</v>
      </c>
      <c r="C125" s="61">
        <v>44197</v>
      </c>
      <c r="D125" s="62" t="str">
        <f ca="1" t="shared" si="4"/>
        <v>一年以上</v>
      </c>
      <c r="E125" s="66">
        <v>44200</v>
      </c>
      <c r="F125" s="66" t="s">
        <v>70</v>
      </c>
      <c r="G125" s="59" t="s">
        <v>146</v>
      </c>
      <c r="H125" s="60" t="s">
        <v>231</v>
      </c>
      <c r="I125" s="63" t="s">
        <v>231</v>
      </c>
      <c r="J125" s="64">
        <v>5920</v>
      </c>
      <c r="K125" s="59"/>
      <c r="L125" s="59" t="s">
        <v>73</v>
      </c>
      <c r="M125" s="59" t="s">
        <v>65</v>
      </c>
      <c r="N125" s="65">
        <v>5920</v>
      </c>
      <c r="O125" s="65">
        <f t="shared" si="6"/>
        <v>0</v>
      </c>
      <c r="P125" s="66">
        <v>44614</v>
      </c>
      <c r="Q125" s="61">
        <f t="shared" si="5"/>
        <v>44614</v>
      </c>
      <c r="R125" s="66"/>
      <c r="S125" s="59" t="s">
        <v>370</v>
      </c>
      <c r="T125" s="59" t="s">
        <v>32</v>
      </c>
      <c r="U125" s="59" t="s">
        <v>371</v>
      </c>
      <c r="V125" s="59"/>
      <c r="W125" s="80"/>
      <c r="X125" s="80"/>
    </row>
    <row r="126" s="20" customFormat="1" hidden="1" spans="1:24">
      <c r="A126" s="59">
        <v>90</v>
      </c>
      <c r="B126" s="60" t="s">
        <v>372</v>
      </c>
      <c r="C126" s="61">
        <v>44197</v>
      </c>
      <c r="D126" s="62" t="str">
        <f ca="1" t="shared" si="4"/>
        <v>一年以上</v>
      </c>
      <c r="E126" s="66">
        <v>44202</v>
      </c>
      <c r="F126" s="66" t="s">
        <v>82</v>
      </c>
      <c r="G126" s="59" t="s">
        <v>340</v>
      </c>
      <c r="H126" s="60" t="s">
        <v>144</v>
      </c>
      <c r="I126" s="63" t="s">
        <v>144</v>
      </c>
      <c r="J126" s="64">
        <v>4000</v>
      </c>
      <c r="K126" s="59" t="s">
        <v>28</v>
      </c>
      <c r="L126" s="59" t="s">
        <v>57</v>
      </c>
      <c r="M126" s="59" t="s">
        <v>65</v>
      </c>
      <c r="N126" s="86">
        <v>4000</v>
      </c>
      <c r="O126" s="65">
        <f t="shared" si="6"/>
        <v>0</v>
      </c>
      <c r="P126" s="66">
        <v>45181</v>
      </c>
      <c r="Q126" s="61">
        <f t="shared" si="5"/>
        <v>45181</v>
      </c>
      <c r="R126" s="59"/>
      <c r="S126" s="59" t="s">
        <v>373</v>
      </c>
      <c r="T126" s="59" t="s">
        <v>86</v>
      </c>
      <c r="U126" s="59" t="s">
        <v>87</v>
      </c>
      <c r="V126" s="59"/>
      <c r="W126" s="59"/>
      <c r="X126" s="59"/>
    </row>
    <row r="127" s="20" customFormat="1" hidden="1" spans="1:24">
      <c r="A127" s="59">
        <v>211</v>
      </c>
      <c r="B127" s="60" t="s">
        <v>374</v>
      </c>
      <c r="C127" s="61">
        <v>44197</v>
      </c>
      <c r="D127" s="62" t="str">
        <f ca="1" t="shared" si="4"/>
        <v>一年以上</v>
      </c>
      <c r="E127" s="66">
        <v>44202</v>
      </c>
      <c r="F127" s="66"/>
      <c r="G127" s="59" t="s">
        <v>375</v>
      </c>
      <c r="H127" s="60" t="s">
        <v>376</v>
      </c>
      <c r="I127" s="63" t="s">
        <v>376</v>
      </c>
      <c r="J127" s="71">
        <v>36000</v>
      </c>
      <c r="K127" s="59"/>
      <c r="L127" s="59" t="s">
        <v>73</v>
      </c>
      <c r="M127" s="59" t="s">
        <v>30</v>
      </c>
      <c r="N127" s="65">
        <v>36000</v>
      </c>
      <c r="O127" s="65">
        <f t="shared" si="6"/>
        <v>0</v>
      </c>
      <c r="P127" s="66">
        <v>44223</v>
      </c>
      <c r="Q127" s="61">
        <f t="shared" si="5"/>
        <v>44223</v>
      </c>
      <c r="R127" s="59"/>
      <c r="S127" s="59"/>
      <c r="T127" s="59"/>
      <c r="U127" s="59"/>
      <c r="V127" s="59"/>
      <c r="W127" s="59"/>
      <c r="X127" s="59"/>
    </row>
    <row r="128" s="20" customFormat="1" ht="36" hidden="1" spans="1:24">
      <c r="A128" s="59">
        <v>91</v>
      </c>
      <c r="B128" s="60" t="s">
        <v>377</v>
      </c>
      <c r="C128" s="61">
        <v>44197</v>
      </c>
      <c r="D128" s="62" t="str">
        <f ca="1" t="shared" si="4"/>
        <v>一年以上</v>
      </c>
      <c r="E128" s="66">
        <v>44210</v>
      </c>
      <c r="F128" s="66" t="s">
        <v>282</v>
      </c>
      <c r="G128" s="59" t="s">
        <v>378</v>
      </c>
      <c r="H128" s="60" t="s">
        <v>379</v>
      </c>
      <c r="I128" s="63" t="s">
        <v>379</v>
      </c>
      <c r="J128" s="64">
        <v>500</v>
      </c>
      <c r="K128" s="59" t="s">
        <v>28</v>
      </c>
      <c r="L128" s="59" t="s">
        <v>73</v>
      </c>
      <c r="M128" s="59" t="s">
        <v>65</v>
      </c>
      <c r="N128" s="65"/>
      <c r="O128" s="65">
        <f t="shared" si="6"/>
        <v>500</v>
      </c>
      <c r="P128" s="66"/>
      <c r="Q128" s="61">
        <f t="shared" si="5"/>
        <v>0</v>
      </c>
      <c r="R128" s="59" t="s">
        <v>380</v>
      </c>
      <c r="S128" s="59"/>
      <c r="T128" s="59" t="s">
        <v>381</v>
      </c>
      <c r="U128" s="59" t="str">
        <f>VLOOKUP(T128,[1]区域划分!$A$1:$C$39,3,0)</f>
        <v>林维</v>
      </c>
      <c r="V128" s="59"/>
      <c r="W128" s="59"/>
      <c r="X128" s="59"/>
    </row>
    <row r="129" s="20" customFormat="1" ht="24" hidden="1" spans="1:24">
      <c r="A129" s="59">
        <v>92</v>
      </c>
      <c r="B129" s="60" t="s">
        <v>382</v>
      </c>
      <c r="C129" s="61">
        <v>44197</v>
      </c>
      <c r="D129" s="62" t="str">
        <f ca="1" t="shared" si="4"/>
        <v>一年以上</v>
      </c>
      <c r="E129" s="66">
        <v>44214</v>
      </c>
      <c r="F129" s="66" t="s">
        <v>70</v>
      </c>
      <c r="G129" s="59" t="s">
        <v>219</v>
      </c>
      <c r="H129" s="60" t="s">
        <v>383</v>
      </c>
      <c r="I129" s="63" t="s">
        <v>383</v>
      </c>
      <c r="J129" s="64">
        <v>2000</v>
      </c>
      <c r="K129" s="59"/>
      <c r="L129" s="59" t="s">
        <v>73</v>
      </c>
      <c r="M129" s="59" t="s">
        <v>65</v>
      </c>
      <c r="N129" s="65">
        <v>2000</v>
      </c>
      <c r="O129" s="65">
        <f t="shared" si="6"/>
        <v>0</v>
      </c>
      <c r="P129" s="66">
        <v>44433</v>
      </c>
      <c r="Q129" s="61">
        <f t="shared" si="5"/>
        <v>44433</v>
      </c>
      <c r="R129" s="66"/>
      <c r="S129" s="59"/>
      <c r="T129" s="59"/>
      <c r="U129" s="59"/>
      <c r="V129" s="59"/>
      <c r="W129" s="59"/>
      <c r="X129" s="59"/>
    </row>
    <row r="130" s="20" customFormat="1" ht="36" hidden="1" spans="1:24">
      <c r="A130" s="59">
        <v>212</v>
      </c>
      <c r="B130" s="60" t="s">
        <v>2655</v>
      </c>
      <c r="C130" s="61">
        <v>44197</v>
      </c>
      <c r="D130" s="62" t="str">
        <f ca="1" t="shared" si="4"/>
        <v>一年以上</v>
      </c>
      <c r="E130" s="66">
        <v>44216</v>
      </c>
      <c r="F130" s="66"/>
      <c r="G130" s="59" t="s">
        <v>239</v>
      </c>
      <c r="H130" s="60" t="s">
        <v>384</v>
      </c>
      <c r="I130" s="87" t="s">
        <v>385</v>
      </c>
      <c r="J130" s="71">
        <v>5000</v>
      </c>
      <c r="K130" s="59" t="s">
        <v>28</v>
      </c>
      <c r="L130" s="59" t="s">
        <v>73</v>
      </c>
      <c r="M130" s="59" t="s">
        <v>30</v>
      </c>
      <c r="N130" s="65"/>
      <c r="O130" s="88">
        <f t="shared" si="6"/>
        <v>5000</v>
      </c>
      <c r="P130" s="66"/>
      <c r="Q130" s="61">
        <f t="shared" si="5"/>
        <v>0</v>
      </c>
      <c r="R130" s="59" t="s">
        <v>386</v>
      </c>
      <c r="S130" s="59" t="s">
        <v>2656</v>
      </c>
      <c r="T130" s="59" t="s">
        <v>388</v>
      </c>
      <c r="U130" s="59" t="str">
        <f>VLOOKUP(T130,[1]区域划分!$A$1:$C$39,3,0)</f>
        <v>林维</v>
      </c>
      <c r="V130" s="59"/>
      <c r="W130" s="59"/>
      <c r="X130" s="59"/>
    </row>
    <row r="131" s="20" customFormat="1" hidden="1" spans="1:24">
      <c r="A131" s="59">
        <v>93</v>
      </c>
      <c r="B131" s="60" t="s">
        <v>389</v>
      </c>
      <c r="C131" s="61">
        <v>44197</v>
      </c>
      <c r="D131" s="62" t="str">
        <f ca="1" t="shared" ref="D131:D194" si="7">IF(TODAY()-E131&lt;60,"2个月内",IF(TODAY()-E131&lt;180,"3-6个月",IF(TODAY()-E131&lt;360,"6个月-1年","一年以上")))</f>
        <v>一年以上</v>
      </c>
      <c r="E131" s="66">
        <v>44218</v>
      </c>
      <c r="F131" s="66" t="s">
        <v>70</v>
      </c>
      <c r="G131" s="59" t="s">
        <v>119</v>
      </c>
      <c r="H131" s="60" t="s">
        <v>179</v>
      </c>
      <c r="I131" s="63" t="s">
        <v>179</v>
      </c>
      <c r="J131" s="64">
        <v>3000</v>
      </c>
      <c r="K131" s="59"/>
      <c r="L131" s="59" t="s">
        <v>96</v>
      </c>
      <c r="M131" s="59" t="s">
        <v>65</v>
      </c>
      <c r="N131" s="65">
        <v>3000</v>
      </c>
      <c r="O131" s="65">
        <f t="shared" si="6"/>
        <v>0</v>
      </c>
      <c r="P131" s="66">
        <v>44277</v>
      </c>
      <c r="Q131" s="61">
        <f t="shared" ref="Q131:Q194" si="8">P131</f>
        <v>44277</v>
      </c>
      <c r="R131" s="66"/>
      <c r="S131" s="59"/>
      <c r="T131" s="59"/>
      <c r="U131" s="59"/>
      <c r="V131" s="59"/>
      <c r="W131" s="59"/>
      <c r="X131" s="59"/>
    </row>
    <row r="132" s="20" customFormat="1" ht="24" hidden="1" spans="1:24">
      <c r="A132" s="59">
        <v>346</v>
      </c>
      <c r="B132" s="60" t="s">
        <v>390</v>
      </c>
      <c r="C132" s="61">
        <v>44197</v>
      </c>
      <c r="D132" s="62" t="str">
        <f ca="1" t="shared" si="7"/>
        <v>一年以上</v>
      </c>
      <c r="E132" s="66">
        <v>44221</v>
      </c>
      <c r="F132" s="66" t="s">
        <v>130</v>
      </c>
      <c r="G132" s="59" t="s">
        <v>125</v>
      </c>
      <c r="H132" s="60" t="s">
        <v>132</v>
      </c>
      <c r="I132" s="63" t="s">
        <v>132</v>
      </c>
      <c r="J132" s="76">
        <v>11800</v>
      </c>
      <c r="K132" s="59"/>
      <c r="L132" s="59" t="s">
        <v>73</v>
      </c>
      <c r="M132" s="59" t="s">
        <v>133</v>
      </c>
      <c r="N132" s="65">
        <v>11800</v>
      </c>
      <c r="O132" s="65">
        <f t="shared" si="6"/>
        <v>0</v>
      </c>
      <c r="P132" s="66">
        <v>44405</v>
      </c>
      <c r="Q132" s="61">
        <f t="shared" si="8"/>
        <v>44405</v>
      </c>
      <c r="R132" s="59"/>
      <c r="S132" s="59" t="s">
        <v>133</v>
      </c>
      <c r="T132" s="59"/>
      <c r="U132" s="59"/>
      <c r="V132" s="59"/>
      <c r="W132" s="59"/>
      <c r="X132" s="59"/>
    </row>
    <row r="133" s="20" customFormat="1" ht="60" hidden="1" spans="1:24">
      <c r="A133" s="59">
        <v>94</v>
      </c>
      <c r="B133" s="60" t="s">
        <v>391</v>
      </c>
      <c r="C133" s="61">
        <v>44197</v>
      </c>
      <c r="D133" s="62" t="str">
        <f ca="1" t="shared" si="7"/>
        <v>一年以上</v>
      </c>
      <c r="E133" s="66">
        <v>44223</v>
      </c>
      <c r="F133" s="66" t="s">
        <v>82</v>
      </c>
      <c r="G133" s="59" t="s">
        <v>392</v>
      </c>
      <c r="H133" s="60" t="s">
        <v>393</v>
      </c>
      <c r="I133" s="63" t="s">
        <v>393</v>
      </c>
      <c r="J133" s="64">
        <v>2000</v>
      </c>
      <c r="K133" s="59" t="s">
        <v>28</v>
      </c>
      <c r="L133" s="59" t="s">
        <v>57</v>
      </c>
      <c r="M133" s="59" t="s">
        <v>65</v>
      </c>
      <c r="N133" s="65">
        <v>2000</v>
      </c>
      <c r="O133" s="65">
        <f t="shared" si="6"/>
        <v>0</v>
      </c>
      <c r="P133" s="66">
        <v>45257</v>
      </c>
      <c r="Q133" s="61">
        <f t="shared" si="8"/>
        <v>45257</v>
      </c>
      <c r="R133" s="60" t="s">
        <v>394</v>
      </c>
      <c r="S133" s="59" t="s">
        <v>395</v>
      </c>
      <c r="T133" s="94" t="s">
        <v>396</v>
      </c>
      <c r="U133" s="59" t="str">
        <f>VLOOKUP(T133,[1]区域划分!$A$1:$C$39,3,0)</f>
        <v>牛国庆</v>
      </c>
      <c r="V133" s="59"/>
      <c r="W133" s="59"/>
      <c r="X133" s="59"/>
    </row>
    <row r="134" s="20" customFormat="1" ht="36" hidden="1" spans="1:24">
      <c r="A134" s="59">
        <v>95</v>
      </c>
      <c r="B134" s="60" t="s">
        <v>397</v>
      </c>
      <c r="C134" s="61">
        <v>44197</v>
      </c>
      <c r="D134" s="62" t="str">
        <f ca="1" t="shared" si="7"/>
        <v>一年以上</v>
      </c>
      <c r="E134" s="66">
        <v>44225</v>
      </c>
      <c r="F134" s="66" t="s">
        <v>82</v>
      </c>
      <c r="G134" s="59" t="s">
        <v>224</v>
      </c>
      <c r="H134" s="60" t="s">
        <v>398</v>
      </c>
      <c r="I134" s="60" t="s">
        <v>399</v>
      </c>
      <c r="J134" s="64">
        <v>2000</v>
      </c>
      <c r="K134" s="59"/>
      <c r="L134" s="59" t="s">
        <v>73</v>
      </c>
      <c r="M134" s="59" t="s">
        <v>65</v>
      </c>
      <c r="N134" s="65">
        <v>2000</v>
      </c>
      <c r="O134" s="65">
        <f t="shared" si="6"/>
        <v>0</v>
      </c>
      <c r="P134" s="66">
        <v>44718</v>
      </c>
      <c r="Q134" s="61">
        <f t="shared" si="8"/>
        <v>44718</v>
      </c>
      <c r="R134" s="59" t="s">
        <v>400</v>
      </c>
      <c r="S134" s="59"/>
      <c r="T134" s="59" t="s">
        <v>49</v>
      </c>
      <c r="U134" s="59" t="s">
        <v>401</v>
      </c>
      <c r="V134" s="59"/>
      <c r="W134" s="59"/>
      <c r="X134" s="59"/>
    </row>
    <row r="135" s="20" customFormat="1" ht="24" hidden="1" spans="1:24">
      <c r="A135" s="59">
        <v>96</v>
      </c>
      <c r="B135" s="60" t="s">
        <v>402</v>
      </c>
      <c r="C135" s="61">
        <v>44228</v>
      </c>
      <c r="D135" s="62" t="str">
        <f ca="1" t="shared" si="7"/>
        <v>一年以上</v>
      </c>
      <c r="E135" s="66">
        <v>44228</v>
      </c>
      <c r="F135" s="66" t="s">
        <v>70</v>
      </c>
      <c r="G135" s="59" t="s">
        <v>403</v>
      </c>
      <c r="H135" s="60" t="s">
        <v>404</v>
      </c>
      <c r="I135" s="60" t="s">
        <v>404</v>
      </c>
      <c r="J135" s="64">
        <v>10000</v>
      </c>
      <c r="K135" s="59"/>
      <c r="L135" s="59" t="s">
        <v>73</v>
      </c>
      <c r="M135" s="59" t="s">
        <v>65</v>
      </c>
      <c r="N135" s="65">
        <v>10000</v>
      </c>
      <c r="O135" s="65">
        <f t="shared" si="6"/>
        <v>0</v>
      </c>
      <c r="P135" s="66">
        <v>44330</v>
      </c>
      <c r="Q135" s="61">
        <f t="shared" si="8"/>
        <v>44330</v>
      </c>
      <c r="R135" s="66"/>
      <c r="S135" s="59"/>
      <c r="T135" s="59"/>
      <c r="U135" s="59"/>
      <c r="V135" s="59"/>
      <c r="W135" s="59"/>
      <c r="X135" s="59"/>
    </row>
    <row r="136" s="20" customFormat="1" hidden="1" spans="1:24">
      <c r="A136" s="59">
        <v>213</v>
      </c>
      <c r="B136" s="60" t="s">
        <v>405</v>
      </c>
      <c r="C136" s="61">
        <v>44228</v>
      </c>
      <c r="D136" s="62" t="str">
        <f ca="1" t="shared" si="7"/>
        <v>一年以上</v>
      </c>
      <c r="E136" s="66">
        <v>44228</v>
      </c>
      <c r="F136" s="66"/>
      <c r="G136" s="59" t="s">
        <v>401</v>
      </c>
      <c r="H136" s="91" t="s">
        <v>406</v>
      </c>
      <c r="I136" s="60" t="s">
        <v>406</v>
      </c>
      <c r="J136" s="71">
        <v>40000</v>
      </c>
      <c r="K136" s="59"/>
      <c r="L136" s="59" t="s">
        <v>73</v>
      </c>
      <c r="M136" s="59" t="s">
        <v>30</v>
      </c>
      <c r="N136" s="65">
        <v>40000</v>
      </c>
      <c r="O136" s="65">
        <f t="shared" si="6"/>
        <v>0</v>
      </c>
      <c r="P136" s="66">
        <v>44739</v>
      </c>
      <c r="Q136" s="61">
        <f t="shared" si="8"/>
        <v>44739</v>
      </c>
      <c r="R136" s="59" t="s">
        <v>310</v>
      </c>
      <c r="S136" s="59" t="s">
        <v>407</v>
      </c>
      <c r="T136" s="59"/>
      <c r="U136" s="59"/>
      <c r="V136" s="59"/>
      <c r="W136" s="59"/>
      <c r="X136" s="59"/>
    </row>
    <row r="137" s="20" customFormat="1" ht="24" hidden="1" spans="1:24">
      <c r="A137" s="59">
        <v>103</v>
      </c>
      <c r="B137" s="60" t="s">
        <v>408</v>
      </c>
      <c r="C137" s="61">
        <v>44228</v>
      </c>
      <c r="D137" s="62" t="str">
        <f ca="1" t="shared" si="7"/>
        <v>一年以上</v>
      </c>
      <c r="E137" s="66">
        <v>44245</v>
      </c>
      <c r="F137" s="66" t="s">
        <v>409</v>
      </c>
      <c r="G137" s="59" t="s">
        <v>410</v>
      </c>
      <c r="H137" s="60" t="s">
        <v>269</v>
      </c>
      <c r="I137" s="60" t="s">
        <v>269</v>
      </c>
      <c r="J137" s="64">
        <v>3000</v>
      </c>
      <c r="K137" s="59"/>
      <c r="L137" s="59" t="s">
        <v>96</v>
      </c>
      <c r="M137" s="59" t="s">
        <v>65</v>
      </c>
      <c r="N137" s="65">
        <v>3000</v>
      </c>
      <c r="O137" s="65">
        <f t="shared" si="6"/>
        <v>0</v>
      </c>
      <c r="P137" s="66">
        <f>E137</f>
        <v>44245</v>
      </c>
      <c r="Q137" s="61">
        <f t="shared" si="8"/>
        <v>44245</v>
      </c>
      <c r="R137" s="59"/>
      <c r="S137" s="59"/>
      <c r="T137" s="59"/>
      <c r="U137" s="59"/>
      <c r="V137" s="59"/>
      <c r="W137" s="59"/>
      <c r="X137" s="59"/>
    </row>
    <row r="138" s="20" customFormat="1" ht="24" hidden="1" spans="1:24">
      <c r="A138" s="59">
        <v>97</v>
      </c>
      <c r="B138" s="60" t="s">
        <v>411</v>
      </c>
      <c r="C138" s="61">
        <v>44228</v>
      </c>
      <c r="D138" s="62" t="str">
        <f ca="1" t="shared" si="7"/>
        <v>一年以上</v>
      </c>
      <c r="E138" s="66">
        <v>44246</v>
      </c>
      <c r="F138" s="66" t="s">
        <v>82</v>
      </c>
      <c r="G138" s="59" t="s">
        <v>412</v>
      </c>
      <c r="H138" s="60" t="s">
        <v>413</v>
      </c>
      <c r="I138" s="60" t="s">
        <v>413</v>
      </c>
      <c r="J138" s="64">
        <v>1000</v>
      </c>
      <c r="K138" s="59" t="s">
        <v>28</v>
      </c>
      <c r="L138" s="59" t="s">
        <v>57</v>
      </c>
      <c r="M138" s="59" t="s">
        <v>65</v>
      </c>
      <c r="N138" s="88">
        <v>1000</v>
      </c>
      <c r="O138" s="65">
        <f t="shared" si="6"/>
        <v>0</v>
      </c>
      <c r="P138" s="66">
        <v>45285</v>
      </c>
      <c r="Q138" s="61">
        <f t="shared" si="8"/>
        <v>45285</v>
      </c>
      <c r="R138" s="59" t="s">
        <v>414</v>
      </c>
      <c r="S138" s="59" t="s">
        <v>415</v>
      </c>
      <c r="T138" s="59" t="s">
        <v>267</v>
      </c>
      <c r="U138" s="59" t="str">
        <f>VLOOKUP(T138,[1]区域划分!$A$1:$C$39,3,0)</f>
        <v>牛国庆</v>
      </c>
      <c r="V138" s="59" t="s">
        <v>416</v>
      </c>
      <c r="W138" s="59"/>
      <c r="X138" s="59"/>
    </row>
    <row r="139" s="20" customFormat="1" ht="24" hidden="1" spans="1:24">
      <c r="A139" s="59">
        <v>98</v>
      </c>
      <c r="B139" s="60" t="s">
        <v>417</v>
      </c>
      <c r="C139" s="61">
        <v>44228</v>
      </c>
      <c r="D139" s="62" t="str">
        <f ca="1" t="shared" si="7"/>
        <v>一年以上</v>
      </c>
      <c r="E139" s="66">
        <v>44246</v>
      </c>
      <c r="F139" s="66" t="s">
        <v>70</v>
      </c>
      <c r="G139" s="59" t="s">
        <v>224</v>
      </c>
      <c r="H139" s="60" t="s">
        <v>332</v>
      </c>
      <c r="I139" s="60" t="s">
        <v>332</v>
      </c>
      <c r="J139" s="64">
        <v>11800</v>
      </c>
      <c r="K139" s="59"/>
      <c r="L139" s="59" t="s">
        <v>73</v>
      </c>
      <c r="M139" s="59" t="s">
        <v>65</v>
      </c>
      <c r="N139" s="65">
        <v>11800</v>
      </c>
      <c r="O139" s="65">
        <f t="shared" si="6"/>
        <v>0</v>
      </c>
      <c r="P139" s="66">
        <v>44306</v>
      </c>
      <c r="Q139" s="61">
        <f t="shared" si="8"/>
        <v>44306</v>
      </c>
      <c r="R139" s="66"/>
      <c r="S139" s="59"/>
      <c r="T139" s="59"/>
      <c r="U139" s="59"/>
      <c r="V139" s="59"/>
      <c r="W139" s="59"/>
      <c r="X139" s="59"/>
    </row>
    <row r="140" s="20" customFormat="1" ht="24" hidden="1" spans="1:24">
      <c r="A140" s="59">
        <v>99</v>
      </c>
      <c r="B140" s="60" t="s">
        <v>418</v>
      </c>
      <c r="C140" s="61">
        <v>44228</v>
      </c>
      <c r="D140" s="62" t="str">
        <f ca="1" t="shared" si="7"/>
        <v>一年以上</v>
      </c>
      <c r="E140" s="66">
        <v>44246</v>
      </c>
      <c r="F140" s="66" t="s">
        <v>82</v>
      </c>
      <c r="G140" s="59" t="s">
        <v>340</v>
      </c>
      <c r="H140" s="60" t="s">
        <v>419</v>
      </c>
      <c r="I140" s="60" t="s">
        <v>419</v>
      </c>
      <c r="J140" s="64">
        <v>2500</v>
      </c>
      <c r="K140" s="59" t="s">
        <v>28</v>
      </c>
      <c r="L140" s="59" t="s">
        <v>57</v>
      </c>
      <c r="M140" s="59" t="s">
        <v>65</v>
      </c>
      <c r="N140" s="65">
        <v>2500</v>
      </c>
      <c r="O140" s="65">
        <f t="shared" si="6"/>
        <v>0</v>
      </c>
      <c r="P140" s="66">
        <v>44850</v>
      </c>
      <c r="Q140" s="61">
        <f t="shared" si="8"/>
        <v>44850</v>
      </c>
      <c r="R140" s="59" t="s">
        <v>420</v>
      </c>
      <c r="S140" s="59" t="s">
        <v>415</v>
      </c>
      <c r="T140" s="59" t="s">
        <v>171</v>
      </c>
      <c r="U140" s="59" t="s">
        <v>172</v>
      </c>
      <c r="V140" s="59"/>
      <c r="W140" s="59"/>
      <c r="X140" s="59"/>
    </row>
    <row r="141" s="20" customFormat="1" ht="24" hidden="1" spans="1:24">
      <c r="A141" s="59">
        <v>214</v>
      </c>
      <c r="B141" s="60" t="s">
        <v>421</v>
      </c>
      <c r="C141" s="61">
        <v>44228</v>
      </c>
      <c r="D141" s="62" t="str">
        <f ca="1" t="shared" si="7"/>
        <v>一年以上</v>
      </c>
      <c r="E141" s="66">
        <v>44246</v>
      </c>
      <c r="F141" s="66"/>
      <c r="G141" s="59" t="s">
        <v>125</v>
      </c>
      <c r="H141" s="60" t="s">
        <v>422</v>
      </c>
      <c r="I141" s="60" t="s">
        <v>422</v>
      </c>
      <c r="J141" s="71">
        <v>1500</v>
      </c>
      <c r="K141" s="59"/>
      <c r="L141" s="59" t="s">
        <v>73</v>
      </c>
      <c r="M141" s="59" t="s">
        <v>30</v>
      </c>
      <c r="N141" s="65">
        <v>1500</v>
      </c>
      <c r="O141" s="65">
        <f t="shared" si="6"/>
        <v>0</v>
      </c>
      <c r="P141" s="66">
        <v>44496</v>
      </c>
      <c r="Q141" s="61">
        <f t="shared" si="8"/>
        <v>44496</v>
      </c>
      <c r="R141" s="59"/>
      <c r="S141" s="59"/>
      <c r="T141" s="59"/>
      <c r="U141" s="59"/>
      <c r="V141" s="59"/>
      <c r="W141" s="59"/>
      <c r="X141" s="59"/>
    </row>
    <row r="142" s="20" customFormat="1" ht="24" hidden="1" spans="1:24">
      <c r="A142" s="59">
        <v>100</v>
      </c>
      <c r="B142" s="60" t="s">
        <v>423</v>
      </c>
      <c r="C142" s="61">
        <v>44228</v>
      </c>
      <c r="D142" s="62" t="str">
        <f ca="1" t="shared" si="7"/>
        <v>一年以上</v>
      </c>
      <c r="E142" s="66">
        <v>44251</v>
      </c>
      <c r="F142" s="66" t="s">
        <v>82</v>
      </c>
      <c r="G142" s="59" t="s">
        <v>340</v>
      </c>
      <c r="H142" s="60" t="s">
        <v>424</v>
      </c>
      <c r="I142" s="60" t="s">
        <v>424</v>
      </c>
      <c r="J142" s="64">
        <v>2500</v>
      </c>
      <c r="K142" s="59" t="s">
        <v>28</v>
      </c>
      <c r="L142" s="59" t="s">
        <v>57</v>
      </c>
      <c r="M142" s="59" t="s">
        <v>65</v>
      </c>
      <c r="N142" s="65">
        <v>2500</v>
      </c>
      <c r="O142" s="65">
        <f t="shared" si="6"/>
        <v>0</v>
      </c>
      <c r="P142" s="66">
        <v>44711</v>
      </c>
      <c r="Q142" s="61">
        <f t="shared" si="8"/>
        <v>44711</v>
      </c>
      <c r="R142" s="59"/>
      <c r="S142" s="59" t="s">
        <v>425</v>
      </c>
      <c r="T142" s="59" t="s">
        <v>171</v>
      </c>
      <c r="U142" s="59" t="s">
        <v>172</v>
      </c>
      <c r="V142" s="59"/>
      <c r="W142" s="59"/>
      <c r="X142" s="59"/>
    </row>
    <row r="143" s="20" customFormat="1" ht="24" hidden="1" spans="1:24">
      <c r="A143" s="59">
        <v>101</v>
      </c>
      <c r="B143" s="60" t="s">
        <v>426</v>
      </c>
      <c r="C143" s="61">
        <v>44228</v>
      </c>
      <c r="D143" s="62" t="str">
        <f ca="1" t="shared" si="7"/>
        <v>一年以上</v>
      </c>
      <c r="E143" s="66">
        <v>44251</v>
      </c>
      <c r="F143" s="66" t="s">
        <v>70</v>
      </c>
      <c r="G143" s="59" t="s">
        <v>259</v>
      </c>
      <c r="H143" s="60" t="s">
        <v>115</v>
      </c>
      <c r="I143" s="60" t="s">
        <v>115</v>
      </c>
      <c r="J143" s="64">
        <v>2000</v>
      </c>
      <c r="K143" s="59"/>
      <c r="L143" s="59" t="s">
        <v>73</v>
      </c>
      <c r="M143" s="59" t="s">
        <v>65</v>
      </c>
      <c r="N143" s="65">
        <v>2000</v>
      </c>
      <c r="O143" s="65">
        <f t="shared" ref="O143:O206" si="9">J143-N143</f>
        <v>0</v>
      </c>
      <c r="P143" s="66">
        <v>44487</v>
      </c>
      <c r="Q143" s="61">
        <f t="shared" si="8"/>
        <v>44487</v>
      </c>
      <c r="R143" s="66"/>
      <c r="S143" s="59"/>
      <c r="T143" s="59"/>
      <c r="U143" s="59"/>
      <c r="V143" s="59"/>
      <c r="W143" s="59"/>
      <c r="X143" s="59"/>
    </row>
    <row r="144" s="20" customFormat="1" ht="24" hidden="1" spans="1:24">
      <c r="A144" s="59">
        <v>102</v>
      </c>
      <c r="B144" s="60" t="s">
        <v>427</v>
      </c>
      <c r="C144" s="61">
        <v>44228</v>
      </c>
      <c r="D144" s="62" t="str">
        <f ca="1" t="shared" si="7"/>
        <v>一年以上</v>
      </c>
      <c r="E144" s="66">
        <v>44252</v>
      </c>
      <c r="F144" s="66" t="s">
        <v>70</v>
      </c>
      <c r="G144" s="59" t="s">
        <v>92</v>
      </c>
      <c r="H144" s="60" t="s">
        <v>428</v>
      </c>
      <c r="I144" s="60" t="s">
        <v>428</v>
      </c>
      <c r="J144" s="64">
        <v>10000</v>
      </c>
      <c r="K144" s="59"/>
      <c r="L144" s="59" t="s">
        <v>73</v>
      </c>
      <c r="M144" s="59" t="s">
        <v>65</v>
      </c>
      <c r="N144" s="65">
        <v>10000</v>
      </c>
      <c r="O144" s="65">
        <f t="shared" si="9"/>
        <v>0</v>
      </c>
      <c r="P144" s="66">
        <v>44449</v>
      </c>
      <c r="Q144" s="61">
        <f t="shared" si="8"/>
        <v>44449</v>
      </c>
      <c r="R144" s="66"/>
      <c r="S144" s="59"/>
      <c r="T144" s="59"/>
      <c r="U144" s="59"/>
      <c r="V144" s="59"/>
      <c r="W144" s="59"/>
      <c r="X144" s="59"/>
    </row>
    <row r="145" s="20" customFormat="1" ht="24" hidden="1" spans="1:24">
      <c r="A145" s="59">
        <v>347</v>
      </c>
      <c r="B145" s="60" t="s">
        <v>429</v>
      </c>
      <c r="C145" s="61">
        <v>44228</v>
      </c>
      <c r="D145" s="62" t="str">
        <f ca="1" t="shared" si="7"/>
        <v>一年以上</v>
      </c>
      <c r="E145" s="66">
        <v>44252</v>
      </c>
      <c r="F145" s="66" t="s">
        <v>130</v>
      </c>
      <c r="G145" s="59" t="s">
        <v>401</v>
      </c>
      <c r="H145" s="60" t="s">
        <v>430</v>
      </c>
      <c r="I145" s="60" t="s">
        <v>430</v>
      </c>
      <c r="J145" s="71">
        <v>4400</v>
      </c>
      <c r="K145" s="59"/>
      <c r="L145" s="59" t="s">
        <v>73</v>
      </c>
      <c r="M145" s="59" t="s">
        <v>133</v>
      </c>
      <c r="N145" s="65">
        <v>4400</v>
      </c>
      <c r="O145" s="65">
        <f t="shared" si="9"/>
        <v>0</v>
      </c>
      <c r="P145" s="66">
        <v>44539</v>
      </c>
      <c r="Q145" s="61">
        <f t="shared" si="8"/>
        <v>44539</v>
      </c>
      <c r="R145" s="59"/>
      <c r="S145" s="59" t="s">
        <v>431</v>
      </c>
      <c r="T145" s="59"/>
      <c r="U145" s="59"/>
      <c r="V145" s="59"/>
      <c r="W145" s="59"/>
      <c r="X145" s="59"/>
    </row>
    <row r="146" s="17" customFormat="1" hidden="1" spans="1:24">
      <c r="A146" s="59">
        <v>112</v>
      </c>
      <c r="B146" s="60" t="s">
        <v>432</v>
      </c>
      <c r="C146" s="61"/>
      <c r="D146" s="62" t="str">
        <f ca="1" t="shared" si="7"/>
        <v>一年以上</v>
      </c>
      <c r="E146" s="66">
        <v>44255</v>
      </c>
      <c r="F146" s="66" t="s">
        <v>70</v>
      </c>
      <c r="G146" s="59" t="s">
        <v>119</v>
      </c>
      <c r="H146" s="60" t="s">
        <v>179</v>
      </c>
      <c r="I146" s="63" t="s">
        <v>179</v>
      </c>
      <c r="J146" s="64">
        <v>1500</v>
      </c>
      <c r="K146" s="59" t="s">
        <v>356</v>
      </c>
      <c r="L146" s="59" t="s">
        <v>357</v>
      </c>
      <c r="M146" s="59" t="s">
        <v>65</v>
      </c>
      <c r="N146" s="65">
        <v>1500</v>
      </c>
      <c r="O146" s="65">
        <f t="shared" si="9"/>
        <v>0</v>
      </c>
      <c r="P146" s="66">
        <v>44267</v>
      </c>
      <c r="Q146" s="61">
        <f t="shared" si="8"/>
        <v>44267</v>
      </c>
      <c r="R146" s="59"/>
      <c r="S146" s="59"/>
      <c r="T146" s="59"/>
      <c r="U146" s="59"/>
      <c r="V146" s="59"/>
      <c r="W146" s="68"/>
      <c r="X146" s="68"/>
    </row>
    <row r="147" s="20" customFormat="1" ht="24" hidden="1" spans="1:24">
      <c r="A147" s="59">
        <v>104</v>
      </c>
      <c r="B147" s="60" t="s">
        <v>433</v>
      </c>
      <c r="C147" s="61">
        <v>44256</v>
      </c>
      <c r="D147" s="62" t="str">
        <f ca="1" t="shared" si="7"/>
        <v>一年以上</v>
      </c>
      <c r="E147" s="66">
        <v>44256</v>
      </c>
      <c r="F147" s="66" t="s">
        <v>70</v>
      </c>
      <c r="G147" s="59" t="s">
        <v>434</v>
      </c>
      <c r="H147" s="60" t="s">
        <v>435</v>
      </c>
      <c r="I147" s="63" t="s">
        <v>435</v>
      </c>
      <c r="J147" s="64">
        <v>5000</v>
      </c>
      <c r="K147" s="59"/>
      <c r="L147" s="59" t="s">
        <v>73</v>
      </c>
      <c r="M147" s="59" t="s">
        <v>65</v>
      </c>
      <c r="N147" s="65">
        <v>5000</v>
      </c>
      <c r="O147" s="65">
        <f t="shared" si="9"/>
        <v>0</v>
      </c>
      <c r="P147" s="66">
        <v>44341</v>
      </c>
      <c r="Q147" s="61">
        <f t="shared" si="8"/>
        <v>44341</v>
      </c>
      <c r="R147" s="66"/>
      <c r="S147" s="59"/>
      <c r="T147" s="59"/>
      <c r="U147" s="59"/>
      <c r="V147" s="59"/>
      <c r="W147" s="59"/>
      <c r="X147" s="59"/>
    </row>
    <row r="148" s="20" customFormat="1" ht="24" hidden="1" spans="1:24">
      <c r="A148" s="59">
        <v>105</v>
      </c>
      <c r="B148" s="60" t="s">
        <v>436</v>
      </c>
      <c r="C148" s="61">
        <v>44256</v>
      </c>
      <c r="D148" s="62" t="str">
        <f ca="1" t="shared" si="7"/>
        <v>一年以上</v>
      </c>
      <c r="E148" s="66">
        <v>44258</v>
      </c>
      <c r="F148" s="66" t="s">
        <v>70</v>
      </c>
      <c r="G148" s="59" t="s">
        <v>143</v>
      </c>
      <c r="H148" s="60" t="s">
        <v>136</v>
      </c>
      <c r="I148" s="63" t="s">
        <v>136</v>
      </c>
      <c r="J148" s="64">
        <v>3000</v>
      </c>
      <c r="K148" s="59"/>
      <c r="L148" s="59" t="s">
        <v>73</v>
      </c>
      <c r="M148" s="59" t="s">
        <v>65</v>
      </c>
      <c r="N148" s="65">
        <v>3000</v>
      </c>
      <c r="O148" s="65">
        <f t="shared" si="9"/>
        <v>0</v>
      </c>
      <c r="P148" s="66">
        <v>44466</v>
      </c>
      <c r="Q148" s="61">
        <f t="shared" si="8"/>
        <v>44466</v>
      </c>
      <c r="R148" s="66"/>
      <c r="S148" s="59"/>
      <c r="T148" s="59"/>
      <c r="U148" s="59"/>
      <c r="V148" s="59"/>
      <c r="W148" s="59"/>
      <c r="X148" s="59"/>
    </row>
    <row r="149" s="20" customFormat="1" ht="24" hidden="1" spans="1:24">
      <c r="A149" s="59">
        <v>106</v>
      </c>
      <c r="B149" s="60" t="s">
        <v>437</v>
      </c>
      <c r="C149" s="61">
        <v>44256</v>
      </c>
      <c r="D149" s="62" t="str">
        <f ca="1" t="shared" si="7"/>
        <v>一年以上</v>
      </c>
      <c r="E149" s="66">
        <v>44259</v>
      </c>
      <c r="F149" s="66" t="s">
        <v>130</v>
      </c>
      <c r="G149" s="59" t="s">
        <v>239</v>
      </c>
      <c r="H149" s="60" t="s">
        <v>438</v>
      </c>
      <c r="I149" s="63" t="s">
        <v>438</v>
      </c>
      <c r="J149" s="64">
        <v>2000</v>
      </c>
      <c r="K149" s="59"/>
      <c r="L149" s="59" t="s">
        <v>73</v>
      </c>
      <c r="M149" s="59" t="s">
        <v>65</v>
      </c>
      <c r="N149" s="65">
        <v>2000</v>
      </c>
      <c r="O149" s="65">
        <f t="shared" si="9"/>
        <v>0</v>
      </c>
      <c r="P149" s="66">
        <v>44336</v>
      </c>
      <c r="Q149" s="61">
        <f t="shared" si="8"/>
        <v>44336</v>
      </c>
      <c r="R149" s="66"/>
      <c r="S149" s="59"/>
      <c r="T149" s="59"/>
      <c r="U149" s="59"/>
      <c r="V149" s="59"/>
      <c r="W149" s="59"/>
      <c r="X149" s="59"/>
    </row>
    <row r="150" s="20" customFormat="1" ht="36" hidden="1" spans="1:24">
      <c r="A150" s="59">
        <v>107</v>
      </c>
      <c r="B150" s="60" t="s">
        <v>439</v>
      </c>
      <c r="C150" s="61">
        <v>44256</v>
      </c>
      <c r="D150" s="62" t="str">
        <f ca="1" t="shared" si="7"/>
        <v>一年以上</v>
      </c>
      <c r="E150" s="66">
        <v>44265</v>
      </c>
      <c r="F150" s="66" t="s">
        <v>82</v>
      </c>
      <c r="G150" s="59" t="s">
        <v>412</v>
      </c>
      <c r="H150" s="60" t="s">
        <v>313</v>
      </c>
      <c r="I150" s="63" t="s">
        <v>313</v>
      </c>
      <c r="J150" s="64">
        <v>2000</v>
      </c>
      <c r="K150" s="59" t="s">
        <v>28</v>
      </c>
      <c r="L150" s="59" t="s">
        <v>57</v>
      </c>
      <c r="M150" s="59" t="s">
        <v>65</v>
      </c>
      <c r="N150" s="65">
        <v>2000</v>
      </c>
      <c r="O150" s="65">
        <f t="shared" si="9"/>
        <v>0</v>
      </c>
      <c r="P150" s="66">
        <v>45006</v>
      </c>
      <c r="Q150" s="61">
        <f t="shared" si="8"/>
        <v>45006</v>
      </c>
      <c r="R150" s="59" t="s">
        <v>440</v>
      </c>
      <c r="S150" s="59" t="s">
        <v>441</v>
      </c>
      <c r="T150" s="59" t="s">
        <v>182</v>
      </c>
      <c r="U150" s="59" t="s">
        <v>125</v>
      </c>
      <c r="V150" s="59"/>
      <c r="W150" s="59"/>
      <c r="X150" s="59"/>
    </row>
    <row r="151" s="22" customFormat="1" ht="24" hidden="1" spans="1:24">
      <c r="A151" s="59">
        <v>108</v>
      </c>
      <c r="B151" s="60" t="s">
        <v>442</v>
      </c>
      <c r="C151" s="61">
        <v>44256</v>
      </c>
      <c r="D151" s="62" t="str">
        <f ca="1" t="shared" si="7"/>
        <v>一年以上</v>
      </c>
      <c r="E151" s="66">
        <v>44270</v>
      </c>
      <c r="F151" s="66" t="s">
        <v>70</v>
      </c>
      <c r="G151" s="59" t="s">
        <v>146</v>
      </c>
      <c r="H151" s="60" t="s">
        <v>443</v>
      </c>
      <c r="I151" s="63" t="s">
        <v>443</v>
      </c>
      <c r="J151" s="64">
        <v>1000</v>
      </c>
      <c r="K151" s="59"/>
      <c r="L151" s="59" t="s">
        <v>96</v>
      </c>
      <c r="M151" s="59" t="s">
        <v>65</v>
      </c>
      <c r="N151" s="65">
        <v>1000</v>
      </c>
      <c r="O151" s="65">
        <f t="shared" si="9"/>
        <v>0</v>
      </c>
      <c r="P151" s="66">
        <v>44490</v>
      </c>
      <c r="Q151" s="61">
        <f t="shared" si="8"/>
        <v>44490</v>
      </c>
      <c r="R151" s="66"/>
      <c r="S151" s="59"/>
      <c r="T151" s="59"/>
      <c r="U151" s="59"/>
      <c r="V151" s="59"/>
      <c r="W151" s="80"/>
      <c r="X151" s="80"/>
    </row>
    <row r="152" s="20" customFormat="1" ht="24" hidden="1" spans="1:24">
      <c r="A152" s="59">
        <v>109</v>
      </c>
      <c r="B152" s="60" t="s">
        <v>444</v>
      </c>
      <c r="C152" s="61">
        <v>44256</v>
      </c>
      <c r="D152" s="62" t="str">
        <f ca="1" t="shared" si="7"/>
        <v>一年以上</v>
      </c>
      <c r="E152" s="66">
        <v>44270</v>
      </c>
      <c r="F152" s="66" t="s">
        <v>282</v>
      </c>
      <c r="G152" s="59" t="s">
        <v>434</v>
      </c>
      <c r="H152" s="60" t="s">
        <v>177</v>
      </c>
      <c r="I152" s="63" t="s">
        <v>177</v>
      </c>
      <c r="J152" s="64">
        <v>5000</v>
      </c>
      <c r="K152" s="59" t="s">
        <v>28</v>
      </c>
      <c r="L152" s="59" t="s">
        <v>57</v>
      </c>
      <c r="M152" s="59" t="s">
        <v>65</v>
      </c>
      <c r="N152" s="65">
        <v>5000</v>
      </c>
      <c r="O152" s="65">
        <f t="shared" si="9"/>
        <v>0</v>
      </c>
      <c r="P152" s="66">
        <v>45008</v>
      </c>
      <c r="Q152" s="61">
        <f t="shared" si="8"/>
        <v>45008</v>
      </c>
      <c r="R152" s="59"/>
      <c r="S152" s="59" t="s">
        <v>445</v>
      </c>
      <c r="T152" s="59" t="s">
        <v>293</v>
      </c>
      <c r="U152" s="59" t="s">
        <v>294</v>
      </c>
      <c r="V152" s="59"/>
      <c r="W152" s="59"/>
      <c r="X152" s="59"/>
    </row>
    <row r="153" s="20" customFormat="1" hidden="1" spans="1:24">
      <c r="A153" s="59">
        <v>110</v>
      </c>
      <c r="B153" s="60" t="s">
        <v>446</v>
      </c>
      <c r="C153" s="61">
        <v>44256</v>
      </c>
      <c r="D153" s="62" t="str">
        <f ca="1" t="shared" si="7"/>
        <v>一年以上</v>
      </c>
      <c r="E153" s="66">
        <v>44271</v>
      </c>
      <c r="F153" s="66" t="s">
        <v>70</v>
      </c>
      <c r="G153" s="59" t="s">
        <v>434</v>
      </c>
      <c r="H153" s="60" t="s">
        <v>275</v>
      </c>
      <c r="I153" s="63" t="s">
        <v>275</v>
      </c>
      <c r="J153" s="64">
        <v>2000</v>
      </c>
      <c r="K153" s="59"/>
      <c r="L153" s="59" t="s">
        <v>73</v>
      </c>
      <c r="M153" s="59" t="s">
        <v>65</v>
      </c>
      <c r="N153" s="65">
        <v>2000</v>
      </c>
      <c r="O153" s="65">
        <f t="shared" si="9"/>
        <v>0</v>
      </c>
      <c r="P153" s="66">
        <v>44342</v>
      </c>
      <c r="Q153" s="61">
        <f t="shared" si="8"/>
        <v>44342</v>
      </c>
      <c r="R153" s="66"/>
      <c r="S153" s="59"/>
      <c r="T153" s="59"/>
      <c r="U153" s="59"/>
      <c r="V153" s="59"/>
      <c r="W153" s="59"/>
      <c r="X153" s="59"/>
    </row>
    <row r="154" s="20" customFormat="1" hidden="1" spans="1:24">
      <c r="A154" s="59">
        <v>111</v>
      </c>
      <c r="B154" s="60" t="s">
        <v>447</v>
      </c>
      <c r="C154" s="61">
        <v>44256</v>
      </c>
      <c r="D154" s="62" t="str">
        <f ca="1" t="shared" si="7"/>
        <v>一年以上</v>
      </c>
      <c r="E154" s="66">
        <v>44280</v>
      </c>
      <c r="F154" s="66" t="s">
        <v>70</v>
      </c>
      <c r="G154" s="59" t="s">
        <v>233</v>
      </c>
      <c r="H154" s="60" t="s">
        <v>448</v>
      </c>
      <c r="I154" s="63" t="s">
        <v>448</v>
      </c>
      <c r="J154" s="64">
        <v>10000</v>
      </c>
      <c r="K154" s="59"/>
      <c r="L154" s="59" t="s">
        <v>73</v>
      </c>
      <c r="M154" s="59" t="s">
        <v>65</v>
      </c>
      <c r="N154" s="65">
        <v>10000</v>
      </c>
      <c r="O154" s="65">
        <f t="shared" si="9"/>
        <v>0</v>
      </c>
      <c r="P154" s="66">
        <v>44316</v>
      </c>
      <c r="Q154" s="61">
        <f t="shared" si="8"/>
        <v>44316</v>
      </c>
      <c r="R154" s="66"/>
      <c r="S154" s="59"/>
      <c r="T154" s="59"/>
      <c r="U154" s="59"/>
      <c r="V154" s="59"/>
      <c r="W154" s="59"/>
      <c r="X154" s="59"/>
    </row>
    <row r="155" s="20" customFormat="1" ht="24" hidden="1" spans="1:24">
      <c r="A155" s="59">
        <v>215</v>
      </c>
      <c r="B155" s="60" t="s">
        <v>449</v>
      </c>
      <c r="C155" s="61">
        <v>44256</v>
      </c>
      <c r="D155" s="62" t="str">
        <f ca="1" t="shared" si="7"/>
        <v>一年以上</v>
      </c>
      <c r="E155" s="66">
        <v>44283</v>
      </c>
      <c r="F155" s="66"/>
      <c r="G155" s="59" t="s">
        <v>450</v>
      </c>
      <c r="H155" s="60" t="s">
        <v>430</v>
      </c>
      <c r="I155" s="63" t="s">
        <v>430</v>
      </c>
      <c r="J155" s="71">
        <v>7100</v>
      </c>
      <c r="K155" s="59"/>
      <c r="L155" s="59" t="s">
        <v>73</v>
      </c>
      <c r="M155" s="59" t="s">
        <v>30</v>
      </c>
      <c r="N155" s="65">
        <v>7100</v>
      </c>
      <c r="O155" s="65">
        <f t="shared" si="9"/>
        <v>0</v>
      </c>
      <c r="P155" s="66">
        <v>44539</v>
      </c>
      <c r="Q155" s="61">
        <f t="shared" si="8"/>
        <v>44539</v>
      </c>
      <c r="R155" s="59"/>
      <c r="S155" s="59"/>
      <c r="T155" s="59"/>
      <c r="U155" s="59"/>
      <c r="V155" s="59"/>
      <c r="W155" s="59"/>
      <c r="X155" s="59"/>
    </row>
    <row r="156" s="22" customFormat="1" ht="24" hidden="1" spans="1:24">
      <c r="A156" s="59">
        <v>114</v>
      </c>
      <c r="B156" s="60" t="s">
        <v>451</v>
      </c>
      <c r="C156" s="61">
        <v>44287</v>
      </c>
      <c r="D156" s="62" t="str">
        <f ca="1" t="shared" si="7"/>
        <v>一年以上</v>
      </c>
      <c r="E156" s="66">
        <v>44300</v>
      </c>
      <c r="F156" s="66" t="s">
        <v>70</v>
      </c>
      <c r="G156" s="59" t="s">
        <v>452</v>
      </c>
      <c r="H156" s="87" t="s">
        <v>247</v>
      </c>
      <c r="I156" s="63" t="s">
        <v>247</v>
      </c>
      <c r="J156" s="64">
        <v>2000</v>
      </c>
      <c r="K156" s="59"/>
      <c r="L156" s="59" t="s">
        <v>96</v>
      </c>
      <c r="M156" s="59" t="s">
        <v>65</v>
      </c>
      <c r="N156" s="65">
        <v>2000</v>
      </c>
      <c r="O156" s="65">
        <f t="shared" si="9"/>
        <v>0</v>
      </c>
      <c r="P156" s="66">
        <v>44476</v>
      </c>
      <c r="Q156" s="61">
        <f t="shared" si="8"/>
        <v>44476</v>
      </c>
      <c r="R156" s="66"/>
      <c r="S156" s="59"/>
      <c r="T156" s="59"/>
      <c r="U156" s="59"/>
      <c r="V156" s="59"/>
      <c r="W156" s="80"/>
      <c r="X156" s="80"/>
    </row>
    <row r="157" s="22" customFormat="1" hidden="1" spans="1:24">
      <c r="A157" s="59">
        <v>115</v>
      </c>
      <c r="B157" s="60" t="s">
        <v>453</v>
      </c>
      <c r="C157" s="61">
        <v>44287</v>
      </c>
      <c r="D157" s="62" t="str">
        <f ca="1" t="shared" si="7"/>
        <v>一年以上</v>
      </c>
      <c r="E157" s="66">
        <v>44301</v>
      </c>
      <c r="F157" s="66" t="s">
        <v>70</v>
      </c>
      <c r="G157" s="59" t="s">
        <v>104</v>
      </c>
      <c r="H157" s="60" t="s">
        <v>454</v>
      </c>
      <c r="I157" s="63" t="s">
        <v>454</v>
      </c>
      <c r="J157" s="64">
        <v>5000</v>
      </c>
      <c r="K157" s="59"/>
      <c r="L157" s="59" t="s">
        <v>96</v>
      </c>
      <c r="M157" s="59" t="s">
        <v>65</v>
      </c>
      <c r="N157" s="65">
        <v>5000</v>
      </c>
      <c r="O157" s="65">
        <f t="shared" si="9"/>
        <v>0</v>
      </c>
      <c r="P157" s="66">
        <v>44315</v>
      </c>
      <c r="Q157" s="61">
        <f t="shared" si="8"/>
        <v>44315</v>
      </c>
      <c r="R157" s="66"/>
      <c r="S157" s="59"/>
      <c r="T157" s="59"/>
      <c r="U157" s="59"/>
      <c r="V157" s="59"/>
      <c r="W157" s="80"/>
      <c r="X157" s="80"/>
    </row>
    <row r="158" s="20" customFormat="1" ht="24" hidden="1" spans="1:24">
      <c r="A158" s="59">
        <v>348</v>
      </c>
      <c r="B158" s="60" t="s">
        <v>455</v>
      </c>
      <c r="C158" s="61">
        <v>44287</v>
      </c>
      <c r="D158" s="62" t="str">
        <f ca="1" t="shared" si="7"/>
        <v>一年以上</v>
      </c>
      <c r="E158" s="66">
        <v>44314</v>
      </c>
      <c r="F158" s="66" t="s">
        <v>130</v>
      </c>
      <c r="G158" s="59" t="s">
        <v>456</v>
      </c>
      <c r="H158" s="60" t="s">
        <v>457</v>
      </c>
      <c r="I158" s="63" t="s">
        <v>457</v>
      </c>
      <c r="J158" s="76">
        <v>14400</v>
      </c>
      <c r="K158" s="59" t="s">
        <v>356</v>
      </c>
      <c r="L158" s="59" t="s">
        <v>458</v>
      </c>
      <c r="M158" s="59" t="s">
        <v>133</v>
      </c>
      <c r="N158" s="65">
        <v>14400</v>
      </c>
      <c r="O158" s="65">
        <f t="shared" si="9"/>
        <v>0</v>
      </c>
      <c r="P158" s="66">
        <v>44575</v>
      </c>
      <c r="Q158" s="61">
        <f t="shared" si="8"/>
        <v>44575</v>
      </c>
      <c r="R158" s="59"/>
      <c r="S158" s="59" t="s">
        <v>133</v>
      </c>
      <c r="T158" s="59"/>
      <c r="U158" s="59"/>
      <c r="V158" s="59"/>
      <c r="W158" s="59"/>
      <c r="X158" s="59"/>
    </row>
    <row r="159" s="20" customFormat="1" hidden="1" spans="1:24">
      <c r="A159" s="59">
        <v>116</v>
      </c>
      <c r="B159" s="60" t="s">
        <v>459</v>
      </c>
      <c r="C159" s="61">
        <v>44317</v>
      </c>
      <c r="D159" s="62" t="str">
        <f ca="1" t="shared" si="7"/>
        <v>一年以上</v>
      </c>
      <c r="E159" s="66">
        <v>44326</v>
      </c>
      <c r="F159" s="66" t="s">
        <v>282</v>
      </c>
      <c r="G159" s="59" t="s">
        <v>460</v>
      </c>
      <c r="H159" s="91" t="s">
        <v>406</v>
      </c>
      <c r="I159" s="63" t="s">
        <v>406</v>
      </c>
      <c r="J159" s="64">
        <v>15000</v>
      </c>
      <c r="K159" s="59" t="s">
        <v>28</v>
      </c>
      <c r="L159" s="59" t="s">
        <v>461</v>
      </c>
      <c r="M159" s="59" t="s">
        <v>65</v>
      </c>
      <c r="N159" s="65">
        <v>14000</v>
      </c>
      <c r="O159" s="65">
        <f t="shared" si="9"/>
        <v>1000</v>
      </c>
      <c r="P159" s="95">
        <v>45439</v>
      </c>
      <c r="Q159" s="61">
        <f t="shared" si="8"/>
        <v>45439</v>
      </c>
      <c r="R159" s="66" t="s">
        <v>462</v>
      </c>
      <c r="S159" s="59"/>
      <c r="T159" s="59" t="s">
        <v>38</v>
      </c>
      <c r="U159" s="59" t="str">
        <f>VLOOKUP(T159,[1]区域划分!$A$1:$C$39,3,0)</f>
        <v>方渊</v>
      </c>
      <c r="V159" s="59"/>
      <c r="W159" s="59"/>
      <c r="X159" s="59"/>
    </row>
    <row r="160" s="20" customFormat="1" hidden="1" spans="1:24">
      <c r="A160" s="59">
        <v>117</v>
      </c>
      <c r="B160" s="60" t="s">
        <v>463</v>
      </c>
      <c r="C160" s="61">
        <v>44317</v>
      </c>
      <c r="D160" s="62" t="str">
        <f ca="1" t="shared" si="7"/>
        <v>一年以上</v>
      </c>
      <c r="E160" s="66">
        <v>44333</v>
      </c>
      <c r="F160" s="66" t="s">
        <v>70</v>
      </c>
      <c r="G160" s="59" t="s">
        <v>149</v>
      </c>
      <c r="H160" s="60" t="s">
        <v>275</v>
      </c>
      <c r="I160" s="63" t="s">
        <v>275</v>
      </c>
      <c r="J160" s="76">
        <v>2000</v>
      </c>
      <c r="K160" s="59" t="s">
        <v>28</v>
      </c>
      <c r="L160" s="59" t="s">
        <v>461</v>
      </c>
      <c r="M160" s="59" t="s">
        <v>65</v>
      </c>
      <c r="N160" s="65">
        <v>2000</v>
      </c>
      <c r="O160" s="65">
        <f t="shared" si="9"/>
        <v>0</v>
      </c>
      <c r="P160" s="66">
        <v>44449</v>
      </c>
      <c r="Q160" s="61">
        <f t="shared" si="8"/>
        <v>44449</v>
      </c>
      <c r="R160" s="66"/>
      <c r="S160" s="59"/>
      <c r="T160" s="59"/>
      <c r="U160" s="59"/>
      <c r="V160" s="59"/>
      <c r="W160" s="59"/>
      <c r="X160" s="59"/>
    </row>
    <row r="161" s="20" customFormat="1" ht="24" hidden="1" spans="1:24">
      <c r="A161" s="59">
        <v>118</v>
      </c>
      <c r="B161" s="60" t="s">
        <v>464</v>
      </c>
      <c r="C161" s="61">
        <v>44317</v>
      </c>
      <c r="D161" s="62" t="str">
        <f ca="1" t="shared" si="7"/>
        <v>一年以上</v>
      </c>
      <c r="E161" s="66">
        <v>44335</v>
      </c>
      <c r="F161" s="66" t="s">
        <v>70</v>
      </c>
      <c r="G161" s="59" t="s">
        <v>190</v>
      </c>
      <c r="H161" s="60" t="s">
        <v>138</v>
      </c>
      <c r="I161" s="63" t="s">
        <v>138</v>
      </c>
      <c r="J161" s="76">
        <v>5400</v>
      </c>
      <c r="K161" s="59" t="s">
        <v>28</v>
      </c>
      <c r="L161" s="59" t="s">
        <v>461</v>
      </c>
      <c r="M161" s="59" t="s">
        <v>65</v>
      </c>
      <c r="N161" s="65">
        <v>5400</v>
      </c>
      <c r="O161" s="65">
        <f t="shared" si="9"/>
        <v>0</v>
      </c>
      <c r="P161" s="66">
        <v>44484</v>
      </c>
      <c r="Q161" s="61">
        <f t="shared" si="8"/>
        <v>44484</v>
      </c>
      <c r="R161" s="66"/>
      <c r="S161" s="59"/>
      <c r="T161" s="59"/>
      <c r="U161" s="59"/>
      <c r="V161" s="59"/>
      <c r="W161" s="59"/>
      <c r="X161" s="59"/>
    </row>
    <row r="162" s="20" customFormat="1" hidden="1" spans="1:24">
      <c r="A162" s="59">
        <v>216</v>
      </c>
      <c r="B162" s="60" t="s">
        <v>465</v>
      </c>
      <c r="C162" s="61">
        <v>44317</v>
      </c>
      <c r="D162" s="62" t="str">
        <f ca="1" t="shared" si="7"/>
        <v>一年以上</v>
      </c>
      <c r="E162" s="66">
        <v>44340</v>
      </c>
      <c r="F162" s="66"/>
      <c r="G162" s="59" t="s">
        <v>450</v>
      </c>
      <c r="H162" s="60" t="s">
        <v>215</v>
      </c>
      <c r="I162" s="63" t="s">
        <v>215</v>
      </c>
      <c r="J162" s="76">
        <v>10000</v>
      </c>
      <c r="K162" s="59" t="s">
        <v>28</v>
      </c>
      <c r="L162" s="59" t="s">
        <v>466</v>
      </c>
      <c r="M162" s="59" t="s">
        <v>30</v>
      </c>
      <c r="N162" s="65">
        <v>10000</v>
      </c>
      <c r="O162" s="65">
        <f t="shared" si="9"/>
        <v>0</v>
      </c>
      <c r="P162" s="66">
        <v>41250</v>
      </c>
      <c r="Q162" s="61">
        <f t="shared" si="8"/>
        <v>41250</v>
      </c>
      <c r="R162" s="59"/>
      <c r="S162" s="59"/>
      <c r="T162" s="59"/>
      <c r="U162" s="59"/>
      <c r="V162" s="59"/>
      <c r="W162" s="59"/>
      <c r="X162" s="59"/>
    </row>
    <row r="163" s="20" customFormat="1" ht="24" hidden="1" spans="1:24">
      <c r="A163" s="59">
        <v>217</v>
      </c>
      <c r="B163" s="60" t="s">
        <v>467</v>
      </c>
      <c r="C163" s="61">
        <v>44348</v>
      </c>
      <c r="D163" s="62" t="str">
        <f ca="1" t="shared" si="7"/>
        <v>一年以上</v>
      </c>
      <c r="E163" s="66">
        <v>44357</v>
      </c>
      <c r="F163" s="66"/>
      <c r="G163" s="59" t="s">
        <v>239</v>
      </c>
      <c r="H163" s="60" t="s">
        <v>325</v>
      </c>
      <c r="I163" s="63" t="s">
        <v>325</v>
      </c>
      <c r="J163" s="76">
        <v>2000</v>
      </c>
      <c r="K163" s="59" t="s">
        <v>356</v>
      </c>
      <c r="L163" s="59" t="s">
        <v>468</v>
      </c>
      <c r="M163" s="59" t="s">
        <v>30</v>
      </c>
      <c r="N163" s="65">
        <v>2000</v>
      </c>
      <c r="O163" s="65">
        <f t="shared" si="9"/>
        <v>0</v>
      </c>
      <c r="P163" s="66">
        <v>44897</v>
      </c>
      <c r="Q163" s="61">
        <f t="shared" si="8"/>
        <v>44897</v>
      </c>
      <c r="R163" s="59"/>
      <c r="S163" s="59"/>
      <c r="T163" s="59"/>
      <c r="U163" s="59"/>
      <c r="V163" s="59"/>
      <c r="W163" s="59"/>
      <c r="X163" s="59"/>
    </row>
    <row r="164" s="20" customFormat="1" ht="24" hidden="1" spans="1:24">
      <c r="A164" s="59">
        <v>119</v>
      </c>
      <c r="B164" s="60" t="s">
        <v>469</v>
      </c>
      <c r="C164" s="61">
        <v>44348</v>
      </c>
      <c r="D164" s="62" t="str">
        <f ca="1" t="shared" si="7"/>
        <v>一年以上</v>
      </c>
      <c r="E164" s="66">
        <v>44365</v>
      </c>
      <c r="F164" s="66" t="s">
        <v>70</v>
      </c>
      <c r="G164" s="59" t="s">
        <v>146</v>
      </c>
      <c r="H164" s="60" t="s">
        <v>470</v>
      </c>
      <c r="I164" s="63" t="s">
        <v>470</v>
      </c>
      <c r="J164" s="76">
        <v>10000</v>
      </c>
      <c r="K164" s="59" t="s">
        <v>28</v>
      </c>
      <c r="L164" s="59" t="s">
        <v>461</v>
      </c>
      <c r="M164" s="59" t="s">
        <v>65</v>
      </c>
      <c r="N164" s="65">
        <v>10000</v>
      </c>
      <c r="O164" s="65">
        <f t="shared" si="9"/>
        <v>0</v>
      </c>
      <c r="P164" s="66">
        <v>44497</v>
      </c>
      <c r="Q164" s="61">
        <f t="shared" si="8"/>
        <v>44497</v>
      </c>
      <c r="R164" s="66"/>
      <c r="S164" s="59"/>
      <c r="T164" s="59"/>
      <c r="U164" s="59"/>
      <c r="V164" s="59"/>
      <c r="W164" s="59"/>
      <c r="X164" s="59"/>
    </row>
    <row r="165" s="20" customFormat="1" hidden="1" spans="1:24">
      <c r="A165" s="59">
        <v>120</v>
      </c>
      <c r="B165" s="60" t="s">
        <v>471</v>
      </c>
      <c r="C165" s="61">
        <v>44348</v>
      </c>
      <c r="D165" s="62" t="str">
        <f ca="1" t="shared" si="7"/>
        <v>一年以上</v>
      </c>
      <c r="E165" s="66">
        <v>44375</v>
      </c>
      <c r="F165" s="66" t="s">
        <v>70</v>
      </c>
      <c r="G165" s="59" t="s">
        <v>104</v>
      </c>
      <c r="H165" s="60" t="s">
        <v>472</v>
      </c>
      <c r="I165" s="63" t="s">
        <v>472</v>
      </c>
      <c r="J165" s="76">
        <v>5000</v>
      </c>
      <c r="K165" s="59"/>
      <c r="L165" s="59" t="s">
        <v>96</v>
      </c>
      <c r="M165" s="59" t="s">
        <v>65</v>
      </c>
      <c r="N165" s="65">
        <v>5000</v>
      </c>
      <c r="O165" s="65">
        <f t="shared" si="9"/>
        <v>0</v>
      </c>
      <c r="P165" s="66">
        <v>44483</v>
      </c>
      <c r="Q165" s="61">
        <f t="shared" si="8"/>
        <v>44483</v>
      </c>
      <c r="R165" s="66"/>
      <c r="S165" s="59"/>
      <c r="T165" s="59"/>
      <c r="U165" s="59"/>
      <c r="V165" s="59"/>
      <c r="W165" s="59"/>
      <c r="X165" s="59"/>
    </row>
    <row r="166" s="20" customFormat="1" ht="24" hidden="1" spans="1:24">
      <c r="A166" s="59">
        <v>218</v>
      </c>
      <c r="B166" s="60" t="s">
        <v>473</v>
      </c>
      <c r="C166" s="61">
        <v>44348</v>
      </c>
      <c r="D166" s="62" t="str">
        <f ca="1" t="shared" si="7"/>
        <v>一年以上</v>
      </c>
      <c r="E166" s="66">
        <v>44375</v>
      </c>
      <c r="F166" s="66"/>
      <c r="G166" s="59" t="s">
        <v>54</v>
      </c>
      <c r="H166" s="60" t="s">
        <v>366</v>
      </c>
      <c r="I166" s="63" t="s">
        <v>366</v>
      </c>
      <c r="J166" s="76">
        <v>5000</v>
      </c>
      <c r="K166" s="59" t="s">
        <v>356</v>
      </c>
      <c r="L166" s="59" t="s">
        <v>474</v>
      </c>
      <c r="M166" s="59" t="s">
        <v>30</v>
      </c>
      <c r="N166" s="65">
        <v>5000</v>
      </c>
      <c r="O166" s="65">
        <f t="shared" si="9"/>
        <v>0</v>
      </c>
      <c r="P166" s="66">
        <v>44454</v>
      </c>
      <c r="Q166" s="61">
        <f t="shared" si="8"/>
        <v>44454</v>
      </c>
      <c r="R166" s="59"/>
      <c r="S166" s="59" t="s">
        <v>62</v>
      </c>
      <c r="T166" s="59"/>
      <c r="U166" s="59"/>
      <c r="V166" s="59"/>
      <c r="W166" s="59"/>
      <c r="X166" s="59"/>
    </row>
    <row r="167" s="20" customFormat="1" ht="24" hidden="1" spans="1:24">
      <c r="A167" s="59">
        <v>219</v>
      </c>
      <c r="B167" s="60" t="s">
        <v>475</v>
      </c>
      <c r="C167" s="61">
        <v>44378</v>
      </c>
      <c r="D167" s="62" t="str">
        <f ca="1" t="shared" si="7"/>
        <v>一年以上</v>
      </c>
      <c r="E167" s="66">
        <v>44384</v>
      </c>
      <c r="F167" s="66"/>
      <c r="G167" s="59" t="s">
        <v>239</v>
      </c>
      <c r="H167" s="60" t="s">
        <v>476</v>
      </c>
      <c r="I167" s="63" t="s">
        <v>476</v>
      </c>
      <c r="J167" s="76">
        <v>4000</v>
      </c>
      <c r="K167" s="59" t="s">
        <v>28</v>
      </c>
      <c r="L167" s="59" t="s">
        <v>461</v>
      </c>
      <c r="M167" s="59" t="s">
        <v>30</v>
      </c>
      <c r="N167" s="65">
        <v>4000</v>
      </c>
      <c r="O167" s="65">
        <f t="shared" si="9"/>
        <v>0</v>
      </c>
      <c r="P167" s="66">
        <v>44432</v>
      </c>
      <c r="Q167" s="61">
        <f t="shared" si="8"/>
        <v>44432</v>
      </c>
      <c r="R167" s="59"/>
      <c r="S167" s="59" t="s">
        <v>62</v>
      </c>
      <c r="T167" s="59"/>
      <c r="U167" s="59"/>
      <c r="V167" s="59"/>
      <c r="W167" s="59"/>
      <c r="X167" s="59"/>
    </row>
    <row r="168" s="20" customFormat="1" ht="24" hidden="1" spans="1:24">
      <c r="A168" s="59">
        <v>121</v>
      </c>
      <c r="B168" s="60" t="s">
        <v>477</v>
      </c>
      <c r="C168" s="61">
        <v>44378</v>
      </c>
      <c r="D168" s="62" t="str">
        <f ca="1" t="shared" si="7"/>
        <v>一年以上</v>
      </c>
      <c r="E168" s="66">
        <v>44391</v>
      </c>
      <c r="F168" s="66" t="s">
        <v>70</v>
      </c>
      <c r="G168" s="59" t="s">
        <v>340</v>
      </c>
      <c r="H168" s="60" t="s">
        <v>188</v>
      </c>
      <c r="I168" s="63" t="s">
        <v>188</v>
      </c>
      <c r="J168" s="76">
        <v>7500</v>
      </c>
      <c r="K168" s="59" t="s">
        <v>28</v>
      </c>
      <c r="L168" s="59" t="s">
        <v>461</v>
      </c>
      <c r="M168" s="59" t="s">
        <v>65</v>
      </c>
      <c r="N168" s="65">
        <v>7500</v>
      </c>
      <c r="O168" s="65">
        <f t="shared" si="9"/>
        <v>0</v>
      </c>
      <c r="P168" s="66">
        <v>44424</v>
      </c>
      <c r="Q168" s="61">
        <f t="shared" si="8"/>
        <v>44424</v>
      </c>
      <c r="R168" s="66"/>
      <c r="S168" s="59"/>
      <c r="T168" s="59"/>
      <c r="U168" s="59"/>
      <c r="V168" s="59"/>
      <c r="W168" s="59"/>
      <c r="X168" s="59"/>
    </row>
    <row r="169" s="20" customFormat="1" ht="96" hidden="1" spans="1:24">
      <c r="A169" s="59">
        <v>220</v>
      </c>
      <c r="B169" s="60" t="s">
        <v>478</v>
      </c>
      <c r="C169" s="61">
        <v>44378</v>
      </c>
      <c r="D169" s="62" t="str">
        <f ca="1" t="shared" si="7"/>
        <v>一年以上</v>
      </c>
      <c r="E169" s="66">
        <v>44400</v>
      </c>
      <c r="F169" s="66"/>
      <c r="G169" s="59" t="s">
        <v>479</v>
      </c>
      <c r="H169" s="63" t="s">
        <v>40</v>
      </c>
      <c r="I169" s="63" t="s">
        <v>40</v>
      </c>
      <c r="J169" s="76">
        <v>2000</v>
      </c>
      <c r="K169" s="59" t="s">
        <v>28</v>
      </c>
      <c r="L169" s="59" t="s">
        <v>466</v>
      </c>
      <c r="M169" s="59" t="s">
        <v>30</v>
      </c>
      <c r="N169" s="65">
        <v>2000</v>
      </c>
      <c r="O169" s="65">
        <f t="shared" si="9"/>
        <v>0</v>
      </c>
      <c r="P169" s="66">
        <v>44732</v>
      </c>
      <c r="Q169" s="61">
        <f t="shared" si="8"/>
        <v>44732</v>
      </c>
      <c r="R169" s="59" t="s">
        <v>480</v>
      </c>
      <c r="S169" s="59" t="s">
        <v>481</v>
      </c>
      <c r="T169" s="59"/>
      <c r="U169" s="59"/>
      <c r="V169" s="59"/>
      <c r="W169" s="59"/>
      <c r="X169" s="59"/>
    </row>
    <row r="170" s="20" customFormat="1" ht="48" hidden="1" spans="1:24">
      <c r="A170" s="59">
        <v>122</v>
      </c>
      <c r="B170" s="60" t="s">
        <v>482</v>
      </c>
      <c r="C170" s="61">
        <v>44378</v>
      </c>
      <c r="D170" s="62" t="str">
        <f ca="1" t="shared" si="7"/>
        <v>一年以上</v>
      </c>
      <c r="E170" s="66">
        <v>44403</v>
      </c>
      <c r="F170" s="66" t="s">
        <v>82</v>
      </c>
      <c r="G170" s="59" t="s">
        <v>146</v>
      </c>
      <c r="H170" s="60" t="s">
        <v>483</v>
      </c>
      <c r="I170" s="63" t="s">
        <v>483</v>
      </c>
      <c r="J170" s="96">
        <v>10000</v>
      </c>
      <c r="K170" s="97" t="s">
        <v>356</v>
      </c>
      <c r="L170" s="97" t="s">
        <v>458</v>
      </c>
      <c r="M170" s="59" t="s">
        <v>65</v>
      </c>
      <c r="N170" s="65">
        <v>10000</v>
      </c>
      <c r="O170" s="65">
        <f t="shared" si="9"/>
        <v>0</v>
      </c>
      <c r="P170" s="66">
        <v>45071</v>
      </c>
      <c r="Q170" s="61">
        <f t="shared" si="8"/>
        <v>45071</v>
      </c>
      <c r="R170" s="66" t="s">
        <v>484</v>
      </c>
      <c r="S170" s="59" t="s">
        <v>485</v>
      </c>
      <c r="T170" s="59" t="s">
        <v>182</v>
      </c>
      <c r="U170" s="59" t="s">
        <v>371</v>
      </c>
      <c r="V170" s="59"/>
      <c r="W170" s="59"/>
      <c r="X170" s="59"/>
    </row>
    <row r="171" s="20" customFormat="1" ht="24" hidden="1" spans="1:24">
      <c r="A171" s="59">
        <v>123</v>
      </c>
      <c r="B171" s="60" t="s">
        <v>486</v>
      </c>
      <c r="C171" s="61">
        <v>44378</v>
      </c>
      <c r="D171" s="62" t="str">
        <f ca="1" t="shared" si="7"/>
        <v>一年以上</v>
      </c>
      <c r="E171" s="66">
        <v>44406</v>
      </c>
      <c r="F171" s="66" t="s">
        <v>70</v>
      </c>
      <c r="G171" s="59" t="s">
        <v>487</v>
      </c>
      <c r="H171" s="60" t="s">
        <v>428</v>
      </c>
      <c r="I171" s="63" t="s">
        <v>428</v>
      </c>
      <c r="J171" s="76">
        <v>10000</v>
      </c>
      <c r="K171" s="59"/>
      <c r="L171" s="59" t="s">
        <v>488</v>
      </c>
      <c r="M171" s="59" t="s">
        <v>65</v>
      </c>
      <c r="N171" s="65">
        <v>10000</v>
      </c>
      <c r="O171" s="65">
        <f t="shared" si="9"/>
        <v>0</v>
      </c>
      <c r="P171" s="66">
        <v>44449</v>
      </c>
      <c r="Q171" s="61">
        <f t="shared" si="8"/>
        <v>44449</v>
      </c>
      <c r="R171" s="66"/>
      <c r="S171" s="59"/>
      <c r="T171" s="59"/>
      <c r="U171" s="59"/>
      <c r="V171" s="59"/>
      <c r="W171" s="59"/>
      <c r="X171" s="59"/>
    </row>
    <row r="172" s="20" customFormat="1" ht="24" hidden="1" spans="1:24">
      <c r="A172" s="59">
        <v>221</v>
      </c>
      <c r="B172" s="60" t="s">
        <v>489</v>
      </c>
      <c r="C172" s="61">
        <v>44409</v>
      </c>
      <c r="D172" s="62" t="str">
        <f ca="1" t="shared" si="7"/>
        <v>一年以上</v>
      </c>
      <c r="E172" s="66">
        <v>44417</v>
      </c>
      <c r="F172" s="66"/>
      <c r="G172" s="59" t="s">
        <v>301</v>
      </c>
      <c r="H172" s="60" t="s">
        <v>490</v>
      </c>
      <c r="I172" s="63" t="s">
        <v>490</v>
      </c>
      <c r="J172" s="76">
        <v>1000</v>
      </c>
      <c r="K172" s="98" t="s">
        <v>28</v>
      </c>
      <c r="L172" s="98" t="s">
        <v>466</v>
      </c>
      <c r="M172" s="59" t="s">
        <v>30</v>
      </c>
      <c r="N172" s="65">
        <v>1000</v>
      </c>
      <c r="O172" s="65">
        <f t="shared" si="9"/>
        <v>0</v>
      </c>
      <c r="P172" s="66">
        <v>44453</v>
      </c>
      <c r="Q172" s="61">
        <f t="shared" si="8"/>
        <v>44453</v>
      </c>
      <c r="R172" s="59"/>
      <c r="S172" s="59" t="s">
        <v>491</v>
      </c>
      <c r="T172" s="59"/>
      <c r="U172" s="59"/>
      <c r="V172" s="59"/>
      <c r="W172" s="59"/>
      <c r="X172" s="59"/>
    </row>
    <row r="173" s="20" customFormat="1" ht="24" hidden="1" spans="1:24">
      <c r="A173" s="59">
        <v>349</v>
      </c>
      <c r="B173" s="60" t="s">
        <v>492</v>
      </c>
      <c r="C173" s="61">
        <v>44409</v>
      </c>
      <c r="D173" s="62" t="str">
        <f ca="1" t="shared" si="7"/>
        <v>一年以上</v>
      </c>
      <c r="E173" s="66">
        <v>44417</v>
      </c>
      <c r="F173" s="66" t="s">
        <v>130</v>
      </c>
      <c r="G173" s="59" t="s">
        <v>301</v>
      </c>
      <c r="H173" s="60" t="s">
        <v>490</v>
      </c>
      <c r="I173" s="63" t="s">
        <v>490</v>
      </c>
      <c r="J173" s="76">
        <v>1000</v>
      </c>
      <c r="K173" s="98" t="s">
        <v>28</v>
      </c>
      <c r="L173" s="98" t="s">
        <v>466</v>
      </c>
      <c r="M173" s="59" t="s">
        <v>133</v>
      </c>
      <c r="N173" s="65">
        <v>1000</v>
      </c>
      <c r="O173" s="65">
        <f t="shared" si="9"/>
        <v>0</v>
      </c>
      <c r="P173" s="66">
        <v>44453</v>
      </c>
      <c r="Q173" s="61">
        <f t="shared" si="8"/>
        <v>44453</v>
      </c>
      <c r="R173" s="59"/>
      <c r="S173" s="59" t="s">
        <v>493</v>
      </c>
      <c r="T173" s="59"/>
      <c r="U173" s="59"/>
      <c r="V173" s="59"/>
      <c r="W173" s="59"/>
      <c r="X173" s="59"/>
    </row>
    <row r="174" s="20" customFormat="1" ht="36" hidden="1" spans="1:24">
      <c r="A174" s="59">
        <v>124</v>
      </c>
      <c r="B174" s="60" t="s">
        <v>494</v>
      </c>
      <c r="C174" s="61">
        <v>44409</v>
      </c>
      <c r="D174" s="99" t="str">
        <f ca="1" t="shared" si="7"/>
        <v>一年以上</v>
      </c>
      <c r="E174" s="66">
        <v>44419</v>
      </c>
      <c r="F174" s="66" t="s">
        <v>82</v>
      </c>
      <c r="G174" s="59" t="s">
        <v>146</v>
      </c>
      <c r="H174" s="100" t="s">
        <v>495</v>
      </c>
      <c r="I174" s="63" t="s">
        <v>495</v>
      </c>
      <c r="J174" s="96">
        <v>2000</v>
      </c>
      <c r="K174" s="59" t="s">
        <v>28</v>
      </c>
      <c r="L174" s="59" t="s">
        <v>496</v>
      </c>
      <c r="M174" s="59" t="s">
        <v>65</v>
      </c>
      <c r="N174" s="65">
        <v>2000</v>
      </c>
      <c r="O174" s="65">
        <f t="shared" si="9"/>
        <v>0</v>
      </c>
      <c r="P174" s="66">
        <v>45281</v>
      </c>
      <c r="Q174" s="61">
        <f t="shared" si="8"/>
        <v>45281</v>
      </c>
      <c r="R174" s="66" t="s">
        <v>497</v>
      </c>
      <c r="S174" s="59" t="s">
        <v>498</v>
      </c>
      <c r="T174" s="59" t="s">
        <v>182</v>
      </c>
      <c r="U174" s="59" t="str">
        <f>VLOOKUP(T174,[1]区域划分!$A$1:$C$39,3,0)</f>
        <v>汪瑞青</v>
      </c>
      <c r="V174" s="59"/>
      <c r="W174" s="59"/>
      <c r="X174" s="59"/>
    </row>
    <row r="175" s="20" customFormat="1" ht="24" hidden="1" spans="1:24">
      <c r="A175" s="59">
        <v>222</v>
      </c>
      <c r="B175" s="60" t="s">
        <v>499</v>
      </c>
      <c r="C175" s="61">
        <v>44409</v>
      </c>
      <c r="D175" s="62" t="str">
        <f ca="1" t="shared" si="7"/>
        <v>一年以上</v>
      </c>
      <c r="E175" s="66">
        <v>44419</v>
      </c>
      <c r="F175" s="66"/>
      <c r="G175" s="59" t="s">
        <v>301</v>
      </c>
      <c r="H175" s="60" t="s">
        <v>490</v>
      </c>
      <c r="I175" s="63" t="s">
        <v>490</v>
      </c>
      <c r="J175" s="76">
        <v>1000</v>
      </c>
      <c r="K175" s="59"/>
      <c r="L175" s="59" t="s">
        <v>488</v>
      </c>
      <c r="M175" s="59" t="s">
        <v>30</v>
      </c>
      <c r="N175" s="65">
        <v>1000</v>
      </c>
      <c r="O175" s="65">
        <f t="shared" si="9"/>
        <v>0</v>
      </c>
      <c r="P175" s="66">
        <v>44428</v>
      </c>
      <c r="Q175" s="61">
        <f t="shared" si="8"/>
        <v>44428</v>
      </c>
      <c r="R175" s="59"/>
      <c r="S175" s="59" t="s">
        <v>500</v>
      </c>
      <c r="T175" s="59"/>
      <c r="U175" s="59"/>
      <c r="V175" s="59"/>
      <c r="W175" s="59"/>
      <c r="X175" s="59"/>
    </row>
    <row r="176" s="20" customFormat="1" ht="24" hidden="1" spans="1:24">
      <c r="A176" s="59">
        <v>223</v>
      </c>
      <c r="B176" s="60" t="s">
        <v>501</v>
      </c>
      <c r="C176" s="61">
        <v>44409</v>
      </c>
      <c r="D176" s="62" t="str">
        <f ca="1" t="shared" si="7"/>
        <v>一年以上</v>
      </c>
      <c r="E176" s="66">
        <v>44419</v>
      </c>
      <c r="F176" s="66"/>
      <c r="G176" s="59" t="s">
        <v>301</v>
      </c>
      <c r="H176" s="60" t="s">
        <v>490</v>
      </c>
      <c r="I176" s="63" t="s">
        <v>490</v>
      </c>
      <c r="J176" s="76">
        <v>1000</v>
      </c>
      <c r="K176" s="59"/>
      <c r="L176" s="59" t="s">
        <v>488</v>
      </c>
      <c r="M176" s="59" t="s">
        <v>30</v>
      </c>
      <c r="N176" s="65">
        <v>1000</v>
      </c>
      <c r="O176" s="65">
        <f t="shared" si="9"/>
        <v>0</v>
      </c>
      <c r="P176" s="66">
        <v>44428</v>
      </c>
      <c r="Q176" s="61">
        <f t="shared" si="8"/>
        <v>44428</v>
      </c>
      <c r="R176" s="59"/>
      <c r="S176" s="59" t="s">
        <v>500</v>
      </c>
      <c r="T176" s="59"/>
      <c r="U176" s="59"/>
      <c r="V176" s="59"/>
      <c r="W176" s="59"/>
      <c r="X176" s="59"/>
    </row>
    <row r="177" s="20" customFormat="1" ht="24" hidden="1" spans="1:24">
      <c r="A177" s="59">
        <v>224</v>
      </c>
      <c r="B177" s="60" t="s">
        <v>502</v>
      </c>
      <c r="C177" s="61">
        <v>44409</v>
      </c>
      <c r="D177" s="62" t="str">
        <f ca="1" t="shared" si="7"/>
        <v>一年以上</v>
      </c>
      <c r="E177" s="66">
        <v>44424</v>
      </c>
      <c r="F177" s="66"/>
      <c r="G177" s="59" t="s">
        <v>54</v>
      </c>
      <c r="H177" s="60" t="s">
        <v>366</v>
      </c>
      <c r="I177" s="63" t="s">
        <v>366</v>
      </c>
      <c r="J177" s="76">
        <v>5000</v>
      </c>
      <c r="K177" s="59" t="s">
        <v>356</v>
      </c>
      <c r="L177" s="59" t="s">
        <v>503</v>
      </c>
      <c r="M177" s="59" t="s">
        <v>30</v>
      </c>
      <c r="N177" s="65">
        <v>5000</v>
      </c>
      <c r="O177" s="65">
        <f t="shared" si="9"/>
        <v>0</v>
      </c>
      <c r="P177" s="66">
        <v>44581</v>
      </c>
      <c r="Q177" s="61">
        <f t="shared" si="8"/>
        <v>44581</v>
      </c>
      <c r="R177" s="59"/>
      <c r="S177" s="59" t="s">
        <v>30</v>
      </c>
      <c r="T177" s="59"/>
      <c r="U177" s="59"/>
      <c r="V177" s="59"/>
      <c r="W177" s="59"/>
      <c r="X177" s="59"/>
    </row>
    <row r="178" s="20" customFormat="1" ht="24" hidden="1" spans="1:24">
      <c r="A178" s="59">
        <v>125</v>
      </c>
      <c r="B178" s="60" t="s">
        <v>504</v>
      </c>
      <c r="C178" s="61">
        <v>44409</v>
      </c>
      <c r="D178" s="62" t="str">
        <f ca="1" t="shared" si="7"/>
        <v>一年以上</v>
      </c>
      <c r="E178" s="66">
        <v>44428</v>
      </c>
      <c r="F178" s="66" t="s">
        <v>82</v>
      </c>
      <c r="G178" s="59" t="s">
        <v>452</v>
      </c>
      <c r="H178" s="60" t="s">
        <v>505</v>
      </c>
      <c r="I178" s="63" t="s">
        <v>505</v>
      </c>
      <c r="J178" s="76">
        <v>2000</v>
      </c>
      <c r="K178" s="59" t="s">
        <v>356</v>
      </c>
      <c r="L178" s="59" t="s">
        <v>96</v>
      </c>
      <c r="M178" s="59" t="s">
        <v>65</v>
      </c>
      <c r="N178" s="65">
        <v>2000</v>
      </c>
      <c r="O178" s="65">
        <f t="shared" si="9"/>
        <v>0</v>
      </c>
      <c r="P178" s="66">
        <v>44826</v>
      </c>
      <c r="Q178" s="61">
        <f t="shared" si="8"/>
        <v>44826</v>
      </c>
      <c r="R178" s="66"/>
      <c r="S178" s="59" t="s">
        <v>65</v>
      </c>
      <c r="T178" s="59" t="s">
        <v>44</v>
      </c>
      <c r="U178" s="59" t="s">
        <v>506</v>
      </c>
      <c r="V178" s="59"/>
      <c r="W178" s="59"/>
      <c r="X178" s="59"/>
    </row>
    <row r="179" s="20" customFormat="1" ht="24" hidden="1" spans="1:24">
      <c r="A179" s="59">
        <v>350</v>
      </c>
      <c r="B179" s="60" t="s">
        <v>507</v>
      </c>
      <c r="C179" s="61">
        <v>44409</v>
      </c>
      <c r="D179" s="62" t="str">
        <f ca="1" t="shared" si="7"/>
        <v>一年以上</v>
      </c>
      <c r="E179" s="66">
        <v>44428</v>
      </c>
      <c r="F179" s="66" t="s">
        <v>130</v>
      </c>
      <c r="G179" s="59" t="s">
        <v>125</v>
      </c>
      <c r="H179" s="60" t="s">
        <v>132</v>
      </c>
      <c r="I179" s="63" t="s">
        <v>132</v>
      </c>
      <c r="J179" s="76">
        <v>13000</v>
      </c>
      <c r="K179" s="59" t="s">
        <v>28</v>
      </c>
      <c r="L179" s="59" t="s">
        <v>461</v>
      </c>
      <c r="M179" s="59" t="s">
        <v>133</v>
      </c>
      <c r="N179" s="65">
        <v>13000</v>
      </c>
      <c r="O179" s="65">
        <f t="shared" si="9"/>
        <v>0</v>
      </c>
      <c r="P179" s="66">
        <v>44490</v>
      </c>
      <c r="Q179" s="61">
        <f t="shared" si="8"/>
        <v>44490</v>
      </c>
      <c r="R179" s="59"/>
      <c r="S179" s="59" t="s">
        <v>133</v>
      </c>
      <c r="T179" s="59"/>
      <c r="U179" s="59"/>
      <c r="V179" s="59"/>
      <c r="W179" s="59"/>
      <c r="X179" s="59"/>
    </row>
    <row r="180" s="20" customFormat="1" hidden="1" spans="1:24">
      <c r="A180" s="59">
        <v>225</v>
      </c>
      <c r="B180" s="60" t="s">
        <v>508</v>
      </c>
      <c r="C180" s="61">
        <v>44409</v>
      </c>
      <c r="D180" s="62" t="str">
        <f ca="1" t="shared" si="7"/>
        <v>一年以上</v>
      </c>
      <c r="E180" s="66">
        <v>44433</v>
      </c>
      <c r="F180" s="66"/>
      <c r="G180" s="59" t="s">
        <v>301</v>
      </c>
      <c r="H180" s="60" t="s">
        <v>509</v>
      </c>
      <c r="I180" s="63" t="s">
        <v>509</v>
      </c>
      <c r="J180" s="76">
        <v>1000</v>
      </c>
      <c r="K180" s="98" t="s">
        <v>28</v>
      </c>
      <c r="L180" s="98" t="s">
        <v>461</v>
      </c>
      <c r="M180" s="59" t="s">
        <v>30</v>
      </c>
      <c r="N180" s="65">
        <v>1000</v>
      </c>
      <c r="O180" s="65">
        <f t="shared" si="9"/>
        <v>0</v>
      </c>
      <c r="P180" s="66">
        <v>44439</v>
      </c>
      <c r="Q180" s="61">
        <f t="shared" si="8"/>
        <v>44439</v>
      </c>
      <c r="R180" s="59"/>
      <c r="S180" s="59" t="s">
        <v>510</v>
      </c>
      <c r="T180" s="59"/>
      <c r="U180" s="59"/>
      <c r="V180" s="59"/>
      <c r="W180" s="59"/>
      <c r="X180" s="59"/>
    </row>
    <row r="181" s="20" customFormat="1" ht="24" hidden="1" spans="1:24">
      <c r="A181" s="59">
        <v>126</v>
      </c>
      <c r="B181" s="60" t="s">
        <v>511</v>
      </c>
      <c r="C181" s="61">
        <v>44409</v>
      </c>
      <c r="D181" s="62" t="str">
        <f ca="1" t="shared" si="7"/>
        <v>一年以上</v>
      </c>
      <c r="E181" s="66">
        <v>44434</v>
      </c>
      <c r="F181" s="66" t="s">
        <v>70</v>
      </c>
      <c r="G181" s="59" t="s">
        <v>119</v>
      </c>
      <c r="H181" s="60" t="s">
        <v>113</v>
      </c>
      <c r="I181" s="63" t="s">
        <v>113</v>
      </c>
      <c r="J181" s="76">
        <v>2000</v>
      </c>
      <c r="K181" s="59" t="s">
        <v>28</v>
      </c>
      <c r="L181" s="59" t="s">
        <v>461</v>
      </c>
      <c r="M181" s="59" t="s">
        <v>65</v>
      </c>
      <c r="N181" s="65">
        <v>2000</v>
      </c>
      <c r="O181" s="65">
        <f t="shared" si="9"/>
        <v>0</v>
      </c>
      <c r="P181" s="66">
        <v>44453</v>
      </c>
      <c r="Q181" s="61">
        <f t="shared" si="8"/>
        <v>44453</v>
      </c>
      <c r="R181" s="66"/>
      <c r="S181" s="59"/>
      <c r="T181" s="59"/>
      <c r="U181" s="59"/>
      <c r="V181" s="59"/>
      <c r="W181" s="59"/>
      <c r="X181" s="59"/>
    </row>
    <row r="182" s="20" customFormat="1" hidden="1" spans="1:24">
      <c r="A182" s="59">
        <v>361</v>
      </c>
      <c r="B182" s="60" t="s">
        <v>512</v>
      </c>
      <c r="C182" s="61">
        <v>44409</v>
      </c>
      <c r="D182" s="62" t="str">
        <f ca="1" t="shared" si="7"/>
        <v>一年以上</v>
      </c>
      <c r="E182" s="66">
        <v>44434</v>
      </c>
      <c r="F182" s="66"/>
      <c r="G182" s="59" t="s">
        <v>513</v>
      </c>
      <c r="H182" s="60" t="s">
        <v>514</v>
      </c>
      <c r="I182" s="63" t="s">
        <v>514</v>
      </c>
      <c r="J182" s="76">
        <v>100</v>
      </c>
      <c r="K182" s="59" t="s">
        <v>28</v>
      </c>
      <c r="L182" s="59" t="s">
        <v>461</v>
      </c>
      <c r="M182" s="59" t="s">
        <v>515</v>
      </c>
      <c r="N182" s="65">
        <v>100</v>
      </c>
      <c r="O182" s="65">
        <f t="shared" si="9"/>
        <v>0</v>
      </c>
      <c r="P182" s="66">
        <f>E182</f>
        <v>44434</v>
      </c>
      <c r="Q182" s="61">
        <f t="shared" si="8"/>
        <v>44434</v>
      </c>
      <c r="R182" s="59"/>
      <c r="S182" s="59" t="s">
        <v>515</v>
      </c>
      <c r="T182" s="59"/>
      <c r="U182" s="59"/>
      <c r="V182" s="59"/>
      <c r="W182" s="59"/>
      <c r="X182" s="59"/>
    </row>
    <row r="183" s="20" customFormat="1" ht="24" hidden="1" spans="1:24">
      <c r="A183" s="59">
        <v>127</v>
      </c>
      <c r="B183" s="60" t="s">
        <v>516</v>
      </c>
      <c r="C183" s="61">
        <v>44409</v>
      </c>
      <c r="D183" s="62" t="str">
        <f ca="1" t="shared" si="7"/>
        <v>一年以上</v>
      </c>
      <c r="E183" s="66">
        <v>44438</v>
      </c>
      <c r="F183" s="66" t="s">
        <v>70</v>
      </c>
      <c r="G183" s="59" t="s">
        <v>233</v>
      </c>
      <c r="H183" s="60" t="s">
        <v>517</v>
      </c>
      <c r="I183" s="63" t="s">
        <v>517</v>
      </c>
      <c r="J183" s="76">
        <v>2000</v>
      </c>
      <c r="K183" s="59"/>
      <c r="L183" s="59" t="s">
        <v>96</v>
      </c>
      <c r="M183" s="59" t="s">
        <v>65</v>
      </c>
      <c r="N183" s="65">
        <v>2000</v>
      </c>
      <c r="O183" s="65">
        <f t="shared" si="9"/>
        <v>0</v>
      </c>
      <c r="P183" s="66">
        <v>44441</v>
      </c>
      <c r="Q183" s="61">
        <f t="shared" si="8"/>
        <v>44441</v>
      </c>
      <c r="R183" s="66"/>
      <c r="S183" s="50"/>
      <c r="T183" s="59"/>
      <c r="U183" s="59"/>
      <c r="V183" s="59"/>
      <c r="W183" s="59"/>
      <c r="X183" s="59"/>
    </row>
    <row r="184" s="20" customFormat="1" ht="36" hidden="1" spans="1:24">
      <c r="A184" s="59">
        <v>226</v>
      </c>
      <c r="B184" s="60" t="s">
        <v>518</v>
      </c>
      <c r="C184" s="61">
        <v>44440</v>
      </c>
      <c r="D184" s="62" t="str">
        <f ca="1" t="shared" si="7"/>
        <v>一年以上</v>
      </c>
      <c r="E184" s="66">
        <v>44440</v>
      </c>
      <c r="F184" s="66"/>
      <c r="G184" s="59" t="s">
        <v>519</v>
      </c>
      <c r="H184" s="60" t="s">
        <v>520</v>
      </c>
      <c r="I184" s="63" t="s">
        <v>520</v>
      </c>
      <c r="J184" s="76">
        <v>5000</v>
      </c>
      <c r="K184" s="59" t="s">
        <v>356</v>
      </c>
      <c r="L184" s="59" t="s">
        <v>521</v>
      </c>
      <c r="M184" s="59" t="s">
        <v>30</v>
      </c>
      <c r="N184" s="65">
        <v>5000</v>
      </c>
      <c r="O184" s="65">
        <f t="shared" si="9"/>
        <v>0</v>
      </c>
      <c r="P184" s="66">
        <v>44614</v>
      </c>
      <c r="Q184" s="61">
        <f t="shared" si="8"/>
        <v>44614</v>
      </c>
      <c r="R184" s="59" t="s">
        <v>522</v>
      </c>
      <c r="S184" s="59" t="s">
        <v>523</v>
      </c>
      <c r="T184" s="59"/>
      <c r="U184" s="59"/>
      <c r="V184" s="59"/>
      <c r="W184" s="59"/>
      <c r="X184" s="59"/>
    </row>
    <row r="185" s="20" customFormat="1" ht="24" hidden="1" spans="1:24">
      <c r="A185" s="59">
        <v>128</v>
      </c>
      <c r="B185" s="60" t="s">
        <v>524</v>
      </c>
      <c r="C185" s="61">
        <v>44440</v>
      </c>
      <c r="D185" s="62" t="str">
        <f ca="1" t="shared" si="7"/>
        <v>一年以上</v>
      </c>
      <c r="E185" s="66">
        <v>44448</v>
      </c>
      <c r="F185" s="66" t="s">
        <v>282</v>
      </c>
      <c r="G185" s="59" t="s">
        <v>525</v>
      </c>
      <c r="H185" s="60" t="s">
        <v>490</v>
      </c>
      <c r="I185" s="63" t="s">
        <v>490</v>
      </c>
      <c r="J185" s="76">
        <v>10000</v>
      </c>
      <c r="K185" s="59" t="s">
        <v>28</v>
      </c>
      <c r="L185" s="59" t="s">
        <v>461</v>
      </c>
      <c r="M185" s="59" t="s">
        <v>65</v>
      </c>
      <c r="N185" s="65">
        <v>10000</v>
      </c>
      <c r="O185" s="65">
        <f t="shared" si="9"/>
        <v>0</v>
      </c>
      <c r="P185" s="66">
        <v>44638</v>
      </c>
      <c r="Q185" s="61">
        <f t="shared" si="8"/>
        <v>44638</v>
      </c>
      <c r="R185" s="66"/>
      <c r="S185" s="59" t="s">
        <v>65</v>
      </c>
      <c r="T185" s="59" t="s">
        <v>32</v>
      </c>
      <c r="U185" s="59" t="s">
        <v>301</v>
      </c>
      <c r="V185" s="59"/>
      <c r="W185" s="59"/>
      <c r="X185" s="59"/>
    </row>
    <row r="186" s="20" customFormat="1" hidden="1" spans="1:24">
      <c r="A186" s="59">
        <v>129</v>
      </c>
      <c r="B186" s="60" t="s">
        <v>526</v>
      </c>
      <c r="C186" s="61">
        <v>44440</v>
      </c>
      <c r="D186" s="62" t="str">
        <f ca="1" t="shared" si="7"/>
        <v>一年以上</v>
      </c>
      <c r="E186" s="66">
        <v>44449</v>
      </c>
      <c r="F186" s="66" t="s">
        <v>70</v>
      </c>
      <c r="G186" s="59" t="s">
        <v>224</v>
      </c>
      <c r="H186" s="60" t="s">
        <v>154</v>
      </c>
      <c r="I186" s="63" t="s">
        <v>154</v>
      </c>
      <c r="J186" s="76">
        <v>2000</v>
      </c>
      <c r="K186" s="59" t="s">
        <v>28</v>
      </c>
      <c r="L186" s="59" t="s">
        <v>461</v>
      </c>
      <c r="M186" s="59" t="s">
        <v>65</v>
      </c>
      <c r="N186" s="65">
        <v>2000</v>
      </c>
      <c r="O186" s="65">
        <f t="shared" si="9"/>
        <v>0</v>
      </c>
      <c r="P186" s="66">
        <v>44496</v>
      </c>
      <c r="Q186" s="61">
        <f t="shared" si="8"/>
        <v>44496</v>
      </c>
      <c r="R186" s="66"/>
      <c r="S186" s="59"/>
      <c r="T186" s="59"/>
      <c r="U186" s="59"/>
      <c r="V186" s="59"/>
      <c r="W186" s="59"/>
      <c r="X186" s="59"/>
    </row>
    <row r="187" s="20" customFormat="1" hidden="1" spans="1:24">
      <c r="A187" s="59">
        <v>227</v>
      </c>
      <c r="B187" s="60" t="s">
        <v>527</v>
      </c>
      <c r="C187" s="61">
        <v>44440</v>
      </c>
      <c r="D187" s="62" t="str">
        <f ca="1" t="shared" si="7"/>
        <v>一年以上</v>
      </c>
      <c r="E187" s="66">
        <v>44454</v>
      </c>
      <c r="F187" s="66"/>
      <c r="G187" s="59" t="s">
        <v>301</v>
      </c>
      <c r="H187" s="60" t="s">
        <v>509</v>
      </c>
      <c r="I187" s="63" t="s">
        <v>509</v>
      </c>
      <c r="J187" s="76">
        <v>12000</v>
      </c>
      <c r="K187" s="59" t="s">
        <v>28</v>
      </c>
      <c r="L187" s="59" t="s">
        <v>461</v>
      </c>
      <c r="M187" s="59" t="s">
        <v>30</v>
      </c>
      <c r="N187" s="65">
        <v>12000</v>
      </c>
      <c r="O187" s="65">
        <f t="shared" si="9"/>
        <v>0</v>
      </c>
      <c r="P187" s="66">
        <v>44512</v>
      </c>
      <c r="Q187" s="61">
        <f t="shared" si="8"/>
        <v>44512</v>
      </c>
      <c r="R187" s="59"/>
      <c r="S187" s="59" t="s">
        <v>510</v>
      </c>
      <c r="T187" s="59"/>
      <c r="U187" s="59"/>
      <c r="V187" s="59"/>
      <c r="W187" s="59"/>
      <c r="X187" s="59"/>
    </row>
    <row r="188" s="20" customFormat="1" hidden="1" spans="1:24">
      <c r="A188" s="59">
        <v>362</v>
      </c>
      <c r="B188" s="60" t="s">
        <v>528</v>
      </c>
      <c r="C188" s="61">
        <v>44440</v>
      </c>
      <c r="D188" s="62" t="str">
        <f ca="1" t="shared" si="7"/>
        <v>一年以上</v>
      </c>
      <c r="E188" s="66">
        <v>44455</v>
      </c>
      <c r="F188" s="66"/>
      <c r="G188" s="59" t="s">
        <v>54</v>
      </c>
      <c r="H188" s="60" t="s">
        <v>60</v>
      </c>
      <c r="I188" s="63" t="s">
        <v>60</v>
      </c>
      <c r="J188" s="76">
        <v>300</v>
      </c>
      <c r="K188" s="59" t="s">
        <v>28</v>
      </c>
      <c r="L188" s="59" t="s">
        <v>461</v>
      </c>
      <c r="M188" s="59" t="s">
        <v>515</v>
      </c>
      <c r="N188" s="65">
        <v>300</v>
      </c>
      <c r="O188" s="65">
        <f t="shared" si="9"/>
        <v>0</v>
      </c>
      <c r="P188" s="66">
        <f>E188</f>
        <v>44455</v>
      </c>
      <c r="Q188" s="61">
        <f t="shared" si="8"/>
        <v>44455</v>
      </c>
      <c r="R188" s="59"/>
      <c r="S188" s="59" t="s">
        <v>529</v>
      </c>
      <c r="T188" s="59"/>
      <c r="U188" s="59"/>
      <c r="V188" s="59"/>
      <c r="W188" s="59"/>
      <c r="X188" s="59"/>
    </row>
    <row r="189" s="20" customFormat="1" ht="24" hidden="1" spans="1:24">
      <c r="A189" s="59">
        <v>228</v>
      </c>
      <c r="B189" s="60" t="s">
        <v>530</v>
      </c>
      <c r="C189" s="61">
        <v>44440</v>
      </c>
      <c r="D189" s="62" t="str">
        <f ca="1" t="shared" si="7"/>
        <v>一年以上</v>
      </c>
      <c r="E189" s="66">
        <v>44456</v>
      </c>
      <c r="F189" s="66"/>
      <c r="G189" s="59" t="s">
        <v>54</v>
      </c>
      <c r="H189" s="60" t="s">
        <v>193</v>
      </c>
      <c r="I189" s="63" t="s">
        <v>193</v>
      </c>
      <c r="J189" s="76">
        <v>15000</v>
      </c>
      <c r="K189" s="59" t="s">
        <v>28</v>
      </c>
      <c r="L189" s="59" t="s">
        <v>461</v>
      </c>
      <c r="M189" s="59" t="s">
        <v>30</v>
      </c>
      <c r="N189" s="65">
        <v>15000</v>
      </c>
      <c r="O189" s="65">
        <f t="shared" si="9"/>
        <v>0</v>
      </c>
      <c r="P189" s="66">
        <v>44627</v>
      </c>
      <c r="Q189" s="61">
        <f t="shared" si="8"/>
        <v>44627</v>
      </c>
      <c r="R189" s="59"/>
      <c r="S189" s="59" t="s">
        <v>531</v>
      </c>
      <c r="T189" s="59"/>
      <c r="U189" s="59"/>
      <c r="V189" s="59"/>
      <c r="W189" s="59"/>
      <c r="X189" s="59"/>
    </row>
    <row r="190" s="20" customFormat="1" ht="24" hidden="1" spans="1:24">
      <c r="A190" s="59">
        <v>229</v>
      </c>
      <c r="B190" s="60" t="s">
        <v>532</v>
      </c>
      <c r="C190" s="61">
        <v>44440</v>
      </c>
      <c r="D190" s="62" t="str">
        <f ca="1" t="shared" si="7"/>
        <v>一年以上</v>
      </c>
      <c r="E190" s="66">
        <v>44456</v>
      </c>
      <c r="F190" s="66"/>
      <c r="G190" s="59" t="s">
        <v>294</v>
      </c>
      <c r="H190" s="60" t="s">
        <v>265</v>
      </c>
      <c r="I190" s="63" t="s">
        <v>90</v>
      </c>
      <c r="J190" s="76">
        <v>50000</v>
      </c>
      <c r="K190" s="59" t="s">
        <v>28</v>
      </c>
      <c r="L190" s="59" t="s">
        <v>461</v>
      </c>
      <c r="M190" s="59" t="s">
        <v>30</v>
      </c>
      <c r="N190" s="65"/>
      <c r="O190" s="88">
        <f t="shared" si="9"/>
        <v>50000</v>
      </c>
      <c r="P190" s="66"/>
      <c r="Q190" s="61">
        <f t="shared" si="8"/>
        <v>0</v>
      </c>
      <c r="R190" s="59" t="s">
        <v>62</v>
      </c>
      <c r="S190" s="59" t="s">
        <v>62</v>
      </c>
      <c r="T190" s="59" t="s">
        <v>267</v>
      </c>
      <c r="U190" s="59" t="str">
        <f>VLOOKUP(T190,[1]区域划分!$A$1:$C$39,3,0)</f>
        <v>牛国庆</v>
      </c>
      <c r="V190" s="59"/>
      <c r="W190" s="59"/>
      <c r="X190" s="59"/>
    </row>
    <row r="191" s="20" customFormat="1" hidden="1" spans="1:24">
      <c r="A191" s="59">
        <v>230</v>
      </c>
      <c r="B191" s="60" t="s">
        <v>533</v>
      </c>
      <c r="C191" s="61">
        <v>44440</v>
      </c>
      <c r="D191" s="62" t="str">
        <f ca="1" t="shared" si="7"/>
        <v>一年以上</v>
      </c>
      <c r="E191" s="66">
        <v>44457</v>
      </c>
      <c r="F191" s="66"/>
      <c r="G191" s="59" t="s">
        <v>534</v>
      </c>
      <c r="H191" s="60" t="s">
        <v>34</v>
      </c>
      <c r="I191" s="63" t="s">
        <v>34</v>
      </c>
      <c r="J191" s="76">
        <v>50000</v>
      </c>
      <c r="K191" s="59" t="s">
        <v>28</v>
      </c>
      <c r="L191" s="59" t="s">
        <v>461</v>
      </c>
      <c r="M191" s="59" t="s">
        <v>30</v>
      </c>
      <c r="N191" s="65">
        <v>50000</v>
      </c>
      <c r="O191" s="65">
        <f t="shared" si="9"/>
        <v>0</v>
      </c>
      <c r="P191" s="66">
        <v>44523</v>
      </c>
      <c r="Q191" s="61">
        <f t="shared" si="8"/>
        <v>44523</v>
      </c>
      <c r="R191" s="59"/>
      <c r="S191" s="59"/>
      <c r="T191" s="59"/>
      <c r="U191" s="59"/>
      <c r="V191" s="59"/>
      <c r="W191" s="59"/>
      <c r="X191" s="59"/>
    </row>
    <row r="192" s="20" customFormat="1" hidden="1" spans="1:24">
      <c r="A192" s="59">
        <v>231</v>
      </c>
      <c r="B192" s="60" t="s">
        <v>535</v>
      </c>
      <c r="C192" s="61">
        <v>44440</v>
      </c>
      <c r="D192" s="62" t="str">
        <f ca="1" t="shared" si="7"/>
        <v>一年以上</v>
      </c>
      <c r="E192" s="66">
        <v>44457</v>
      </c>
      <c r="F192" s="66"/>
      <c r="G192" s="59" t="s">
        <v>534</v>
      </c>
      <c r="H192" s="60" t="s">
        <v>34</v>
      </c>
      <c r="I192" s="63" t="s">
        <v>34</v>
      </c>
      <c r="J192" s="76">
        <v>50000</v>
      </c>
      <c r="K192" s="59" t="s">
        <v>28</v>
      </c>
      <c r="L192" s="59" t="s">
        <v>461</v>
      </c>
      <c r="M192" s="59" t="s">
        <v>30</v>
      </c>
      <c r="N192" s="65">
        <v>50000</v>
      </c>
      <c r="O192" s="65">
        <f t="shared" si="9"/>
        <v>0</v>
      </c>
      <c r="P192" s="66">
        <v>44523</v>
      </c>
      <c r="Q192" s="61">
        <f t="shared" si="8"/>
        <v>44523</v>
      </c>
      <c r="R192" s="59"/>
      <c r="S192" s="59"/>
      <c r="T192" s="59"/>
      <c r="U192" s="59"/>
      <c r="V192" s="59"/>
      <c r="W192" s="59"/>
      <c r="X192" s="59"/>
    </row>
    <row r="193" s="20" customFormat="1" hidden="1" spans="1:24">
      <c r="A193" s="59">
        <v>232</v>
      </c>
      <c r="B193" s="60" t="s">
        <v>536</v>
      </c>
      <c r="C193" s="61">
        <v>44440</v>
      </c>
      <c r="D193" s="62" t="str">
        <f ca="1" t="shared" si="7"/>
        <v>一年以上</v>
      </c>
      <c r="E193" s="66">
        <v>44457</v>
      </c>
      <c r="F193" s="66"/>
      <c r="G193" s="59" t="s">
        <v>537</v>
      </c>
      <c r="H193" s="60" t="s">
        <v>34</v>
      </c>
      <c r="I193" s="63" t="s">
        <v>34</v>
      </c>
      <c r="J193" s="76">
        <v>50000</v>
      </c>
      <c r="K193" s="59" t="s">
        <v>338</v>
      </c>
      <c r="L193" s="59" t="s">
        <v>538</v>
      </c>
      <c r="M193" s="59" t="s">
        <v>30</v>
      </c>
      <c r="N193" s="65">
        <v>50000</v>
      </c>
      <c r="O193" s="65">
        <f t="shared" si="9"/>
        <v>0</v>
      </c>
      <c r="P193" s="66">
        <v>44895</v>
      </c>
      <c r="Q193" s="61">
        <f t="shared" si="8"/>
        <v>44895</v>
      </c>
      <c r="R193" s="59" t="s">
        <v>310</v>
      </c>
      <c r="S193" s="59" t="s">
        <v>62</v>
      </c>
      <c r="T193" s="59"/>
      <c r="U193" s="59"/>
      <c r="V193" s="59"/>
      <c r="W193" s="59"/>
      <c r="X193" s="59"/>
    </row>
    <row r="194" s="20" customFormat="1" hidden="1" spans="1:24">
      <c r="A194" s="59">
        <v>233</v>
      </c>
      <c r="B194" s="60" t="s">
        <v>539</v>
      </c>
      <c r="C194" s="61">
        <v>44440</v>
      </c>
      <c r="D194" s="62" t="str">
        <f ca="1" t="shared" si="7"/>
        <v>一年以上</v>
      </c>
      <c r="E194" s="66">
        <v>44461</v>
      </c>
      <c r="F194" s="66"/>
      <c r="G194" s="59" t="s">
        <v>537</v>
      </c>
      <c r="H194" s="60" t="s">
        <v>540</v>
      </c>
      <c r="I194" s="63" t="s">
        <v>540</v>
      </c>
      <c r="J194" s="76">
        <v>50000</v>
      </c>
      <c r="K194" s="59" t="s">
        <v>338</v>
      </c>
      <c r="L194" s="59" t="s">
        <v>538</v>
      </c>
      <c r="M194" s="59" t="s">
        <v>30</v>
      </c>
      <c r="N194" s="65">
        <v>50000</v>
      </c>
      <c r="O194" s="65">
        <f t="shared" si="9"/>
        <v>0</v>
      </c>
      <c r="P194" s="66">
        <v>44517</v>
      </c>
      <c r="Q194" s="61">
        <f t="shared" si="8"/>
        <v>44517</v>
      </c>
      <c r="R194" s="59"/>
      <c r="S194" s="59" t="s">
        <v>541</v>
      </c>
      <c r="T194" s="59"/>
      <c r="U194" s="59"/>
      <c r="V194" s="59"/>
      <c r="W194" s="59"/>
      <c r="X194" s="59"/>
    </row>
    <row r="195" s="18" customFormat="1" hidden="1" spans="1:24">
      <c r="A195" s="59">
        <v>363</v>
      </c>
      <c r="B195" s="60" t="s">
        <v>542</v>
      </c>
      <c r="C195" s="61">
        <v>44440</v>
      </c>
      <c r="D195" s="62" t="str">
        <f ca="1" t="shared" ref="D195:D258" si="10">IF(TODAY()-E195&lt;60,"2个月内",IF(TODAY()-E195&lt;180,"3-6个月",IF(TODAY()-E195&lt;360,"6个月-1年","一年以上")))</f>
        <v>一年以上</v>
      </c>
      <c r="E195" s="66">
        <v>44461</v>
      </c>
      <c r="F195" s="66"/>
      <c r="G195" s="59" t="s">
        <v>537</v>
      </c>
      <c r="H195" s="60" t="s">
        <v>543</v>
      </c>
      <c r="I195" s="63" t="s">
        <v>543</v>
      </c>
      <c r="J195" s="76">
        <v>500</v>
      </c>
      <c r="K195" s="59" t="s">
        <v>338</v>
      </c>
      <c r="L195" s="59" t="s">
        <v>538</v>
      </c>
      <c r="M195" s="59" t="s">
        <v>515</v>
      </c>
      <c r="N195" s="65">
        <v>500</v>
      </c>
      <c r="O195" s="65">
        <f t="shared" si="9"/>
        <v>0</v>
      </c>
      <c r="P195" s="66">
        <f>E195</f>
        <v>44461</v>
      </c>
      <c r="Q195" s="61">
        <f t="shared" ref="Q195:Q258" si="11">P195</f>
        <v>44461</v>
      </c>
      <c r="R195" s="59"/>
      <c r="S195" s="59" t="s">
        <v>544</v>
      </c>
      <c r="T195" s="59"/>
      <c r="U195" s="59"/>
      <c r="V195" s="59"/>
      <c r="W195" s="50"/>
      <c r="X195" s="50"/>
    </row>
    <row r="196" s="20" customFormat="1" hidden="1" spans="1:24">
      <c r="A196" s="59">
        <v>364</v>
      </c>
      <c r="B196" s="60" t="s">
        <v>545</v>
      </c>
      <c r="C196" s="61">
        <v>44440</v>
      </c>
      <c r="D196" s="62" t="str">
        <f ca="1" t="shared" si="10"/>
        <v>一年以上</v>
      </c>
      <c r="E196" s="66">
        <v>44466</v>
      </c>
      <c r="F196" s="66"/>
      <c r="G196" s="59" t="s">
        <v>87</v>
      </c>
      <c r="H196" s="60" t="s">
        <v>546</v>
      </c>
      <c r="I196" s="63" t="s">
        <v>546</v>
      </c>
      <c r="J196" s="76">
        <v>300</v>
      </c>
      <c r="K196" s="59" t="s">
        <v>28</v>
      </c>
      <c r="L196" s="59" t="s">
        <v>461</v>
      </c>
      <c r="M196" s="59" t="s">
        <v>515</v>
      </c>
      <c r="N196" s="65">
        <v>300</v>
      </c>
      <c r="O196" s="65">
        <f t="shared" si="9"/>
        <v>0</v>
      </c>
      <c r="P196" s="66">
        <f>E196</f>
        <v>44466</v>
      </c>
      <c r="Q196" s="61">
        <f t="shared" si="11"/>
        <v>44466</v>
      </c>
      <c r="R196" s="59"/>
      <c r="S196" s="59" t="s">
        <v>547</v>
      </c>
      <c r="T196" s="59"/>
      <c r="U196" s="59"/>
      <c r="V196" s="59"/>
      <c r="W196" s="59"/>
      <c r="X196" s="59"/>
    </row>
    <row r="197" s="20" customFormat="1" hidden="1" spans="1:24">
      <c r="A197" s="59">
        <v>365</v>
      </c>
      <c r="B197" s="60" t="s">
        <v>548</v>
      </c>
      <c r="C197" s="61">
        <v>44440</v>
      </c>
      <c r="D197" s="62" t="str">
        <f ca="1" t="shared" si="10"/>
        <v>一年以上</v>
      </c>
      <c r="E197" s="66">
        <v>44466</v>
      </c>
      <c r="F197" s="66"/>
      <c r="G197" s="59" t="s">
        <v>537</v>
      </c>
      <c r="H197" s="60" t="s">
        <v>546</v>
      </c>
      <c r="I197" s="63" t="s">
        <v>546</v>
      </c>
      <c r="J197" s="76">
        <v>300</v>
      </c>
      <c r="K197" s="59" t="s">
        <v>338</v>
      </c>
      <c r="L197" s="59" t="s">
        <v>538</v>
      </c>
      <c r="M197" s="59" t="s">
        <v>515</v>
      </c>
      <c r="N197" s="65">
        <v>300</v>
      </c>
      <c r="O197" s="65">
        <f t="shared" si="9"/>
        <v>0</v>
      </c>
      <c r="P197" s="66">
        <f>E197</f>
        <v>44466</v>
      </c>
      <c r="Q197" s="61">
        <f t="shared" si="11"/>
        <v>44466</v>
      </c>
      <c r="R197" s="59"/>
      <c r="S197" s="59" t="s">
        <v>547</v>
      </c>
      <c r="T197" s="59"/>
      <c r="U197" s="59"/>
      <c r="V197" s="59"/>
      <c r="W197" s="59"/>
      <c r="X197" s="59"/>
    </row>
    <row r="198" s="20" customFormat="1" ht="24" hidden="1" spans="1:24">
      <c r="A198" s="59">
        <v>130</v>
      </c>
      <c r="B198" s="60" t="s">
        <v>549</v>
      </c>
      <c r="C198" s="61">
        <v>44440</v>
      </c>
      <c r="D198" s="62" t="str">
        <f ca="1" t="shared" si="10"/>
        <v>一年以上</v>
      </c>
      <c r="E198" s="66">
        <v>44467</v>
      </c>
      <c r="F198" s="66" t="s">
        <v>70</v>
      </c>
      <c r="G198" s="59" t="s">
        <v>119</v>
      </c>
      <c r="H198" s="60" t="s">
        <v>113</v>
      </c>
      <c r="I198" s="63" t="s">
        <v>113</v>
      </c>
      <c r="J198" s="76">
        <v>3000</v>
      </c>
      <c r="K198" s="59" t="s">
        <v>356</v>
      </c>
      <c r="L198" s="59" t="s">
        <v>503</v>
      </c>
      <c r="M198" s="59" t="s">
        <v>65</v>
      </c>
      <c r="N198" s="65">
        <v>3000</v>
      </c>
      <c r="O198" s="65">
        <f t="shared" si="9"/>
        <v>0</v>
      </c>
      <c r="P198" s="66">
        <v>44495</v>
      </c>
      <c r="Q198" s="61">
        <f t="shared" si="11"/>
        <v>44495</v>
      </c>
      <c r="R198" s="66"/>
      <c r="S198" s="59" t="s">
        <v>65</v>
      </c>
      <c r="T198" s="59"/>
      <c r="U198" s="59"/>
      <c r="V198" s="59"/>
      <c r="W198" s="59"/>
      <c r="X198" s="59"/>
    </row>
    <row r="199" s="20" customFormat="1" hidden="1" spans="1:24">
      <c r="A199" s="59">
        <v>366</v>
      </c>
      <c r="B199" s="60" t="s">
        <v>550</v>
      </c>
      <c r="C199" s="61">
        <v>44440</v>
      </c>
      <c r="D199" s="62" t="str">
        <f ca="1" t="shared" si="10"/>
        <v>一年以上</v>
      </c>
      <c r="E199" s="66">
        <v>44467</v>
      </c>
      <c r="F199" s="66"/>
      <c r="G199" s="59" t="s">
        <v>87</v>
      </c>
      <c r="H199" s="60" t="s">
        <v>546</v>
      </c>
      <c r="I199" s="63" t="s">
        <v>546</v>
      </c>
      <c r="J199" s="76">
        <v>300</v>
      </c>
      <c r="K199" s="59" t="s">
        <v>28</v>
      </c>
      <c r="L199" s="59" t="s">
        <v>461</v>
      </c>
      <c r="M199" s="59" t="s">
        <v>515</v>
      </c>
      <c r="N199" s="65">
        <v>300</v>
      </c>
      <c r="O199" s="65">
        <f t="shared" si="9"/>
        <v>0</v>
      </c>
      <c r="P199" s="66">
        <f>E199</f>
        <v>44467</v>
      </c>
      <c r="Q199" s="61">
        <f t="shared" si="11"/>
        <v>44467</v>
      </c>
      <c r="R199" s="59"/>
      <c r="S199" s="59" t="s">
        <v>547</v>
      </c>
      <c r="T199" s="59"/>
      <c r="U199" s="59"/>
      <c r="V199" s="59"/>
      <c r="W199" s="59"/>
      <c r="X199" s="59"/>
    </row>
    <row r="200" s="20" customFormat="1" hidden="1" spans="1:24">
      <c r="A200" s="59">
        <v>367</v>
      </c>
      <c r="B200" s="60" t="s">
        <v>551</v>
      </c>
      <c r="C200" s="61">
        <v>44440</v>
      </c>
      <c r="D200" s="62" t="str">
        <f ca="1" t="shared" si="10"/>
        <v>一年以上</v>
      </c>
      <c r="E200" s="66">
        <v>44467</v>
      </c>
      <c r="F200" s="66"/>
      <c r="G200" s="59" t="s">
        <v>537</v>
      </c>
      <c r="H200" s="60" t="s">
        <v>546</v>
      </c>
      <c r="I200" s="63" t="s">
        <v>546</v>
      </c>
      <c r="J200" s="76">
        <v>300</v>
      </c>
      <c r="K200" s="59" t="s">
        <v>338</v>
      </c>
      <c r="L200" s="59" t="s">
        <v>538</v>
      </c>
      <c r="M200" s="59" t="s">
        <v>515</v>
      </c>
      <c r="N200" s="65">
        <v>300</v>
      </c>
      <c r="O200" s="65">
        <f t="shared" si="9"/>
        <v>0</v>
      </c>
      <c r="P200" s="66">
        <f>E200</f>
        <v>44467</v>
      </c>
      <c r="Q200" s="61">
        <f t="shared" si="11"/>
        <v>44467</v>
      </c>
      <c r="R200" s="59"/>
      <c r="S200" s="59" t="s">
        <v>547</v>
      </c>
      <c r="T200" s="59"/>
      <c r="U200" s="59"/>
      <c r="V200" s="59"/>
      <c r="W200" s="59"/>
      <c r="X200" s="59"/>
    </row>
    <row r="201" s="20" customFormat="1" ht="48" hidden="1" spans="1:24">
      <c r="A201" s="59">
        <v>234</v>
      </c>
      <c r="B201" s="60" t="s">
        <v>552</v>
      </c>
      <c r="C201" s="61">
        <v>44440</v>
      </c>
      <c r="D201" s="62" t="str">
        <f ca="1" t="shared" si="10"/>
        <v>一年以上</v>
      </c>
      <c r="E201" s="66">
        <v>44469</v>
      </c>
      <c r="F201" s="66"/>
      <c r="G201" s="59" t="s">
        <v>172</v>
      </c>
      <c r="H201" s="60" t="s">
        <v>209</v>
      </c>
      <c r="I201" s="63" t="s">
        <v>209</v>
      </c>
      <c r="J201" s="76">
        <v>100000</v>
      </c>
      <c r="K201" s="59" t="s">
        <v>28</v>
      </c>
      <c r="L201" s="59" t="s">
        <v>466</v>
      </c>
      <c r="M201" s="59" t="s">
        <v>30</v>
      </c>
      <c r="N201" s="65">
        <v>100000</v>
      </c>
      <c r="O201" s="65">
        <f t="shared" si="9"/>
        <v>0</v>
      </c>
      <c r="P201" s="66">
        <v>44943</v>
      </c>
      <c r="Q201" s="61">
        <f t="shared" si="11"/>
        <v>44943</v>
      </c>
      <c r="R201" s="59" t="s">
        <v>553</v>
      </c>
      <c r="S201" s="59" t="s">
        <v>62</v>
      </c>
      <c r="T201" s="59" t="s">
        <v>171</v>
      </c>
      <c r="U201" s="59"/>
      <c r="V201" s="59"/>
      <c r="W201" s="59"/>
      <c r="X201" s="59"/>
    </row>
    <row r="202" s="20" customFormat="1" ht="24" hidden="1" spans="1:24">
      <c r="A202" s="59">
        <v>235</v>
      </c>
      <c r="B202" s="60" t="s">
        <v>554</v>
      </c>
      <c r="C202" s="61">
        <v>44440</v>
      </c>
      <c r="D202" s="62" t="str">
        <f ca="1" t="shared" si="10"/>
        <v>一年以上</v>
      </c>
      <c r="E202" s="66">
        <v>44469</v>
      </c>
      <c r="F202" s="66"/>
      <c r="G202" s="59" t="s">
        <v>87</v>
      </c>
      <c r="H202" s="60" t="s">
        <v>555</v>
      </c>
      <c r="I202" s="63" t="s">
        <v>555</v>
      </c>
      <c r="J202" s="76">
        <v>3400</v>
      </c>
      <c r="K202" s="59" t="s">
        <v>28</v>
      </c>
      <c r="L202" s="59" t="s">
        <v>466</v>
      </c>
      <c r="M202" s="59" t="s">
        <v>30</v>
      </c>
      <c r="N202" s="65">
        <v>3400</v>
      </c>
      <c r="O202" s="65">
        <f t="shared" si="9"/>
        <v>0</v>
      </c>
      <c r="P202" s="66">
        <v>44512</v>
      </c>
      <c r="Q202" s="61">
        <f t="shared" si="11"/>
        <v>44512</v>
      </c>
      <c r="R202" s="59"/>
      <c r="S202" s="59" t="s">
        <v>556</v>
      </c>
      <c r="T202" s="59"/>
      <c r="U202" s="59"/>
      <c r="V202" s="59"/>
      <c r="W202" s="59"/>
      <c r="X202" s="59"/>
    </row>
    <row r="203" s="20" customFormat="1" hidden="1" spans="1:24">
      <c r="A203" s="59">
        <v>368</v>
      </c>
      <c r="B203" s="60" t="s">
        <v>557</v>
      </c>
      <c r="C203" s="61">
        <v>44440</v>
      </c>
      <c r="D203" s="62" t="str">
        <f ca="1" t="shared" si="10"/>
        <v>一年以上</v>
      </c>
      <c r="E203" s="66">
        <v>44469</v>
      </c>
      <c r="F203" s="66"/>
      <c r="G203" s="59" t="s">
        <v>537</v>
      </c>
      <c r="H203" s="60" t="s">
        <v>209</v>
      </c>
      <c r="I203" s="63" t="s">
        <v>209</v>
      </c>
      <c r="J203" s="76">
        <v>1000</v>
      </c>
      <c r="K203" s="59" t="s">
        <v>338</v>
      </c>
      <c r="L203" s="59" t="s">
        <v>538</v>
      </c>
      <c r="M203" s="59" t="s">
        <v>515</v>
      </c>
      <c r="N203" s="65">
        <v>1000</v>
      </c>
      <c r="O203" s="65">
        <f t="shared" si="9"/>
        <v>0</v>
      </c>
      <c r="P203" s="66">
        <f>E203</f>
        <v>44469</v>
      </c>
      <c r="Q203" s="61">
        <f t="shared" si="11"/>
        <v>44469</v>
      </c>
      <c r="R203" s="59"/>
      <c r="S203" s="59" t="s">
        <v>515</v>
      </c>
      <c r="T203" s="59"/>
      <c r="U203" s="59"/>
      <c r="V203" s="59"/>
      <c r="W203" s="59"/>
      <c r="X203" s="59"/>
    </row>
    <row r="204" s="20" customFormat="1" hidden="1" spans="1:24">
      <c r="A204" s="59">
        <v>369</v>
      </c>
      <c r="B204" s="60" t="s">
        <v>558</v>
      </c>
      <c r="C204" s="61">
        <v>44440</v>
      </c>
      <c r="D204" s="62" t="str">
        <f ca="1" t="shared" si="10"/>
        <v>一年以上</v>
      </c>
      <c r="E204" s="66">
        <v>44469</v>
      </c>
      <c r="F204" s="66"/>
      <c r="G204" s="59" t="s">
        <v>172</v>
      </c>
      <c r="H204" s="60" t="s">
        <v>209</v>
      </c>
      <c r="I204" s="63" t="s">
        <v>209</v>
      </c>
      <c r="J204" s="76">
        <v>1000</v>
      </c>
      <c r="K204" s="59" t="s">
        <v>28</v>
      </c>
      <c r="L204" s="59" t="s">
        <v>466</v>
      </c>
      <c r="M204" s="59" t="s">
        <v>515</v>
      </c>
      <c r="N204" s="65">
        <v>1000</v>
      </c>
      <c r="O204" s="65">
        <f t="shared" si="9"/>
        <v>0</v>
      </c>
      <c r="P204" s="66">
        <f>E204</f>
        <v>44469</v>
      </c>
      <c r="Q204" s="61">
        <f t="shared" si="11"/>
        <v>44469</v>
      </c>
      <c r="R204" s="59"/>
      <c r="S204" s="59" t="s">
        <v>515</v>
      </c>
      <c r="T204" s="59"/>
      <c r="U204" s="59"/>
      <c r="V204" s="59"/>
      <c r="W204" s="59"/>
      <c r="X204" s="59"/>
    </row>
    <row r="205" s="20" customFormat="1" hidden="1" spans="1:24">
      <c r="A205" s="59">
        <v>370</v>
      </c>
      <c r="B205" s="60" t="s">
        <v>559</v>
      </c>
      <c r="C205" s="61">
        <v>44440</v>
      </c>
      <c r="D205" s="62" t="str">
        <f ca="1" t="shared" si="10"/>
        <v>一年以上</v>
      </c>
      <c r="E205" s="66">
        <v>44469</v>
      </c>
      <c r="F205" s="66"/>
      <c r="G205" s="59" t="s">
        <v>172</v>
      </c>
      <c r="H205" s="60" t="s">
        <v>209</v>
      </c>
      <c r="I205" s="63" t="s">
        <v>209</v>
      </c>
      <c r="J205" s="76">
        <v>1000</v>
      </c>
      <c r="K205" s="59" t="s">
        <v>28</v>
      </c>
      <c r="L205" s="59" t="s">
        <v>466</v>
      </c>
      <c r="M205" s="59" t="s">
        <v>515</v>
      </c>
      <c r="N205" s="65">
        <v>1000</v>
      </c>
      <c r="O205" s="65">
        <f t="shared" si="9"/>
        <v>0</v>
      </c>
      <c r="P205" s="66">
        <f>E205</f>
        <v>44469</v>
      </c>
      <c r="Q205" s="61">
        <f t="shared" si="11"/>
        <v>44469</v>
      </c>
      <c r="R205" s="59"/>
      <c r="S205" s="59" t="s">
        <v>515</v>
      </c>
      <c r="T205" s="59"/>
      <c r="U205" s="59"/>
      <c r="V205" s="59"/>
      <c r="W205" s="59"/>
      <c r="X205" s="59"/>
    </row>
    <row r="206" s="20" customFormat="1" ht="36" hidden="1" spans="1:24">
      <c r="A206" s="59">
        <v>237</v>
      </c>
      <c r="B206" s="60" t="s">
        <v>560</v>
      </c>
      <c r="C206" s="61">
        <v>44470</v>
      </c>
      <c r="D206" s="62" t="str">
        <f ca="1" t="shared" si="10"/>
        <v>一年以上</v>
      </c>
      <c r="E206" s="66">
        <v>44480</v>
      </c>
      <c r="F206" s="66"/>
      <c r="G206" s="59" t="s">
        <v>537</v>
      </c>
      <c r="H206" s="60" t="s">
        <v>40</v>
      </c>
      <c r="I206" s="63" t="s">
        <v>40</v>
      </c>
      <c r="J206" s="76">
        <v>10000</v>
      </c>
      <c r="K206" s="59" t="s">
        <v>338</v>
      </c>
      <c r="L206" s="59" t="s">
        <v>538</v>
      </c>
      <c r="M206" s="59" t="s">
        <v>30</v>
      </c>
      <c r="N206" s="65">
        <v>10000</v>
      </c>
      <c r="O206" s="65">
        <f t="shared" si="9"/>
        <v>0</v>
      </c>
      <c r="P206" s="66">
        <v>44735</v>
      </c>
      <c r="Q206" s="61">
        <f t="shared" si="11"/>
        <v>44735</v>
      </c>
      <c r="R206" s="59" t="s">
        <v>481</v>
      </c>
      <c r="S206" s="59" t="s">
        <v>561</v>
      </c>
      <c r="T206" s="59"/>
      <c r="U206" s="59"/>
      <c r="V206" s="59"/>
      <c r="W206" s="59"/>
      <c r="X206" s="59"/>
    </row>
    <row r="207" s="20" customFormat="1" ht="36" hidden="1" spans="1:24">
      <c r="A207" s="59">
        <v>371</v>
      </c>
      <c r="B207" s="60" t="s">
        <v>562</v>
      </c>
      <c r="C207" s="61">
        <v>44470</v>
      </c>
      <c r="D207" s="62" t="str">
        <f ca="1" t="shared" si="10"/>
        <v>一年以上</v>
      </c>
      <c r="E207" s="66">
        <v>44480</v>
      </c>
      <c r="F207" s="66"/>
      <c r="G207" s="59" t="s">
        <v>537</v>
      </c>
      <c r="H207" s="60" t="s">
        <v>40</v>
      </c>
      <c r="I207" s="63" t="s">
        <v>40</v>
      </c>
      <c r="J207" s="76">
        <v>100</v>
      </c>
      <c r="K207" s="59" t="s">
        <v>338</v>
      </c>
      <c r="L207" s="59" t="s">
        <v>538</v>
      </c>
      <c r="M207" s="59" t="s">
        <v>515</v>
      </c>
      <c r="N207" s="65">
        <v>100</v>
      </c>
      <c r="O207" s="65">
        <f t="shared" ref="O207:O270" si="12">J207-N207</f>
        <v>0</v>
      </c>
      <c r="P207" s="66">
        <f>E207</f>
        <v>44480</v>
      </c>
      <c r="Q207" s="61">
        <f t="shared" si="11"/>
        <v>44480</v>
      </c>
      <c r="R207" s="59"/>
      <c r="S207" s="59" t="s">
        <v>515</v>
      </c>
      <c r="T207" s="59"/>
      <c r="U207" s="59"/>
      <c r="V207" s="59"/>
      <c r="W207" s="59"/>
      <c r="X207" s="59"/>
    </row>
    <row r="208" s="20" customFormat="1" ht="24" hidden="1" spans="1:24">
      <c r="A208" s="59">
        <v>236</v>
      </c>
      <c r="B208" s="60" t="s">
        <v>563</v>
      </c>
      <c r="C208" s="61">
        <v>44470</v>
      </c>
      <c r="D208" s="62" t="str">
        <f ca="1" t="shared" si="10"/>
        <v>一年以上</v>
      </c>
      <c r="E208" s="66">
        <v>44481</v>
      </c>
      <c r="F208" s="66"/>
      <c r="G208" s="59" t="s">
        <v>54</v>
      </c>
      <c r="H208" s="60" t="s">
        <v>564</v>
      </c>
      <c r="I208" s="63" t="s">
        <v>564</v>
      </c>
      <c r="J208" s="76">
        <v>7400</v>
      </c>
      <c r="K208" s="59" t="s">
        <v>356</v>
      </c>
      <c r="L208" s="59" t="s">
        <v>565</v>
      </c>
      <c r="M208" s="59" t="s">
        <v>30</v>
      </c>
      <c r="N208" s="65">
        <v>7400</v>
      </c>
      <c r="O208" s="65">
        <f t="shared" si="12"/>
        <v>0</v>
      </c>
      <c r="P208" s="66">
        <v>44735</v>
      </c>
      <c r="Q208" s="61">
        <f t="shared" si="11"/>
        <v>44735</v>
      </c>
      <c r="R208" s="59"/>
      <c r="S208" s="59"/>
      <c r="T208" s="59"/>
      <c r="U208" s="59"/>
      <c r="V208" s="59"/>
      <c r="W208" s="59"/>
      <c r="X208" s="59"/>
    </row>
    <row r="209" s="20" customFormat="1" ht="24" hidden="1" spans="1:24">
      <c r="A209" s="59">
        <v>131</v>
      </c>
      <c r="B209" s="60" t="s">
        <v>566</v>
      </c>
      <c r="C209" s="61">
        <v>44470</v>
      </c>
      <c r="D209" s="62" t="str">
        <f ca="1" t="shared" si="10"/>
        <v>一年以上</v>
      </c>
      <c r="E209" s="66">
        <v>44487</v>
      </c>
      <c r="F209" s="66" t="s">
        <v>70</v>
      </c>
      <c r="G209" s="59" t="s">
        <v>487</v>
      </c>
      <c r="H209" s="60" t="s">
        <v>517</v>
      </c>
      <c r="I209" s="63" t="s">
        <v>517</v>
      </c>
      <c r="J209" s="76">
        <v>2000</v>
      </c>
      <c r="K209" s="59"/>
      <c r="L209" s="59" t="s">
        <v>96</v>
      </c>
      <c r="M209" s="59" t="s">
        <v>65</v>
      </c>
      <c r="N209" s="65">
        <v>2000</v>
      </c>
      <c r="O209" s="65">
        <f t="shared" si="12"/>
        <v>0</v>
      </c>
      <c r="P209" s="66">
        <f>E209</f>
        <v>44487</v>
      </c>
      <c r="Q209" s="61">
        <f t="shared" si="11"/>
        <v>44487</v>
      </c>
      <c r="R209" s="66"/>
      <c r="S209" s="59" t="s">
        <v>65</v>
      </c>
      <c r="T209" s="59" t="s">
        <v>567</v>
      </c>
      <c r="U209" s="59" t="s">
        <v>506</v>
      </c>
      <c r="V209" s="59"/>
      <c r="W209" s="59"/>
      <c r="X209" s="59"/>
    </row>
    <row r="210" s="20" customFormat="1" hidden="1" spans="1:24">
      <c r="A210" s="59">
        <v>238</v>
      </c>
      <c r="B210" s="60" t="s">
        <v>568</v>
      </c>
      <c r="C210" s="61">
        <v>44470</v>
      </c>
      <c r="D210" s="62" t="str">
        <f ca="1" t="shared" si="10"/>
        <v>一年以上</v>
      </c>
      <c r="E210" s="66">
        <v>44487</v>
      </c>
      <c r="F210" s="66"/>
      <c r="G210" s="59" t="s">
        <v>569</v>
      </c>
      <c r="H210" s="60" t="s">
        <v>570</v>
      </c>
      <c r="I210" s="63" t="s">
        <v>570</v>
      </c>
      <c r="J210" s="76">
        <v>2000</v>
      </c>
      <c r="K210" s="59" t="s">
        <v>28</v>
      </c>
      <c r="L210" s="59" t="s">
        <v>466</v>
      </c>
      <c r="M210" s="59" t="s">
        <v>30</v>
      </c>
      <c r="N210" s="65">
        <v>2000</v>
      </c>
      <c r="O210" s="65">
        <f t="shared" si="12"/>
        <v>0</v>
      </c>
      <c r="P210" s="66">
        <v>44589</v>
      </c>
      <c r="Q210" s="61">
        <f t="shared" si="11"/>
        <v>44589</v>
      </c>
      <c r="R210" s="59"/>
      <c r="S210" s="59" t="s">
        <v>30</v>
      </c>
      <c r="T210" s="59"/>
      <c r="U210" s="59"/>
      <c r="V210" s="59"/>
      <c r="W210" s="59"/>
      <c r="X210" s="59"/>
    </row>
    <row r="211" s="20" customFormat="1" hidden="1" spans="1:24">
      <c r="A211" s="59">
        <v>239</v>
      </c>
      <c r="B211" s="60" t="s">
        <v>571</v>
      </c>
      <c r="C211" s="61">
        <v>44470</v>
      </c>
      <c r="D211" s="62" t="str">
        <f ca="1" t="shared" si="10"/>
        <v>一年以上</v>
      </c>
      <c r="E211" s="66">
        <v>44487</v>
      </c>
      <c r="F211" s="66"/>
      <c r="G211" s="59" t="s">
        <v>371</v>
      </c>
      <c r="H211" s="60" t="s">
        <v>483</v>
      </c>
      <c r="I211" s="63" t="s">
        <v>483</v>
      </c>
      <c r="J211" s="76">
        <v>10000</v>
      </c>
      <c r="K211" s="59" t="s">
        <v>28</v>
      </c>
      <c r="L211" s="59" t="s">
        <v>466</v>
      </c>
      <c r="M211" s="59" t="s">
        <v>30</v>
      </c>
      <c r="N211" s="65">
        <v>10000</v>
      </c>
      <c r="O211" s="65">
        <f t="shared" si="12"/>
        <v>0</v>
      </c>
      <c r="P211" s="66">
        <v>45051</v>
      </c>
      <c r="Q211" s="61">
        <f t="shared" si="11"/>
        <v>45051</v>
      </c>
      <c r="R211" s="59"/>
      <c r="S211" s="59"/>
      <c r="T211" s="59" t="s">
        <v>182</v>
      </c>
      <c r="U211" s="59"/>
      <c r="V211" s="59"/>
      <c r="W211" s="59"/>
      <c r="X211" s="59"/>
    </row>
    <row r="212" s="20" customFormat="1" ht="24" hidden="1" spans="1:24">
      <c r="A212" s="59">
        <v>240</v>
      </c>
      <c r="B212" s="60" t="s">
        <v>572</v>
      </c>
      <c r="C212" s="61">
        <v>44470</v>
      </c>
      <c r="D212" s="62" t="str">
        <f ca="1" t="shared" si="10"/>
        <v>一年以上</v>
      </c>
      <c r="E212" s="66">
        <v>44494</v>
      </c>
      <c r="F212" s="66"/>
      <c r="G212" s="59" t="s">
        <v>506</v>
      </c>
      <c r="H212" s="60" t="s">
        <v>325</v>
      </c>
      <c r="I212" s="63" t="s">
        <v>325</v>
      </c>
      <c r="J212" s="76">
        <v>1000</v>
      </c>
      <c r="K212" s="59" t="s">
        <v>356</v>
      </c>
      <c r="L212" s="59" t="s">
        <v>565</v>
      </c>
      <c r="M212" s="59" t="s">
        <v>30</v>
      </c>
      <c r="N212" s="65">
        <v>1000</v>
      </c>
      <c r="O212" s="65">
        <f t="shared" si="12"/>
        <v>0</v>
      </c>
      <c r="P212" s="66">
        <v>44550</v>
      </c>
      <c r="Q212" s="61">
        <f t="shared" si="11"/>
        <v>44550</v>
      </c>
      <c r="R212" s="59"/>
      <c r="S212" s="59" t="s">
        <v>30</v>
      </c>
      <c r="T212" s="59"/>
      <c r="U212" s="59"/>
      <c r="V212" s="59"/>
      <c r="W212" s="59"/>
      <c r="X212" s="59"/>
    </row>
    <row r="213" s="20" customFormat="1" ht="24" hidden="1" spans="1:24">
      <c r="A213" s="59">
        <v>341</v>
      </c>
      <c r="B213" s="60" t="s">
        <v>573</v>
      </c>
      <c r="C213" s="61">
        <v>44470</v>
      </c>
      <c r="D213" s="62" t="str">
        <f ca="1" t="shared" si="10"/>
        <v>一年以上</v>
      </c>
      <c r="E213" s="66">
        <v>44495</v>
      </c>
      <c r="F213" s="66" t="s">
        <v>130</v>
      </c>
      <c r="G213" s="59" t="s">
        <v>456</v>
      </c>
      <c r="H213" s="60" t="s">
        <v>574</v>
      </c>
      <c r="I213" s="63" t="s">
        <v>574</v>
      </c>
      <c r="J213" s="76">
        <v>5000</v>
      </c>
      <c r="K213" s="59" t="s">
        <v>28</v>
      </c>
      <c r="L213" s="59" t="s">
        <v>575</v>
      </c>
      <c r="M213" s="59" t="s">
        <v>133</v>
      </c>
      <c r="N213" s="65">
        <v>5000</v>
      </c>
      <c r="O213" s="65">
        <f t="shared" si="12"/>
        <v>0</v>
      </c>
      <c r="P213" s="66">
        <v>44650</v>
      </c>
      <c r="Q213" s="61">
        <f t="shared" si="11"/>
        <v>44650</v>
      </c>
      <c r="R213" s="59"/>
      <c r="S213" s="59"/>
      <c r="T213" s="59"/>
      <c r="U213" s="59"/>
      <c r="V213" s="59"/>
      <c r="W213" s="59"/>
      <c r="X213" s="59"/>
    </row>
    <row r="214" s="20" customFormat="1" hidden="1" spans="1:24">
      <c r="A214" s="59">
        <v>241</v>
      </c>
      <c r="B214" s="60" t="s">
        <v>576</v>
      </c>
      <c r="C214" s="61">
        <v>44470</v>
      </c>
      <c r="D214" s="62" t="str">
        <f ca="1" t="shared" si="10"/>
        <v>一年以上</v>
      </c>
      <c r="E214" s="66">
        <v>44498</v>
      </c>
      <c r="F214" s="66"/>
      <c r="G214" s="59" t="s">
        <v>239</v>
      </c>
      <c r="H214" s="60" t="s">
        <v>577</v>
      </c>
      <c r="I214" s="63" t="s">
        <v>578</v>
      </c>
      <c r="J214" s="76">
        <v>10000</v>
      </c>
      <c r="K214" s="59" t="s">
        <v>28</v>
      </c>
      <c r="L214" s="59" t="s">
        <v>466</v>
      </c>
      <c r="M214" s="59" t="s">
        <v>30</v>
      </c>
      <c r="N214" s="65">
        <v>10000</v>
      </c>
      <c r="O214" s="65">
        <f t="shared" si="12"/>
        <v>0</v>
      </c>
      <c r="P214" s="66">
        <v>44501</v>
      </c>
      <c r="Q214" s="61">
        <f t="shared" si="11"/>
        <v>44501</v>
      </c>
      <c r="R214" s="59"/>
      <c r="S214" s="59" t="s">
        <v>30</v>
      </c>
      <c r="T214" s="59"/>
      <c r="U214" s="59"/>
      <c r="V214" s="59"/>
      <c r="W214" s="59"/>
      <c r="X214" s="59"/>
    </row>
    <row r="215" s="20" customFormat="1" ht="24" hidden="1" spans="1:24">
      <c r="A215" s="59">
        <v>242</v>
      </c>
      <c r="B215" s="60" t="s">
        <v>579</v>
      </c>
      <c r="C215" s="61">
        <v>44470</v>
      </c>
      <c r="D215" s="62" t="str">
        <f ca="1" t="shared" si="10"/>
        <v>一年以上</v>
      </c>
      <c r="E215" s="66">
        <v>44498</v>
      </c>
      <c r="F215" s="66" t="s">
        <v>130</v>
      </c>
      <c r="G215" s="59" t="s">
        <v>301</v>
      </c>
      <c r="H215" s="60" t="s">
        <v>577</v>
      </c>
      <c r="I215" s="63" t="s">
        <v>578</v>
      </c>
      <c r="J215" s="76">
        <v>10000</v>
      </c>
      <c r="K215" s="59" t="s">
        <v>338</v>
      </c>
      <c r="L215" s="59" t="s">
        <v>538</v>
      </c>
      <c r="M215" s="59" t="s">
        <v>30</v>
      </c>
      <c r="N215" s="65"/>
      <c r="O215" s="65">
        <f t="shared" si="12"/>
        <v>10000</v>
      </c>
      <c r="P215" s="66"/>
      <c r="Q215" s="61">
        <f t="shared" si="11"/>
        <v>0</v>
      </c>
      <c r="R215" s="59" t="s">
        <v>718</v>
      </c>
      <c r="S215" s="59" t="s">
        <v>580</v>
      </c>
      <c r="T215" s="101" t="s">
        <v>581</v>
      </c>
      <c r="U215" s="59" t="str">
        <f>VLOOKUP(T215,[1]区域划分!$A$1:$C$39,3,0)</f>
        <v>新疆</v>
      </c>
      <c r="V215" s="59"/>
      <c r="W215" s="59"/>
      <c r="X215" s="59"/>
    </row>
    <row r="216" s="20" customFormat="1" hidden="1" spans="1:24">
      <c r="A216" s="59">
        <v>372</v>
      </c>
      <c r="B216" s="60" t="s">
        <v>582</v>
      </c>
      <c r="C216" s="61">
        <v>44470</v>
      </c>
      <c r="D216" s="62" t="str">
        <f ca="1" t="shared" si="10"/>
        <v>一年以上</v>
      </c>
      <c r="E216" s="66">
        <v>44498</v>
      </c>
      <c r="F216" s="66"/>
      <c r="G216" s="59" t="s">
        <v>208</v>
      </c>
      <c r="H216" s="60" t="s">
        <v>583</v>
      </c>
      <c r="I216" s="63" t="s">
        <v>583</v>
      </c>
      <c r="J216" s="76">
        <v>500</v>
      </c>
      <c r="K216" s="59" t="s">
        <v>28</v>
      </c>
      <c r="L216" s="59" t="s">
        <v>466</v>
      </c>
      <c r="M216" s="59" t="s">
        <v>515</v>
      </c>
      <c r="N216" s="65">
        <v>500</v>
      </c>
      <c r="O216" s="65">
        <f t="shared" si="12"/>
        <v>0</v>
      </c>
      <c r="P216" s="66">
        <v>44573</v>
      </c>
      <c r="Q216" s="61">
        <f t="shared" si="11"/>
        <v>44573</v>
      </c>
      <c r="R216" s="59"/>
      <c r="S216" s="59" t="s">
        <v>584</v>
      </c>
      <c r="T216" s="59"/>
      <c r="U216" s="59"/>
      <c r="V216" s="59"/>
      <c r="W216" s="59"/>
      <c r="X216" s="59"/>
    </row>
    <row r="217" s="20" customFormat="1" hidden="1" spans="1:24">
      <c r="A217" s="59">
        <v>373</v>
      </c>
      <c r="B217" s="60" t="s">
        <v>585</v>
      </c>
      <c r="C217" s="61">
        <v>44470</v>
      </c>
      <c r="D217" s="62" t="str">
        <f ca="1" t="shared" si="10"/>
        <v>一年以上</v>
      </c>
      <c r="E217" s="66">
        <v>44498</v>
      </c>
      <c r="F217" s="66"/>
      <c r="G217" s="59" t="s">
        <v>537</v>
      </c>
      <c r="H217" s="60" t="s">
        <v>583</v>
      </c>
      <c r="I217" s="63" t="s">
        <v>583</v>
      </c>
      <c r="J217" s="76">
        <v>500</v>
      </c>
      <c r="K217" s="59" t="s">
        <v>338</v>
      </c>
      <c r="L217" s="59" t="s">
        <v>538</v>
      </c>
      <c r="M217" s="59" t="s">
        <v>515</v>
      </c>
      <c r="N217" s="65">
        <v>500</v>
      </c>
      <c r="O217" s="65">
        <f t="shared" si="12"/>
        <v>0</v>
      </c>
      <c r="P217" s="66">
        <v>44573</v>
      </c>
      <c r="Q217" s="61">
        <f t="shared" si="11"/>
        <v>44573</v>
      </c>
      <c r="R217" s="59"/>
      <c r="S217" s="59" t="s">
        <v>584</v>
      </c>
      <c r="T217" s="59"/>
      <c r="U217" s="59"/>
      <c r="V217" s="59"/>
      <c r="W217" s="59"/>
      <c r="X217" s="59"/>
    </row>
    <row r="218" s="20" customFormat="1" hidden="1" spans="1:24">
      <c r="A218" s="59">
        <v>243</v>
      </c>
      <c r="B218" s="60" t="s">
        <v>586</v>
      </c>
      <c r="C218" s="61">
        <v>44501</v>
      </c>
      <c r="D218" s="62" t="str">
        <f ca="1" t="shared" si="10"/>
        <v>一年以上</v>
      </c>
      <c r="E218" s="66">
        <v>44501</v>
      </c>
      <c r="F218" s="66"/>
      <c r="G218" s="59" t="s">
        <v>239</v>
      </c>
      <c r="H218" s="60" t="s">
        <v>577</v>
      </c>
      <c r="I218" s="63" t="s">
        <v>578</v>
      </c>
      <c r="J218" s="76">
        <v>10000</v>
      </c>
      <c r="K218" s="59" t="s">
        <v>28</v>
      </c>
      <c r="L218" s="59" t="s">
        <v>466</v>
      </c>
      <c r="M218" s="59" t="s">
        <v>30</v>
      </c>
      <c r="N218" s="65">
        <v>10000</v>
      </c>
      <c r="O218" s="65">
        <f t="shared" si="12"/>
        <v>0</v>
      </c>
      <c r="P218" s="66">
        <v>44645</v>
      </c>
      <c r="Q218" s="61">
        <f t="shared" si="11"/>
        <v>44645</v>
      </c>
      <c r="R218" s="59"/>
      <c r="S218" s="59"/>
      <c r="T218" s="59"/>
      <c r="U218" s="59"/>
      <c r="V218" s="59"/>
      <c r="W218" s="59"/>
      <c r="X218" s="59"/>
    </row>
    <row r="219" s="20" customFormat="1" ht="24" hidden="1" spans="1:24">
      <c r="A219" s="59">
        <v>351</v>
      </c>
      <c r="B219" s="60" t="s">
        <v>587</v>
      </c>
      <c r="C219" s="61">
        <v>44501</v>
      </c>
      <c r="D219" s="62" t="str">
        <f ca="1" t="shared" si="10"/>
        <v>一年以上</v>
      </c>
      <c r="E219" s="66">
        <v>44503</v>
      </c>
      <c r="F219" s="66" t="s">
        <v>130</v>
      </c>
      <c r="G219" s="59" t="s">
        <v>87</v>
      </c>
      <c r="H219" s="60" t="s">
        <v>555</v>
      </c>
      <c r="I219" s="63" t="s">
        <v>555</v>
      </c>
      <c r="J219" s="76">
        <v>6000</v>
      </c>
      <c r="K219" s="59" t="s">
        <v>28</v>
      </c>
      <c r="L219" s="59" t="s">
        <v>588</v>
      </c>
      <c r="M219" s="59" t="s">
        <v>133</v>
      </c>
      <c r="N219" s="65">
        <v>6000</v>
      </c>
      <c r="O219" s="65">
        <f t="shared" si="12"/>
        <v>0</v>
      </c>
      <c r="P219" s="66">
        <v>44791</v>
      </c>
      <c r="Q219" s="61">
        <f t="shared" si="11"/>
        <v>44791</v>
      </c>
      <c r="R219" s="59"/>
      <c r="S219" s="59" t="s">
        <v>589</v>
      </c>
      <c r="T219" s="59"/>
      <c r="U219" s="59"/>
      <c r="V219" s="59"/>
      <c r="W219" s="59"/>
      <c r="X219" s="59"/>
    </row>
    <row r="220" s="20" customFormat="1" ht="24" hidden="1" spans="1:24">
      <c r="A220" s="59">
        <v>374</v>
      </c>
      <c r="B220" s="60" t="s">
        <v>590</v>
      </c>
      <c r="C220" s="61">
        <v>44501</v>
      </c>
      <c r="D220" s="62" t="str">
        <f ca="1" t="shared" si="10"/>
        <v>一年以上</v>
      </c>
      <c r="E220" s="66">
        <v>44503</v>
      </c>
      <c r="F220" s="66"/>
      <c r="G220" s="59" t="s">
        <v>591</v>
      </c>
      <c r="H220" s="60" t="s">
        <v>592</v>
      </c>
      <c r="I220" s="63" t="s">
        <v>592</v>
      </c>
      <c r="J220" s="76">
        <v>200</v>
      </c>
      <c r="K220" s="59" t="s">
        <v>28</v>
      </c>
      <c r="L220" s="59" t="s">
        <v>588</v>
      </c>
      <c r="M220" s="59" t="s">
        <v>515</v>
      </c>
      <c r="N220" s="65">
        <v>200</v>
      </c>
      <c r="O220" s="65">
        <f t="shared" si="12"/>
        <v>0</v>
      </c>
      <c r="P220" s="66">
        <f>E220</f>
        <v>44503</v>
      </c>
      <c r="Q220" s="61">
        <f t="shared" si="11"/>
        <v>44503</v>
      </c>
      <c r="R220" s="59"/>
      <c r="S220" s="59" t="s">
        <v>515</v>
      </c>
      <c r="T220" s="59"/>
      <c r="U220" s="59"/>
      <c r="V220" s="59"/>
      <c r="W220" s="59"/>
      <c r="X220" s="59"/>
    </row>
    <row r="221" s="20" customFormat="1" hidden="1" spans="1:24">
      <c r="A221" s="59">
        <v>132</v>
      </c>
      <c r="B221" s="60" t="s">
        <v>593</v>
      </c>
      <c r="C221" s="61">
        <v>44501</v>
      </c>
      <c r="D221" s="62" t="str">
        <f ca="1" t="shared" si="10"/>
        <v>一年以上</v>
      </c>
      <c r="E221" s="66">
        <v>44508</v>
      </c>
      <c r="F221" s="66" t="s">
        <v>282</v>
      </c>
      <c r="G221" s="59" t="s">
        <v>233</v>
      </c>
      <c r="H221" s="91" t="s">
        <v>594</v>
      </c>
      <c r="I221" s="63" t="s">
        <v>594</v>
      </c>
      <c r="J221" s="76">
        <v>9500</v>
      </c>
      <c r="K221" s="59" t="s">
        <v>28</v>
      </c>
      <c r="L221" s="59" t="s">
        <v>461</v>
      </c>
      <c r="M221" s="59" t="s">
        <v>65</v>
      </c>
      <c r="N221" s="65">
        <v>9500</v>
      </c>
      <c r="O221" s="65">
        <f t="shared" si="12"/>
        <v>0</v>
      </c>
      <c r="P221" s="66">
        <v>44760</v>
      </c>
      <c r="Q221" s="61">
        <f t="shared" si="11"/>
        <v>44760</v>
      </c>
      <c r="R221" s="66"/>
      <c r="S221" s="59" t="s">
        <v>65</v>
      </c>
      <c r="T221" s="59"/>
      <c r="U221" s="59"/>
      <c r="V221" s="59"/>
      <c r="W221" s="59"/>
      <c r="X221" s="59"/>
    </row>
    <row r="222" s="20" customFormat="1" ht="36" hidden="1" spans="1:24">
      <c r="A222" s="59">
        <v>244</v>
      </c>
      <c r="B222" s="60" t="s">
        <v>595</v>
      </c>
      <c r="C222" s="61">
        <v>44501</v>
      </c>
      <c r="D222" s="62" t="str">
        <f ca="1" t="shared" si="10"/>
        <v>一年以上</v>
      </c>
      <c r="E222" s="66">
        <v>44508</v>
      </c>
      <c r="F222" s="66" t="s">
        <v>130</v>
      </c>
      <c r="G222" s="59" t="s">
        <v>591</v>
      </c>
      <c r="H222" s="91" t="s">
        <v>596</v>
      </c>
      <c r="I222" s="63" t="s">
        <v>596</v>
      </c>
      <c r="J222" s="76">
        <v>10000</v>
      </c>
      <c r="K222" s="59" t="s">
        <v>28</v>
      </c>
      <c r="L222" s="59" t="s">
        <v>57</v>
      </c>
      <c r="M222" s="59" t="s">
        <v>30</v>
      </c>
      <c r="N222" s="65">
        <v>10000</v>
      </c>
      <c r="O222" s="65">
        <f t="shared" si="12"/>
        <v>0</v>
      </c>
      <c r="P222" s="66">
        <v>44756</v>
      </c>
      <c r="Q222" s="61">
        <f t="shared" si="11"/>
        <v>44756</v>
      </c>
      <c r="R222" s="59" t="s">
        <v>481</v>
      </c>
      <c r="S222" s="59" t="s">
        <v>597</v>
      </c>
      <c r="T222" s="59"/>
      <c r="U222" s="59"/>
      <c r="V222" s="59"/>
      <c r="W222" s="59"/>
      <c r="X222" s="59"/>
    </row>
    <row r="223" s="20" customFormat="1" hidden="1" spans="1:24">
      <c r="A223" s="59">
        <v>133</v>
      </c>
      <c r="B223" s="60" t="s">
        <v>598</v>
      </c>
      <c r="C223" s="61">
        <v>44501</v>
      </c>
      <c r="D223" s="62" t="str">
        <f ca="1" t="shared" si="10"/>
        <v>一年以上</v>
      </c>
      <c r="E223" s="66">
        <v>44510</v>
      </c>
      <c r="F223" s="66" t="s">
        <v>282</v>
      </c>
      <c r="G223" s="59" t="s">
        <v>340</v>
      </c>
      <c r="H223" s="60" t="s">
        <v>577</v>
      </c>
      <c r="I223" s="63" t="s">
        <v>578</v>
      </c>
      <c r="J223" s="76">
        <v>2000</v>
      </c>
      <c r="K223" s="59" t="s">
        <v>28</v>
      </c>
      <c r="L223" s="59" t="s">
        <v>461</v>
      </c>
      <c r="M223" s="59" t="s">
        <v>65</v>
      </c>
      <c r="N223" s="65">
        <v>2000</v>
      </c>
      <c r="O223" s="65">
        <f t="shared" si="12"/>
        <v>0</v>
      </c>
      <c r="P223" s="66">
        <v>44756</v>
      </c>
      <c r="Q223" s="61">
        <f t="shared" si="11"/>
        <v>44756</v>
      </c>
      <c r="R223" s="66"/>
      <c r="S223" s="59" t="s">
        <v>65</v>
      </c>
      <c r="T223" s="59" t="s">
        <v>581</v>
      </c>
      <c r="U223" s="59" t="s">
        <v>239</v>
      </c>
      <c r="V223" s="59"/>
      <c r="W223" s="59"/>
      <c r="X223" s="59"/>
    </row>
    <row r="224" s="20" customFormat="1" ht="24" hidden="1" spans="1:24">
      <c r="A224" s="59">
        <v>134</v>
      </c>
      <c r="B224" s="60" t="s">
        <v>599</v>
      </c>
      <c r="C224" s="61">
        <v>44501</v>
      </c>
      <c r="D224" s="62" t="str">
        <f ca="1" t="shared" si="10"/>
        <v>一年以上</v>
      </c>
      <c r="E224" s="66">
        <v>44512</v>
      </c>
      <c r="F224" s="66" t="s">
        <v>130</v>
      </c>
      <c r="G224" s="59" t="s">
        <v>537</v>
      </c>
      <c r="H224" s="60" t="s">
        <v>600</v>
      </c>
      <c r="I224" s="63" t="s">
        <v>600</v>
      </c>
      <c r="J224" s="76">
        <v>2500</v>
      </c>
      <c r="K224" s="59" t="s">
        <v>28</v>
      </c>
      <c r="L224" s="59" t="s">
        <v>57</v>
      </c>
      <c r="M224" s="59" t="s">
        <v>65</v>
      </c>
      <c r="N224" s="65">
        <v>2500</v>
      </c>
      <c r="O224" s="65">
        <f t="shared" si="12"/>
        <v>0</v>
      </c>
      <c r="P224" s="66">
        <v>44645</v>
      </c>
      <c r="Q224" s="61">
        <f t="shared" si="11"/>
        <v>44645</v>
      </c>
      <c r="R224" s="66"/>
      <c r="S224" s="59" t="s">
        <v>65</v>
      </c>
      <c r="T224" s="59" t="s">
        <v>293</v>
      </c>
      <c r="U224" s="59" t="s">
        <v>294</v>
      </c>
      <c r="V224" s="59" t="s">
        <v>601</v>
      </c>
      <c r="W224" s="59"/>
      <c r="X224" s="59"/>
    </row>
    <row r="225" s="20" customFormat="1" hidden="1" spans="1:24">
      <c r="A225" s="59">
        <v>245</v>
      </c>
      <c r="B225" s="60" t="s">
        <v>602</v>
      </c>
      <c r="C225" s="61">
        <v>44501</v>
      </c>
      <c r="D225" s="62" t="str">
        <f ca="1" t="shared" si="10"/>
        <v>一年以上</v>
      </c>
      <c r="E225" s="66">
        <v>44512</v>
      </c>
      <c r="F225" s="66"/>
      <c r="G225" s="59" t="s">
        <v>450</v>
      </c>
      <c r="H225" s="60" t="s">
        <v>603</v>
      </c>
      <c r="I225" s="63" t="s">
        <v>603</v>
      </c>
      <c r="J225" s="76">
        <v>5000</v>
      </c>
      <c r="K225" s="59" t="s">
        <v>28</v>
      </c>
      <c r="L225" s="59" t="s">
        <v>57</v>
      </c>
      <c r="M225" s="59" t="s">
        <v>30</v>
      </c>
      <c r="N225" s="65">
        <v>5000</v>
      </c>
      <c r="O225" s="65">
        <f t="shared" si="12"/>
        <v>0</v>
      </c>
      <c r="P225" s="66">
        <v>45217</v>
      </c>
      <c r="Q225" s="61">
        <f t="shared" si="11"/>
        <v>45217</v>
      </c>
      <c r="R225" s="59" t="s">
        <v>481</v>
      </c>
      <c r="S225" s="60" t="s">
        <v>597</v>
      </c>
      <c r="T225" s="59" t="s">
        <v>38</v>
      </c>
      <c r="U225" s="59"/>
      <c r="V225" s="59"/>
      <c r="W225" s="59"/>
      <c r="X225" s="59"/>
    </row>
    <row r="226" s="20" customFormat="1" ht="24" hidden="1" spans="1:24">
      <c r="A226" s="59">
        <v>135</v>
      </c>
      <c r="B226" s="60" t="s">
        <v>604</v>
      </c>
      <c r="C226" s="61">
        <v>44501</v>
      </c>
      <c r="D226" s="62" t="str">
        <f ca="1" t="shared" si="10"/>
        <v>一年以上</v>
      </c>
      <c r="E226" s="66">
        <v>44514</v>
      </c>
      <c r="F226" s="66" t="s">
        <v>282</v>
      </c>
      <c r="G226" s="59" t="s">
        <v>487</v>
      </c>
      <c r="H226" s="60" t="s">
        <v>605</v>
      </c>
      <c r="I226" s="63" t="s">
        <v>605</v>
      </c>
      <c r="J226" s="76">
        <v>9750</v>
      </c>
      <c r="K226" s="59" t="s">
        <v>28</v>
      </c>
      <c r="L226" s="59" t="s">
        <v>57</v>
      </c>
      <c r="M226" s="59" t="s">
        <v>65</v>
      </c>
      <c r="N226" s="65">
        <v>9750</v>
      </c>
      <c r="O226" s="65">
        <f t="shared" si="12"/>
        <v>0</v>
      </c>
      <c r="P226" s="66">
        <v>44652</v>
      </c>
      <c r="Q226" s="61">
        <f t="shared" si="11"/>
        <v>44652</v>
      </c>
      <c r="R226" s="66"/>
      <c r="S226" s="59" t="s">
        <v>65</v>
      </c>
      <c r="T226" s="59" t="s">
        <v>86</v>
      </c>
      <c r="U226" s="59" t="s">
        <v>87</v>
      </c>
      <c r="V226" s="89" t="s">
        <v>606</v>
      </c>
      <c r="W226" s="59"/>
      <c r="X226" s="59"/>
    </row>
    <row r="227" s="20" customFormat="1" ht="24" hidden="1" spans="1:24">
      <c r="A227" s="59">
        <v>136</v>
      </c>
      <c r="B227" s="60" t="s">
        <v>607</v>
      </c>
      <c r="C227" s="61">
        <v>44501</v>
      </c>
      <c r="D227" s="62" t="str">
        <f ca="1" t="shared" si="10"/>
        <v>一年以上</v>
      </c>
      <c r="E227" s="66">
        <v>44514</v>
      </c>
      <c r="F227" s="66" t="s">
        <v>82</v>
      </c>
      <c r="G227" s="59" t="s">
        <v>608</v>
      </c>
      <c r="H227" s="60" t="s">
        <v>605</v>
      </c>
      <c r="I227" s="63" t="s">
        <v>605</v>
      </c>
      <c r="J227" s="76">
        <v>12500</v>
      </c>
      <c r="K227" s="59" t="s">
        <v>28</v>
      </c>
      <c r="L227" s="59" t="s">
        <v>57</v>
      </c>
      <c r="M227" s="59" t="s">
        <v>65</v>
      </c>
      <c r="N227" s="65">
        <v>12500</v>
      </c>
      <c r="O227" s="65">
        <f t="shared" si="12"/>
        <v>0</v>
      </c>
      <c r="P227" s="66">
        <v>44652</v>
      </c>
      <c r="Q227" s="61">
        <f t="shared" si="11"/>
        <v>44652</v>
      </c>
      <c r="R227" s="66"/>
      <c r="S227" s="59" t="s">
        <v>65</v>
      </c>
      <c r="T227" s="59" t="s">
        <v>86</v>
      </c>
      <c r="U227" s="59" t="s">
        <v>87</v>
      </c>
      <c r="V227" s="89" t="s">
        <v>609</v>
      </c>
      <c r="W227" s="59"/>
      <c r="X227" s="59"/>
    </row>
    <row r="228" s="20" customFormat="1" ht="24" hidden="1" spans="1:24">
      <c r="A228" s="59">
        <v>137</v>
      </c>
      <c r="B228" s="60" t="s">
        <v>610</v>
      </c>
      <c r="C228" s="61">
        <v>44501</v>
      </c>
      <c r="D228" s="62" t="str">
        <f ca="1" t="shared" si="10"/>
        <v>一年以上</v>
      </c>
      <c r="E228" s="66">
        <v>44515</v>
      </c>
      <c r="F228" s="66" t="s">
        <v>70</v>
      </c>
      <c r="G228" s="59" t="s">
        <v>611</v>
      </c>
      <c r="H228" s="60" t="s">
        <v>612</v>
      </c>
      <c r="I228" s="63" t="s">
        <v>612</v>
      </c>
      <c r="J228" s="76">
        <v>2000</v>
      </c>
      <c r="K228" s="59" t="s">
        <v>28</v>
      </c>
      <c r="L228" s="59" t="s">
        <v>57</v>
      </c>
      <c r="M228" s="59" t="s">
        <v>65</v>
      </c>
      <c r="N228" s="65">
        <v>2000</v>
      </c>
      <c r="O228" s="65">
        <f t="shared" si="12"/>
        <v>0</v>
      </c>
      <c r="P228" s="66">
        <v>44539</v>
      </c>
      <c r="Q228" s="61">
        <f t="shared" si="11"/>
        <v>44539</v>
      </c>
      <c r="R228" s="66"/>
      <c r="S228" s="59" t="s">
        <v>65</v>
      </c>
      <c r="T228" s="59"/>
      <c r="U228" s="59"/>
      <c r="V228" s="59"/>
      <c r="W228" s="59"/>
      <c r="X228" s="59"/>
    </row>
    <row r="229" s="20" customFormat="1" ht="24" hidden="1" spans="1:24">
      <c r="A229" s="59">
        <v>246</v>
      </c>
      <c r="B229" s="60" t="s">
        <v>613</v>
      </c>
      <c r="C229" s="61">
        <v>44501</v>
      </c>
      <c r="D229" s="62" t="str">
        <f ca="1" t="shared" si="10"/>
        <v>一年以上</v>
      </c>
      <c r="E229" s="66">
        <v>44515</v>
      </c>
      <c r="F229" s="66"/>
      <c r="G229" s="59" t="s">
        <v>614</v>
      </c>
      <c r="H229" s="60" t="s">
        <v>615</v>
      </c>
      <c r="I229" s="63" t="s">
        <v>615</v>
      </c>
      <c r="J229" s="76">
        <v>5000</v>
      </c>
      <c r="K229" s="59" t="s">
        <v>356</v>
      </c>
      <c r="L229" s="59" t="s">
        <v>458</v>
      </c>
      <c r="M229" s="59" t="s">
        <v>30</v>
      </c>
      <c r="N229" s="65">
        <v>5000</v>
      </c>
      <c r="O229" s="65">
        <f t="shared" si="12"/>
        <v>0</v>
      </c>
      <c r="P229" s="66">
        <v>44525</v>
      </c>
      <c r="Q229" s="61">
        <f t="shared" si="11"/>
        <v>44525</v>
      </c>
      <c r="R229" s="59"/>
      <c r="S229" s="59" t="s">
        <v>30</v>
      </c>
      <c r="T229" s="59"/>
      <c r="U229" s="59"/>
      <c r="V229" s="59"/>
      <c r="W229" s="59"/>
      <c r="X229" s="59"/>
    </row>
    <row r="230" s="20" customFormat="1" hidden="1" spans="1:24">
      <c r="A230" s="59">
        <v>247</v>
      </c>
      <c r="B230" s="60" t="s">
        <v>616</v>
      </c>
      <c r="C230" s="61">
        <v>44501</v>
      </c>
      <c r="D230" s="62" t="str">
        <f ca="1" t="shared" si="10"/>
        <v>一年以上</v>
      </c>
      <c r="E230" s="66">
        <v>44515</v>
      </c>
      <c r="F230" s="66"/>
      <c r="G230" s="59" t="s">
        <v>450</v>
      </c>
      <c r="H230" s="60" t="s">
        <v>34</v>
      </c>
      <c r="I230" s="63" t="s">
        <v>34</v>
      </c>
      <c r="J230" s="76">
        <v>50000</v>
      </c>
      <c r="K230" s="59" t="s">
        <v>28</v>
      </c>
      <c r="L230" s="59" t="s">
        <v>57</v>
      </c>
      <c r="M230" s="59" t="s">
        <v>30</v>
      </c>
      <c r="N230" s="65">
        <v>50000</v>
      </c>
      <c r="O230" s="65">
        <f t="shared" si="12"/>
        <v>0</v>
      </c>
      <c r="P230" s="66">
        <v>44560</v>
      </c>
      <c r="Q230" s="61">
        <f t="shared" si="11"/>
        <v>44560</v>
      </c>
      <c r="R230" s="59"/>
      <c r="S230" s="59"/>
      <c r="T230" s="59"/>
      <c r="U230" s="59"/>
      <c r="V230" s="59"/>
      <c r="W230" s="59"/>
      <c r="X230" s="59"/>
    </row>
    <row r="231" s="20" customFormat="1" hidden="1" spans="1:24">
      <c r="A231" s="59">
        <v>248</v>
      </c>
      <c r="B231" s="60" t="s">
        <v>617</v>
      </c>
      <c r="C231" s="61">
        <v>44501</v>
      </c>
      <c r="D231" s="62" t="str">
        <f ca="1" t="shared" si="10"/>
        <v>一年以上</v>
      </c>
      <c r="E231" s="66">
        <v>44515</v>
      </c>
      <c r="F231" s="66"/>
      <c r="G231" s="59" t="s">
        <v>450</v>
      </c>
      <c r="H231" s="60" t="s">
        <v>34</v>
      </c>
      <c r="I231" s="63" t="s">
        <v>34</v>
      </c>
      <c r="J231" s="76">
        <v>50000</v>
      </c>
      <c r="K231" s="59" t="s">
        <v>28</v>
      </c>
      <c r="L231" s="59" t="s">
        <v>57</v>
      </c>
      <c r="M231" s="59" t="s">
        <v>30</v>
      </c>
      <c r="N231" s="65">
        <v>50000</v>
      </c>
      <c r="O231" s="65">
        <f t="shared" si="12"/>
        <v>0</v>
      </c>
      <c r="P231" s="66">
        <v>44560</v>
      </c>
      <c r="Q231" s="61">
        <f t="shared" si="11"/>
        <v>44560</v>
      </c>
      <c r="R231" s="59"/>
      <c r="S231" s="59" t="s">
        <v>30</v>
      </c>
      <c r="T231" s="59"/>
      <c r="U231" s="59"/>
      <c r="V231" s="59"/>
      <c r="W231" s="59"/>
      <c r="X231" s="59"/>
    </row>
    <row r="232" s="20" customFormat="1" hidden="1" spans="1:24">
      <c r="A232" s="59">
        <v>375</v>
      </c>
      <c r="B232" s="60" t="s">
        <v>618</v>
      </c>
      <c r="C232" s="61">
        <v>44501</v>
      </c>
      <c r="D232" s="62" t="str">
        <f ca="1" t="shared" si="10"/>
        <v>一年以上</v>
      </c>
      <c r="E232" s="66">
        <v>44515</v>
      </c>
      <c r="F232" s="66"/>
      <c r="G232" s="59" t="s">
        <v>450</v>
      </c>
      <c r="H232" s="60" t="s">
        <v>34</v>
      </c>
      <c r="I232" s="63" t="s">
        <v>34</v>
      </c>
      <c r="J232" s="76">
        <v>1000</v>
      </c>
      <c r="K232" s="59" t="s">
        <v>28</v>
      </c>
      <c r="L232" s="59" t="s">
        <v>57</v>
      </c>
      <c r="M232" s="59" t="s">
        <v>515</v>
      </c>
      <c r="N232" s="65">
        <v>1000</v>
      </c>
      <c r="O232" s="65">
        <f t="shared" si="12"/>
        <v>0</v>
      </c>
      <c r="P232" s="66">
        <f>E232</f>
        <v>44515</v>
      </c>
      <c r="Q232" s="61">
        <f t="shared" si="11"/>
        <v>44515</v>
      </c>
      <c r="R232" s="59"/>
      <c r="S232" s="59" t="s">
        <v>515</v>
      </c>
      <c r="T232" s="59"/>
      <c r="U232" s="59"/>
      <c r="V232" s="59"/>
      <c r="W232" s="59"/>
      <c r="X232" s="59"/>
    </row>
    <row r="233" s="20" customFormat="1" hidden="1" spans="1:24">
      <c r="A233" s="59">
        <v>376</v>
      </c>
      <c r="B233" s="60" t="s">
        <v>619</v>
      </c>
      <c r="C233" s="61">
        <v>44501</v>
      </c>
      <c r="D233" s="62" t="str">
        <f ca="1" t="shared" si="10"/>
        <v>一年以上</v>
      </c>
      <c r="E233" s="66">
        <v>44515</v>
      </c>
      <c r="F233" s="66"/>
      <c r="G233" s="59" t="s">
        <v>450</v>
      </c>
      <c r="H233" s="60" t="s">
        <v>34</v>
      </c>
      <c r="I233" s="63" t="s">
        <v>34</v>
      </c>
      <c r="J233" s="76">
        <v>1000</v>
      </c>
      <c r="K233" s="59" t="s">
        <v>28</v>
      </c>
      <c r="L233" s="59" t="s">
        <v>57</v>
      </c>
      <c r="M233" s="59" t="s">
        <v>515</v>
      </c>
      <c r="N233" s="65">
        <v>1000</v>
      </c>
      <c r="O233" s="65">
        <f t="shared" si="12"/>
        <v>0</v>
      </c>
      <c r="P233" s="66">
        <f>E233</f>
        <v>44515</v>
      </c>
      <c r="Q233" s="61">
        <f t="shared" si="11"/>
        <v>44515</v>
      </c>
      <c r="R233" s="59"/>
      <c r="S233" s="59" t="s">
        <v>515</v>
      </c>
      <c r="T233" s="59"/>
      <c r="U233" s="59"/>
      <c r="V233" s="59"/>
      <c r="W233" s="59"/>
      <c r="X233" s="59"/>
    </row>
    <row r="234" s="20" customFormat="1" ht="36" hidden="1" spans="1:24">
      <c r="A234" s="59">
        <v>138</v>
      </c>
      <c r="B234" s="60" t="s">
        <v>620</v>
      </c>
      <c r="C234" s="61">
        <v>44501</v>
      </c>
      <c r="D234" s="62" t="str">
        <f ca="1" t="shared" si="10"/>
        <v>一年以上</v>
      </c>
      <c r="E234" s="66">
        <v>44517</v>
      </c>
      <c r="F234" s="66" t="s">
        <v>70</v>
      </c>
      <c r="G234" s="59" t="s">
        <v>621</v>
      </c>
      <c r="H234" s="60" t="s">
        <v>366</v>
      </c>
      <c r="I234" s="63" t="s">
        <v>366</v>
      </c>
      <c r="J234" s="96">
        <v>10000</v>
      </c>
      <c r="K234" s="59" t="s">
        <v>356</v>
      </c>
      <c r="L234" s="59" t="s">
        <v>458</v>
      </c>
      <c r="M234" s="59" t="s">
        <v>65</v>
      </c>
      <c r="N234" s="65">
        <f>9600+400</f>
        <v>10000</v>
      </c>
      <c r="O234" s="65">
        <f t="shared" si="12"/>
        <v>0</v>
      </c>
      <c r="P234" s="66">
        <v>45069</v>
      </c>
      <c r="Q234" s="61">
        <f t="shared" si="11"/>
        <v>45069</v>
      </c>
      <c r="R234" s="66" t="s">
        <v>622</v>
      </c>
      <c r="S234" s="59" t="s">
        <v>623</v>
      </c>
      <c r="T234" s="59" t="s">
        <v>182</v>
      </c>
      <c r="U234" s="59" t="s">
        <v>125</v>
      </c>
      <c r="V234" s="59"/>
      <c r="W234" s="59"/>
      <c r="X234" s="59"/>
    </row>
    <row r="235" s="20" customFormat="1" ht="36" hidden="1" spans="1:24">
      <c r="A235" s="59">
        <v>249</v>
      </c>
      <c r="B235" s="60" t="s">
        <v>624</v>
      </c>
      <c r="C235" s="61">
        <v>44501</v>
      </c>
      <c r="D235" s="62" t="str">
        <f ca="1" t="shared" si="10"/>
        <v>一年以上</v>
      </c>
      <c r="E235" s="66">
        <v>44517</v>
      </c>
      <c r="F235" s="66"/>
      <c r="G235" s="66" t="s">
        <v>614</v>
      </c>
      <c r="H235" s="60" t="s">
        <v>352</v>
      </c>
      <c r="I235" s="63" t="s">
        <v>352</v>
      </c>
      <c r="J235" s="76">
        <v>10000</v>
      </c>
      <c r="K235" s="59" t="s">
        <v>28</v>
      </c>
      <c r="L235" s="59" t="s">
        <v>57</v>
      </c>
      <c r="M235" s="59" t="s">
        <v>30</v>
      </c>
      <c r="N235" s="65">
        <v>10000</v>
      </c>
      <c r="O235" s="65">
        <f t="shared" si="12"/>
        <v>0</v>
      </c>
      <c r="P235" s="66">
        <v>44921</v>
      </c>
      <c r="Q235" s="61">
        <f t="shared" si="11"/>
        <v>44921</v>
      </c>
      <c r="R235" s="59" t="s">
        <v>625</v>
      </c>
      <c r="S235" s="59" t="s">
        <v>62</v>
      </c>
      <c r="T235" s="59"/>
      <c r="U235" s="59"/>
      <c r="V235" s="59"/>
      <c r="W235" s="59"/>
      <c r="X235" s="59"/>
    </row>
    <row r="236" s="20" customFormat="1" ht="24" hidden="1" spans="1:24">
      <c r="A236" s="59">
        <v>250</v>
      </c>
      <c r="B236" s="60" t="s">
        <v>626</v>
      </c>
      <c r="C236" s="61">
        <v>44501</v>
      </c>
      <c r="D236" s="62" t="str">
        <f ca="1" t="shared" si="10"/>
        <v>一年以上</v>
      </c>
      <c r="E236" s="66">
        <v>44517</v>
      </c>
      <c r="F236" s="66"/>
      <c r="G236" s="66" t="s">
        <v>614</v>
      </c>
      <c r="H236" s="60" t="s">
        <v>352</v>
      </c>
      <c r="I236" s="63" t="s">
        <v>352</v>
      </c>
      <c r="J236" s="76">
        <v>10000</v>
      </c>
      <c r="K236" s="59" t="s">
        <v>338</v>
      </c>
      <c r="L236" s="59" t="s">
        <v>627</v>
      </c>
      <c r="M236" s="59" t="s">
        <v>30</v>
      </c>
      <c r="N236" s="65">
        <v>10000</v>
      </c>
      <c r="O236" s="65">
        <f t="shared" si="12"/>
        <v>0</v>
      </c>
      <c r="P236" s="66">
        <v>44207</v>
      </c>
      <c r="Q236" s="61">
        <f t="shared" si="11"/>
        <v>44207</v>
      </c>
      <c r="R236" s="59"/>
      <c r="S236" s="59" t="s">
        <v>30</v>
      </c>
      <c r="T236" s="59"/>
      <c r="U236" s="59"/>
      <c r="V236" s="59"/>
      <c r="W236" s="59"/>
      <c r="X236" s="59"/>
    </row>
    <row r="237" s="20" customFormat="1" ht="24" hidden="1" spans="1:24">
      <c r="A237" s="59">
        <v>251</v>
      </c>
      <c r="B237" s="60" t="s">
        <v>628</v>
      </c>
      <c r="C237" s="61">
        <v>44501</v>
      </c>
      <c r="D237" s="62" t="str">
        <f ca="1" t="shared" si="10"/>
        <v>一年以上</v>
      </c>
      <c r="E237" s="66">
        <v>44517</v>
      </c>
      <c r="F237" s="66"/>
      <c r="G237" s="66" t="s">
        <v>614</v>
      </c>
      <c r="H237" s="60" t="s">
        <v>564</v>
      </c>
      <c r="I237" s="63" t="s">
        <v>564</v>
      </c>
      <c r="J237" s="76">
        <v>11600</v>
      </c>
      <c r="K237" s="59" t="s">
        <v>356</v>
      </c>
      <c r="L237" s="59" t="s">
        <v>629</v>
      </c>
      <c r="M237" s="59" t="s">
        <v>30</v>
      </c>
      <c r="N237" s="65">
        <v>11600</v>
      </c>
      <c r="O237" s="65">
        <f t="shared" si="12"/>
        <v>0</v>
      </c>
      <c r="P237" s="66">
        <v>44771</v>
      </c>
      <c r="Q237" s="61">
        <f t="shared" si="11"/>
        <v>44771</v>
      </c>
      <c r="R237" s="59"/>
      <c r="S237" s="59"/>
      <c r="T237" s="59"/>
      <c r="U237" s="59"/>
      <c r="V237" s="59"/>
      <c r="W237" s="59"/>
      <c r="X237" s="59"/>
    </row>
    <row r="238" s="20" customFormat="1" ht="24" hidden="1" spans="1:24">
      <c r="A238" s="59">
        <v>377</v>
      </c>
      <c r="B238" s="60" t="s">
        <v>630</v>
      </c>
      <c r="C238" s="61">
        <v>44501</v>
      </c>
      <c r="D238" s="62" t="str">
        <f ca="1" t="shared" si="10"/>
        <v>一年以上</v>
      </c>
      <c r="E238" s="66">
        <v>44517</v>
      </c>
      <c r="F238" s="66"/>
      <c r="G238" s="66" t="s">
        <v>614</v>
      </c>
      <c r="H238" s="60" t="s">
        <v>352</v>
      </c>
      <c r="I238" s="63" t="s">
        <v>352</v>
      </c>
      <c r="J238" s="76">
        <v>200</v>
      </c>
      <c r="K238" s="59" t="s">
        <v>28</v>
      </c>
      <c r="L238" s="59" t="s">
        <v>57</v>
      </c>
      <c r="M238" s="59" t="s">
        <v>515</v>
      </c>
      <c r="N238" s="65">
        <v>200</v>
      </c>
      <c r="O238" s="65">
        <f t="shared" si="12"/>
        <v>0</v>
      </c>
      <c r="P238" s="66">
        <f>E238</f>
        <v>44517</v>
      </c>
      <c r="Q238" s="61">
        <f t="shared" si="11"/>
        <v>44517</v>
      </c>
      <c r="R238" s="59"/>
      <c r="S238" s="59" t="s">
        <v>515</v>
      </c>
      <c r="T238" s="59"/>
      <c r="U238" s="59"/>
      <c r="V238" s="59"/>
      <c r="W238" s="59"/>
      <c r="X238" s="59"/>
    </row>
    <row r="239" s="20" customFormat="1" ht="24" hidden="1" spans="1:24">
      <c r="A239" s="59">
        <v>378</v>
      </c>
      <c r="B239" s="60" t="s">
        <v>631</v>
      </c>
      <c r="C239" s="61">
        <v>44501</v>
      </c>
      <c r="D239" s="62" t="str">
        <f ca="1" t="shared" si="10"/>
        <v>一年以上</v>
      </c>
      <c r="E239" s="66">
        <v>44517</v>
      </c>
      <c r="F239" s="66" t="s">
        <v>632</v>
      </c>
      <c r="G239" s="66" t="s">
        <v>614</v>
      </c>
      <c r="H239" s="60" t="s">
        <v>352</v>
      </c>
      <c r="I239" s="63" t="s">
        <v>352</v>
      </c>
      <c r="J239" s="76">
        <v>200</v>
      </c>
      <c r="K239" s="59" t="s">
        <v>338</v>
      </c>
      <c r="L239" s="59" t="s">
        <v>627</v>
      </c>
      <c r="M239" s="59" t="s">
        <v>515</v>
      </c>
      <c r="N239" s="65">
        <v>200</v>
      </c>
      <c r="O239" s="65">
        <f t="shared" si="12"/>
        <v>0</v>
      </c>
      <c r="P239" s="66">
        <f>E239</f>
        <v>44517</v>
      </c>
      <c r="Q239" s="61">
        <f t="shared" si="11"/>
        <v>44517</v>
      </c>
      <c r="R239" s="59"/>
      <c r="S239" s="59" t="s">
        <v>515</v>
      </c>
      <c r="T239" s="59"/>
      <c r="U239" s="59"/>
      <c r="V239" s="59"/>
      <c r="W239" s="59"/>
      <c r="X239" s="59"/>
    </row>
    <row r="240" s="20" customFormat="1" ht="15" hidden="1" customHeight="1" spans="1:24">
      <c r="A240" s="59">
        <v>379</v>
      </c>
      <c r="B240" s="60" t="s">
        <v>633</v>
      </c>
      <c r="C240" s="61">
        <v>44501</v>
      </c>
      <c r="D240" s="62" t="str">
        <f ca="1" t="shared" si="10"/>
        <v>一年以上</v>
      </c>
      <c r="E240" s="66">
        <v>44517</v>
      </c>
      <c r="F240" s="66" t="s">
        <v>130</v>
      </c>
      <c r="G240" s="59" t="s">
        <v>239</v>
      </c>
      <c r="H240" s="60" t="s">
        <v>634</v>
      </c>
      <c r="I240" s="63" t="s">
        <v>634</v>
      </c>
      <c r="J240" s="76">
        <v>200</v>
      </c>
      <c r="K240" s="59"/>
      <c r="L240" s="59" t="s">
        <v>96</v>
      </c>
      <c r="M240" s="59" t="s">
        <v>515</v>
      </c>
      <c r="N240" s="65">
        <v>200</v>
      </c>
      <c r="O240" s="65">
        <f t="shared" si="12"/>
        <v>0</v>
      </c>
      <c r="P240" s="66">
        <f>E240</f>
        <v>44517</v>
      </c>
      <c r="Q240" s="61">
        <f t="shared" si="11"/>
        <v>44517</v>
      </c>
      <c r="R240" s="59"/>
      <c r="S240" s="59" t="s">
        <v>515</v>
      </c>
      <c r="T240" s="59"/>
      <c r="U240" s="59"/>
      <c r="V240" s="59"/>
      <c r="W240" s="59"/>
      <c r="X240" s="59"/>
    </row>
    <row r="241" s="20" customFormat="1" ht="24" hidden="1" spans="1:24">
      <c r="A241" s="59">
        <v>252</v>
      </c>
      <c r="B241" s="60" t="s">
        <v>635</v>
      </c>
      <c r="C241" s="61">
        <v>44501</v>
      </c>
      <c r="D241" s="62" t="str">
        <f ca="1" t="shared" si="10"/>
        <v>一年以上</v>
      </c>
      <c r="E241" s="66">
        <v>44518</v>
      </c>
      <c r="F241" s="66"/>
      <c r="G241" s="59" t="s">
        <v>450</v>
      </c>
      <c r="H241" s="60" t="s">
        <v>362</v>
      </c>
      <c r="I241" s="63" t="s">
        <v>362</v>
      </c>
      <c r="J241" s="76">
        <v>10000</v>
      </c>
      <c r="K241" s="59" t="s">
        <v>28</v>
      </c>
      <c r="L241" s="59" t="s">
        <v>57</v>
      </c>
      <c r="M241" s="59" t="s">
        <v>30</v>
      </c>
      <c r="N241" s="65">
        <v>10000</v>
      </c>
      <c r="O241" s="65">
        <f t="shared" si="12"/>
        <v>0</v>
      </c>
      <c r="P241" s="66">
        <v>44519</v>
      </c>
      <c r="Q241" s="61">
        <f t="shared" si="11"/>
        <v>44519</v>
      </c>
      <c r="R241" s="59"/>
      <c r="S241" s="59" t="s">
        <v>30</v>
      </c>
      <c r="T241" s="59"/>
      <c r="U241" s="59"/>
      <c r="V241" s="59"/>
      <c r="W241" s="59"/>
      <c r="X241" s="59"/>
    </row>
    <row r="242" s="20" customFormat="1" hidden="1" spans="1:24">
      <c r="A242" s="59">
        <v>253</v>
      </c>
      <c r="B242" s="60" t="s">
        <v>636</v>
      </c>
      <c r="C242" s="61">
        <v>44501</v>
      </c>
      <c r="D242" s="62" t="str">
        <f ca="1" t="shared" si="10"/>
        <v>一年以上</v>
      </c>
      <c r="E242" s="66">
        <v>44518</v>
      </c>
      <c r="F242" s="66"/>
      <c r="G242" s="59" t="s">
        <v>614</v>
      </c>
      <c r="H242" s="60" t="s">
        <v>637</v>
      </c>
      <c r="I242" s="63" t="s">
        <v>637</v>
      </c>
      <c r="J242" s="76">
        <v>50000</v>
      </c>
      <c r="K242" s="59" t="s">
        <v>28</v>
      </c>
      <c r="L242" s="59" t="s">
        <v>57</v>
      </c>
      <c r="M242" s="59" t="s">
        <v>30</v>
      </c>
      <c r="N242" s="65">
        <v>50000</v>
      </c>
      <c r="O242" s="65">
        <f t="shared" si="12"/>
        <v>0</v>
      </c>
      <c r="P242" s="66">
        <v>44555</v>
      </c>
      <c r="Q242" s="61">
        <f t="shared" si="11"/>
        <v>44555</v>
      </c>
      <c r="R242" s="59"/>
      <c r="S242" s="59" t="s">
        <v>30</v>
      </c>
      <c r="T242" s="59"/>
      <c r="U242" s="59"/>
      <c r="V242" s="59"/>
      <c r="W242" s="59"/>
      <c r="X242" s="59"/>
    </row>
    <row r="243" s="20" customFormat="1" ht="24" hidden="1" spans="1:24">
      <c r="A243" s="59">
        <v>254</v>
      </c>
      <c r="B243" s="60" t="s">
        <v>638</v>
      </c>
      <c r="C243" s="61">
        <v>44501</v>
      </c>
      <c r="D243" s="62" t="str">
        <f ca="1" t="shared" si="10"/>
        <v>一年以上</v>
      </c>
      <c r="E243" s="66">
        <v>44519</v>
      </c>
      <c r="F243" s="66"/>
      <c r="G243" s="59" t="s">
        <v>614</v>
      </c>
      <c r="H243" s="60" t="s">
        <v>639</v>
      </c>
      <c r="I243" s="63" t="s">
        <v>639</v>
      </c>
      <c r="J243" s="76">
        <v>2000</v>
      </c>
      <c r="K243" s="59" t="s">
        <v>28</v>
      </c>
      <c r="L243" s="59" t="s">
        <v>57</v>
      </c>
      <c r="M243" s="59" t="s">
        <v>30</v>
      </c>
      <c r="N243" s="65">
        <v>2000</v>
      </c>
      <c r="O243" s="65">
        <f t="shared" si="12"/>
        <v>0</v>
      </c>
      <c r="P243" s="66">
        <v>44579</v>
      </c>
      <c r="Q243" s="61">
        <f t="shared" si="11"/>
        <v>44579</v>
      </c>
      <c r="R243" s="59"/>
      <c r="S243" s="59" t="s">
        <v>30</v>
      </c>
      <c r="T243" s="59"/>
      <c r="U243" s="59"/>
      <c r="V243" s="59"/>
      <c r="W243" s="59"/>
      <c r="X243" s="59"/>
    </row>
    <row r="244" s="20" customFormat="1" ht="24" hidden="1" spans="1:24">
      <c r="A244" s="59">
        <v>380</v>
      </c>
      <c r="B244" s="60" t="s">
        <v>640</v>
      </c>
      <c r="C244" s="61">
        <v>44501</v>
      </c>
      <c r="D244" s="62" t="str">
        <f ca="1" t="shared" si="10"/>
        <v>一年以上</v>
      </c>
      <c r="E244" s="66">
        <v>44522</v>
      </c>
      <c r="F244" s="66" t="s">
        <v>632</v>
      </c>
      <c r="G244" s="59" t="s">
        <v>450</v>
      </c>
      <c r="H244" s="60" t="s">
        <v>641</v>
      </c>
      <c r="I244" s="63" t="s">
        <v>641</v>
      </c>
      <c r="J244" s="76">
        <v>600</v>
      </c>
      <c r="K244" s="59" t="s">
        <v>28</v>
      </c>
      <c r="L244" s="59" t="s">
        <v>57</v>
      </c>
      <c r="M244" s="59" t="s">
        <v>515</v>
      </c>
      <c r="N244" s="65">
        <v>600</v>
      </c>
      <c r="O244" s="65">
        <f t="shared" si="12"/>
        <v>0</v>
      </c>
      <c r="P244" s="66">
        <f>E244</f>
        <v>44522</v>
      </c>
      <c r="Q244" s="61">
        <f t="shared" si="11"/>
        <v>44522</v>
      </c>
      <c r="R244" s="59"/>
      <c r="S244" s="59" t="s">
        <v>515</v>
      </c>
      <c r="T244" s="59"/>
      <c r="U244" s="59"/>
      <c r="V244" s="59"/>
      <c r="W244" s="59"/>
      <c r="X244" s="59"/>
    </row>
    <row r="245" s="20" customFormat="1" ht="24" hidden="1" spans="1:24">
      <c r="A245" s="59">
        <v>381</v>
      </c>
      <c r="B245" s="60" t="s">
        <v>642</v>
      </c>
      <c r="C245" s="61">
        <v>44501</v>
      </c>
      <c r="D245" s="62" t="str">
        <f ca="1" t="shared" si="10"/>
        <v>一年以上</v>
      </c>
      <c r="E245" s="66">
        <v>44522</v>
      </c>
      <c r="F245" s="66" t="s">
        <v>632</v>
      </c>
      <c r="G245" s="59" t="s">
        <v>450</v>
      </c>
      <c r="H245" s="60" t="s">
        <v>643</v>
      </c>
      <c r="I245" s="63" t="s">
        <v>643</v>
      </c>
      <c r="J245" s="76">
        <v>400</v>
      </c>
      <c r="K245" s="59" t="s">
        <v>28</v>
      </c>
      <c r="L245" s="59" t="s">
        <v>57</v>
      </c>
      <c r="M245" s="59" t="s">
        <v>515</v>
      </c>
      <c r="N245" s="65">
        <v>400</v>
      </c>
      <c r="O245" s="65">
        <f t="shared" si="12"/>
        <v>0</v>
      </c>
      <c r="P245" s="66">
        <f>E245</f>
        <v>44522</v>
      </c>
      <c r="Q245" s="61">
        <f t="shared" si="11"/>
        <v>44522</v>
      </c>
      <c r="R245" s="59"/>
      <c r="S245" s="59" t="s">
        <v>515</v>
      </c>
      <c r="T245" s="59"/>
      <c r="U245" s="59"/>
      <c r="V245" s="59"/>
      <c r="W245" s="59"/>
      <c r="X245" s="59"/>
    </row>
    <row r="246" s="20" customFormat="1" ht="24" hidden="1" spans="1:24">
      <c r="A246" s="59">
        <v>255</v>
      </c>
      <c r="B246" s="60" t="s">
        <v>644</v>
      </c>
      <c r="C246" s="61">
        <v>44501</v>
      </c>
      <c r="D246" s="62" t="str">
        <f ca="1" t="shared" si="10"/>
        <v>一年以上</v>
      </c>
      <c r="E246" s="66">
        <v>44523</v>
      </c>
      <c r="F246" s="66"/>
      <c r="G246" s="59" t="s">
        <v>450</v>
      </c>
      <c r="H246" s="60" t="s">
        <v>641</v>
      </c>
      <c r="I246" s="63" t="s">
        <v>641</v>
      </c>
      <c r="J246" s="76">
        <v>2000</v>
      </c>
      <c r="K246" s="59" t="s">
        <v>28</v>
      </c>
      <c r="L246" s="59" t="s">
        <v>57</v>
      </c>
      <c r="M246" s="59" t="s">
        <v>30</v>
      </c>
      <c r="N246" s="65">
        <v>2000</v>
      </c>
      <c r="O246" s="65">
        <f t="shared" si="12"/>
        <v>0</v>
      </c>
      <c r="P246" s="66">
        <v>44539</v>
      </c>
      <c r="Q246" s="61">
        <f t="shared" si="11"/>
        <v>44539</v>
      </c>
      <c r="R246" s="59"/>
      <c r="S246" s="59" t="s">
        <v>30</v>
      </c>
      <c r="T246" s="59"/>
      <c r="U246" s="59"/>
      <c r="V246" s="59"/>
      <c r="W246" s="59"/>
      <c r="X246" s="59"/>
    </row>
    <row r="247" s="20" customFormat="1" ht="24" hidden="1" spans="1:24">
      <c r="A247" s="59">
        <v>256</v>
      </c>
      <c r="B247" s="60" t="s">
        <v>645</v>
      </c>
      <c r="C247" s="61">
        <v>44501</v>
      </c>
      <c r="D247" s="62" t="str">
        <f ca="1" t="shared" si="10"/>
        <v>一年以上</v>
      </c>
      <c r="E247" s="66">
        <v>44523</v>
      </c>
      <c r="F247" s="66"/>
      <c r="G247" s="59" t="s">
        <v>450</v>
      </c>
      <c r="H247" s="60" t="s">
        <v>641</v>
      </c>
      <c r="I247" s="63" t="s">
        <v>641</v>
      </c>
      <c r="J247" s="76">
        <v>8000</v>
      </c>
      <c r="K247" s="59" t="s">
        <v>28</v>
      </c>
      <c r="L247" s="59" t="s">
        <v>57</v>
      </c>
      <c r="M247" s="59" t="s">
        <v>30</v>
      </c>
      <c r="N247" s="65">
        <v>8000</v>
      </c>
      <c r="O247" s="65">
        <f t="shared" si="12"/>
        <v>0</v>
      </c>
      <c r="P247" s="66">
        <v>44539</v>
      </c>
      <c r="Q247" s="61">
        <f t="shared" si="11"/>
        <v>44539</v>
      </c>
      <c r="R247" s="59"/>
      <c r="S247" s="59" t="s">
        <v>30</v>
      </c>
      <c r="T247" s="59"/>
      <c r="U247" s="59"/>
      <c r="V247" s="59"/>
      <c r="W247" s="59"/>
      <c r="X247" s="59"/>
    </row>
    <row r="248" s="20" customFormat="1" ht="24" hidden="1" spans="1:24">
      <c r="A248" s="59">
        <v>257</v>
      </c>
      <c r="B248" s="60" t="s">
        <v>646</v>
      </c>
      <c r="C248" s="61">
        <v>44501</v>
      </c>
      <c r="D248" s="62" t="str">
        <f ca="1" t="shared" si="10"/>
        <v>一年以上</v>
      </c>
      <c r="E248" s="66">
        <v>44523</v>
      </c>
      <c r="F248" s="66"/>
      <c r="G248" s="59" t="s">
        <v>450</v>
      </c>
      <c r="H248" s="60" t="s">
        <v>643</v>
      </c>
      <c r="I248" s="63" t="s">
        <v>643</v>
      </c>
      <c r="J248" s="76">
        <v>10000</v>
      </c>
      <c r="K248" s="59" t="s">
        <v>28</v>
      </c>
      <c r="L248" s="59" t="s">
        <v>57</v>
      </c>
      <c r="M248" s="59" t="s">
        <v>30</v>
      </c>
      <c r="N248" s="65">
        <v>10000</v>
      </c>
      <c r="O248" s="65">
        <f t="shared" si="12"/>
        <v>0</v>
      </c>
      <c r="P248" s="66">
        <v>41247</v>
      </c>
      <c r="Q248" s="61">
        <f t="shared" si="11"/>
        <v>41247</v>
      </c>
      <c r="R248" s="59"/>
      <c r="S248" s="59" t="s">
        <v>30</v>
      </c>
      <c r="T248" s="59"/>
      <c r="U248" s="59"/>
      <c r="V248" s="59"/>
      <c r="W248" s="59"/>
      <c r="X248" s="59"/>
    </row>
    <row r="249" s="20" customFormat="1" hidden="1" spans="1:24">
      <c r="A249" s="59">
        <v>258</v>
      </c>
      <c r="B249" s="60" t="s">
        <v>647</v>
      </c>
      <c r="C249" s="61">
        <v>44501</v>
      </c>
      <c r="D249" s="62" t="str">
        <f ca="1" t="shared" si="10"/>
        <v>一年以上</v>
      </c>
      <c r="E249" s="66">
        <v>44523</v>
      </c>
      <c r="F249" s="66"/>
      <c r="G249" s="59" t="s">
        <v>450</v>
      </c>
      <c r="H249" s="100" t="s">
        <v>648</v>
      </c>
      <c r="I249" s="63" t="s">
        <v>648</v>
      </c>
      <c r="J249" s="76">
        <v>10000</v>
      </c>
      <c r="K249" s="59" t="s">
        <v>28</v>
      </c>
      <c r="L249" s="59" t="s">
        <v>57</v>
      </c>
      <c r="M249" s="59" t="s">
        <v>30</v>
      </c>
      <c r="N249" s="65">
        <v>10000</v>
      </c>
      <c r="O249" s="65">
        <f t="shared" si="12"/>
        <v>0</v>
      </c>
      <c r="P249" s="66">
        <v>44552</v>
      </c>
      <c r="Q249" s="61">
        <f t="shared" si="11"/>
        <v>44552</v>
      </c>
      <c r="R249" s="59"/>
      <c r="S249" s="59" t="s">
        <v>30</v>
      </c>
      <c r="T249" s="59"/>
      <c r="U249" s="59"/>
      <c r="V249" s="59"/>
      <c r="W249" s="59"/>
      <c r="X249" s="59"/>
    </row>
    <row r="250" s="20" customFormat="1" ht="24" hidden="1" spans="1:24">
      <c r="A250" s="59">
        <v>259</v>
      </c>
      <c r="B250" s="60" t="s">
        <v>649</v>
      </c>
      <c r="C250" s="61">
        <v>44501</v>
      </c>
      <c r="D250" s="62" t="str">
        <f ca="1" t="shared" si="10"/>
        <v>一年以上</v>
      </c>
      <c r="E250" s="66">
        <v>44523</v>
      </c>
      <c r="F250" s="66" t="s">
        <v>632</v>
      </c>
      <c r="G250" s="59" t="s">
        <v>450</v>
      </c>
      <c r="H250" s="60" t="s">
        <v>650</v>
      </c>
      <c r="I250" s="63" t="s">
        <v>651</v>
      </c>
      <c r="J250" s="76">
        <v>1500</v>
      </c>
      <c r="K250" s="59" t="s">
        <v>28</v>
      </c>
      <c r="L250" s="59" t="s">
        <v>57</v>
      </c>
      <c r="M250" s="59" t="s">
        <v>30</v>
      </c>
      <c r="N250" s="65"/>
      <c r="O250" s="88">
        <f t="shared" si="12"/>
        <v>1500</v>
      </c>
      <c r="P250" s="66"/>
      <c r="Q250" s="61">
        <f t="shared" si="11"/>
        <v>0</v>
      </c>
      <c r="R250" s="59" t="s">
        <v>481</v>
      </c>
      <c r="S250" s="59" t="s">
        <v>652</v>
      </c>
      <c r="T250" s="101" t="s">
        <v>581</v>
      </c>
      <c r="U250" s="59" t="str">
        <f>VLOOKUP(T250,[1]区域划分!$A$1:$C$39,3,0)</f>
        <v>新疆</v>
      </c>
      <c r="V250" s="372" t="s">
        <v>653</v>
      </c>
      <c r="W250" s="59"/>
      <c r="X250" s="59"/>
    </row>
    <row r="251" s="20" customFormat="1" ht="24" hidden="1" spans="1:24">
      <c r="A251" s="59">
        <v>260</v>
      </c>
      <c r="B251" s="60" t="s">
        <v>654</v>
      </c>
      <c r="C251" s="61">
        <v>44501</v>
      </c>
      <c r="D251" s="62" t="str">
        <f ca="1" t="shared" si="10"/>
        <v>一年以上</v>
      </c>
      <c r="E251" s="66">
        <v>44523</v>
      </c>
      <c r="F251" s="66"/>
      <c r="G251" s="59" t="s">
        <v>614</v>
      </c>
      <c r="H251" s="60" t="s">
        <v>639</v>
      </c>
      <c r="I251" s="63" t="s">
        <v>639</v>
      </c>
      <c r="J251" s="76">
        <v>6000</v>
      </c>
      <c r="K251" s="59" t="s">
        <v>28</v>
      </c>
      <c r="L251" s="59" t="s">
        <v>57</v>
      </c>
      <c r="M251" s="59" t="s">
        <v>30</v>
      </c>
      <c r="N251" s="65">
        <v>6000</v>
      </c>
      <c r="O251" s="65">
        <f t="shared" si="12"/>
        <v>0</v>
      </c>
      <c r="P251" s="66">
        <v>44567</v>
      </c>
      <c r="Q251" s="61">
        <f t="shared" si="11"/>
        <v>44567</v>
      </c>
      <c r="R251" s="59"/>
      <c r="S251" s="59" t="s">
        <v>30</v>
      </c>
      <c r="T251" s="59"/>
      <c r="U251" s="59"/>
      <c r="V251" s="59"/>
      <c r="W251" s="59"/>
      <c r="X251" s="59"/>
    </row>
    <row r="252" s="20" customFormat="1" ht="24" hidden="1" spans="1:24">
      <c r="A252" s="59">
        <v>261</v>
      </c>
      <c r="B252" s="60" t="s">
        <v>655</v>
      </c>
      <c r="C252" s="61">
        <v>44501</v>
      </c>
      <c r="D252" s="62" t="str">
        <f ca="1" t="shared" si="10"/>
        <v>一年以上</v>
      </c>
      <c r="E252" s="66">
        <v>44523</v>
      </c>
      <c r="F252" s="66"/>
      <c r="G252" s="59" t="s">
        <v>614</v>
      </c>
      <c r="H252" s="60" t="s">
        <v>639</v>
      </c>
      <c r="I252" s="63" t="s">
        <v>639</v>
      </c>
      <c r="J252" s="76">
        <v>6000</v>
      </c>
      <c r="K252" s="59" t="s">
        <v>28</v>
      </c>
      <c r="L252" s="59" t="s">
        <v>57</v>
      </c>
      <c r="M252" s="59" t="s">
        <v>30</v>
      </c>
      <c r="N252" s="65">
        <v>6000</v>
      </c>
      <c r="O252" s="65">
        <f t="shared" si="12"/>
        <v>0</v>
      </c>
      <c r="P252" s="66">
        <v>44567</v>
      </c>
      <c r="Q252" s="61">
        <f t="shared" si="11"/>
        <v>44567</v>
      </c>
      <c r="R252" s="59"/>
      <c r="S252" s="59" t="s">
        <v>30</v>
      </c>
      <c r="T252" s="59"/>
      <c r="U252" s="59"/>
      <c r="V252" s="59"/>
      <c r="W252" s="59"/>
      <c r="X252" s="59"/>
    </row>
    <row r="253" s="20" customFormat="1" ht="24" hidden="1" spans="1:24">
      <c r="A253" s="59">
        <v>262</v>
      </c>
      <c r="B253" s="60" t="s">
        <v>656</v>
      </c>
      <c r="C253" s="61">
        <v>44501</v>
      </c>
      <c r="D253" s="62" t="str">
        <f ca="1" t="shared" si="10"/>
        <v>一年以上</v>
      </c>
      <c r="E253" s="66">
        <v>44523</v>
      </c>
      <c r="F253" s="66"/>
      <c r="G253" s="59" t="s">
        <v>614</v>
      </c>
      <c r="H253" s="60" t="s">
        <v>657</v>
      </c>
      <c r="I253" s="63" t="s">
        <v>657</v>
      </c>
      <c r="J253" s="76">
        <v>5000</v>
      </c>
      <c r="K253" s="59" t="s">
        <v>356</v>
      </c>
      <c r="L253" s="59" t="s">
        <v>458</v>
      </c>
      <c r="M253" s="59" t="s">
        <v>30</v>
      </c>
      <c r="N253" s="65">
        <v>5000</v>
      </c>
      <c r="O253" s="65">
        <f t="shared" si="12"/>
        <v>0</v>
      </c>
      <c r="P253" s="66">
        <v>44586</v>
      </c>
      <c r="Q253" s="61">
        <f t="shared" si="11"/>
        <v>44586</v>
      </c>
      <c r="R253" s="59"/>
      <c r="S253" s="59" t="s">
        <v>30</v>
      </c>
      <c r="T253" s="59"/>
      <c r="U253" s="59"/>
      <c r="V253" s="59"/>
      <c r="W253" s="59"/>
      <c r="X253" s="59"/>
    </row>
    <row r="254" s="20" customFormat="1" hidden="1" spans="1:24">
      <c r="A254" s="59">
        <v>263</v>
      </c>
      <c r="B254" s="60" t="s">
        <v>658</v>
      </c>
      <c r="C254" s="61">
        <v>44501</v>
      </c>
      <c r="D254" s="62" t="str">
        <f ca="1" t="shared" si="10"/>
        <v>一年以上</v>
      </c>
      <c r="E254" s="66">
        <v>44524</v>
      </c>
      <c r="F254" s="66"/>
      <c r="G254" s="59" t="s">
        <v>450</v>
      </c>
      <c r="H254" s="60" t="s">
        <v>650</v>
      </c>
      <c r="I254" s="63" t="s">
        <v>650</v>
      </c>
      <c r="J254" s="76">
        <v>1500</v>
      </c>
      <c r="K254" s="59"/>
      <c r="L254" s="59" t="s">
        <v>96</v>
      </c>
      <c r="M254" s="59" t="s">
        <v>30</v>
      </c>
      <c r="N254" s="65">
        <v>1500</v>
      </c>
      <c r="O254" s="65">
        <f t="shared" si="12"/>
        <v>0</v>
      </c>
      <c r="P254" s="66">
        <f>E254</f>
        <v>44524</v>
      </c>
      <c r="Q254" s="61">
        <f t="shared" si="11"/>
        <v>44524</v>
      </c>
      <c r="R254" s="59"/>
      <c r="S254" s="59" t="s">
        <v>30</v>
      </c>
      <c r="T254" s="59"/>
      <c r="U254" s="59"/>
      <c r="V254" s="59"/>
      <c r="W254" s="59"/>
      <c r="X254" s="59"/>
    </row>
    <row r="255" s="20" customFormat="1" ht="24" hidden="1" spans="1:24">
      <c r="A255" s="59">
        <v>382</v>
      </c>
      <c r="B255" s="60" t="s">
        <v>659</v>
      </c>
      <c r="C255" s="61">
        <v>44501</v>
      </c>
      <c r="D255" s="62" t="str">
        <f ca="1" t="shared" si="10"/>
        <v>一年以上</v>
      </c>
      <c r="E255" s="66">
        <v>44525</v>
      </c>
      <c r="F255" s="66" t="s">
        <v>632</v>
      </c>
      <c r="G255" s="59" t="s">
        <v>450</v>
      </c>
      <c r="H255" s="60" t="s">
        <v>660</v>
      </c>
      <c r="I255" s="63" t="s">
        <v>660</v>
      </c>
      <c r="J255" s="76">
        <v>860</v>
      </c>
      <c r="K255" s="59" t="s">
        <v>28</v>
      </c>
      <c r="L255" s="59" t="s">
        <v>57</v>
      </c>
      <c r="M255" s="59" t="s">
        <v>515</v>
      </c>
      <c r="N255" s="65">
        <v>860</v>
      </c>
      <c r="O255" s="65">
        <f t="shared" si="12"/>
        <v>0</v>
      </c>
      <c r="P255" s="66">
        <f>E255</f>
        <v>44525</v>
      </c>
      <c r="Q255" s="61">
        <f t="shared" si="11"/>
        <v>44525</v>
      </c>
      <c r="R255" s="59"/>
      <c r="S255" s="59" t="s">
        <v>661</v>
      </c>
      <c r="T255" s="59"/>
      <c r="U255" s="59"/>
      <c r="V255" s="59"/>
      <c r="W255" s="59"/>
      <c r="X255" s="59"/>
    </row>
    <row r="256" s="20" customFormat="1" ht="24" hidden="1" spans="1:24">
      <c r="A256" s="59">
        <v>139</v>
      </c>
      <c r="B256" s="60" t="s">
        <v>662</v>
      </c>
      <c r="C256" s="61">
        <v>44501</v>
      </c>
      <c r="D256" s="62" t="str">
        <f ca="1" t="shared" si="10"/>
        <v>一年以上</v>
      </c>
      <c r="E256" s="66">
        <v>44526</v>
      </c>
      <c r="F256" s="66" t="s">
        <v>282</v>
      </c>
      <c r="G256" s="59" t="s">
        <v>340</v>
      </c>
      <c r="H256" s="60" t="s">
        <v>663</v>
      </c>
      <c r="I256" s="63" t="s">
        <v>663</v>
      </c>
      <c r="J256" s="76">
        <v>20000</v>
      </c>
      <c r="K256" s="59" t="s">
        <v>28</v>
      </c>
      <c r="L256" s="59" t="s">
        <v>57</v>
      </c>
      <c r="M256" s="59" t="s">
        <v>65</v>
      </c>
      <c r="N256" s="65">
        <v>20000</v>
      </c>
      <c r="O256" s="65">
        <f t="shared" si="12"/>
        <v>0</v>
      </c>
      <c r="P256" s="66">
        <v>44924</v>
      </c>
      <c r="Q256" s="61">
        <f t="shared" si="11"/>
        <v>44924</v>
      </c>
      <c r="R256" s="66"/>
      <c r="S256" s="59"/>
      <c r="T256" s="59" t="s">
        <v>581</v>
      </c>
      <c r="U256" s="59" t="s">
        <v>239</v>
      </c>
      <c r="V256" s="59"/>
      <c r="W256" s="59"/>
      <c r="X256" s="59"/>
    </row>
    <row r="257" s="20" customFormat="1" hidden="1" spans="1:24">
      <c r="A257" s="59">
        <v>264</v>
      </c>
      <c r="B257" s="60" t="s">
        <v>664</v>
      </c>
      <c r="C257" s="61">
        <v>44501</v>
      </c>
      <c r="D257" s="62" t="str">
        <f ca="1" t="shared" si="10"/>
        <v>一年以上</v>
      </c>
      <c r="E257" s="66">
        <v>44529</v>
      </c>
      <c r="F257" s="66"/>
      <c r="G257" s="59" t="s">
        <v>614</v>
      </c>
      <c r="H257" s="60" t="s">
        <v>665</v>
      </c>
      <c r="I257" s="63" t="s">
        <v>665</v>
      </c>
      <c r="J257" s="76">
        <v>5000</v>
      </c>
      <c r="K257" s="59" t="s">
        <v>356</v>
      </c>
      <c r="L257" s="59" t="s">
        <v>458</v>
      </c>
      <c r="M257" s="59" t="s">
        <v>30</v>
      </c>
      <c r="N257" s="65">
        <v>5000</v>
      </c>
      <c r="O257" s="65">
        <f t="shared" si="12"/>
        <v>0</v>
      </c>
      <c r="P257" s="66">
        <v>44582</v>
      </c>
      <c r="Q257" s="61">
        <f t="shared" si="11"/>
        <v>44582</v>
      </c>
      <c r="R257" s="59"/>
      <c r="S257" s="59" t="s">
        <v>30</v>
      </c>
      <c r="T257" s="59"/>
      <c r="U257" s="59"/>
      <c r="V257" s="59"/>
      <c r="W257" s="59"/>
      <c r="X257" s="59"/>
    </row>
    <row r="258" s="20" customFormat="1" ht="24" hidden="1" spans="1:24">
      <c r="A258" s="59">
        <v>265</v>
      </c>
      <c r="B258" s="60" t="s">
        <v>666</v>
      </c>
      <c r="C258" s="61">
        <v>44501</v>
      </c>
      <c r="D258" s="62" t="str">
        <f ca="1" t="shared" si="10"/>
        <v>一年以上</v>
      </c>
      <c r="E258" s="66">
        <v>44529</v>
      </c>
      <c r="F258" s="66"/>
      <c r="G258" s="59" t="s">
        <v>614</v>
      </c>
      <c r="H258" s="60" t="s">
        <v>667</v>
      </c>
      <c r="I258" s="63" t="s">
        <v>667</v>
      </c>
      <c r="J258" s="76">
        <v>5000</v>
      </c>
      <c r="K258" s="59" t="s">
        <v>356</v>
      </c>
      <c r="L258" s="59" t="s">
        <v>458</v>
      </c>
      <c r="M258" s="59" t="s">
        <v>30</v>
      </c>
      <c r="N258" s="65">
        <v>5000</v>
      </c>
      <c r="O258" s="65">
        <f t="shared" si="12"/>
        <v>0</v>
      </c>
      <c r="P258" s="66">
        <v>44545</v>
      </c>
      <c r="Q258" s="61">
        <f t="shared" si="11"/>
        <v>44545</v>
      </c>
      <c r="R258" s="59"/>
      <c r="S258" s="59" t="s">
        <v>30</v>
      </c>
      <c r="T258" s="59"/>
      <c r="U258" s="59"/>
      <c r="V258" s="59"/>
      <c r="W258" s="59"/>
      <c r="X258" s="59"/>
    </row>
    <row r="259" s="20" customFormat="1" ht="24" hidden="1" spans="1:24">
      <c r="A259" s="59">
        <v>266</v>
      </c>
      <c r="B259" s="60" t="s">
        <v>668</v>
      </c>
      <c r="C259" s="61">
        <v>44501</v>
      </c>
      <c r="D259" s="62" t="str">
        <f ca="1" t="shared" ref="D259:D322" si="13">IF(TODAY()-E259&lt;60,"2个月内",IF(TODAY()-E259&lt;180,"3-6个月",IF(TODAY()-E259&lt;360,"6个月-1年","一年以上")))</f>
        <v>一年以上</v>
      </c>
      <c r="E259" s="66">
        <v>44529</v>
      </c>
      <c r="F259" s="66"/>
      <c r="G259" s="59" t="s">
        <v>450</v>
      </c>
      <c r="H259" s="60" t="s">
        <v>669</v>
      </c>
      <c r="I259" s="63" t="s">
        <v>669</v>
      </c>
      <c r="J259" s="76">
        <v>18000</v>
      </c>
      <c r="K259" s="59" t="s">
        <v>28</v>
      </c>
      <c r="L259" s="59" t="s">
        <v>57</v>
      </c>
      <c r="M259" s="59" t="s">
        <v>30</v>
      </c>
      <c r="N259" s="65">
        <v>18000</v>
      </c>
      <c r="O259" s="65">
        <f t="shared" si="12"/>
        <v>0</v>
      </c>
      <c r="P259" s="66">
        <v>44664</v>
      </c>
      <c r="Q259" s="61">
        <f t="shared" ref="Q259:Q322" si="14">P259</f>
        <v>44664</v>
      </c>
      <c r="R259" s="59"/>
      <c r="S259" s="59" t="s">
        <v>670</v>
      </c>
      <c r="T259" s="59"/>
      <c r="U259" s="59"/>
      <c r="V259" s="59"/>
      <c r="W259" s="59"/>
      <c r="X259" s="59"/>
    </row>
    <row r="260" s="20" customFormat="1" ht="14" hidden="1" customHeight="1" spans="1:24">
      <c r="A260" s="59">
        <v>267</v>
      </c>
      <c r="B260" s="60" t="s">
        <v>671</v>
      </c>
      <c r="C260" s="61">
        <v>44501</v>
      </c>
      <c r="D260" s="62" t="str">
        <f ca="1" t="shared" si="13"/>
        <v>一年以上</v>
      </c>
      <c r="E260" s="66">
        <v>44529</v>
      </c>
      <c r="F260" s="66"/>
      <c r="G260" s="59" t="s">
        <v>450</v>
      </c>
      <c r="H260" s="60" t="s">
        <v>672</v>
      </c>
      <c r="I260" s="63" t="s">
        <v>672</v>
      </c>
      <c r="J260" s="76">
        <v>10000</v>
      </c>
      <c r="K260" s="59" t="s">
        <v>28</v>
      </c>
      <c r="L260" s="59" t="s">
        <v>57</v>
      </c>
      <c r="M260" s="59" t="s">
        <v>30</v>
      </c>
      <c r="N260" s="65">
        <v>10000</v>
      </c>
      <c r="O260" s="65">
        <f t="shared" si="12"/>
        <v>0</v>
      </c>
      <c r="P260" s="66">
        <v>44736</v>
      </c>
      <c r="Q260" s="61">
        <f t="shared" si="14"/>
        <v>44736</v>
      </c>
      <c r="R260" s="59" t="s">
        <v>481</v>
      </c>
      <c r="S260" s="59" t="s">
        <v>481</v>
      </c>
      <c r="T260" s="59"/>
      <c r="U260" s="59"/>
      <c r="V260" s="59"/>
      <c r="W260" s="59"/>
      <c r="X260" s="59"/>
    </row>
    <row r="261" s="20" customFormat="1" ht="14" hidden="1" customHeight="1" spans="1:24">
      <c r="A261" s="59">
        <v>268</v>
      </c>
      <c r="B261" s="60" t="s">
        <v>673</v>
      </c>
      <c r="C261" s="61">
        <v>44501</v>
      </c>
      <c r="D261" s="62" t="str">
        <f ca="1" t="shared" si="13"/>
        <v>一年以上</v>
      </c>
      <c r="E261" s="66">
        <v>44529</v>
      </c>
      <c r="F261" s="66"/>
      <c r="G261" s="59" t="s">
        <v>450</v>
      </c>
      <c r="H261" s="60" t="s">
        <v>674</v>
      </c>
      <c r="I261" s="63" t="s">
        <v>674</v>
      </c>
      <c r="J261" s="76">
        <v>20000</v>
      </c>
      <c r="K261" s="59" t="s">
        <v>28</v>
      </c>
      <c r="L261" s="59" t="s">
        <v>57</v>
      </c>
      <c r="M261" s="59" t="s">
        <v>30</v>
      </c>
      <c r="N261" s="65">
        <v>20000</v>
      </c>
      <c r="O261" s="65">
        <f t="shared" si="12"/>
        <v>0</v>
      </c>
      <c r="P261" s="66">
        <v>44536</v>
      </c>
      <c r="Q261" s="61">
        <f t="shared" si="14"/>
        <v>44536</v>
      </c>
      <c r="R261" s="59"/>
      <c r="S261" s="59" t="s">
        <v>30</v>
      </c>
      <c r="T261" s="59"/>
      <c r="U261" s="59"/>
      <c r="V261" s="59"/>
      <c r="W261" s="59"/>
      <c r="X261" s="59"/>
    </row>
    <row r="262" s="20" customFormat="1" hidden="1" spans="1:24">
      <c r="A262" s="59">
        <v>383</v>
      </c>
      <c r="B262" s="60" t="s">
        <v>675</v>
      </c>
      <c r="C262" s="61">
        <v>44501</v>
      </c>
      <c r="D262" s="62" t="str">
        <f ca="1" t="shared" si="13"/>
        <v>一年以上</v>
      </c>
      <c r="E262" s="66">
        <v>44529</v>
      </c>
      <c r="F262" s="66" t="s">
        <v>632</v>
      </c>
      <c r="G262" s="59" t="s">
        <v>450</v>
      </c>
      <c r="H262" s="60" t="s">
        <v>669</v>
      </c>
      <c r="I262" s="63" t="s">
        <v>669</v>
      </c>
      <c r="J262" s="76">
        <v>200</v>
      </c>
      <c r="K262" s="59" t="s">
        <v>28</v>
      </c>
      <c r="L262" s="59" t="s">
        <v>57</v>
      </c>
      <c r="M262" s="59" t="s">
        <v>515</v>
      </c>
      <c r="N262" s="65">
        <v>200</v>
      </c>
      <c r="O262" s="65">
        <f t="shared" si="12"/>
        <v>0</v>
      </c>
      <c r="P262" s="66">
        <f>E262</f>
        <v>44529</v>
      </c>
      <c r="Q262" s="61">
        <f t="shared" si="14"/>
        <v>44529</v>
      </c>
      <c r="R262" s="59"/>
      <c r="S262" s="59" t="s">
        <v>515</v>
      </c>
      <c r="T262" s="59"/>
      <c r="U262" s="59"/>
      <c r="V262" s="59"/>
      <c r="W262" s="59"/>
      <c r="X262" s="59"/>
    </row>
    <row r="263" s="20" customFormat="1" hidden="1" spans="1:24">
      <c r="A263" s="59">
        <v>384</v>
      </c>
      <c r="B263" s="60" t="s">
        <v>676</v>
      </c>
      <c r="C263" s="61">
        <v>44501</v>
      </c>
      <c r="D263" s="62" t="str">
        <f ca="1" t="shared" si="13"/>
        <v>一年以上</v>
      </c>
      <c r="E263" s="66">
        <v>44529</v>
      </c>
      <c r="F263" s="66" t="s">
        <v>632</v>
      </c>
      <c r="G263" s="59" t="s">
        <v>450</v>
      </c>
      <c r="H263" s="60" t="s">
        <v>677</v>
      </c>
      <c r="I263" s="63" t="s">
        <v>677</v>
      </c>
      <c r="J263" s="76">
        <v>200</v>
      </c>
      <c r="K263" s="59" t="s">
        <v>28</v>
      </c>
      <c r="L263" s="59" t="s">
        <v>57</v>
      </c>
      <c r="M263" s="59" t="s">
        <v>515</v>
      </c>
      <c r="N263" s="65">
        <v>200</v>
      </c>
      <c r="O263" s="65">
        <f t="shared" si="12"/>
        <v>0</v>
      </c>
      <c r="P263" s="66">
        <f>E263</f>
        <v>44529</v>
      </c>
      <c r="Q263" s="61">
        <f t="shared" si="14"/>
        <v>44529</v>
      </c>
      <c r="R263" s="59"/>
      <c r="S263" s="59" t="s">
        <v>515</v>
      </c>
      <c r="T263" s="59"/>
      <c r="U263" s="59"/>
      <c r="V263" s="59"/>
      <c r="W263" s="59"/>
      <c r="X263" s="59"/>
    </row>
    <row r="264" s="20" customFormat="1" hidden="1" spans="1:24">
      <c r="A264" s="59">
        <v>385</v>
      </c>
      <c r="B264" s="60" t="s">
        <v>678</v>
      </c>
      <c r="C264" s="61">
        <v>44501</v>
      </c>
      <c r="D264" s="62" t="str">
        <f ca="1" t="shared" si="13"/>
        <v>一年以上</v>
      </c>
      <c r="E264" s="66">
        <v>44529</v>
      </c>
      <c r="F264" s="66" t="s">
        <v>632</v>
      </c>
      <c r="G264" s="59" t="s">
        <v>614</v>
      </c>
      <c r="H264" s="60" t="s">
        <v>679</v>
      </c>
      <c r="I264" s="63" t="s">
        <v>679</v>
      </c>
      <c r="J264" s="76">
        <v>500</v>
      </c>
      <c r="K264" s="59" t="s">
        <v>28</v>
      </c>
      <c r="L264" s="59" t="s">
        <v>57</v>
      </c>
      <c r="M264" s="59" t="s">
        <v>515</v>
      </c>
      <c r="N264" s="65">
        <v>500</v>
      </c>
      <c r="O264" s="65">
        <f t="shared" si="12"/>
        <v>0</v>
      </c>
      <c r="P264" s="66">
        <f>E264</f>
        <v>44529</v>
      </c>
      <c r="Q264" s="61">
        <f t="shared" si="14"/>
        <v>44529</v>
      </c>
      <c r="R264" s="59"/>
      <c r="S264" s="59" t="s">
        <v>515</v>
      </c>
      <c r="T264" s="59"/>
      <c r="U264" s="59"/>
      <c r="V264" s="59"/>
      <c r="W264" s="59"/>
      <c r="X264" s="59"/>
    </row>
    <row r="265" s="20" customFormat="1" ht="24" hidden="1" spans="1:24">
      <c r="A265" s="59">
        <v>269</v>
      </c>
      <c r="B265" s="60" t="s">
        <v>680</v>
      </c>
      <c r="C265" s="61">
        <v>44531</v>
      </c>
      <c r="D265" s="62" t="str">
        <f ca="1" t="shared" si="13"/>
        <v>一年以上</v>
      </c>
      <c r="E265" s="66">
        <v>44531</v>
      </c>
      <c r="F265" s="66" t="s">
        <v>632</v>
      </c>
      <c r="G265" s="59" t="s">
        <v>450</v>
      </c>
      <c r="H265" s="60" t="s">
        <v>362</v>
      </c>
      <c r="I265" s="63" t="s">
        <v>362</v>
      </c>
      <c r="J265" s="76">
        <v>10000</v>
      </c>
      <c r="K265" s="59" t="s">
        <v>28</v>
      </c>
      <c r="L265" s="59" t="s">
        <v>57</v>
      </c>
      <c r="M265" s="59" t="s">
        <v>30</v>
      </c>
      <c r="N265" s="65"/>
      <c r="O265" s="88">
        <f t="shared" si="12"/>
        <v>10000</v>
      </c>
      <c r="P265" s="66"/>
      <c r="Q265" s="61">
        <f t="shared" si="14"/>
        <v>0</v>
      </c>
      <c r="R265" s="59" t="s">
        <v>481</v>
      </c>
      <c r="S265" s="59" t="s">
        <v>30</v>
      </c>
      <c r="T265" s="101" t="s">
        <v>581</v>
      </c>
      <c r="U265" s="59" t="str">
        <f>VLOOKUP(T265,[1]区域划分!$A$1:$C$39,3,0)</f>
        <v>新疆</v>
      </c>
      <c r="V265" s="59"/>
      <c r="W265" s="59"/>
      <c r="X265" s="59"/>
    </row>
    <row r="266" s="20" customFormat="1" ht="24" hidden="1" spans="1:24">
      <c r="A266" s="59">
        <v>140</v>
      </c>
      <c r="B266" s="60" t="s">
        <v>681</v>
      </c>
      <c r="C266" s="61">
        <v>44531</v>
      </c>
      <c r="D266" s="62" t="str">
        <f ca="1" t="shared" si="13"/>
        <v>一年以上</v>
      </c>
      <c r="E266" s="66">
        <v>44532</v>
      </c>
      <c r="F266" s="66" t="s">
        <v>282</v>
      </c>
      <c r="G266" s="59" t="s">
        <v>233</v>
      </c>
      <c r="H266" s="60" t="s">
        <v>115</v>
      </c>
      <c r="I266" s="63" t="s">
        <v>115</v>
      </c>
      <c r="J266" s="76">
        <v>2000</v>
      </c>
      <c r="K266" s="59" t="s">
        <v>356</v>
      </c>
      <c r="L266" s="59" t="s">
        <v>458</v>
      </c>
      <c r="M266" s="59" t="s">
        <v>65</v>
      </c>
      <c r="N266" s="65">
        <v>2000</v>
      </c>
      <c r="O266" s="65">
        <f t="shared" si="12"/>
        <v>0</v>
      </c>
      <c r="P266" s="66">
        <v>44818</v>
      </c>
      <c r="Q266" s="61">
        <f t="shared" si="14"/>
        <v>44818</v>
      </c>
      <c r="R266" s="66"/>
      <c r="S266" s="59"/>
      <c r="T266" s="59" t="s">
        <v>381</v>
      </c>
      <c r="U266" s="59" t="s">
        <v>239</v>
      </c>
      <c r="V266" s="59"/>
      <c r="W266" s="59"/>
      <c r="X266" s="59"/>
    </row>
    <row r="267" s="20" customFormat="1" ht="24" hidden="1" spans="1:24">
      <c r="A267" s="59">
        <v>270</v>
      </c>
      <c r="B267" s="60" t="s">
        <v>682</v>
      </c>
      <c r="C267" s="61">
        <v>44531</v>
      </c>
      <c r="D267" s="62" t="str">
        <f ca="1" t="shared" si="13"/>
        <v>一年以上</v>
      </c>
      <c r="E267" s="66">
        <v>44532</v>
      </c>
      <c r="F267" s="66"/>
      <c r="G267" s="59" t="s">
        <v>450</v>
      </c>
      <c r="H267" s="60" t="s">
        <v>683</v>
      </c>
      <c r="I267" s="63" t="s">
        <v>683</v>
      </c>
      <c r="J267" s="76">
        <v>10000</v>
      </c>
      <c r="K267" s="59" t="s">
        <v>28</v>
      </c>
      <c r="L267" s="59" t="s">
        <v>57</v>
      </c>
      <c r="M267" s="59" t="s">
        <v>30</v>
      </c>
      <c r="N267" s="65">
        <v>10000</v>
      </c>
      <c r="O267" s="65">
        <f t="shared" si="12"/>
        <v>0</v>
      </c>
      <c r="P267" s="66">
        <v>44553</v>
      </c>
      <c r="Q267" s="61">
        <f t="shared" si="14"/>
        <v>44553</v>
      </c>
      <c r="R267" s="59"/>
      <c r="S267" s="59" t="s">
        <v>30</v>
      </c>
      <c r="T267" s="59"/>
      <c r="U267" s="59"/>
      <c r="V267" s="59"/>
      <c r="W267" s="59"/>
      <c r="X267" s="59"/>
    </row>
    <row r="268" s="20" customFormat="1" hidden="1" spans="1:24">
      <c r="A268" s="59">
        <v>271</v>
      </c>
      <c r="B268" s="60" t="s">
        <v>684</v>
      </c>
      <c r="C268" s="61">
        <v>44531</v>
      </c>
      <c r="D268" s="62" t="str">
        <f ca="1" t="shared" si="13"/>
        <v>一年以上</v>
      </c>
      <c r="E268" s="66">
        <v>44533</v>
      </c>
      <c r="F268" s="66" t="s">
        <v>632</v>
      </c>
      <c r="G268" s="59" t="s">
        <v>450</v>
      </c>
      <c r="H268" s="91" t="s">
        <v>677</v>
      </c>
      <c r="I268" s="63" t="s">
        <v>677</v>
      </c>
      <c r="J268" s="76">
        <v>20000</v>
      </c>
      <c r="K268" s="59" t="s">
        <v>28</v>
      </c>
      <c r="L268" s="59" t="s">
        <v>57</v>
      </c>
      <c r="M268" s="59" t="s">
        <v>30</v>
      </c>
      <c r="N268" s="65">
        <v>20000</v>
      </c>
      <c r="O268" s="65">
        <f t="shared" si="12"/>
        <v>0</v>
      </c>
      <c r="P268" s="66">
        <v>44649</v>
      </c>
      <c r="Q268" s="61">
        <f t="shared" si="14"/>
        <v>44649</v>
      </c>
      <c r="R268" s="59"/>
      <c r="S268" s="59"/>
      <c r="T268" s="59"/>
      <c r="U268" s="59"/>
      <c r="V268" s="59"/>
      <c r="W268" s="59"/>
      <c r="X268" s="59"/>
    </row>
    <row r="269" s="20" customFormat="1" ht="24" hidden="1" spans="1:24">
      <c r="A269" s="59">
        <v>272</v>
      </c>
      <c r="B269" s="60" t="s">
        <v>685</v>
      </c>
      <c r="C269" s="61">
        <v>44531</v>
      </c>
      <c r="D269" s="62" t="str">
        <f ca="1" t="shared" si="13"/>
        <v>一年以上</v>
      </c>
      <c r="E269" s="66">
        <v>44533</v>
      </c>
      <c r="F269" s="66"/>
      <c r="G269" s="59" t="s">
        <v>614</v>
      </c>
      <c r="H269" s="60" t="s">
        <v>686</v>
      </c>
      <c r="I269" s="63" t="s">
        <v>686</v>
      </c>
      <c r="J269" s="76">
        <v>1000</v>
      </c>
      <c r="K269" s="59" t="s">
        <v>356</v>
      </c>
      <c r="L269" s="103" t="s">
        <v>458</v>
      </c>
      <c r="M269" s="59" t="s">
        <v>30</v>
      </c>
      <c r="N269" s="104">
        <v>1000</v>
      </c>
      <c r="O269" s="65">
        <f t="shared" si="12"/>
        <v>0</v>
      </c>
      <c r="P269" s="66">
        <v>45299</v>
      </c>
      <c r="Q269" s="61">
        <f t="shared" si="14"/>
        <v>45299</v>
      </c>
      <c r="R269" s="59"/>
      <c r="S269" s="59"/>
      <c r="T269" s="105" t="s">
        <v>182</v>
      </c>
      <c r="U269" s="59" t="str">
        <f>VLOOKUP(T269,[1]区域划分!$A$1:$C$39,3,0)</f>
        <v>汪瑞青</v>
      </c>
      <c r="V269" s="59"/>
      <c r="W269" s="59"/>
      <c r="X269" s="59"/>
    </row>
    <row r="270" s="20" customFormat="1" hidden="1" spans="1:24">
      <c r="A270" s="59">
        <v>386</v>
      </c>
      <c r="B270" s="60" t="s">
        <v>687</v>
      </c>
      <c r="C270" s="61">
        <v>44531</v>
      </c>
      <c r="D270" s="62" t="str">
        <f ca="1" t="shared" si="13"/>
        <v>一年以上</v>
      </c>
      <c r="E270" s="66">
        <v>44533</v>
      </c>
      <c r="F270" s="66" t="s">
        <v>632</v>
      </c>
      <c r="G270" s="59" t="s">
        <v>614</v>
      </c>
      <c r="H270" s="60" t="s">
        <v>679</v>
      </c>
      <c r="I270" s="63" t="s">
        <v>679</v>
      </c>
      <c r="J270" s="76">
        <v>500</v>
      </c>
      <c r="K270" s="59" t="s">
        <v>338</v>
      </c>
      <c r="L270" s="59" t="s">
        <v>627</v>
      </c>
      <c r="M270" s="59" t="s">
        <v>515</v>
      </c>
      <c r="N270" s="65">
        <v>500</v>
      </c>
      <c r="O270" s="65">
        <f t="shared" si="12"/>
        <v>0</v>
      </c>
      <c r="P270" s="66">
        <f>E270</f>
        <v>44533</v>
      </c>
      <c r="Q270" s="61">
        <f t="shared" si="14"/>
        <v>44533</v>
      </c>
      <c r="R270" s="59"/>
      <c r="S270" s="59" t="s">
        <v>515</v>
      </c>
      <c r="T270" s="59"/>
      <c r="U270" s="59"/>
      <c r="V270" s="59"/>
      <c r="W270" s="59"/>
      <c r="X270" s="59"/>
    </row>
    <row r="271" s="20" customFormat="1" hidden="1" spans="1:24">
      <c r="A271" s="59">
        <v>387</v>
      </c>
      <c r="B271" s="60" t="s">
        <v>688</v>
      </c>
      <c r="C271" s="61">
        <v>44531</v>
      </c>
      <c r="D271" s="62" t="str">
        <f ca="1" t="shared" si="13"/>
        <v>一年以上</v>
      </c>
      <c r="E271" s="66">
        <v>44533</v>
      </c>
      <c r="F271" s="66" t="s">
        <v>632</v>
      </c>
      <c r="G271" s="59" t="s">
        <v>614</v>
      </c>
      <c r="H271" s="60" t="s">
        <v>689</v>
      </c>
      <c r="I271" s="63" t="s">
        <v>689</v>
      </c>
      <c r="J271" s="76">
        <v>500</v>
      </c>
      <c r="K271" s="59" t="s">
        <v>28</v>
      </c>
      <c r="L271" s="59" t="s">
        <v>57</v>
      </c>
      <c r="M271" s="59" t="s">
        <v>515</v>
      </c>
      <c r="N271" s="65">
        <v>500</v>
      </c>
      <c r="O271" s="65">
        <f t="shared" ref="O271:O334" si="15">J271-N271</f>
        <v>0</v>
      </c>
      <c r="P271" s="66">
        <f>E271</f>
        <v>44533</v>
      </c>
      <c r="Q271" s="61">
        <f t="shared" si="14"/>
        <v>44533</v>
      </c>
      <c r="R271" s="59"/>
      <c r="S271" s="59" t="s">
        <v>515</v>
      </c>
      <c r="T271" s="59"/>
      <c r="U271" s="59"/>
      <c r="V271" s="59"/>
      <c r="W271" s="59"/>
      <c r="X271" s="59"/>
    </row>
    <row r="272" s="20" customFormat="1" ht="24" hidden="1" spans="1:24">
      <c r="A272" s="59">
        <v>273</v>
      </c>
      <c r="B272" s="60" t="s">
        <v>690</v>
      </c>
      <c r="C272" s="61">
        <v>44531</v>
      </c>
      <c r="D272" s="62" t="str">
        <f ca="1" t="shared" si="13"/>
        <v>一年以上</v>
      </c>
      <c r="E272" s="66">
        <v>44536</v>
      </c>
      <c r="F272" s="66"/>
      <c r="G272" s="59" t="s">
        <v>614</v>
      </c>
      <c r="H272" s="60" t="s">
        <v>691</v>
      </c>
      <c r="I272" s="63" t="s">
        <v>691</v>
      </c>
      <c r="J272" s="76">
        <v>1000</v>
      </c>
      <c r="K272" s="59" t="s">
        <v>356</v>
      </c>
      <c r="L272" s="59" t="s">
        <v>458</v>
      </c>
      <c r="M272" s="59" t="s">
        <v>30</v>
      </c>
      <c r="N272" s="65">
        <v>1000</v>
      </c>
      <c r="O272" s="65">
        <f t="shared" si="15"/>
        <v>0</v>
      </c>
      <c r="P272" s="66">
        <v>44581</v>
      </c>
      <c r="Q272" s="61">
        <f t="shared" si="14"/>
        <v>44581</v>
      </c>
      <c r="R272" s="59"/>
      <c r="S272" s="59" t="s">
        <v>30</v>
      </c>
      <c r="T272" s="59"/>
      <c r="U272" s="59"/>
      <c r="V272" s="59"/>
      <c r="W272" s="59"/>
      <c r="X272" s="59"/>
    </row>
    <row r="273" s="20" customFormat="1" ht="24" hidden="1" spans="1:24">
      <c r="A273" s="59">
        <v>274</v>
      </c>
      <c r="B273" s="60" t="s">
        <v>692</v>
      </c>
      <c r="C273" s="61">
        <v>44531</v>
      </c>
      <c r="D273" s="62" t="str">
        <f ca="1" t="shared" si="13"/>
        <v>一年以上</v>
      </c>
      <c r="E273" s="66">
        <v>44536</v>
      </c>
      <c r="F273" s="66"/>
      <c r="G273" s="59" t="s">
        <v>614</v>
      </c>
      <c r="H273" s="91" t="s">
        <v>691</v>
      </c>
      <c r="I273" s="63" t="s">
        <v>691</v>
      </c>
      <c r="J273" s="76">
        <v>1000</v>
      </c>
      <c r="K273" s="59" t="s">
        <v>356</v>
      </c>
      <c r="L273" s="59" t="s">
        <v>458</v>
      </c>
      <c r="M273" s="59" t="s">
        <v>30</v>
      </c>
      <c r="N273" s="65">
        <v>1000</v>
      </c>
      <c r="O273" s="65">
        <f t="shared" si="15"/>
        <v>0</v>
      </c>
      <c r="P273" s="66">
        <v>44581</v>
      </c>
      <c r="Q273" s="61">
        <f t="shared" si="14"/>
        <v>44581</v>
      </c>
      <c r="R273" s="59"/>
      <c r="S273" s="59" t="s">
        <v>30</v>
      </c>
      <c r="T273" s="59"/>
      <c r="U273" s="59"/>
      <c r="V273" s="59"/>
      <c r="W273" s="59"/>
      <c r="X273" s="59"/>
    </row>
    <row r="274" s="20" customFormat="1" hidden="1" spans="1:24">
      <c r="A274" s="59">
        <v>275</v>
      </c>
      <c r="B274" s="60" t="s">
        <v>693</v>
      </c>
      <c r="C274" s="61">
        <v>44531</v>
      </c>
      <c r="D274" s="62" t="str">
        <f ca="1" t="shared" si="13"/>
        <v>一年以上</v>
      </c>
      <c r="E274" s="66">
        <v>44538</v>
      </c>
      <c r="F274" s="66"/>
      <c r="G274" s="59" t="s">
        <v>450</v>
      </c>
      <c r="H274" s="91" t="s">
        <v>634</v>
      </c>
      <c r="I274" s="63" t="s">
        <v>634</v>
      </c>
      <c r="J274" s="76">
        <v>10000</v>
      </c>
      <c r="K274" s="59" t="s">
        <v>28</v>
      </c>
      <c r="L274" s="59" t="s">
        <v>57</v>
      </c>
      <c r="M274" s="59" t="s">
        <v>30</v>
      </c>
      <c r="N274" s="65">
        <v>10000</v>
      </c>
      <c r="O274" s="65">
        <f t="shared" si="15"/>
        <v>0</v>
      </c>
      <c r="P274" s="66">
        <v>44546</v>
      </c>
      <c r="Q274" s="61">
        <f t="shared" si="14"/>
        <v>44546</v>
      </c>
      <c r="R274" s="59"/>
      <c r="S274" s="59" t="s">
        <v>30</v>
      </c>
      <c r="T274" s="59"/>
      <c r="U274" s="59"/>
      <c r="V274" s="59"/>
      <c r="W274" s="59"/>
      <c r="X274" s="59"/>
    </row>
    <row r="275" s="20" customFormat="1" hidden="1" spans="1:24">
      <c r="A275" s="59">
        <v>276</v>
      </c>
      <c r="B275" s="60" t="s">
        <v>694</v>
      </c>
      <c r="C275" s="61">
        <v>44531</v>
      </c>
      <c r="D275" s="62" t="str">
        <f ca="1" t="shared" si="13"/>
        <v>一年以上</v>
      </c>
      <c r="E275" s="66">
        <v>44538</v>
      </c>
      <c r="F275" s="66"/>
      <c r="G275" s="59" t="s">
        <v>450</v>
      </c>
      <c r="H275" s="60" t="s">
        <v>577</v>
      </c>
      <c r="I275" s="63" t="s">
        <v>578</v>
      </c>
      <c r="J275" s="76">
        <v>10000</v>
      </c>
      <c r="K275" s="59" t="s">
        <v>28</v>
      </c>
      <c r="L275" s="59" t="s">
        <v>57</v>
      </c>
      <c r="M275" s="59" t="s">
        <v>30</v>
      </c>
      <c r="N275" s="65">
        <v>10000</v>
      </c>
      <c r="O275" s="65">
        <f t="shared" si="15"/>
        <v>0</v>
      </c>
      <c r="P275" s="66">
        <v>44579</v>
      </c>
      <c r="Q275" s="61">
        <f t="shared" si="14"/>
        <v>44579</v>
      </c>
      <c r="R275" s="59"/>
      <c r="S275" s="59" t="s">
        <v>30</v>
      </c>
      <c r="T275" s="59"/>
      <c r="U275" s="59"/>
      <c r="V275" s="59"/>
      <c r="W275" s="59"/>
      <c r="X275" s="59"/>
    </row>
    <row r="276" s="20" customFormat="1" ht="24" hidden="1" spans="1:24">
      <c r="A276" s="59">
        <v>277</v>
      </c>
      <c r="B276" s="60" t="s">
        <v>695</v>
      </c>
      <c r="C276" s="61">
        <v>44531</v>
      </c>
      <c r="D276" s="62" t="str">
        <f ca="1" t="shared" si="13"/>
        <v>一年以上</v>
      </c>
      <c r="E276" s="66">
        <v>44539</v>
      </c>
      <c r="F276" s="66"/>
      <c r="G276" s="59" t="s">
        <v>614</v>
      </c>
      <c r="H276" s="91" t="s">
        <v>696</v>
      </c>
      <c r="I276" s="63" t="s">
        <v>696</v>
      </c>
      <c r="J276" s="76">
        <v>5000</v>
      </c>
      <c r="K276" s="59" t="s">
        <v>356</v>
      </c>
      <c r="L276" s="59" t="s">
        <v>458</v>
      </c>
      <c r="M276" s="59" t="s">
        <v>30</v>
      </c>
      <c r="N276" s="65">
        <v>5000</v>
      </c>
      <c r="O276" s="65">
        <f t="shared" si="15"/>
        <v>0</v>
      </c>
      <c r="P276" s="66">
        <v>44579</v>
      </c>
      <c r="Q276" s="61">
        <f t="shared" si="14"/>
        <v>44579</v>
      </c>
      <c r="R276" s="59"/>
      <c r="S276" s="59" t="s">
        <v>30</v>
      </c>
      <c r="T276" s="59"/>
      <c r="U276" s="59"/>
      <c r="V276" s="59"/>
      <c r="W276" s="59"/>
      <c r="X276" s="59"/>
    </row>
    <row r="277" s="20" customFormat="1" ht="24" hidden="1" spans="1:24">
      <c r="A277" s="59">
        <v>278</v>
      </c>
      <c r="B277" s="60" t="s">
        <v>697</v>
      </c>
      <c r="C277" s="61">
        <v>44531</v>
      </c>
      <c r="D277" s="62" t="str">
        <f ca="1" t="shared" si="13"/>
        <v>一年以上</v>
      </c>
      <c r="E277" s="66">
        <v>44539</v>
      </c>
      <c r="F277" s="66"/>
      <c r="G277" s="59" t="s">
        <v>614</v>
      </c>
      <c r="H277" s="91" t="s">
        <v>696</v>
      </c>
      <c r="I277" s="63" t="s">
        <v>696</v>
      </c>
      <c r="J277" s="76">
        <v>6000</v>
      </c>
      <c r="K277" s="59" t="s">
        <v>356</v>
      </c>
      <c r="L277" s="59" t="s">
        <v>458</v>
      </c>
      <c r="M277" s="59" t="s">
        <v>30</v>
      </c>
      <c r="N277" s="65">
        <v>6000</v>
      </c>
      <c r="O277" s="65">
        <f t="shared" si="15"/>
        <v>0</v>
      </c>
      <c r="P277" s="66">
        <v>44579</v>
      </c>
      <c r="Q277" s="61">
        <f t="shared" si="14"/>
        <v>44579</v>
      </c>
      <c r="R277" s="59"/>
      <c r="S277" s="59" t="s">
        <v>30</v>
      </c>
      <c r="T277" s="59"/>
      <c r="U277" s="59"/>
      <c r="V277" s="59"/>
      <c r="W277" s="59"/>
      <c r="X277" s="59"/>
    </row>
    <row r="278" s="20" customFormat="1" ht="24" hidden="1" spans="1:24">
      <c r="A278" s="59">
        <v>279</v>
      </c>
      <c r="B278" s="60" t="s">
        <v>698</v>
      </c>
      <c r="C278" s="61">
        <v>44531</v>
      </c>
      <c r="D278" s="62" t="str">
        <f ca="1" t="shared" si="13"/>
        <v>一年以上</v>
      </c>
      <c r="E278" s="66">
        <v>44540</v>
      </c>
      <c r="F278" s="66"/>
      <c r="G278" s="59" t="s">
        <v>614</v>
      </c>
      <c r="H278" s="91" t="s">
        <v>193</v>
      </c>
      <c r="I278" s="63" t="s">
        <v>193</v>
      </c>
      <c r="J278" s="76">
        <v>5000</v>
      </c>
      <c r="K278" s="59" t="s">
        <v>356</v>
      </c>
      <c r="L278" s="59" t="s">
        <v>458</v>
      </c>
      <c r="M278" s="59" t="s">
        <v>30</v>
      </c>
      <c r="N278" s="65"/>
      <c r="O278" s="88">
        <f t="shared" si="15"/>
        <v>5000</v>
      </c>
      <c r="P278" s="66"/>
      <c r="Q278" s="61">
        <f t="shared" si="14"/>
        <v>0</v>
      </c>
      <c r="R278" s="59" t="s">
        <v>699</v>
      </c>
      <c r="S278" s="59" t="s">
        <v>700</v>
      </c>
      <c r="T278" s="59" t="s">
        <v>701</v>
      </c>
      <c r="U278" s="59" t="str">
        <f>VLOOKUP(T278,[1]区域划分!$A$1:$C$39,3,0)</f>
        <v>汪瑞青</v>
      </c>
      <c r="V278" s="59"/>
      <c r="W278" s="59"/>
      <c r="X278" s="59"/>
    </row>
    <row r="279" s="20" customFormat="1" ht="84" hidden="1" spans="1:24">
      <c r="A279" s="59">
        <v>141</v>
      </c>
      <c r="B279" s="60" t="s">
        <v>702</v>
      </c>
      <c r="C279" s="61">
        <v>44531</v>
      </c>
      <c r="D279" s="62" t="str">
        <f ca="1" t="shared" si="13"/>
        <v>一年以上</v>
      </c>
      <c r="E279" s="66">
        <v>44546</v>
      </c>
      <c r="F279" s="66" t="s">
        <v>282</v>
      </c>
      <c r="G279" s="59" t="s">
        <v>109</v>
      </c>
      <c r="H279" s="60" t="s">
        <v>174</v>
      </c>
      <c r="I279" s="63" t="s">
        <v>174</v>
      </c>
      <c r="J279" s="96">
        <v>2000</v>
      </c>
      <c r="K279" s="59" t="s">
        <v>356</v>
      </c>
      <c r="L279" s="59" t="s">
        <v>458</v>
      </c>
      <c r="M279" s="59" t="s">
        <v>65</v>
      </c>
      <c r="N279" s="65"/>
      <c r="O279" s="88">
        <f t="shared" si="15"/>
        <v>2000</v>
      </c>
      <c r="P279" s="66"/>
      <c r="Q279" s="61">
        <f t="shared" si="14"/>
        <v>0</v>
      </c>
      <c r="R279" s="66" t="s">
        <v>703</v>
      </c>
      <c r="S279" s="59" t="s">
        <v>704</v>
      </c>
      <c r="T279" s="59" t="s">
        <v>182</v>
      </c>
      <c r="U279" s="59" t="str">
        <f>VLOOKUP(T279,[1]区域划分!$A$1:$C$39,3,0)</f>
        <v>汪瑞青</v>
      </c>
      <c r="V279" s="59"/>
      <c r="W279" s="59"/>
      <c r="X279" s="59"/>
    </row>
    <row r="280" s="20" customFormat="1" ht="24" hidden="1" spans="1:24">
      <c r="A280" s="59">
        <v>280</v>
      </c>
      <c r="B280" s="60" t="s">
        <v>705</v>
      </c>
      <c r="C280" s="61">
        <v>44531</v>
      </c>
      <c r="D280" s="62" t="str">
        <f ca="1" t="shared" si="13"/>
        <v>一年以上</v>
      </c>
      <c r="E280" s="66">
        <v>44546</v>
      </c>
      <c r="F280" s="66"/>
      <c r="G280" s="59" t="s">
        <v>614</v>
      </c>
      <c r="H280" s="60" t="s">
        <v>706</v>
      </c>
      <c r="I280" s="63" t="s">
        <v>706</v>
      </c>
      <c r="J280" s="76">
        <v>3000</v>
      </c>
      <c r="K280" s="59" t="s">
        <v>28</v>
      </c>
      <c r="L280" s="59" t="s">
        <v>57</v>
      </c>
      <c r="M280" s="59" t="s">
        <v>30</v>
      </c>
      <c r="N280" s="65">
        <v>3000</v>
      </c>
      <c r="O280" s="65">
        <f t="shared" si="15"/>
        <v>0</v>
      </c>
      <c r="P280" s="66">
        <v>44553</v>
      </c>
      <c r="Q280" s="61">
        <f t="shared" si="14"/>
        <v>44553</v>
      </c>
      <c r="R280" s="59"/>
      <c r="S280" s="59" t="s">
        <v>30</v>
      </c>
      <c r="T280" s="59"/>
      <c r="U280" s="59"/>
      <c r="V280" s="59"/>
      <c r="W280" s="59"/>
      <c r="X280" s="59"/>
    </row>
    <row r="281" s="20" customFormat="1" ht="24" hidden="1" spans="1:24">
      <c r="A281" s="59">
        <v>281</v>
      </c>
      <c r="B281" s="60" t="s">
        <v>707</v>
      </c>
      <c r="C281" s="61">
        <v>44531</v>
      </c>
      <c r="D281" s="62" t="str">
        <f ca="1" t="shared" si="13"/>
        <v>一年以上</v>
      </c>
      <c r="E281" s="66">
        <v>44547</v>
      </c>
      <c r="F281" s="66"/>
      <c r="G281" s="59" t="s">
        <v>450</v>
      </c>
      <c r="H281" s="60" t="s">
        <v>708</v>
      </c>
      <c r="I281" s="63" t="s">
        <v>708</v>
      </c>
      <c r="J281" s="76">
        <v>4000</v>
      </c>
      <c r="K281" s="59" t="s">
        <v>28</v>
      </c>
      <c r="L281" s="59" t="s">
        <v>57</v>
      </c>
      <c r="M281" s="59" t="s">
        <v>30</v>
      </c>
      <c r="N281" s="65">
        <v>4000</v>
      </c>
      <c r="O281" s="65">
        <f t="shared" si="15"/>
        <v>0</v>
      </c>
      <c r="P281" s="66">
        <v>44616</v>
      </c>
      <c r="Q281" s="61">
        <f t="shared" si="14"/>
        <v>44616</v>
      </c>
      <c r="R281" s="59"/>
      <c r="S281" s="59" t="s">
        <v>709</v>
      </c>
      <c r="T281" s="59"/>
      <c r="U281" s="59"/>
      <c r="V281" s="59"/>
      <c r="W281" s="59"/>
      <c r="X281" s="59"/>
    </row>
    <row r="282" s="20" customFormat="1" ht="24" hidden="1" spans="1:24">
      <c r="A282" s="59">
        <v>388</v>
      </c>
      <c r="B282" s="60" t="s">
        <v>710</v>
      </c>
      <c r="C282" s="61">
        <v>44531</v>
      </c>
      <c r="D282" s="62" t="str">
        <f ca="1" t="shared" si="13"/>
        <v>一年以上</v>
      </c>
      <c r="E282" s="66">
        <v>44547</v>
      </c>
      <c r="F282" s="66" t="s">
        <v>632</v>
      </c>
      <c r="G282" s="59" t="s">
        <v>450</v>
      </c>
      <c r="H282" s="60" t="s">
        <v>708</v>
      </c>
      <c r="I282" s="63" t="s">
        <v>708</v>
      </c>
      <c r="J282" s="76">
        <v>600</v>
      </c>
      <c r="K282" s="59" t="s">
        <v>28</v>
      </c>
      <c r="L282" s="59" t="s">
        <v>57</v>
      </c>
      <c r="M282" s="59" t="s">
        <v>515</v>
      </c>
      <c r="N282" s="65">
        <v>600</v>
      </c>
      <c r="O282" s="65">
        <f t="shared" si="15"/>
        <v>0</v>
      </c>
      <c r="P282" s="66">
        <v>44728</v>
      </c>
      <c r="Q282" s="61">
        <f t="shared" si="14"/>
        <v>44728</v>
      </c>
      <c r="R282" s="59"/>
      <c r="S282" s="59" t="s">
        <v>711</v>
      </c>
      <c r="T282" s="59"/>
      <c r="U282" s="59"/>
      <c r="V282" s="59"/>
      <c r="W282" s="59"/>
      <c r="X282" s="59"/>
    </row>
    <row r="283" s="20" customFormat="1" hidden="1" spans="1:24">
      <c r="A283" s="59">
        <v>143</v>
      </c>
      <c r="B283" s="60" t="s">
        <v>712</v>
      </c>
      <c r="C283" s="61">
        <v>44531</v>
      </c>
      <c r="D283" s="62" t="str">
        <f ca="1" t="shared" si="13"/>
        <v>一年以上</v>
      </c>
      <c r="E283" s="66">
        <v>44548</v>
      </c>
      <c r="F283" s="66" t="s">
        <v>282</v>
      </c>
      <c r="G283" s="59" t="s">
        <v>219</v>
      </c>
      <c r="H283" s="60" t="s">
        <v>577</v>
      </c>
      <c r="I283" s="63" t="s">
        <v>578</v>
      </c>
      <c r="J283" s="76">
        <v>5000</v>
      </c>
      <c r="K283" s="59" t="s">
        <v>28</v>
      </c>
      <c r="L283" s="59" t="s">
        <v>57</v>
      </c>
      <c r="M283" s="59" t="s">
        <v>65</v>
      </c>
      <c r="N283" s="65">
        <v>5000</v>
      </c>
      <c r="O283" s="65">
        <f t="shared" si="15"/>
        <v>0</v>
      </c>
      <c r="P283" s="66">
        <v>44756</v>
      </c>
      <c r="Q283" s="61">
        <f t="shared" si="14"/>
        <v>44756</v>
      </c>
      <c r="R283" s="66"/>
      <c r="S283" s="59" t="s">
        <v>65</v>
      </c>
      <c r="T283" s="59"/>
      <c r="U283" s="59"/>
      <c r="V283" s="59"/>
      <c r="W283" s="59"/>
      <c r="X283" s="59"/>
    </row>
    <row r="284" s="20" customFormat="1" ht="24" hidden="1" spans="1:24">
      <c r="A284" s="59">
        <v>144</v>
      </c>
      <c r="B284" s="60" t="s">
        <v>713</v>
      </c>
      <c r="C284" s="61">
        <v>44531</v>
      </c>
      <c r="D284" s="62" t="str">
        <f ca="1" t="shared" si="13"/>
        <v>一年以上</v>
      </c>
      <c r="E284" s="66">
        <v>44548</v>
      </c>
      <c r="F284" s="66" t="s">
        <v>282</v>
      </c>
      <c r="G284" s="59" t="s">
        <v>224</v>
      </c>
      <c r="H284" s="60" t="s">
        <v>696</v>
      </c>
      <c r="I284" s="63" t="s">
        <v>696</v>
      </c>
      <c r="J284" s="76">
        <v>5000</v>
      </c>
      <c r="K284" s="59" t="s">
        <v>356</v>
      </c>
      <c r="L284" s="59" t="s">
        <v>458</v>
      </c>
      <c r="M284" s="59" t="s">
        <v>65</v>
      </c>
      <c r="N284" s="65">
        <v>5000</v>
      </c>
      <c r="O284" s="65">
        <f t="shared" si="15"/>
        <v>0</v>
      </c>
      <c r="P284" s="66">
        <v>44712</v>
      </c>
      <c r="Q284" s="61">
        <f t="shared" si="14"/>
        <v>44712</v>
      </c>
      <c r="R284" s="66"/>
      <c r="S284" s="59" t="s">
        <v>65</v>
      </c>
      <c r="T284" s="59"/>
      <c r="U284" s="59"/>
      <c r="V284" s="59"/>
      <c r="W284" s="59"/>
      <c r="X284" s="59"/>
    </row>
    <row r="285" s="20" customFormat="1" ht="13" hidden="1" customHeight="1" spans="1:24">
      <c r="A285" s="59">
        <v>282</v>
      </c>
      <c r="B285" s="60" t="s">
        <v>714</v>
      </c>
      <c r="C285" s="61">
        <v>44531</v>
      </c>
      <c r="D285" s="62" t="str">
        <f ca="1" t="shared" si="13"/>
        <v>一年以上</v>
      </c>
      <c r="E285" s="66">
        <v>44550</v>
      </c>
      <c r="F285" s="66"/>
      <c r="G285" s="59" t="s">
        <v>450</v>
      </c>
      <c r="H285" s="60" t="s">
        <v>634</v>
      </c>
      <c r="I285" s="63" t="s">
        <v>634</v>
      </c>
      <c r="J285" s="76">
        <v>10000</v>
      </c>
      <c r="K285" s="59" t="s">
        <v>28</v>
      </c>
      <c r="L285" s="59" t="s">
        <v>57</v>
      </c>
      <c r="M285" s="59" t="s">
        <v>30</v>
      </c>
      <c r="N285" s="65">
        <v>10000</v>
      </c>
      <c r="O285" s="65">
        <f t="shared" si="15"/>
        <v>0</v>
      </c>
      <c r="P285" s="66">
        <v>44560</v>
      </c>
      <c r="Q285" s="61">
        <f t="shared" si="14"/>
        <v>44560</v>
      </c>
      <c r="R285" s="59"/>
      <c r="S285" s="59" t="s">
        <v>30</v>
      </c>
      <c r="T285" s="59"/>
      <c r="U285" s="59"/>
      <c r="V285" s="59"/>
      <c r="W285" s="59"/>
      <c r="X285" s="59"/>
    </row>
    <row r="286" s="20" customFormat="1" ht="13" hidden="1" customHeight="1" spans="1:24">
      <c r="A286" s="59">
        <v>283</v>
      </c>
      <c r="B286" s="60" t="s">
        <v>715</v>
      </c>
      <c r="C286" s="61">
        <v>44531</v>
      </c>
      <c r="D286" s="62" t="str">
        <f ca="1" t="shared" si="13"/>
        <v>一年以上</v>
      </c>
      <c r="E286" s="66">
        <v>44550</v>
      </c>
      <c r="F286" s="66"/>
      <c r="G286" s="59" t="s">
        <v>614</v>
      </c>
      <c r="H286" s="60" t="s">
        <v>689</v>
      </c>
      <c r="I286" s="63" t="s">
        <v>689</v>
      </c>
      <c r="J286" s="76">
        <v>5000</v>
      </c>
      <c r="K286" s="59" t="s">
        <v>356</v>
      </c>
      <c r="L286" s="59" t="s">
        <v>458</v>
      </c>
      <c r="M286" s="59" t="s">
        <v>30</v>
      </c>
      <c r="N286" s="65">
        <v>5000</v>
      </c>
      <c r="O286" s="65">
        <f t="shared" si="15"/>
        <v>0</v>
      </c>
      <c r="P286" s="66">
        <v>44586</v>
      </c>
      <c r="Q286" s="61">
        <f t="shared" si="14"/>
        <v>44586</v>
      </c>
      <c r="R286" s="59"/>
      <c r="S286" s="59"/>
      <c r="T286" s="59"/>
      <c r="U286" s="59"/>
      <c r="V286" s="59"/>
      <c r="W286" s="59"/>
      <c r="X286" s="59"/>
    </row>
    <row r="287" s="20" customFormat="1" ht="13" hidden="1" customHeight="1" spans="1:24">
      <c r="A287" s="59">
        <v>389</v>
      </c>
      <c r="B287" s="60" t="s">
        <v>716</v>
      </c>
      <c r="C287" s="61">
        <v>44531</v>
      </c>
      <c r="D287" s="62" t="str">
        <f ca="1" t="shared" si="13"/>
        <v>一年以上</v>
      </c>
      <c r="E287" s="66">
        <v>44550</v>
      </c>
      <c r="F287" s="66" t="s">
        <v>632</v>
      </c>
      <c r="G287" s="59" t="s">
        <v>450</v>
      </c>
      <c r="H287" s="60" t="s">
        <v>634</v>
      </c>
      <c r="I287" s="63" t="s">
        <v>634</v>
      </c>
      <c r="J287" s="76">
        <v>200</v>
      </c>
      <c r="K287" s="59" t="s">
        <v>28</v>
      </c>
      <c r="L287" s="59" t="s">
        <v>57</v>
      </c>
      <c r="M287" s="59" t="s">
        <v>515</v>
      </c>
      <c r="N287" s="65">
        <v>200</v>
      </c>
      <c r="O287" s="65">
        <f t="shared" si="15"/>
        <v>0</v>
      </c>
      <c r="P287" s="66">
        <f>E287</f>
        <v>44550</v>
      </c>
      <c r="Q287" s="61">
        <f t="shared" si="14"/>
        <v>44550</v>
      </c>
      <c r="R287" s="59"/>
      <c r="S287" s="59" t="s">
        <v>515</v>
      </c>
      <c r="T287" s="59"/>
      <c r="U287" s="59"/>
      <c r="V287" s="59"/>
      <c r="W287" s="59"/>
      <c r="X287" s="59"/>
    </row>
    <row r="288" s="20" customFormat="1" ht="24" hidden="1" spans="1:24">
      <c r="A288" s="59">
        <v>284</v>
      </c>
      <c r="B288" s="60" t="s">
        <v>717</v>
      </c>
      <c r="C288" s="61">
        <v>44531</v>
      </c>
      <c r="D288" s="62" t="str">
        <f ca="1" t="shared" si="13"/>
        <v>一年以上</v>
      </c>
      <c r="E288" s="66">
        <v>44552</v>
      </c>
      <c r="F288" s="66"/>
      <c r="G288" s="59" t="s">
        <v>614</v>
      </c>
      <c r="H288" s="60" t="s">
        <v>689</v>
      </c>
      <c r="I288" s="63" t="s">
        <v>689</v>
      </c>
      <c r="J288" s="76">
        <v>10000</v>
      </c>
      <c r="K288" s="59" t="s">
        <v>28</v>
      </c>
      <c r="L288" s="59" t="s">
        <v>57</v>
      </c>
      <c r="M288" s="59" t="s">
        <v>30</v>
      </c>
      <c r="N288" s="65"/>
      <c r="O288" s="65">
        <f t="shared" si="15"/>
        <v>10000</v>
      </c>
      <c r="P288" s="66"/>
      <c r="Q288" s="61">
        <f t="shared" si="14"/>
        <v>0</v>
      </c>
      <c r="R288" s="59" t="s">
        <v>718</v>
      </c>
      <c r="S288" s="59" t="s">
        <v>719</v>
      </c>
      <c r="T288" s="59" t="s">
        <v>720</v>
      </c>
      <c r="U288" s="59" t="str">
        <f>VLOOKUP(T288,[1]区域划分!$A$1:$C$39,3,0)</f>
        <v>杨春龙</v>
      </c>
      <c r="V288" s="59"/>
      <c r="W288" s="59"/>
      <c r="X288" s="59"/>
    </row>
    <row r="289" s="20" customFormat="1" ht="24" hidden="1" spans="1:24">
      <c r="A289" s="59">
        <v>285</v>
      </c>
      <c r="B289" s="60" t="s">
        <v>721</v>
      </c>
      <c r="C289" s="61">
        <v>44531</v>
      </c>
      <c r="D289" s="62" t="str">
        <f ca="1" t="shared" si="13"/>
        <v>一年以上</v>
      </c>
      <c r="E289" s="66">
        <v>44552</v>
      </c>
      <c r="F289" s="66"/>
      <c r="G289" s="59" t="s">
        <v>614</v>
      </c>
      <c r="H289" s="60" t="s">
        <v>722</v>
      </c>
      <c r="I289" s="63" t="s">
        <v>722</v>
      </c>
      <c r="J289" s="76">
        <v>10000</v>
      </c>
      <c r="K289" s="59" t="s">
        <v>338</v>
      </c>
      <c r="L289" s="59" t="s">
        <v>627</v>
      </c>
      <c r="M289" s="59" t="s">
        <v>30</v>
      </c>
      <c r="N289" s="65">
        <v>10000</v>
      </c>
      <c r="O289" s="65">
        <f t="shared" si="15"/>
        <v>0</v>
      </c>
      <c r="P289" s="66">
        <v>44645</v>
      </c>
      <c r="Q289" s="61">
        <f t="shared" si="14"/>
        <v>44645</v>
      </c>
      <c r="R289" s="59"/>
      <c r="S289" s="59" t="s">
        <v>723</v>
      </c>
      <c r="T289" s="59"/>
      <c r="U289" s="59"/>
      <c r="V289" s="59"/>
      <c r="W289" s="59"/>
      <c r="X289" s="59"/>
    </row>
    <row r="290" s="20" customFormat="1" ht="24" hidden="1" spans="1:24">
      <c r="A290" s="59">
        <v>142</v>
      </c>
      <c r="B290" s="60" t="s">
        <v>724</v>
      </c>
      <c r="C290" s="61">
        <v>44531</v>
      </c>
      <c r="D290" s="62" t="str">
        <f ca="1" t="shared" si="13"/>
        <v>一年以上</v>
      </c>
      <c r="E290" s="66">
        <v>44553</v>
      </c>
      <c r="F290" s="66" t="s">
        <v>70</v>
      </c>
      <c r="G290" s="59" t="s">
        <v>83</v>
      </c>
      <c r="H290" s="60" t="s">
        <v>657</v>
      </c>
      <c r="I290" s="63" t="s">
        <v>657</v>
      </c>
      <c r="J290" s="76">
        <v>3000</v>
      </c>
      <c r="K290" s="59" t="s">
        <v>356</v>
      </c>
      <c r="L290" s="59" t="s">
        <v>458</v>
      </c>
      <c r="M290" s="59" t="s">
        <v>65</v>
      </c>
      <c r="N290" s="65">
        <v>3000</v>
      </c>
      <c r="O290" s="65">
        <f t="shared" si="15"/>
        <v>0</v>
      </c>
      <c r="P290" s="66">
        <v>44617</v>
      </c>
      <c r="Q290" s="61">
        <f t="shared" si="14"/>
        <v>44617</v>
      </c>
      <c r="R290" s="66"/>
      <c r="S290" s="59" t="s">
        <v>65</v>
      </c>
      <c r="T290" s="59" t="s">
        <v>300</v>
      </c>
      <c r="U290" s="59" t="s">
        <v>301</v>
      </c>
      <c r="V290" s="59"/>
      <c r="W290" s="59"/>
      <c r="X290" s="59"/>
    </row>
    <row r="291" s="20" customFormat="1" ht="24" hidden="1" spans="1:24">
      <c r="A291" s="59">
        <v>286</v>
      </c>
      <c r="B291" s="60" t="s">
        <v>725</v>
      </c>
      <c r="C291" s="61">
        <v>44531</v>
      </c>
      <c r="D291" s="62" t="str">
        <f ca="1" t="shared" si="13"/>
        <v>一年以上</v>
      </c>
      <c r="E291" s="66">
        <v>44553</v>
      </c>
      <c r="F291" s="66"/>
      <c r="G291" s="59" t="s">
        <v>450</v>
      </c>
      <c r="H291" s="60" t="s">
        <v>726</v>
      </c>
      <c r="I291" s="63" t="s">
        <v>727</v>
      </c>
      <c r="J291" s="76">
        <v>400</v>
      </c>
      <c r="K291" s="59" t="s">
        <v>28</v>
      </c>
      <c r="L291" s="59" t="s">
        <v>57</v>
      </c>
      <c r="M291" s="59" t="s">
        <v>30</v>
      </c>
      <c r="N291" s="65"/>
      <c r="O291" s="88">
        <f t="shared" si="15"/>
        <v>400</v>
      </c>
      <c r="P291" s="66"/>
      <c r="Q291" s="61">
        <f t="shared" si="14"/>
        <v>0</v>
      </c>
      <c r="R291" s="59"/>
      <c r="S291" s="59" t="s">
        <v>729</v>
      </c>
      <c r="T291" s="59" t="s">
        <v>32</v>
      </c>
      <c r="U291" s="59" t="str">
        <f>VLOOKUP(T291,[1]区域划分!$A$1:$C$39,3,0)</f>
        <v>方渊</v>
      </c>
      <c r="V291" s="59"/>
      <c r="W291" s="59"/>
      <c r="X291" s="59"/>
    </row>
    <row r="292" s="20" customFormat="1" ht="24" hidden="1" spans="1:24">
      <c r="A292" s="59">
        <v>287</v>
      </c>
      <c r="B292" s="60" t="s">
        <v>730</v>
      </c>
      <c r="C292" s="61">
        <v>44531</v>
      </c>
      <c r="D292" s="62" t="str">
        <f ca="1" t="shared" si="13"/>
        <v>一年以上</v>
      </c>
      <c r="E292" s="66">
        <v>44553</v>
      </c>
      <c r="F292" s="66"/>
      <c r="G292" s="59" t="s">
        <v>614</v>
      </c>
      <c r="H292" s="60" t="s">
        <v>325</v>
      </c>
      <c r="I292" s="63" t="s">
        <v>325</v>
      </c>
      <c r="J292" s="76">
        <v>1000</v>
      </c>
      <c r="K292" s="59" t="s">
        <v>356</v>
      </c>
      <c r="L292" s="59" t="s">
        <v>458</v>
      </c>
      <c r="M292" s="59" t="s">
        <v>30</v>
      </c>
      <c r="N292" s="65">
        <v>1000</v>
      </c>
      <c r="O292" s="65">
        <f t="shared" si="15"/>
        <v>0</v>
      </c>
      <c r="P292" s="66">
        <v>44897</v>
      </c>
      <c r="Q292" s="61">
        <f t="shared" si="14"/>
        <v>44897</v>
      </c>
      <c r="R292" s="59"/>
      <c r="S292" s="59" t="s">
        <v>731</v>
      </c>
      <c r="T292" s="59"/>
      <c r="U292" s="59"/>
      <c r="V292" s="59"/>
      <c r="W292" s="59"/>
      <c r="X292" s="59"/>
    </row>
    <row r="293" s="20" customFormat="1" ht="24" hidden="1" spans="1:24">
      <c r="A293" s="59">
        <v>288</v>
      </c>
      <c r="B293" s="60" t="s">
        <v>732</v>
      </c>
      <c r="C293" s="61">
        <v>44531</v>
      </c>
      <c r="D293" s="62" t="str">
        <f ca="1" t="shared" si="13"/>
        <v>一年以上</v>
      </c>
      <c r="E293" s="66">
        <v>44553</v>
      </c>
      <c r="F293" s="66"/>
      <c r="G293" s="59" t="s">
        <v>614</v>
      </c>
      <c r="H293" s="60" t="s">
        <v>325</v>
      </c>
      <c r="I293" s="63" t="s">
        <v>325</v>
      </c>
      <c r="J293" s="76">
        <v>2000</v>
      </c>
      <c r="K293" s="59" t="s">
        <v>356</v>
      </c>
      <c r="L293" s="59" t="s">
        <v>458</v>
      </c>
      <c r="M293" s="59" t="s">
        <v>30</v>
      </c>
      <c r="N293" s="65">
        <v>2000</v>
      </c>
      <c r="O293" s="65">
        <f t="shared" si="15"/>
        <v>0</v>
      </c>
      <c r="P293" s="66">
        <v>44579</v>
      </c>
      <c r="Q293" s="61">
        <f t="shared" si="14"/>
        <v>44579</v>
      </c>
      <c r="R293" s="59"/>
      <c r="S293" s="59" t="s">
        <v>30</v>
      </c>
      <c r="T293" s="59"/>
      <c r="U293" s="59"/>
      <c r="V293" s="59"/>
      <c r="W293" s="59"/>
      <c r="X293" s="59"/>
    </row>
    <row r="294" s="20" customFormat="1" ht="24" hidden="1" spans="1:24">
      <c r="A294" s="59">
        <v>289</v>
      </c>
      <c r="B294" s="60" t="s">
        <v>733</v>
      </c>
      <c r="C294" s="61">
        <v>44531</v>
      </c>
      <c r="D294" s="62" t="str">
        <f ca="1" t="shared" si="13"/>
        <v>一年以上</v>
      </c>
      <c r="E294" s="66">
        <v>44557</v>
      </c>
      <c r="F294" s="66"/>
      <c r="G294" s="59" t="s">
        <v>614</v>
      </c>
      <c r="H294" s="60" t="s">
        <v>706</v>
      </c>
      <c r="I294" s="63" t="s">
        <v>706</v>
      </c>
      <c r="J294" s="76">
        <v>3000</v>
      </c>
      <c r="K294" s="59" t="s">
        <v>356</v>
      </c>
      <c r="L294" s="59" t="s">
        <v>458</v>
      </c>
      <c r="M294" s="59" t="s">
        <v>30</v>
      </c>
      <c r="N294" s="65">
        <v>3000</v>
      </c>
      <c r="O294" s="65">
        <f t="shared" si="15"/>
        <v>0</v>
      </c>
      <c r="P294" s="66">
        <v>44581</v>
      </c>
      <c r="Q294" s="61">
        <f t="shared" si="14"/>
        <v>44581</v>
      </c>
      <c r="R294" s="59"/>
      <c r="S294" s="59" t="s">
        <v>30</v>
      </c>
      <c r="T294" s="59"/>
      <c r="U294" s="59"/>
      <c r="V294" s="59"/>
      <c r="W294" s="59"/>
      <c r="X294" s="59"/>
    </row>
    <row r="295" s="20" customFormat="1" ht="24" hidden="1" spans="1:24">
      <c r="A295" s="59">
        <v>290</v>
      </c>
      <c r="B295" s="60" t="s">
        <v>734</v>
      </c>
      <c r="C295" s="61">
        <v>44531</v>
      </c>
      <c r="D295" s="62" t="str">
        <f ca="1" t="shared" si="13"/>
        <v>一年以上</v>
      </c>
      <c r="E295" s="66">
        <v>44557</v>
      </c>
      <c r="F295" s="66"/>
      <c r="G295" s="59" t="s">
        <v>614</v>
      </c>
      <c r="H295" s="60" t="s">
        <v>706</v>
      </c>
      <c r="I295" s="63" t="s">
        <v>706</v>
      </c>
      <c r="J295" s="76">
        <v>3000</v>
      </c>
      <c r="K295" s="59" t="s">
        <v>356</v>
      </c>
      <c r="L295" s="59" t="s">
        <v>458</v>
      </c>
      <c r="M295" s="59" t="s">
        <v>30</v>
      </c>
      <c r="N295" s="65">
        <v>3000</v>
      </c>
      <c r="O295" s="65">
        <f t="shared" si="15"/>
        <v>0</v>
      </c>
      <c r="P295" s="66">
        <v>44581</v>
      </c>
      <c r="Q295" s="61">
        <f t="shared" si="14"/>
        <v>44581</v>
      </c>
      <c r="R295" s="59"/>
      <c r="S295" s="59" t="s">
        <v>30</v>
      </c>
      <c r="T295" s="59"/>
      <c r="U295" s="59"/>
      <c r="V295" s="59"/>
      <c r="W295" s="59"/>
      <c r="X295" s="59"/>
    </row>
    <row r="296" s="20" customFormat="1" ht="24" hidden="1" spans="1:24">
      <c r="A296" s="59">
        <v>291</v>
      </c>
      <c r="B296" s="60" t="s">
        <v>735</v>
      </c>
      <c r="C296" s="61">
        <v>44531</v>
      </c>
      <c r="D296" s="62" t="str">
        <f ca="1" t="shared" si="13"/>
        <v>一年以上</v>
      </c>
      <c r="E296" s="66">
        <v>44557</v>
      </c>
      <c r="F296" s="66"/>
      <c r="G296" s="59" t="s">
        <v>614</v>
      </c>
      <c r="H296" s="60" t="s">
        <v>706</v>
      </c>
      <c r="I296" s="63" t="s">
        <v>706</v>
      </c>
      <c r="J296" s="76">
        <v>5000</v>
      </c>
      <c r="K296" s="59" t="s">
        <v>356</v>
      </c>
      <c r="L296" s="59" t="s">
        <v>458</v>
      </c>
      <c r="M296" s="59" t="s">
        <v>30</v>
      </c>
      <c r="N296" s="65">
        <v>5000</v>
      </c>
      <c r="O296" s="65">
        <f t="shared" si="15"/>
        <v>0</v>
      </c>
      <c r="P296" s="66">
        <v>44581</v>
      </c>
      <c r="Q296" s="61">
        <f t="shared" si="14"/>
        <v>44581</v>
      </c>
      <c r="R296" s="59"/>
      <c r="S296" s="59" t="s">
        <v>30</v>
      </c>
      <c r="T296" s="59"/>
      <c r="U296" s="59"/>
      <c r="V296" s="59"/>
      <c r="W296" s="59"/>
      <c r="X296" s="59"/>
    </row>
    <row r="297" s="20" customFormat="1" ht="24" hidden="1" spans="1:24">
      <c r="A297" s="59">
        <v>145</v>
      </c>
      <c r="B297" s="60" t="s">
        <v>736</v>
      </c>
      <c r="C297" s="61">
        <v>44531</v>
      </c>
      <c r="D297" s="62" t="str">
        <f ca="1" t="shared" si="13"/>
        <v>一年以上</v>
      </c>
      <c r="E297" s="66">
        <v>44558</v>
      </c>
      <c r="F297" s="66" t="s">
        <v>70</v>
      </c>
      <c r="G297" s="59" t="s">
        <v>434</v>
      </c>
      <c r="H297" s="60" t="s">
        <v>141</v>
      </c>
      <c r="I297" s="63" t="s">
        <v>141</v>
      </c>
      <c r="J297" s="76">
        <v>10000</v>
      </c>
      <c r="K297" s="59" t="s">
        <v>28</v>
      </c>
      <c r="L297" s="59" t="s">
        <v>73</v>
      </c>
      <c r="M297" s="59" t="s">
        <v>65</v>
      </c>
      <c r="N297" s="65">
        <v>9500</v>
      </c>
      <c r="O297" s="65">
        <f t="shared" si="15"/>
        <v>500</v>
      </c>
      <c r="P297" s="66"/>
      <c r="Q297" s="61">
        <f t="shared" si="14"/>
        <v>0</v>
      </c>
      <c r="R297" s="59" t="s">
        <v>737</v>
      </c>
      <c r="S297" s="59"/>
      <c r="T297" s="59" t="s">
        <v>300</v>
      </c>
      <c r="U297" s="59" t="str">
        <f>VLOOKUP(T297,[1]区域划分!$A$1:$C$39,3,0)</f>
        <v>林维</v>
      </c>
      <c r="V297" s="59"/>
      <c r="W297" s="59"/>
      <c r="X297" s="59"/>
    </row>
    <row r="298" s="20" customFormat="1" ht="24" hidden="1" spans="1:24">
      <c r="A298" s="59">
        <v>352</v>
      </c>
      <c r="B298" s="60" t="s">
        <v>738</v>
      </c>
      <c r="C298" s="61">
        <v>44531</v>
      </c>
      <c r="D298" s="62" t="str">
        <f ca="1" t="shared" si="13"/>
        <v>一年以上</v>
      </c>
      <c r="E298" s="66">
        <v>44559</v>
      </c>
      <c r="F298" s="66" t="s">
        <v>130</v>
      </c>
      <c r="G298" s="59" t="s">
        <v>208</v>
      </c>
      <c r="H298" s="60" t="s">
        <v>739</v>
      </c>
      <c r="I298" s="63" t="s">
        <v>739</v>
      </c>
      <c r="J298" s="76">
        <v>9800</v>
      </c>
      <c r="K298" s="59" t="s">
        <v>28</v>
      </c>
      <c r="L298" s="59" t="s">
        <v>57</v>
      </c>
      <c r="M298" s="59" t="s">
        <v>133</v>
      </c>
      <c r="N298" s="65">
        <v>9800</v>
      </c>
      <c r="O298" s="65">
        <f t="shared" si="15"/>
        <v>0</v>
      </c>
      <c r="P298" s="66">
        <v>44826</v>
      </c>
      <c r="Q298" s="61">
        <f t="shared" si="14"/>
        <v>44826</v>
      </c>
      <c r="R298" s="59"/>
      <c r="S298" s="59" t="s">
        <v>740</v>
      </c>
      <c r="T298" s="59"/>
      <c r="U298" s="59"/>
      <c r="V298" s="59"/>
      <c r="W298" s="59"/>
      <c r="X298" s="59"/>
    </row>
    <row r="299" s="20" customFormat="1" ht="60" hidden="1" spans="1:24">
      <c r="A299" s="59">
        <v>146</v>
      </c>
      <c r="B299" s="60" t="s">
        <v>741</v>
      </c>
      <c r="C299" s="61">
        <v>44562</v>
      </c>
      <c r="D299" s="62" t="str">
        <f ca="1" t="shared" si="13"/>
        <v>一年以上</v>
      </c>
      <c r="E299" s="66">
        <v>44565</v>
      </c>
      <c r="F299" s="66" t="s">
        <v>70</v>
      </c>
      <c r="G299" s="59" t="s">
        <v>119</v>
      </c>
      <c r="H299" s="60" t="s">
        <v>742</v>
      </c>
      <c r="I299" s="63" t="s">
        <v>742</v>
      </c>
      <c r="J299" s="96">
        <v>10000</v>
      </c>
      <c r="K299" s="59" t="s">
        <v>28</v>
      </c>
      <c r="L299" s="59" t="s">
        <v>743</v>
      </c>
      <c r="M299" s="59" t="s">
        <v>65</v>
      </c>
      <c r="N299" s="65"/>
      <c r="O299" s="88">
        <f t="shared" si="15"/>
        <v>10000</v>
      </c>
      <c r="P299" s="66"/>
      <c r="Q299" s="61">
        <f t="shared" si="14"/>
        <v>0</v>
      </c>
      <c r="R299" s="66" t="s">
        <v>744</v>
      </c>
      <c r="S299" s="59"/>
      <c r="T299" s="59" t="s">
        <v>581</v>
      </c>
      <c r="U299" s="59" t="str">
        <f>VLOOKUP(T299,[1]区域划分!$A$1:$C$39,3,0)</f>
        <v>新疆</v>
      </c>
      <c r="V299" s="59"/>
      <c r="W299" s="59"/>
      <c r="X299" s="59"/>
    </row>
    <row r="300" s="20" customFormat="1" ht="24" hidden="1" spans="1:24">
      <c r="A300" s="59">
        <v>292</v>
      </c>
      <c r="B300" s="60" t="s">
        <v>745</v>
      </c>
      <c r="C300" s="61">
        <v>44562</v>
      </c>
      <c r="D300" s="62" t="str">
        <f ca="1" t="shared" si="13"/>
        <v>一年以上</v>
      </c>
      <c r="E300" s="66">
        <v>44565</v>
      </c>
      <c r="F300" s="66"/>
      <c r="G300" s="59" t="s">
        <v>614</v>
      </c>
      <c r="H300" s="60" t="s">
        <v>706</v>
      </c>
      <c r="I300" s="63" t="s">
        <v>706</v>
      </c>
      <c r="J300" s="76">
        <v>5000</v>
      </c>
      <c r="K300" s="59" t="s">
        <v>356</v>
      </c>
      <c r="L300" s="59" t="s">
        <v>458</v>
      </c>
      <c r="M300" s="59" t="s">
        <v>30</v>
      </c>
      <c r="N300" s="65">
        <v>5000</v>
      </c>
      <c r="O300" s="65">
        <f t="shared" si="15"/>
        <v>0</v>
      </c>
      <c r="P300" s="66">
        <v>44581</v>
      </c>
      <c r="Q300" s="61">
        <f t="shared" si="14"/>
        <v>44581</v>
      </c>
      <c r="R300" s="59"/>
      <c r="S300" s="59" t="s">
        <v>30</v>
      </c>
      <c r="T300" s="59"/>
      <c r="U300" s="59"/>
      <c r="V300" s="59"/>
      <c r="W300" s="59"/>
      <c r="X300" s="59"/>
    </row>
    <row r="301" s="20" customFormat="1" ht="24" hidden="1" spans="1:24">
      <c r="A301" s="59">
        <v>293</v>
      </c>
      <c r="B301" s="60" t="s">
        <v>746</v>
      </c>
      <c r="C301" s="61">
        <v>44562</v>
      </c>
      <c r="D301" s="62" t="str">
        <f ca="1" t="shared" si="13"/>
        <v>一年以上</v>
      </c>
      <c r="E301" s="66">
        <v>44565</v>
      </c>
      <c r="F301" s="66"/>
      <c r="G301" s="59" t="s">
        <v>614</v>
      </c>
      <c r="H301" s="60" t="s">
        <v>706</v>
      </c>
      <c r="I301" s="63" t="s">
        <v>706</v>
      </c>
      <c r="J301" s="76">
        <v>5000</v>
      </c>
      <c r="K301" s="59" t="s">
        <v>356</v>
      </c>
      <c r="L301" s="59" t="s">
        <v>458</v>
      </c>
      <c r="M301" s="59" t="s">
        <v>30</v>
      </c>
      <c r="N301" s="65">
        <v>5000</v>
      </c>
      <c r="O301" s="65">
        <f t="shared" si="15"/>
        <v>0</v>
      </c>
      <c r="P301" s="66">
        <v>44581</v>
      </c>
      <c r="Q301" s="61">
        <f t="shared" si="14"/>
        <v>44581</v>
      </c>
      <c r="R301" s="59"/>
      <c r="S301" s="59" t="s">
        <v>30</v>
      </c>
      <c r="T301" s="59"/>
      <c r="U301" s="59"/>
      <c r="V301" s="59"/>
      <c r="W301" s="59"/>
      <c r="X301" s="59"/>
    </row>
    <row r="302" s="20" customFormat="1" ht="24" hidden="1" spans="1:24">
      <c r="A302" s="59">
        <v>294</v>
      </c>
      <c r="B302" s="60" t="s">
        <v>747</v>
      </c>
      <c r="C302" s="61">
        <v>44562</v>
      </c>
      <c r="D302" s="62" t="str">
        <f ca="1" t="shared" si="13"/>
        <v>一年以上</v>
      </c>
      <c r="E302" s="66">
        <v>44567</v>
      </c>
      <c r="F302" s="66"/>
      <c r="G302" s="59" t="s">
        <v>614</v>
      </c>
      <c r="H302" s="60" t="s">
        <v>706</v>
      </c>
      <c r="I302" s="63" t="s">
        <v>706</v>
      </c>
      <c r="J302" s="76">
        <v>5000</v>
      </c>
      <c r="K302" s="59" t="s">
        <v>356</v>
      </c>
      <c r="L302" s="59" t="s">
        <v>458</v>
      </c>
      <c r="M302" s="59" t="s">
        <v>30</v>
      </c>
      <c r="N302" s="65">
        <v>5000</v>
      </c>
      <c r="O302" s="65">
        <f t="shared" si="15"/>
        <v>0</v>
      </c>
      <c r="P302" s="66">
        <v>44581</v>
      </c>
      <c r="Q302" s="61">
        <f t="shared" si="14"/>
        <v>44581</v>
      </c>
      <c r="R302" s="59"/>
      <c r="S302" s="59" t="s">
        <v>30</v>
      </c>
      <c r="T302" s="59"/>
      <c r="U302" s="59"/>
      <c r="V302" s="59"/>
      <c r="W302" s="59"/>
      <c r="X302" s="59"/>
    </row>
    <row r="303" s="20" customFormat="1" ht="24" hidden="1" spans="1:24">
      <c r="A303" s="59">
        <v>295</v>
      </c>
      <c r="B303" s="60" t="s">
        <v>748</v>
      </c>
      <c r="C303" s="61">
        <v>44562</v>
      </c>
      <c r="D303" s="62" t="str">
        <f ca="1" t="shared" si="13"/>
        <v>一年以上</v>
      </c>
      <c r="E303" s="66">
        <v>44571</v>
      </c>
      <c r="F303" s="66"/>
      <c r="G303" s="59" t="s">
        <v>614</v>
      </c>
      <c r="H303" s="91" t="s">
        <v>283</v>
      </c>
      <c r="I303" s="63" t="s">
        <v>283</v>
      </c>
      <c r="J303" s="76">
        <v>5000</v>
      </c>
      <c r="K303" s="59" t="s">
        <v>356</v>
      </c>
      <c r="L303" s="59" t="s">
        <v>458</v>
      </c>
      <c r="M303" s="59" t="s">
        <v>30</v>
      </c>
      <c r="N303" s="65">
        <v>5000</v>
      </c>
      <c r="O303" s="65">
        <f t="shared" si="15"/>
        <v>0</v>
      </c>
      <c r="P303" s="66">
        <v>44657</v>
      </c>
      <c r="Q303" s="61">
        <f t="shared" si="14"/>
        <v>44657</v>
      </c>
      <c r="R303" s="59"/>
      <c r="S303" s="59" t="s">
        <v>749</v>
      </c>
      <c r="T303" s="59"/>
      <c r="U303" s="59"/>
      <c r="V303" s="59"/>
      <c r="W303" s="59"/>
      <c r="X303" s="59"/>
    </row>
    <row r="304" s="20" customFormat="1" ht="24" hidden="1" spans="1:24">
      <c r="A304" s="59">
        <v>316</v>
      </c>
      <c r="B304" s="60" t="s">
        <v>750</v>
      </c>
      <c r="C304" s="61">
        <v>44562</v>
      </c>
      <c r="D304" s="62" t="str">
        <f ca="1" t="shared" si="13"/>
        <v>一年以上</v>
      </c>
      <c r="E304" s="66">
        <v>44572</v>
      </c>
      <c r="F304" s="66" t="s">
        <v>282</v>
      </c>
      <c r="G304" s="59" t="s">
        <v>104</v>
      </c>
      <c r="H304" s="60" t="s">
        <v>325</v>
      </c>
      <c r="I304" s="63" t="s">
        <v>325</v>
      </c>
      <c r="J304" s="76">
        <v>2000</v>
      </c>
      <c r="K304" s="59" t="s">
        <v>356</v>
      </c>
      <c r="L304" s="59" t="s">
        <v>458</v>
      </c>
      <c r="M304" s="59" t="s">
        <v>65</v>
      </c>
      <c r="N304" s="65">
        <v>2000</v>
      </c>
      <c r="O304" s="65">
        <f t="shared" si="15"/>
        <v>0</v>
      </c>
      <c r="P304" s="66">
        <v>44897</v>
      </c>
      <c r="Q304" s="61">
        <f t="shared" si="14"/>
        <v>44897</v>
      </c>
      <c r="R304" s="66" t="s">
        <v>751</v>
      </c>
      <c r="S304" s="59" t="s">
        <v>65</v>
      </c>
      <c r="T304" s="59"/>
      <c r="U304" s="59"/>
      <c r="V304" s="59"/>
      <c r="W304" s="59"/>
      <c r="X304" s="59"/>
    </row>
    <row r="305" s="20" customFormat="1" ht="24" hidden="1" spans="1:24">
      <c r="A305" s="59">
        <v>390</v>
      </c>
      <c r="B305" s="60" t="s">
        <v>752</v>
      </c>
      <c r="C305" s="61">
        <v>44562</v>
      </c>
      <c r="D305" s="62" t="str">
        <f ca="1" t="shared" si="13"/>
        <v>一年以上</v>
      </c>
      <c r="E305" s="66">
        <v>44572</v>
      </c>
      <c r="F305" s="66" t="s">
        <v>632</v>
      </c>
      <c r="G305" s="59" t="s">
        <v>450</v>
      </c>
      <c r="H305" s="60" t="s">
        <v>753</v>
      </c>
      <c r="I305" s="63" t="s">
        <v>753</v>
      </c>
      <c r="J305" s="76">
        <v>1000</v>
      </c>
      <c r="K305" s="59"/>
      <c r="L305" s="59" t="s">
        <v>96</v>
      </c>
      <c r="M305" s="59" t="s">
        <v>515</v>
      </c>
      <c r="N305" s="65">
        <v>1000</v>
      </c>
      <c r="O305" s="65">
        <f t="shared" si="15"/>
        <v>0</v>
      </c>
      <c r="P305" s="66">
        <f>E305</f>
        <v>44572</v>
      </c>
      <c r="Q305" s="61">
        <f t="shared" si="14"/>
        <v>44572</v>
      </c>
      <c r="R305" s="59"/>
      <c r="S305" s="80" t="s">
        <v>754</v>
      </c>
      <c r="T305" s="59"/>
      <c r="U305" s="59"/>
      <c r="V305" s="59"/>
      <c r="W305" s="59"/>
      <c r="X305" s="59"/>
    </row>
    <row r="306" s="20" customFormat="1" ht="36" hidden="1" spans="1:24">
      <c r="A306" s="59">
        <v>147</v>
      </c>
      <c r="B306" s="60" t="s">
        <v>755</v>
      </c>
      <c r="C306" s="61">
        <v>44562</v>
      </c>
      <c r="D306" s="62" t="str">
        <f ca="1" t="shared" si="13"/>
        <v>一年以上</v>
      </c>
      <c r="E306" s="66">
        <v>44573</v>
      </c>
      <c r="F306" s="66" t="s">
        <v>282</v>
      </c>
      <c r="G306" s="59" t="s">
        <v>756</v>
      </c>
      <c r="H306" s="60" t="s">
        <v>234</v>
      </c>
      <c r="I306" s="63" t="s">
        <v>234</v>
      </c>
      <c r="J306" s="96">
        <v>7500</v>
      </c>
      <c r="K306" s="59" t="s">
        <v>356</v>
      </c>
      <c r="L306" s="59" t="s">
        <v>458</v>
      </c>
      <c r="M306" s="59" t="s">
        <v>65</v>
      </c>
      <c r="N306" s="65">
        <v>7500</v>
      </c>
      <c r="O306" s="65">
        <f t="shared" si="15"/>
        <v>0</v>
      </c>
      <c r="P306" s="95">
        <v>45464</v>
      </c>
      <c r="Q306" s="61">
        <f t="shared" si="14"/>
        <v>45464</v>
      </c>
      <c r="R306" s="66" t="s">
        <v>757</v>
      </c>
      <c r="S306" s="59" t="s">
        <v>65</v>
      </c>
      <c r="T306" s="59" t="s">
        <v>182</v>
      </c>
      <c r="U306" s="59" t="str">
        <f>VLOOKUP(T306,[1]区域划分!$A$1:$C$39,3,0)</f>
        <v>汪瑞青</v>
      </c>
      <c r="V306" s="59" t="s">
        <v>237</v>
      </c>
      <c r="W306" s="59"/>
      <c r="X306" s="59"/>
    </row>
    <row r="307" s="20" customFormat="1" ht="24" hidden="1" spans="1:24">
      <c r="A307" s="59">
        <v>296</v>
      </c>
      <c r="B307" s="60" t="s">
        <v>758</v>
      </c>
      <c r="C307" s="61">
        <v>44562</v>
      </c>
      <c r="D307" s="62" t="str">
        <f ca="1" t="shared" si="13"/>
        <v>一年以上</v>
      </c>
      <c r="E307" s="66">
        <v>44573</v>
      </c>
      <c r="F307" s="66"/>
      <c r="G307" s="59" t="s">
        <v>450</v>
      </c>
      <c r="H307" s="91" t="s">
        <v>759</v>
      </c>
      <c r="I307" s="63" t="s">
        <v>759</v>
      </c>
      <c r="J307" s="76">
        <v>30000</v>
      </c>
      <c r="K307" s="59" t="s">
        <v>28</v>
      </c>
      <c r="L307" s="59" t="s">
        <v>57</v>
      </c>
      <c r="M307" s="59" t="s">
        <v>30</v>
      </c>
      <c r="N307" s="65">
        <v>30000</v>
      </c>
      <c r="O307" s="65">
        <f t="shared" si="15"/>
        <v>0</v>
      </c>
      <c r="P307" s="66">
        <v>44635</v>
      </c>
      <c r="Q307" s="61">
        <f t="shared" si="14"/>
        <v>44635</v>
      </c>
      <c r="R307" s="59"/>
      <c r="S307" s="59" t="s">
        <v>760</v>
      </c>
      <c r="T307" s="59"/>
      <c r="U307" s="59"/>
      <c r="V307" s="59"/>
      <c r="W307" s="59"/>
      <c r="X307" s="59"/>
    </row>
    <row r="308" s="20" customFormat="1" ht="24" hidden="1" spans="1:24">
      <c r="A308" s="59">
        <v>148</v>
      </c>
      <c r="B308" s="60" t="s">
        <v>761</v>
      </c>
      <c r="C308" s="61">
        <v>44562</v>
      </c>
      <c r="D308" s="62" t="str">
        <f ca="1" t="shared" si="13"/>
        <v>一年以上</v>
      </c>
      <c r="E308" s="66">
        <v>44575</v>
      </c>
      <c r="F308" s="66" t="s">
        <v>122</v>
      </c>
      <c r="G308" s="59" t="s">
        <v>762</v>
      </c>
      <c r="H308" s="60" t="s">
        <v>419</v>
      </c>
      <c r="I308" s="63" t="s">
        <v>419</v>
      </c>
      <c r="J308" s="76">
        <v>3150</v>
      </c>
      <c r="K308" s="59" t="s">
        <v>28</v>
      </c>
      <c r="L308" s="59" t="s">
        <v>57</v>
      </c>
      <c r="M308" s="59" t="s">
        <v>65</v>
      </c>
      <c r="N308" s="65">
        <v>3150</v>
      </c>
      <c r="O308" s="65">
        <f t="shared" si="15"/>
        <v>0</v>
      </c>
      <c r="P308" s="66">
        <v>44850</v>
      </c>
      <c r="Q308" s="61">
        <f t="shared" si="14"/>
        <v>44850</v>
      </c>
      <c r="R308" s="66"/>
      <c r="S308" s="59" t="s">
        <v>65</v>
      </c>
      <c r="T308" s="59"/>
      <c r="U308" s="59"/>
      <c r="V308" s="59"/>
      <c r="W308" s="59"/>
      <c r="X308" s="59"/>
    </row>
    <row r="309" s="20" customFormat="1" ht="24" hidden="1" spans="1:24">
      <c r="A309" s="59">
        <v>297</v>
      </c>
      <c r="B309" s="60" t="s">
        <v>763</v>
      </c>
      <c r="C309" s="61">
        <v>44562</v>
      </c>
      <c r="D309" s="62" t="str">
        <f ca="1" t="shared" si="13"/>
        <v>一年以上</v>
      </c>
      <c r="E309" s="66">
        <v>44575</v>
      </c>
      <c r="F309" s="66"/>
      <c r="G309" s="59" t="s">
        <v>450</v>
      </c>
      <c r="H309" s="91" t="s">
        <v>188</v>
      </c>
      <c r="I309" s="63" t="s">
        <v>188</v>
      </c>
      <c r="J309" s="76">
        <v>5000</v>
      </c>
      <c r="K309" s="59" t="s">
        <v>28</v>
      </c>
      <c r="L309" s="59" t="s">
        <v>57</v>
      </c>
      <c r="M309" s="59" t="s">
        <v>30</v>
      </c>
      <c r="N309" s="65">
        <v>5000</v>
      </c>
      <c r="O309" s="65">
        <f t="shared" si="15"/>
        <v>0</v>
      </c>
      <c r="P309" s="66">
        <v>44616</v>
      </c>
      <c r="Q309" s="61">
        <f t="shared" si="14"/>
        <v>44616</v>
      </c>
      <c r="R309" s="59"/>
      <c r="S309" s="59" t="s">
        <v>764</v>
      </c>
      <c r="T309" s="59"/>
      <c r="U309" s="59"/>
      <c r="V309" s="59"/>
      <c r="W309" s="59"/>
      <c r="X309" s="59"/>
    </row>
    <row r="310" s="20" customFormat="1" ht="24" hidden="1" spans="1:24">
      <c r="A310" s="59">
        <v>298</v>
      </c>
      <c r="B310" s="60" t="s">
        <v>765</v>
      </c>
      <c r="C310" s="61">
        <v>44562</v>
      </c>
      <c r="D310" s="62" t="str">
        <f ca="1" t="shared" si="13"/>
        <v>一年以上</v>
      </c>
      <c r="E310" s="66">
        <v>44576</v>
      </c>
      <c r="F310" s="66"/>
      <c r="G310" s="59" t="s">
        <v>450</v>
      </c>
      <c r="H310" s="91" t="s">
        <v>188</v>
      </c>
      <c r="I310" s="63" t="s">
        <v>188</v>
      </c>
      <c r="J310" s="76">
        <v>5000</v>
      </c>
      <c r="K310" s="59" t="s">
        <v>338</v>
      </c>
      <c r="L310" s="59" t="s">
        <v>627</v>
      </c>
      <c r="M310" s="59" t="s">
        <v>30</v>
      </c>
      <c r="N310" s="65">
        <v>5000</v>
      </c>
      <c r="O310" s="65">
        <f t="shared" si="15"/>
        <v>0</v>
      </c>
      <c r="P310" s="66">
        <v>44613</v>
      </c>
      <c r="Q310" s="61">
        <f t="shared" si="14"/>
        <v>44613</v>
      </c>
      <c r="R310" s="59"/>
      <c r="S310" s="59" t="s">
        <v>766</v>
      </c>
      <c r="T310" s="59"/>
      <c r="U310" s="59"/>
      <c r="V310" s="59"/>
      <c r="W310" s="59"/>
      <c r="X310" s="59"/>
    </row>
    <row r="311" s="20" customFormat="1" ht="24" hidden="1" spans="1:24">
      <c r="A311" s="59">
        <v>149</v>
      </c>
      <c r="B311" s="60" t="s">
        <v>767</v>
      </c>
      <c r="C311" s="61">
        <v>44562</v>
      </c>
      <c r="D311" s="62" t="str">
        <f ca="1" t="shared" si="13"/>
        <v>一年以上</v>
      </c>
      <c r="E311" s="66">
        <v>44578</v>
      </c>
      <c r="F311" s="66" t="s">
        <v>282</v>
      </c>
      <c r="G311" s="59" t="s">
        <v>340</v>
      </c>
      <c r="H311" s="60" t="s">
        <v>768</v>
      </c>
      <c r="I311" s="63" t="s">
        <v>768</v>
      </c>
      <c r="J311" s="76">
        <v>5000</v>
      </c>
      <c r="K311" s="59" t="s">
        <v>28</v>
      </c>
      <c r="L311" s="59" t="s">
        <v>57</v>
      </c>
      <c r="M311" s="59" t="s">
        <v>65</v>
      </c>
      <c r="N311" s="65">
        <v>5000</v>
      </c>
      <c r="O311" s="65">
        <f t="shared" si="15"/>
        <v>0</v>
      </c>
      <c r="P311" s="66">
        <v>44727</v>
      </c>
      <c r="Q311" s="61">
        <f t="shared" si="14"/>
        <v>44727</v>
      </c>
      <c r="R311" s="66"/>
      <c r="S311" s="59" t="s">
        <v>65</v>
      </c>
      <c r="T311" s="59"/>
      <c r="U311" s="59"/>
      <c r="V311" s="59"/>
      <c r="W311" s="59"/>
      <c r="X311" s="59"/>
    </row>
    <row r="312" s="20" customFormat="1" ht="24" hidden="1" spans="1:24">
      <c r="A312" s="59">
        <v>150</v>
      </c>
      <c r="B312" s="60" t="s">
        <v>769</v>
      </c>
      <c r="C312" s="61">
        <v>44562</v>
      </c>
      <c r="D312" s="62" t="str">
        <f ca="1" t="shared" si="13"/>
        <v>一年以上</v>
      </c>
      <c r="E312" s="66">
        <v>44578</v>
      </c>
      <c r="F312" s="66" t="s">
        <v>70</v>
      </c>
      <c r="G312" s="59" t="s">
        <v>259</v>
      </c>
      <c r="H312" s="60" t="s">
        <v>770</v>
      </c>
      <c r="I312" s="63" t="s">
        <v>770</v>
      </c>
      <c r="J312" s="76">
        <v>1000</v>
      </c>
      <c r="K312" s="59" t="s">
        <v>28</v>
      </c>
      <c r="L312" s="59" t="s">
        <v>57</v>
      </c>
      <c r="M312" s="59" t="s">
        <v>65</v>
      </c>
      <c r="N312" s="65">
        <v>1000</v>
      </c>
      <c r="O312" s="65">
        <f t="shared" si="15"/>
        <v>0</v>
      </c>
      <c r="P312" s="66">
        <v>44616</v>
      </c>
      <c r="Q312" s="61">
        <f t="shared" si="14"/>
        <v>44616</v>
      </c>
      <c r="R312" s="66"/>
      <c r="S312" s="59" t="s">
        <v>65</v>
      </c>
      <c r="T312" s="59"/>
      <c r="U312" s="59"/>
      <c r="V312" s="59"/>
      <c r="W312" s="59"/>
      <c r="X312" s="59"/>
    </row>
    <row r="313" s="20" customFormat="1" hidden="1" spans="1:24">
      <c r="A313" s="59">
        <v>299</v>
      </c>
      <c r="B313" s="60" t="s">
        <v>771</v>
      </c>
      <c r="C313" s="61">
        <v>44562</v>
      </c>
      <c r="D313" s="62" t="str">
        <f ca="1" t="shared" si="13"/>
        <v>一年以上</v>
      </c>
      <c r="E313" s="66">
        <v>44578</v>
      </c>
      <c r="F313" s="66" t="s">
        <v>632</v>
      </c>
      <c r="G313" s="59" t="s">
        <v>450</v>
      </c>
      <c r="H313" s="91" t="s">
        <v>634</v>
      </c>
      <c r="I313" s="63" t="s">
        <v>634</v>
      </c>
      <c r="J313" s="76">
        <v>10000</v>
      </c>
      <c r="K313" s="59" t="s">
        <v>28</v>
      </c>
      <c r="L313" s="59" t="s">
        <v>57</v>
      </c>
      <c r="M313" s="59" t="s">
        <v>30</v>
      </c>
      <c r="N313" s="65">
        <v>10000</v>
      </c>
      <c r="O313" s="65">
        <f t="shared" si="15"/>
        <v>0</v>
      </c>
      <c r="P313" s="66">
        <v>44756</v>
      </c>
      <c r="Q313" s="61">
        <f t="shared" si="14"/>
        <v>44756</v>
      </c>
      <c r="R313" s="59" t="s">
        <v>481</v>
      </c>
      <c r="S313" s="59" t="s">
        <v>597</v>
      </c>
      <c r="T313" s="59"/>
      <c r="U313" s="59"/>
      <c r="V313" s="59"/>
      <c r="W313" s="59"/>
      <c r="X313" s="59"/>
    </row>
    <row r="314" s="20" customFormat="1" ht="24" hidden="1" spans="1:24">
      <c r="A314" s="59">
        <v>300</v>
      </c>
      <c r="B314" s="60" t="s">
        <v>772</v>
      </c>
      <c r="C314" s="61">
        <v>44562</v>
      </c>
      <c r="D314" s="62" t="str">
        <f ca="1" t="shared" si="13"/>
        <v>一年以上</v>
      </c>
      <c r="E314" s="66">
        <v>44578</v>
      </c>
      <c r="F314" s="66"/>
      <c r="G314" s="59" t="s">
        <v>614</v>
      </c>
      <c r="H314" s="91" t="s">
        <v>706</v>
      </c>
      <c r="I314" s="63" t="s">
        <v>706</v>
      </c>
      <c r="J314" s="76">
        <v>10000</v>
      </c>
      <c r="K314" s="59" t="s">
        <v>356</v>
      </c>
      <c r="L314" s="59" t="s">
        <v>458</v>
      </c>
      <c r="M314" s="59" t="s">
        <v>30</v>
      </c>
      <c r="N314" s="65">
        <v>10000</v>
      </c>
      <c r="O314" s="65">
        <f t="shared" si="15"/>
        <v>0</v>
      </c>
      <c r="P314" s="66">
        <v>44609</v>
      </c>
      <c r="Q314" s="61">
        <f t="shared" si="14"/>
        <v>44609</v>
      </c>
      <c r="R314" s="59"/>
      <c r="S314" s="59" t="s">
        <v>30</v>
      </c>
      <c r="T314" s="59"/>
      <c r="U314" s="59"/>
      <c r="V314" s="59"/>
      <c r="W314" s="59"/>
      <c r="X314" s="59"/>
    </row>
    <row r="315" s="20" customFormat="1" ht="24" hidden="1" spans="1:24">
      <c r="A315" s="59">
        <v>301</v>
      </c>
      <c r="B315" s="60" t="s">
        <v>773</v>
      </c>
      <c r="C315" s="61">
        <v>44562</v>
      </c>
      <c r="D315" s="62" t="str">
        <f ca="1" t="shared" si="13"/>
        <v>一年以上</v>
      </c>
      <c r="E315" s="66">
        <v>44581</v>
      </c>
      <c r="F315" s="66"/>
      <c r="G315" s="59" t="s">
        <v>614</v>
      </c>
      <c r="H315" s="91" t="s">
        <v>774</v>
      </c>
      <c r="I315" s="63" t="s">
        <v>774</v>
      </c>
      <c r="J315" s="76">
        <v>5000</v>
      </c>
      <c r="K315" s="59" t="s">
        <v>356</v>
      </c>
      <c r="L315" s="59" t="s">
        <v>458</v>
      </c>
      <c r="M315" s="59" t="s">
        <v>30</v>
      </c>
      <c r="N315" s="65">
        <v>5000</v>
      </c>
      <c r="O315" s="65">
        <f t="shared" si="15"/>
        <v>0</v>
      </c>
      <c r="P315" s="66">
        <v>44736</v>
      </c>
      <c r="Q315" s="61">
        <f t="shared" si="14"/>
        <v>44736</v>
      </c>
      <c r="R315" s="59"/>
      <c r="S315" s="59" t="s">
        <v>775</v>
      </c>
      <c r="T315" s="59"/>
      <c r="U315" s="59"/>
      <c r="V315" s="59"/>
      <c r="W315" s="59"/>
      <c r="X315" s="59"/>
    </row>
    <row r="316" s="20" customFormat="1" ht="24" hidden="1" spans="1:24">
      <c r="A316" s="59">
        <v>353</v>
      </c>
      <c r="B316" s="60" t="s">
        <v>776</v>
      </c>
      <c r="C316" s="61">
        <v>44562</v>
      </c>
      <c r="D316" s="62" t="str">
        <f ca="1" t="shared" si="13"/>
        <v>一年以上</v>
      </c>
      <c r="E316" s="66">
        <v>44585</v>
      </c>
      <c r="F316" s="66" t="s">
        <v>130</v>
      </c>
      <c r="G316" s="59" t="s">
        <v>322</v>
      </c>
      <c r="H316" s="60" t="s">
        <v>777</v>
      </c>
      <c r="I316" s="63" t="s">
        <v>777</v>
      </c>
      <c r="J316" s="76">
        <v>30000</v>
      </c>
      <c r="K316" s="59"/>
      <c r="L316" s="59" t="s">
        <v>96</v>
      </c>
      <c r="M316" s="59" t="s">
        <v>133</v>
      </c>
      <c r="N316" s="65">
        <v>30000</v>
      </c>
      <c r="O316" s="65">
        <f t="shared" si="15"/>
        <v>0</v>
      </c>
      <c r="P316" s="66">
        <v>44650</v>
      </c>
      <c r="Q316" s="61">
        <f t="shared" si="14"/>
        <v>44650</v>
      </c>
      <c r="R316" s="59"/>
      <c r="S316" s="59" t="s">
        <v>778</v>
      </c>
      <c r="T316" s="59"/>
      <c r="U316" s="59"/>
      <c r="V316" s="59"/>
      <c r="W316" s="59"/>
      <c r="X316" s="59"/>
    </row>
    <row r="317" s="20" customFormat="1" ht="24" hidden="1" spans="1:24">
      <c r="A317" s="59">
        <v>302</v>
      </c>
      <c r="B317" s="60" t="s">
        <v>779</v>
      </c>
      <c r="C317" s="61">
        <v>44562</v>
      </c>
      <c r="D317" s="62" t="str">
        <f ca="1" t="shared" si="13"/>
        <v>一年以上</v>
      </c>
      <c r="E317" s="66">
        <v>44588</v>
      </c>
      <c r="F317" s="66"/>
      <c r="G317" s="59" t="s">
        <v>450</v>
      </c>
      <c r="H317" s="91" t="s">
        <v>780</v>
      </c>
      <c r="I317" s="63" t="s">
        <v>780</v>
      </c>
      <c r="J317" s="76">
        <v>3800</v>
      </c>
      <c r="K317" s="59" t="s">
        <v>28</v>
      </c>
      <c r="L317" s="59" t="s">
        <v>57</v>
      </c>
      <c r="M317" s="59" t="s">
        <v>30</v>
      </c>
      <c r="N317" s="65">
        <v>3800</v>
      </c>
      <c r="O317" s="65">
        <f t="shared" si="15"/>
        <v>0</v>
      </c>
      <c r="P317" s="66">
        <v>44621</v>
      </c>
      <c r="Q317" s="61">
        <f t="shared" si="14"/>
        <v>44621</v>
      </c>
      <c r="R317" s="59" t="s">
        <v>781</v>
      </c>
      <c r="S317" s="59" t="s">
        <v>782</v>
      </c>
      <c r="T317" s="59"/>
      <c r="U317" s="59"/>
      <c r="V317" s="59"/>
      <c r="W317" s="59"/>
      <c r="X317" s="59"/>
    </row>
    <row r="318" s="20" customFormat="1" ht="24" hidden="1" spans="1:24">
      <c r="A318" s="59">
        <v>303</v>
      </c>
      <c r="B318" s="60" t="s">
        <v>783</v>
      </c>
      <c r="C318" s="61">
        <v>44562</v>
      </c>
      <c r="D318" s="62" t="str">
        <f ca="1" t="shared" si="13"/>
        <v>一年以上</v>
      </c>
      <c r="E318" s="66">
        <v>44588</v>
      </c>
      <c r="F318" s="66"/>
      <c r="G318" s="59" t="s">
        <v>450</v>
      </c>
      <c r="H318" s="91" t="s">
        <v>784</v>
      </c>
      <c r="I318" s="63" t="s">
        <v>784</v>
      </c>
      <c r="J318" s="76">
        <v>3000</v>
      </c>
      <c r="K318" s="59" t="s">
        <v>28</v>
      </c>
      <c r="L318" s="59" t="s">
        <v>57</v>
      </c>
      <c r="M318" s="59" t="s">
        <v>30</v>
      </c>
      <c r="N318" s="65">
        <v>3000</v>
      </c>
      <c r="O318" s="65">
        <f t="shared" si="15"/>
        <v>0</v>
      </c>
      <c r="P318" s="66">
        <v>44611</v>
      </c>
      <c r="Q318" s="61">
        <f t="shared" si="14"/>
        <v>44611</v>
      </c>
      <c r="R318" s="59" t="s">
        <v>781</v>
      </c>
      <c r="S318" s="59" t="s">
        <v>782</v>
      </c>
      <c r="T318" s="59"/>
      <c r="U318" s="59"/>
      <c r="V318" s="59"/>
      <c r="W318" s="59"/>
      <c r="X318" s="59"/>
    </row>
    <row r="319" s="20" customFormat="1" ht="36" hidden="1" spans="1:24">
      <c r="A319" s="59">
        <v>151</v>
      </c>
      <c r="B319" s="60" t="s">
        <v>785</v>
      </c>
      <c r="C319" s="61">
        <v>44562</v>
      </c>
      <c r="D319" s="62" t="str">
        <f ca="1" t="shared" si="13"/>
        <v>一年以上</v>
      </c>
      <c r="E319" s="66">
        <v>44590</v>
      </c>
      <c r="F319" s="66" t="s">
        <v>82</v>
      </c>
      <c r="G319" s="59" t="s">
        <v>786</v>
      </c>
      <c r="H319" s="60" t="s">
        <v>787</v>
      </c>
      <c r="I319" s="63" t="s">
        <v>787</v>
      </c>
      <c r="J319" s="76">
        <v>8814</v>
      </c>
      <c r="K319" s="59" t="s">
        <v>338</v>
      </c>
      <c r="L319" s="59" t="s">
        <v>627</v>
      </c>
      <c r="M319" s="59" t="s">
        <v>65</v>
      </c>
      <c r="N319" s="65">
        <f>7314+1500</f>
        <v>8814</v>
      </c>
      <c r="O319" s="65">
        <f t="shared" si="15"/>
        <v>0</v>
      </c>
      <c r="P319" s="66">
        <v>45281</v>
      </c>
      <c r="Q319" s="61">
        <f t="shared" si="14"/>
        <v>45281</v>
      </c>
      <c r="R319" s="66" t="s">
        <v>788</v>
      </c>
      <c r="S319" s="59" t="s">
        <v>65</v>
      </c>
      <c r="T319" s="59" t="s">
        <v>311</v>
      </c>
      <c r="U319" s="59" t="str">
        <f>VLOOKUP(T319,[1]区域划分!$A$1:$C$39,3,0)</f>
        <v>牛国庆</v>
      </c>
      <c r="V319" s="59"/>
      <c r="W319" s="59"/>
      <c r="X319" s="59"/>
    </row>
    <row r="320" s="20" customFormat="1" ht="24" hidden="1" spans="1:24">
      <c r="A320" s="59">
        <v>354</v>
      </c>
      <c r="B320" s="60" t="s">
        <v>789</v>
      </c>
      <c r="C320" s="61">
        <v>44593</v>
      </c>
      <c r="D320" s="62" t="str">
        <f ca="1" t="shared" si="13"/>
        <v>一年以上</v>
      </c>
      <c r="E320" s="66">
        <v>44601</v>
      </c>
      <c r="F320" s="66" t="s">
        <v>632</v>
      </c>
      <c r="G320" s="59" t="s">
        <v>614</v>
      </c>
      <c r="H320" s="91" t="s">
        <v>790</v>
      </c>
      <c r="I320" s="63" t="s">
        <v>790</v>
      </c>
      <c r="J320" s="76">
        <v>50000</v>
      </c>
      <c r="K320" s="59" t="s">
        <v>28</v>
      </c>
      <c r="L320" s="59" t="s">
        <v>57</v>
      </c>
      <c r="M320" s="59" t="s">
        <v>133</v>
      </c>
      <c r="N320" s="65">
        <v>50000</v>
      </c>
      <c r="O320" s="65">
        <f t="shared" si="15"/>
        <v>0</v>
      </c>
      <c r="P320" s="66">
        <v>45265</v>
      </c>
      <c r="Q320" s="61">
        <f t="shared" si="14"/>
        <v>45265</v>
      </c>
      <c r="R320" s="59"/>
      <c r="S320" s="59" t="s">
        <v>791</v>
      </c>
      <c r="T320" s="59" t="s">
        <v>792</v>
      </c>
      <c r="U320" s="59" t="str">
        <f>VLOOKUP(T320,[1]区域划分!$A$1:$C$39,3,0)</f>
        <v>宋旭东</v>
      </c>
      <c r="V320" s="59"/>
      <c r="W320" s="59"/>
      <c r="X320" s="59"/>
    </row>
    <row r="321" s="20" customFormat="1" ht="36" hidden="1" spans="1:24">
      <c r="A321" s="59">
        <v>304</v>
      </c>
      <c r="B321" s="60" t="s">
        <v>793</v>
      </c>
      <c r="C321" s="61">
        <v>44593</v>
      </c>
      <c r="D321" s="62" t="str">
        <f ca="1" t="shared" si="13"/>
        <v>一年以上</v>
      </c>
      <c r="E321" s="66">
        <v>44602</v>
      </c>
      <c r="F321" s="66"/>
      <c r="G321" s="59" t="s">
        <v>614</v>
      </c>
      <c r="H321" s="91" t="s">
        <v>193</v>
      </c>
      <c r="I321" s="63" t="s">
        <v>193</v>
      </c>
      <c r="J321" s="76">
        <v>10000</v>
      </c>
      <c r="K321" s="59" t="s">
        <v>356</v>
      </c>
      <c r="L321" s="59" t="s">
        <v>458</v>
      </c>
      <c r="M321" s="59" t="s">
        <v>30</v>
      </c>
      <c r="N321" s="65"/>
      <c r="O321" s="88">
        <f t="shared" si="15"/>
        <v>10000</v>
      </c>
      <c r="P321" s="66"/>
      <c r="Q321" s="61">
        <f t="shared" si="14"/>
        <v>0</v>
      </c>
      <c r="R321" s="59" t="s">
        <v>794</v>
      </c>
      <c r="S321" s="59" t="s">
        <v>795</v>
      </c>
      <c r="T321" s="59" t="s">
        <v>701</v>
      </c>
      <c r="U321" s="59" t="str">
        <f>VLOOKUP(T321,[1]区域划分!$A$1:$C$39,3,0)</f>
        <v>汪瑞青</v>
      </c>
      <c r="V321" s="59"/>
      <c r="W321" s="59"/>
      <c r="X321" s="59"/>
    </row>
    <row r="322" s="20" customFormat="1" ht="24" hidden="1" spans="1:24">
      <c r="A322" s="59">
        <v>152</v>
      </c>
      <c r="B322" s="60" t="s">
        <v>796</v>
      </c>
      <c r="C322" s="61">
        <v>44593</v>
      </c>
      <c r="D322" s="62" t="str">
        <f ca="1" t="shared" si="13"/>
        <v>一年以上</v>
      </c>
      <c r="E322" s="66">
        <v>44606</v>
      </c>
      <c r="F322" s="66" t="s">
        <v>82</v>
      </c>
      <c r="G322" s="59" t="s">
        <v>83</v>
      </c>
      <c r="H322" s="60" t="s">
        <v>797</v>
      </c>
      <c r="I322" s="63" t="s">
        <v>797</v>
      </c>
      <c r="J322" s="76">
        <v>5000</v>
      </c>
      <c r="K322" s="59"/>
      <c r="L322" s="59" t="s">
        <v>96</v>
      </c>
      <c r="M322" s="59" t="s">
        <v>65</v>
      </c>
      <c r="N322" s="65">
        <v>5000</v>
      </c>
      <c r="O322" s="65">
        <f t="shared" si="15"/>
        <v>0</v>
      </c>
      <c r="P322" s="66">
        <v>44657</v>
      </c>
      <c r="Q322" s="61">
        <f t="shared" si="14"/>
        <v>44657</v>
      </c>
      <c r="R322" s="66"/>
      <c r="S322" s="59" t="s">
        <v>65</v>
      </c>
      <c r="T322" s="59"/>
      <c r="U322" s="59"/>
      <c r="V322" s="59"/>
      <c r="W322" s="59"/>
      <c r="X322" s="59"/>
    </row>
    <row r="323" s="20" customFormat="1" hidden="1" spans="1:24">
      <c r="A323" s="59">
        <v>391</v>
      </c>
      <c r="B323" s="60" t="s">
        <v>798</v>
      </c>
      <c r="C323" s="61">
        <v>44593</v>
      </c>
      <c r="D323" s="62" t="str">
        <f ca="1" t="shared" ref="D323:D386" si="16">IF(TODAY()-E323&lt;60,"2个月内",IF(TODAY()-E323&lt;180,"3-6个月",IF(TODAY()-E323&lt;360,"6个月-1年","一年以上")))</f>
        <v>一年以上</v>
      </c>
      <c r="E323" s="66">
        <v>44606</v>
      </c>
      <c r="F323" s="66" t="s">
        <v>632</v>
      </c>
      <c r="G323" s="59" t="s">
        <v>450</v>
      </c>
      <c r="H323" s="60" t="s">
        <v>406</v>
      </c>
      <c r="I323" s="63" t="s">
        <v>406</v>
      </c>
      <c r="J323" s="76">
        <v>200</v>
      </c>
      <c r="K323" s="59" t="s">
        <v>28</v>
      </c>
      <c r="L323" s="59" t="s">
        <v>57</v>
      </c>
      <c r="M323" s="59" t="s">
        <v>515</v>
      </c>
      <c r="N323" s="65">
        <v>200</v>
      </c>
      <c r="O323" s="65">
        <f t="shared" si="15"/>
        <v>0</v>
      </c>
      <c r="P323" s="66">
        <v>44728</v>
      </c>
      <c r="Q323" s="61">
        <f t="shared" ref="Q323:Q386" si="17">P323</f>
        <v>44728</v>
      </c>
      <c r="R323" s="59"/>
      <c r="S323" s="80"/>
      <c r="T323" s="59"/>
      <c r="U323" s="59"/>
      <c r="V323" s="59"/>
      <c r="W323" s="59"/>
      <c r="X323" s="59"/>
    </row>
    <row r="324" s="20" customFormat="1" ht="24" hidden="1" spans="1:24">
      <c r="A324" s="59">
        <v>153</v>
      </c>
      <c r="B324" s="60" t="s">
        <v>799</v>
      </c>
      <c r="C324" s="61">
        <v>44593</v>
      </c>
      <c r="D324" s="62" t="str">
        <f ca="1" t="shared" si="16"/>
        <v>一年以上</v>
      </c>
      <c r="E324" s="66">
        <v>44607</v>
      </c>
      <c r="F324" s="66" t="s">
        <v>82</v>
      </c>
      <c r="G324" s="59" t="s">
        <v>800</v>
      </c>
      <c r="H324" s="60" t="s">
        <v>801</v>
      </c>
      <c r="I324" s="63" t="s">
        <v>801</v>
      </c>
      <c r="J324" s="76">
        <v>5000</v>
      </c>
      <c r="K324" s="59"/>
      <c r="L324" s="59" t="s">
        <v>96</v>
      </c>
      <c r="M324" s="59" t="s">
        <v>65</v>
      </c>
      <c r="N324" s="65">
        <v>5000</v>
      </c>
      <c r="O324" s="65">
        <f t="shared" si="15"/>
        <v>0</v>
      </c>
      <c r="P324" s="66">
        <v>44652</v>
      </c>
      <c r="Q324" s="61">
        <f t="shared" si="17"/>
        <v>44652</v>
      </c>
      <c r="R324" s="66"/>
      <c r="S324" s="59" t="s">
        <v>65</v>
      </c>
      <c r="T324" s="59"/>
      <c r="U324" s="59"/>
      <c r="V324" s="59"/>
      <c r="W324" s="59"/>
      <c r="X324" s="59"/>
    </row>
    <row r="325" s="20" customFormat="1" ht="24" hidden="1" spans="1:24">
      <c r="A325" s="59">
        <v>154</v>
      </c>
      <c r="B325" s="60" t="s">
        <v>802</v>
      </c>
      <c r="C325" s="61">
        <v>44593</v>
      </c>
      <c r="D325" s="62" t="str">
        <f ca="1" t="shared" si="16"/>
        <v>一年以上</v>
      </c>
      <c r="E325" s="66">
        <v>44607</v>
      </c>
      <c r="F325" s="66" t="s">
        <v>282</v>
      </c>
      <c r="G325" s="59" t="s">
        <v>611</v>
      </c>
      <c r="H325" s="60" t="s">
        <v>188</v>
      </c>
      <c r="I325" s="63" t="s">
        <v>188</v>
      </c>
      <c r="J325" s="76">
        <v>6000</v>
      </c>
      <c r="K325" s="59" t="s">
        <v>338</v>
      </c>
      <c r="L325" s="59" t="s">
        <v>627</v>
      </c>
      <c r="M325" s="59" t="s">
        <v>65</v>
      </c>
      <c r="N325" s="65">
        <v>6000</v>
      </c>
      <c r="O325" s="65">
        <f t="shared" si="15"/>
        <v>0</v>
      </c>
      <c r="P325" s="66">
        <v>44700</v>
      </c>
      <c r="Q325" s="61">
        <f t="shared" si="17"/>
        <v>44700</v>
      </c>
      <c r="R325" s="66"/>
      <c r="S325" s="59" t="s">
        <v>65</v>
      </c>
      <c r="T325" s="59"/>
      <c r="U325" s="59"/>
      <c r="V325" s="59"/>
      <c r="W325" s="59"/>
      <c r="X325" s="59"/>
    </row>
    <row r="326" s="20" customFormat="1" ht="24" hidden="1" spans="1:24">
      <c r="A326" s="59">
        <v>156</v>
      </c>
      <c r="B326" s="60" t="s">
        <v>803</v>
      </c>
      <c r="C326" s="61">
        <v>44593</v>
      </c>
      <c r="D326" s="62" t="str">
        <f ca="1" t="shared" si="16"/>
        <v>一年以上</v>
      </c>
      <c r="E326" s="66">
        <v>44608</v>
      </c>
      <c r="F326" s="66" t="s">
        <v>82</v>
      </c>
      <c r="G326" s="59" t="s">
        <v>83</v>
      </c>
      <c r="H326" s="60" t="s">
        <v>797</v>
      </c>
      <c r="I326" s="63" t="s">
        <v>797</v>
      </c>
      <c r="J326" s="76">
        <v>5000</v>
      </c>
      <c r="K326" s="59" t="s">
        <v>28</v>
      </c>
      <c r="L326" s="59" t="s">
        <v>57</v>
      </c>
      <c r="M326" s="59" t="s">
        <v>65</v>
      </c>
      <c r="N326" s="65">
        <v>5000</v>
      </c>
      <c r="O326" s="65">
        <f t="shared" si="15"/>
        <v>0</v>
      </c>
      <c r="P326" s="66">
        <v>44610</v>
      </c>
      <c r="Q326" s="61">
        <f t="shared" si="17"/>
        <v>44610</v>
      </c>
      <c r="R326" s="66"/>
      <c r="S326" s="59" t="s">
        <v>65</v>
      </c>
      <c r="T326" s="59"/>
      <c r="U326" s="59"/>
      <c r="V326" s="59"/>
      <c r="W326" s="59"/>
      <c r="X326" s="59"/>
    </row>
    <row r="327" s="20" customFormat="1" ht="24" hidden="1" spans="1:24">
      <c r="A327" s="59">
        <v>155</v>
      </c>
      <c r="B327" s="60" t="s">
        <v>804</v>
      </c>
      <c r="C327" s="61">
        <v>44593</v>
      </c>
      <c r="D327" s="62" t="str">
        <f ca="1" t="shared" si="16"/>
        <v>一年以上</v>
      </c>
      <c r="E327" s="66">
        <v>44609</v>
      </c>
      <c r="F327" s="66" t="s">
        <v>70</v>
      </c>
      <c r="G327" s="59" t="s">
        <v>83</v>
      </c>
      <c r="H327" s="60" t="s">
        <v>797</v>
      </c>
      <c r="I327" s="63" t="s">
        <v>797</v>
      </c>
      <c r="J327" s="76">
        <v>5000</v>
      </c>
      <c r="K327" s="59" t="s">
        <v>28</v>
      </c>
      <c r="L327" s="59" t="s">
        <v>57</v>
      </c>
      <c r="M327" s="59" t="s">
        <v>65</v>
      </c>
      <c r="N327" s="65">
        <v>5000</v>
      </c>
      <c r="O327" s="65">
        <f t="shared" si="15"/>
        <v>0</v>
      </c>
      <c r="P327" s="66">
        <v>44611</v>
      </c>
      <c r="Q327" s="61">
        <f t="shared" si="17"/>
        <v>44611</v>
      </c>
      <c r="R327" s="66"/>
      <c r="S327" s="59" t="s">
        <v>65</v>
      </c>
      <c r="T327" s="59"/>
      <c r="U327" s="59"/>
      <c r="V327" s="59"/>
      <c r="W327" s="59"/>
      <c r="X327" s="59"/>
    </row>
    <row r="328" s="20" customFormat="1" hidden="1" spans="1:24">
      <c r="A328" s="59">
        <v>157</v>
      </c>
      <c r="B328" s="60" t="s">
        <v>805</v>
      </c>
      <c r="C328" s="61">
        <v>44593</v>
      </c>
      <c r="D328" s="62" t="str">
        <f ca="1" t="shared" si="16"/>
        <v>一年以上</v>
      </c>
      <c r="E328" s="66">
        <v>44609</v>
      </c>
      <c r="F328" s="66" t="s">
        <v>282</v>
      </c>
      <c r="G328" s="59" t="s">
        <v>806</v>
      </c>
      <c r="H328" s="60" t="s">
        <v>807</v>
      </c>
      <c r="I328" s="63" t="s">
        <v>807</v>
      </c>
      <c r="J328" s="76">
        <v>5000</v>
      </c>
      <c r="K328" s="59" t="s">
        <v>28</v>
      </c>
      <c r="L328" s="59" t="s">
        <v>57</v>
      </c>
      <c r="M328" s="59" t="s">
        <v>65</v>
      </c>
      <c r="N328" s="65">
        <v>5000</v>
      </c>
      <c r="O328" s="65">
        <f t="shared" si="15"/>
        <v>0</v>
      </c>
      <c r="P328" s="66">
        <v>45002</v>
      </c>
      <c r="Q328" s="61">
        <f t="shared" si="17"/>
        <v>45002</v>
      </c>
      <c r="R328" s="66"/>
      <c r="S328" s="59" t="s">
        <v>65</v>
      </c>
      <c r="T328" s="59" t="s">
        <v>86</v>
      </c>
      <c r="U328" s="59"/>
      <c r="V328" s="59"/>
      <c r="W328" s="59"/>
      <c r="X328" s="59"/>
    </row>
    <row r="329" s="20" customFormat="1" hidden="1" spans="1:24">
      <c r="A329" s="59">
        <v>305</v>
      </c>
      <c r="B329" s="60" t="s">
        <v>808</v>
      </c>
      <c r="C329" s="61">
        <v>44593</v>
      </c>
      <c r="D329" s="62" t="str">
        <f ca="1" t="shared" si="16"/>
        <v>一年以上</v>
      </c>
      <c r="E329" s="66">
        <v>44609</v>
      </c>
      <c r="F329" s="66"/>
      <c r="G329" s="59" t="s">
        <v>450</v>
      </c>
      <c r="H329" s="91" t="s">
        <v>406</v>
      </c>
      <c r="I329" s="63" t="s">
        <v>406</v>
      </c>
      <c r="J329" s="76">
        <v>20000</v>
      </c>
      <c r="K329" s="59" t="s">
        <v>28</v>
      </c>
      <c r="L329" s="59" t="s">
        <v>57</v>
      </c>
      <c r="M329" s="59" t="s">
        <v>30</v>
      </c>
      <c r="N329" s="65">
        <v>20000</v>
      </c>
      <c r="O329" s="65">
        <f t="shared" si="15"/>
        <v>0</v>
      </c>
      <c r="P329" s="66">
        <v>44650</v>
      </c>
      <c r="Q329" s="61">
        <f t="shared" si="17"/>
        <v>44650</v>
      </c>
      <c r="R329" s="59"/>
      <c r="S329" s="59" t="s">
        <v>30</v>
      </c>
      <c r="T329" s="59"/>
      <c r="U329" s="59"/>
      <c r="V329" s="59"/>
      <c r="W329" s="59"/>
      <c r="X329" s="59"/>
    </row>
    <row r="330" s="20" customFormat="1" hidden="1" spans="1:24">
      <c r="A330" s="59">
        <v>392</v>
      </c>
      <c r="B330" s="60" t="s">
        <v>809</v>
      </c>
      <c r="C330" s="61">
        <v>44593</v>
      </c>
      <c r="D330" s="62" t="str">
        <f ca="1" t="shared" si="16"/>
        <v>一年以上</v>
      </c>
      <c r="E330" s="66">
        <v>44609</v>
      </c>
      <c r="F330" s="66" t="s">
        <v>632</v>
      </c>
      <c r="G330" s="59" t="s">
        <v>450</v>
      </c>
      <c r="H330" s="60" t="s">
        <v>406</v>
      </c>
      <c r="I330" s="63" t="s">
        <v>406</v>
      </c>
      <c r="J330" s="76">
        <v>800</v>
      </c>
      <c r="K330" s="59"/>
      <c r="L330" s="59" t="s">
        <v>96</v>
      </c>
      <c r="M330" s="59" t="s">
        <v>515</v>
      </c>
      <c r="N330" s="65">
        <v>800</v>
      </c>
      <c r="O330" s="65">
        <f t="shared" si="15"/>
        <v>0</v>
      </c>
      <c r="P330" s="66">
        <f>E330</f>
        <v>44609</v>
      </c>
      <c r="Q330" s="61">
        <f t="shared" si="17"/>
        <v>44609</v>
      </c>
      <c r="R330" s="59"/>
      <c r="S330" s="80" t="s">
        <v>810</v>
      </c>
      <c r="T330" s="59"/>
      <c r="U330" s="59"/>
      <c r="V330" s="59"/>
      <c r="W330" s="59"/>
      <c r="X330" s="59"/>
    </row>
    <row r="331" s="20" customFormat="1" hidden="1" spans="1:24">
      <c r="A331" s="59">
        <v>393</v>
      </c>
      <c r="B331" s="60" t="s">
        <v>811</v>
      </c>
      <c r="C331" s="61">
        <v>44593</v>
      </c>
      <c r="D331" s="62" t="str">
        <f ca="1" t="shared" si="16"/>
        <v>一年以上</v>
      </c>
      <c r="E331" s="66">
        <v>44609</v>
      </c>
      <c r="F331" s="66" t="s">
        <v>632</v>
      </c>
      <c r="G331" s="59" t="s">
        <v>614</v>
      </c>
      <c r="H331" s="60" t="s">
        <v>812</v>
      </c>
      <c r="I331" s="63" t="s">
        <v>812</v>
      </c>
      <c r="J331" s="76">
        <v>200</v>
      </c>
      <c r="K331" s="59"/>
      <c r="L331" s="59" t="s">
        <v>73</v>
      </c>
      <c r="M331" s="59" t="s">
        <v>515</v>
      </c>
      <c r="N331" s="65">
        <v>200</v>
      </c>
      <c r="O331" s="65">
        <f t="shared" si="15"/>
        <v>0</v>
      </c>
      <c r="P331" s="66">
        <f>E331</f>
        <v>44609</v>
      </c>
      <c r="Q331" s="61">
        <f t="shared" si="17"/>
        <v>44609</v>
      </c>
      <c r="R331" s="59"/>
      <c r="S331" s="59" t="s">
        <v>515</v>
      </c>
      <c r="T331" s="59"/>
      <c r="U331" s="59"/>
      <c r="V331" s="59"/>
      <c r="W331" s="59"/>
      <c r="X331" s="59"/>
    </row>
    <row r="332" s="20" customFormat="1" ht="24" hidden="1" spans="1:24">
      <c r="A332" s="59">
        <v>306</v>
      </c>
      <c r="B332" s="60" t="s">
        <v>813</v>
      </c>
      <c r="C332" s="61">
        <v>44593</v>
      </c>
      <c r="D332" s="62" t="str">
        <f ca="1" t="shared" si="16"/>
        <v>一年以上</v>
      </c>
      <c r="E332" s="66">
        <v>44615</v>
      </c>
      <c r="F332" s="66"/>
      <c r="G332" s="59" t="s">
        <v>450</v>
      </c>
      <c r="H332" s="91" t="s">
        <v>592</v>
      </c>
      <c r="I332" s="63">
        <v>0</v>
      </c>
      <c r="J332" s="76">
        <v>40000</v>
      </c>
      <c r="K332" s="59" t="s">
        <v>28</v>
      </c>
      <c r="L332" s="59" t="s">
        <v>57</v>
      </c>
      <c r="M332" s="59" t="s">
        <v>30</v>
      </c>
      <c r="N332" s="65">
        <v>40000</v>
      </c>
      <c r="O332" s="65">
        <f t="shared" si="15"/>
        <v>0</v>
      </c>
      <c r="P332" s="66">
        <v>44658</v>
      </c>
      <c r="Q332" s="61">
        <f t="shared" si="17"/>
        <v>44658</v>
      </c>
      <c r="R332" s="59"/>
      <c r="S332" s="59" t="s">
        <v>30</v>
      </c>
      <c r="T332" s="59"/>
      <c r="U332" s="59"/>
      <c r="V332" s="59"/>
      <c r="W332" s="59"/>
      <c r="X332" s="59"/>
    </row>
    <row r="333" s="20" customFormat="1" ht="24" hidden="1" spans="1:24">
      <c r="A333" s="59">
        <v>307</v>
      </c>
      <c r="B333" s="60" t="s">
        <v>814</v>
      </c>
      <c r="C333" s="61">
        <v>44593</v>
      </c>
      <c r="D333" s="62" t="str">
        <f ca="1" t="shared" si="16"/>
        <v>一年以上</v>
      </c>
      <c r="E333" s="66">
        <v>44615</v>
      </c>
      <c r="F333" s="66"/>
      <c r="G333" s="59" t="s">
        <v>450</v>
      </c>
      <c r="H333" s="91" t="s">
        <v>815</v>
      </c>
      <c r="I333" s="63" t="s">
        <v>815</v>
      </c>
      <c r="J333" s="76">
        <v>10000</v>
      </c>
      <c r="K333" s="59" t="s">
        <v>28</v>
      </c>
      <c r="L333" s="59" t="s">
        <v>57</v>
      </c>
      <c r="M333" s="59" t="s">
        <v>30</v>
      </c>
      <c r="N333" s="65">
        <v>10000</v>
      </c>
      <c r="O333" s="65">
        <f t="shared" si="15"/>
        <v>0</v>
      </c>
      <c r="P333" s="66">
        <v>44643</v>
      </c>
      <c r="Q333" s="61">
        <f t="shared" si="17"/>
        <v>44643</v>
      </c>
      <c r="R333" s="59"/>
      <c r="S333" s="59" t="s">
        <v>30</v>
      </c>
      <c r="T333" s="59"/>
      <c r="U333" s="59"/>
      <c r="V333" s="59"/>
      <c r="W333" s="59"/>
      <c r="X333" s="59"/>
    </row>
    <row r="334" s="20" customFormat="1" ht="24" hidden="1" spans="1:24">
      <c r="A334" s="59">
        <v>158</v>
      </c>
      <c r="B334" s="60" t="s">
        <v>816</v>
      </c>
      <c r="C334" s="61">
        <v>44593</v>
      </c>
      <c r="D334" s="62" t="str">
        <f ca="1" t="shared" si="16"/>
        <v>一年以上</v>
      </c>
      <c r="E334" s="66">
        <v>44617</v>
      </c>
      <c r="F334" s="66" t="s">
        <v>282</v>
      </c>
      <c r="G334" s="59" t="s">
        <v>611</v>
      </c>
      <c r="H334" s="60" t="s">
        <v>817</v>
      </c>
      <c r="I334" s="63" t="s">
        <v>817</v>
      </c>
      <c r="J334" s="76">
        <v>10000</v>
      </c>
      <c r="K334" s="59" t="s">
        <v>338</v>
      </c>
      <c r="L334" s="59" t="s">
        <v>627</v>
      </c>
      <c r="M334" s="59" t="s">
        <v>65</v>
      </c>
      <c r="N334" s="65">
        <v>10000</v>
      </c>
      <c r="O334" s="65">
        <f t="shared" si="15"/>
        <v>0</v>
      </c>
      <c r="P334" s="66">
        <v>44824</v>
      </c>
      <c r="Q334" s="61">
        <f t="shared" si="17"/>
        <v>44824</v>
      </c>
      <c r="R334" s="66"/>
      <c r="S334" s="59" t="s">
        <v>818</v>
      </c>
      <c r="T334" s="59"/>
      <c r="U334" s="59"/>
      <c r="V334" s="59"/>
      <c r="W334" s="59"/>
      <c r="X334" s="59"/>
    </row>
    <row r="335" s="20" customFormat="1" ht="60" hidden="1" spans="1:24">
      <c r="A335" s="59">
        <v>159</v>
      </c>
      <c r="B335" s="60" t="s">
        <v>819</v>
      </c>
      <c r="C335" s="61">
        <v>44593</v>
      </c>
      <c r="D335" s="62" t="str">
        <f ca="1" t="shared" si="16"/>
        <v>一年以上</v>
      </c>
      <c r="E335" s="66">
        <v>44617</v>
      </c>
      <c r="F335" s="66" t="s">
        <v>130</v>
      </c>
      <c r="G335" s="59" t="s">
        <v>371</v>
      </c>
      <c r="H335" s="60" t="s">
        <v>677</v>
      </c>
      <c r="I335" s="63" t="s">
        <v>677</v>
      </c>
      <c r="J335" s="76">
        <f>500000</f>
        <v>500000</v>
      </c>
      <c r="K335" s="59" t="s">
        <v>28</v>
      </c>
      <c r="L335" s="59" t="s">
        <v>57</v>
      </c>
      <c r="M335" s="59" t="s">
        <v>65</v>
      </c>
      <c r="N335" s="65">
        <v>498000</v>
      </c>
      <c r="O335" s="65">
        <f t="shared" ref="O335:O398" si="18">J335-N335</f>
        <v>2000</v>
      </c>
      <c r="P335" s="66"/>
      <c r="Q335" s="61">
        <f t="shared" si="17"/>
        <v>0</v>
      </c>
      <c r="R335" s="59" t="s">
        <v>820</v>
      </c>
      <c r="S335" s="59"/>
      <c r="T335" s="59" t="s">
        <v>182</v>
      </c>
      <c r="U335" s="59" t="str">
        <f>VLOOKUP(T335,[1]区域划分!$A$1:$C$39,3,0)</f>
        <v>汪瑞青</v>
      </c>
      <c r="V335" s="59"/>
      <c r="W335" s="59"/>
      <c r="X335" s="59"/>
    </row>
    <row r="336" s="20" customFormat="1" ht="24" hidden="1" spans="1:24">
      <c r="A336" s="59">
        <v>308</v>
      </c>
      <c r="B336" s="60" t="s">
        <v>821</v>
      </c>
      <c r="C336" s="61">
        <v>44593</v>
      </c>
      <c r="D336" s="62" t="str">
        <f ca="1" t="shared" si="16"/>
        <v>一年以上</v>
      </c>
      <c r="E336" s="66">
        <v>44617</v>
      </c>
      <c r="F336" s="66"/>
      <c r="G336" s="59" t="s">
        <v>614</v>
      </c>
      <c r="H336" s="91" t="s">
        <v>822</v>
      </c>
      <c r="I336" s="63" t="s">
        <v>822</v>
      </c>
      <c r="J336" s="76">
        <v>1500</v>
      </c>
      <c r="K336" s="59" t="s">
        <v>28</v>
      </c>
      <c r="L336" s="59" t="s">
        <v>57</v>
      </c>
      <c r="M336" s="59" t="s">
        <v>30</v>
      </c>
      <c r="N336" s="65">
        <v>1500</v>
      </c>
      <c r="O336" s="65">
        <f t="shared" si="18"/>
        <v>0</v>
      </c>
      <c r="P336" s="66">
        <v>44719</v>
      </c>
      <c r="Q336" s="61">
        <f t="shared" si="17"/>
        <v>44719</v>
      </c>
      <c r="R336" s="59"/>
      <c r="S336" s="59" t="s">
        <v>30</v>
      </c>
      <c r="T336" s="59"/>
      <c r="U336" s="59"/>
      <c r="V336" s="59"/>
      <c r="W336" s="59"/>
      <c r="X336" s="59"/>
    </row>
    <row r="337" s="20" customFormat="1" ht="24" hidden="1" spans="1:24">
      <c r="A337" s="59">
        <v>394</v>
      </c>
      <c r="B337" s="60" t="s">
        <v>823</v>
      </c>
      <c r="C337" s="61">
        <v>44593</v>
      </c>
      <c r="D337" s="62" t="str">
        <f ca="1" t="shared" si="16"/>
        <v>一年以上</v>
      </c>
      <c r="E337" s="66">
        <v>44617</v>
      </c>
      <c r="F337" s="66" t="s">
        <v>632</v>
      </c>
      <c r="G337" s="59" t="s">
        <v>614</v>
      </c>
      <c r="H337" s="60" t="s">
        <v>824</v>
      </c>
      <c r="I337" s="63" t="s">
        <v>824</v>
      </c>
      <c r="J337" s="76">
        <v>300</v>
      </c>
      <c r="K337" s="59"/>
      <c r="L337" s="59" t="s">
        <v>73</v>
      </c>
      <c r="M337" s="59" t="s">
        <v>515</v>
      </c>
      <c r="N337" s="65">
        <v>300</v>
      </c>
      <c r="O337" s="65">
        <f t="shared" si="18"/>
        <v>0</v>
      </c>
      <c r="P337" s="66">
        <v>44728</v>
      </c>
      <c r="Q337" s="61">
        <f t="shared" si="17"/>
        <v>44728</v>
      </c>
      <c r="R337" s="59"/>
      <c r="S337" s="80" t="s">
        <v>825</v>
      </c>
      <c r="T337" s="59"/>
      <c r="U337" s="59"/>
      <c r="V337" s="59"/>
      <c r="W337" s="59"/>
      <c r="X337" s="59"/>
    </row>
    <row r="338" s="20" customFormat="1" ht="13" hidden="1" customHeight="1" spans="1:24">
      <c r="A338" s="59">
        <v>160</v>
      </c>
      <c r="B338" s="60" t="s">
        <v>826</v>
      </c>
      <c r="C338" s="61">
        <v>44593</v>
      </c>
      <c r="D338" s="62" t="str">
        <f ca="1" t="shared" si="16"/>
        <v>一年以上</v>
      </c>
      <c r="E338" s="66">
        <v>44620</v>
      </c>
      <c r="F338" s="89" t="s">
        <v>70</v>
      </c>
      <c r="G338" s="89" t="s">
        <v>149</v>
      </c>
      <c r="H338" s="91" t="s">
        <v>154</v>
      </c>
      <c r="I338" s="63" t="s">
        <v>154</v>
      </c>
      <c r="J338" s="76">
        <v>2000</v>
      </c>
      <c r="K338" s="59" t="s">
        <v>28</v>
      </c>
      <c r="L338" s="59" t="s">
        <v>57</v>
      </c>
      <c r="M338" s="59" t="s">
        <v>65</v>
      </c>
      <c r="N338" s="65">
        <v>2000</v>
      </c>
      <c r="O338" s="65">
        <f t="shared" si="18"/>
        <v>0</v>
      </c>
      <c r="P338" s="66">
        <v>44650</v>
      </c>
      <c r="Q338" s="61">
        <f t="shared" si="17"/>
        <v>44650</v>
      </c>
      <c r="R338" s="66"/>
      <c r="S338" s="59" t="s">
        <v>65</v>
      </c>
      <c r="T338" s="59"/>
      <c r="U338" s="59"/>
      <c r="V338" s="59"/>
      <c r="W338" s="59"/>
      <c r="X338" s="59"/>
    </row>
    <row r="339" s="20" customFormat="1" ht="30" hidden="1" customHeight="1" spans="1:24">
      <c r="A339" s="59">
        <v>161</v>
      </c>
      <c r="B339" s="60" t="s">
        <v>827</v>
      </c>
      <c r="C339" s="61">
        <v>44621</v>
      </c>
      <c r="D339" s="62" t="str">
        <f ca="1" t="shared" si="16"/>
        <v>一年以上</v>
      </c>
      <c r="E339" s="93">
        <v>44622</v>
      </c>
      <c r="F339" s="89" t="s">
        <v>70</v>
      </c>
      <c r="G339" s="89" t="s">
        <v>828</v>
      </c>
      <c r="H339" s="91" t="s">
        <v>829</v>
      </c>
      <c r="I339" s="63" t="s">
        <v>829</v>
      </c>
      <c r="J339" s="76">
        <v>3000</v>
      </c>
      <c r="K339" s="59"/>
      <c r="L339" s="59" t="s">
        <v>96</v>
      </c>
      <c r="M339" s="59" t="s">
        <v>65</v>
      </c>
      <c r="N339" s="65">
        <v>3000</v>
      </c>
      <c r="O339" s="65">
        <f t="shared" si="18"/>
        <v>0</v>
      </c>
      <c r="P339" s="66">
        <v>44659</v>
      </c>
      <c r="Q339" s="61">
        <f t="shared" si="17"/>
        <v>44659</v>
      </c>
      <c r="R339" s="66"/>
      <c r="S339" s="59" t="s">
        <v>65</v>
      </c>
      <c r="T339" s="59"/>
      <c r="U339" s="59"/>
      <c r="V339" s="59"/>
      <c r="W339" s="59"/>
      <c r="X339" s="59"/>
    </row>
    <row r="340" s="20" customFormat="1" ht="24" hidden="1" spans="1:24">
      <c r="A340" s="59">
        <v>162</v>
      </c>
      <c r="B340" s="60" t="s">
        <v>830</v>
      </c>
      <c r="C340" s="61">
        <v>44621</v>
      </c>
      <c r="D340" s="62" t="str">
        <f ca="1" t="shared" si="16"/>
        <v>一年以上</v>
      </c>
      <c r="E340" s="93">
        <v>44623</v>
      </c>
      <c r="F340" s="89" t="s">
        <v>70</v>
      </c>
      <c r="G340" s="89" t="s">
        <v>149</v>
      </c>
      <c r="H340" s="91" t="s">
        <v>305</v>
      </c>
      <c r="I340" s="63" t="s">
        <v>305</v>
      </c>
      <c r="J340" s="64">
        <v>3000</v>
      </c>
      <c r="K340" s="59" t="s">
        <v>28</v>
      </c>
      <c r="L340" s="59" t="s">
        <v>57</v>
      </c>
      <c r="M340" s="59" t="s">
        <v>65</v>
      </c>
      <c r="N340" s="65">
        <v>3000</v>
      </c>
      <c r="O340" s="65">
        <f t="shared" si="18"/>
        <v>0</v>
      </c>
      <c r="P340" s="66">
        <v>44673</v>
      </c>
      <c r="Q340" s="61">
        <f t="shared" si="17"/>
        <v>44673</v>
      </c>
      <c r="R340" s="66"/>
      <c r="S340" s="59" t="s">
        <v>65</v>
      </c>
      <c r="T340" s="59"/>
      <c r="U340" s="59"/>
      <c r="V340" s="59"/>
      <c r="W340" s="59"/>
      <c r="X340" s="59"/>
    </row>
    <row r="341" s="20" customFormat="1" hidden="1" spans="1:24">
      <c r="A341" s="59">
        <v>309</v>
      </c>
      <c r="B341" s="60" t="s">
        <v>831</v>
      </c>
      <c r="C341" s="61">
        <v>44621</v>
      </c>
      <c r="D341" s="62" t="str">
        <f ca="1" t="shared" si="16"/>
        <v>一年以上</v>
      </c>
      <c r="E341" s="66">
        <v>44624</v>
      </c>
      <c r="F341" s="66"/>
      <c r="G341" s="59" t="s">
        <v>614</v>
      </c>
      <c r="H341" s="91" t="s">
        <v>832</v>
      </c>
      <c r="I341" s="63" t="s">
        <v>832</v>
      </c>
      <c r="J341" s="76">
        <v>2000</v>
      </c>
      <c r="K341" s="59" t="s">
        <v>28</v>
      </c>
      <c r="L341" s="59" t="s">
        <v>57</v>
      </c>
      <c r="M341" s="59" t="s">
        <v>30</v>
      </c>
      <c r="N341" s="65">
        <v>2000</v>
      </c>
      <c r="O341" s="65">
        <f t="shared" si="18"/>
        <v>0</v>
      </c>
      <c r="P341" s="66">
        <v>44709</v>
      </c>
      <c r="Q341" s="61">
        <f t="shared" si="17"/>
        <v>44709</v>
      </c>
      <c r="R341" s="59"/>
      <c r="S341" s="59" t="s">
        <v>30</v>
      </c>
      <c r="T341" s="59"/>
      <c r="U341" s="59"/>
      <c r="V341" s="59"/>
      <c r="W341" s="59"/>
      <c r="X341" s="59"/>
    </row>
    <row r="342" s="20" customFormat="1" ht="30" hidden="1" customHeight="1" spans="1:24">
      <c r="A342" s="59">
        <v>310</v>
      </c>
      <c r="B342" s="60" t="s">
        <v>833</v>
      </c>
      <c r="C342" s="61">
        <v>44621</v>
      </c>
      <c r="D342" s="62" t="str">
        <f ca="1" t="shared" si="16"/>
        <v>一年以上</v>
      </c>
      <c r="E342" s="66">
        <v>44627</v>
      </c>
      <c r="F342" s="66"/>
      <c r="G342" s="59" t="s">
        <v>450</v>
      </c>
      <c r="H342" s="91" t="s">
        <v>834</v>
      </c>
      <c r="I342" s="63" t="s">
        <v>834</v>
      </c>
      <c r="J342" s="76">
        <v>17000</v>
      </c>
      <c r="K342" s="59" t="s">
        <v>28</v>
      </c>
      <c r="L342" s="59" t="s">
        <v>57</v>
      </c>
      <c r="M342" s="59" t="s">
        <v>30</v>
      </c>
      <c r="N342" s="65">
        <v>17000</v>
      </c>
      <c r="O342" s="65">
        <f t="shared" si="18"/>
        <v>0</v>
      </c>
      <c r="P342" s="66">
        <v>44704</v>
      </c>
      <c r="Q342" s="61">
        <f t="shared" si="17"/>
        <v>44704</v>
      </c>
      <c r="R342" s="59"/>
      <c r="S342" s="59" t="s">
        <v>30</v>
      </c>
      <c r="T342" s="59"/>
      <c r="U342" s="59"/>
      <c r="V342" s="59"/>
      <c r="W342" s="59"/>
      <c r="X342" s="59"/>
    </row>
    <row r="343" s="20" customFormat="1" hidden="1" spans="1:24">
      <c r="A343" s="59">
        <v>408</v>
      </c>
      <c r="B343" s="60" t="s">
        <v>835</v>
      </c>
      <c r="C343" s="61">
        <v>44621</v>
      </c>
      <c r="D343" s="62" t="str">
        <f ca="1" t="shared" si="16"/>
        <v>一年以上</v>
      </c>
      <c r="E343" s="66">
        <v>44628</v>
      </c>
      <c r="F343" s="66" t="s">
        <v>632</v>
      </c>
      <c r="G343" s="59" t="s">
        <v>614</v>
      </c>
      <c r="H343" s="91" t="s">
        <v>832</v>
      </c>
      <c r="I343" s="63" t="s">
        <v>832</v>
      </c>
      <c r="J343" s="64">
        <v>500</v>
      </c>
      <c r="K343" s="59" t="s">
        <v>28</v>
      </c>
      <c r="L343" s="59" t="s">
        <v>57</v>
      </c>
      <c r="M343" s="59" t="s">
        <v>515</v>
      </c>
      <c r="N343" s="65">
        <v>500</v>
      </c>
      <c r="O343" s="65">
        <f t="shared" si="18"/>
        <v>0</v>
      </c>
      <c r="P343" s="66">
        <v>44728</v>
      </c>
      <c r="Q343" s="61">
        <f t="shared" si="17"/>
        <v>44728</v>
      </c>
      <c r="R343" s="59"/>
      <c r="S343" s="59" t="s">
        <v>836</v>
      </c>
      <c r="T343" s="59"/>
      <c r="U343" s="59"/>
      <c r="V343" s="59"/>
      <c r="W343" s="59"/>
      <c r="X343" s="59"/>
    </row>
    <row r="344" s="20" customFormat="1" ht="24" hidden="1" spans="1:24">
      <c r="A344" s="59">
        <v>163</v>
      </c>
      <c r="B344" s="60" t="s">
        <v>837</v>
      </c>
      <c r="C344" s="61">
        <v>44621</v>
      </c>
      <c r="D344" s="62" t="str">
        <f ca="1" t="shared" si="16"/>
        <v>一年以上</v>
      </c>
      <c r="E344" s="66">
        <v>44630</v>
      </c>
      <c r="F344" s="66" t="s">
        <v>70</v>
      </c>
      <c r="G344" s="89" t="s">
        <v>119</v>
      </c>
      <c r="H344" s="60" t="s">
        <v>612</v>
      </c>
      <c r="I344" s="63" t="s">
        <v>612</v>
      </c>
      <c r="J344" s="64">
        <v>2000</v>
      </c>
      <c r="K344" s="59"/>
      <c r="L344" s="59" t="s">
        <v>96</v>
      </c>
      <c r="M344" s="59" t="s">
        <v>65</v>
      </c>
      <c r="N344" s="65">
        <v>2000</v>
      </c>
      <c r="O344" s="65">
        <f t="shared" si="18"/>
        <v>0</v>
      </c>
      <c r="P344" s="66">
        <v>44657</v>
      </c>
      <c r="Q344" s="61">
        <f t="shared" si="17"/>
        <v>44657</v>
      </c>
      <c r="R344" s="66"/>
      <c r="S344" s="59" t="s">
        <v>65</v>
      </c>
      <c r="T344" s="59"/>
      <c r="U344" s="59"/>
      <c r="V344" s="59"/>
      <c r="W344" s="59"/>
      <c r="X344" s="59"/>
    </row>
    <row r="345" s="20" customFormat="1" ht="24" hidden="1" spans="1:24">
      <c r="A345" s="59">
        <v>395</v>
      </c>
      <c r="B345" s="60" t="s">
        <v>838</v>
      </c>
      <c r="C345" s="61">
        <v>44621</v>
      </c>
      <c r="D345" s="62" t="str">
        <f ca="1" t="shared" si="16"/>
        <v>一年以上</v>
      </c>
      <c r="E345" s="66">
        <v>44630</v>
      </c>
      <c r="F345" s="66" t="s">
        <v>130</v>
      </c>
      <c r="G345" s="59" t="s">
        <v>239</v>
      </c>
      <c r="H345" s="60" t="s">
        <v>839</v>
      </c>
      <c r="I345" s="63" t="s">
        <v>839</v>
      </c>
      <c r="J345" s="76">
        <v>1500</v>
      </c>
      <c r="K345" s="59"/>
      <c r="L345" s="59" t="s">
        <v>96</v>
      </c>
      <c r="M345" s="59" t="s">
        <v>515</v>
      </c>
      <c r="N345" s="65">
        <v>1500</v>
      </c>
      <c r="O345" s="65">
        <f t="shared" si="18"/>
        <v>0</v>
      </c>
      <c r="P345" s="66">
        <f>E345</f>
        <v>44630</v>
      </c>
      <c r="Q345" s="61">
        <f t="shared" si="17"/>
        <v>44630</v>
      </c>
      <c r="R345" s="59"/>
      <c r="S345" s="59"/>
      <c r="T345" s="59"/>
      <c r="U345" s="59"/>
      <c r="V345" s="59"/>
      <c r="W345" s="59"/>
      <c r="X345" s="59"/>
    </row>
    <row r="346" s="20" customFormat="1" hidden="1" spans="1:24">
      <c r="A346" s="59">
        <v>311</v>
      </c>
      <c r="B346" s="60" t="s">
        <v>840</v>
      </c>
      <c r="C346" s="61">
        <v>44621</v>
      </c>
      <c r="D346" s="62" t="str">
        <f ca="1" t="shared" si="16"/>
        <v>一年以上</v>
      </c>
      <c r="E346" s="66">
        <v>44631</v>
      </c>
      <c r="F346" s="66"/>
      <c r="G346" s="59" t="s">
        <v>614</v>
      </c>
      <c r="H346" s="91" t="s">
        <v>812</v>
      </c>
      <c r="I346" s="63" t="s">
        <v>812</v>
      </c>
      <c r="J346" s="76">
        <v>80000</v>
      </c>
      <c r="K346" s="59" t="s">
        <v>28</v>
      </c>
      <c r="L346" s="59" t="s">
        <v>57</v>
      </c>
      <c r="M346" s="59" t="s">
        <v>30</v>
      </c>
      <c r="N346" s="65">
        <v>80000</v>
      </c>
      <c r="O346" s="65">
        <f t="shared" si="18"/>
        <v>0</v>
      </c>
      <c r="P346" s="66">
        <v>44672</v>
      </c>
      <c r="Q346" s="61">
        <f t="shared" si="17"/>
        <v>44672</v>
      </c>
      <c r="R346" s="59"/>
      <c r="S346" s="59" t="s">
        <v>30</v>
      </c>
      <c r="T346" s="59"/>
      <c r="U346" s="59"/>
      <c r="V346" s="59"/>
      <c r="W346" s="59"/>
      <c r="X346" s="59"/>
    </row>
    <row r="347" s="20" customFormat="1" ht="24" hidden="1" spans="1:24">
      <c r="A347" s="59">
        <v>396</v>
      </c>
      <c r="B347" s="60" t="s">
        <v>841</v>
      </c>
      <c r="C347" s="61">
        <v>44621</v>
      </c>
      <c r="D347" s="62" t="str">
        <f ca="1" t="shared" si="16"/>
        <v>一年以上</v>
      </c>
      <c r="E347" s="66">
        <v>44631</v>
      </c>
      <c r="F347" s="66" t="s">
        <v>632</v>
      </c>
      <c r="G347" s="59" t="s">
        <v>450</v>
      </c>
      <c r="H347" s="60" t="s">
        <v>842</v>
      </c>
      <c r="I347" s="63" t="s">
        <v>842</v>
      </c>
      <c r="J347" s="76">
        <v>300</v>
      </c>
      <c r="K347" s="59"/>
      <c r="L347" s="59" t="s">
        <v>73</v>
      </c>
      <c r="M347" s="59" t="s">
        <v>515</v>
      </c>
      <c r="N347" s="65">
        <v>300</v>
      </c>
      <c r="O347" s="65">
        <f t="shared" si="18"/>
        <v>0</v>
      </c>
      <c r="P347" s="66">
        <f>E347</f>
        <v>44631</v>
      </c>
      <c r="Q347" s="61">
        <f t="shared" si="17"/>
        <v>44631</v>
      </c>
      <c r="R347" s="59"/>
      <c r="S347" s="59"/>
      <c r="T347" s="59"/>
      <c r="U347" s="59"/>
      <c r="V347" s="59"/>
      <c r="W347" s="59"/>
      <c r="X347" s="59"/>
    </row>
    <row r="348" s="20" customFormat="1" hidden="1" spans="1:24">
      <c r="A348" s="59">
        <v>165</v>
      </c>
      <c r="B348" s="60" t="s">
        <v>843</v>
      </c>
      <c r="C348" s="61">
        <v>44621</v>
      </c>
      <c r="D348" s="62" t="str">
        <f ca="1" t="shared" si="16"/>
        <v>一年以上</v>
      </c>
      <c r="E348" s="66">
        <v>44635</v>
      </c>
      <c r="F348" s="66" t="s">
        <v>70</v>
      </c>
      <c r="G348" s="89" t="s">
        <v>844</v>
      </c>
      <c r="H348" s="60" t="s">
        <v>472</v>
      </c>
      <c r="I348" s="63" t="s">
        <v>472</v>
      </c>
      <c r="J348" s="64">
        <v>5000</v>
      </c>
      <c r="K348" s="59"/>
      <c r="L348" s="59" t="s">
        <v>96</v>
      </c>
      <c r="M348" s="59" t="s">
        <v>65</v>
      </c>
      <c r="N348" s="65">
        <v>5000</v>
      </c>
      <c r="O348" s="65">
        <f t="shared" si="18"/>
        <v>0</v>
      </c>
      <c r="P348" s="66">
        <v>44694</v>
      </c>
      <c r="Q348" s="61">
        <f t="shared" si="17"/>
        <v>44694</v>
      </c>
      <c r="R348" s="66"/>
      <c r="S348" s="59" t="s">
        <v>65</v>
      </c>
      <c r="T348" s="59"/>
      <c r="U348" s="59"/>
      <c r="V348" s="59"/>
      <c r="W348" s="59"/>
      <c r="X348" s="59"/>
    </row>
    <row r="349" s="20" customFormat="1" hidden="1" spans="1:24">
      <c r="A349" s="59">
        <v>312</v>
      </c>
      <c r="B349" s="60" t="s">
        <v>845</v>
      </c>
      <c r="C349" s="61">
        <v>44621</v>
      </c>
      <c r="D349" s="62" t="str">
        <f ca="1" t="shared" si="16"/>
        <v>一年以上</v>
      </c>
      <c r="E349" s="66">
        <v>44635</v>
      </c>
      <c r="F349" s="66"/>
      <c r="G349" s="59" t="s">
        <v>614</v>
      </c>
      <c r="H349" s="91" t="s">
        <v>846</v>
      </c>
      <c r="I349" s="63" t="s">
        <v>846</v>
      </c>
      <c r="J349" s="76">
        <v>2000</v>
      </c>
      <c r="K349" s="59" t="s">
        <v>28</v>
      </c>
      <c r="L349" s="59" t="s">
        <v>57</v>
      </c>
      <c r="M349" s="59" t="s">
        <v>30</v>
      </c>
      <c r="N349" s="65">
        <v>2000</v>
      </c>
      <c r="O349" s="65">
        <f t="shared" si="18"/>
        <v>0</v>
      </c>
      <c r="P349" s="66">
        <v>44721</v>
      </c>
      <c r="Q349" s="61">
        <f t="shared" si="17"/>
        <v>44721</v>
      </c>
      <c r="R349" s="59"/>
      <c r="S349" s="59" t="s">
        <v>30</v>
      </c>
      <c r="T349" s="59"/>
      <c r="U349" s="59"/>
      <c r="V349" s="59"/>
      <c r="W349" s="59"/>
      <c r="X349" s="59"/>
    </row>
    <row r="350" s="20" customFormat="1" ht="24" hidden="1" spans="1:24">
      <c r="A350" s="59">
        <v>164</v>
      </c>
      <c r="B350" s="60" t="s">
        <v>847</v>
      </c>
      <c r="C350" s="61">
        <v>44621</v>
      </c>
      <c r="D350" s="62" t="str">
        <f ca="1" t="shared" si="16"/>
        <v>一年以上</v>
      </c>
      <c r="E350" s="66">
        <v>44636</v>
      </c>
      <c r="F350" s="66" t="s">
        <v>82</v>
      </c>
      <c r="G350" s="59" t="s">
        <v>608</v>
      </c>
      <c r="H350" s="60" t="s">
        <v>605</v>
      </c>
      <c r="I350" s="63" t="s">
        <v>605</v>
      </c>
      <c r="J350" s="64">
        <v>9000</v>
      </c>
      <c r="K350" s="59" t="s">
        <v>28</v>
      </c>
      <c r="L350" s="59" t="s">
        <v>57</v>
      </c>
      <c r="M350" s="59" t="s">
        <v>65</v>
      </c>
      <c r="N350" s="65">
        <v>9000</v>
      </c>
      <c r="O350" s="65">
        <f t="shared" si="18"/>
        <v>0</v>
      </c>
      <c r="P350" s="66">
        <v>44652</v>
      </c>
      <c r="Q350" s="61">
        <f t="shared" si="17"/>
        <v>44652</v>
      </c>
      <c r="R350" s="66"/>
      <c r="S350" s="59" t="s">
        <v>65</v>
      </c>
      <c r="T350" s="59"/>
      <c r="U350" s="59"/>
      <c r="V350" s="59"/>
      <c r="W350" s="59"/>
      <c r="X350" s="59"/>
    </row>
    <row r="351" s="20" customFormat="1" ht="24" hidden="1" spans="1:24">
      <c r="A351" s="59">
        <v>166</v>
      </c>
      <c r="B351" s="60" t="s">
        <v>848</v>
      </c>
      <c r="C351" s="61">
        <v>44621</v>
      </c>
      <c r="D351" s="62" t="str">
        <f ca="1" t="shared" si="16"/>
        <v>一年以上</v>
      </c>
      <c r="E351" s="66">
        <v>44643</v>
      </c>
      <c r="F351" s="66" t="s">
        <v>70</v>
      </c>
      <c r="G351" s="89" t="s">
        <v>849</v>
      </c>
      <c r="H351" s="60" t="s">
        <v>667</v>
      </c>
      <c r="I351" s="63" t="s">
        <v>667</v>
      </c>
      <c r="J351" s="64">
        <v>3000</v>
      </c>
      <c r="K351" s="59"/>
      <c r="L351" s="59" t="s">
        <v>73</v>
      </c>
      <c r="M351" s="59" t="s">
        <v>65</v>
      </c>
      <c r="N351" s="65">
        <v>3000</v>
      </c>
      <c r="O351" s="65">
        <f t="shared" si="18"/>
        <v>0</v>
      </c>
      <c r="P351" s="66">
        <v>44728</v>
      </c>
      <c r="Q351" s="61">
        <f t="shared" si="17"/>
        <v>44728</v>
      </c>
      <c r="R351" s="66"/>
      <c r="S351" s="59" t="s">
        <v>65</v>
      </c>
      <c r="T351" s="59"/>
      <c r="U351" s="59"/>
      <c r="V351" s="59"/>
      <c r="W351" s="59"/>
      <c r="X351" s="59"/>
    </row>
    <row r="352" s="20" customFormat="1" hidden="1" spans="1:24">
      <c r="A352" s="59">
        <v>313</v>
      </c>
      <c r="B352" s="60" t="s">
        <v>850</v>
      </c>
      <c r="C352" s="61">
        <v>44621</v>
      </c>
      <c r="D352" s="62" t="str">
        <f ca="1" t="shared" si="16"/>
        <v>一年以上</v>
      </c>
      <c r="E352" s="66">
        <v>44643</v>
      </c>
      <c r="F352" s="106" t="s">
        <v>632</v>
      </c>
      <c r="G352" s="59" t="s">
        <v>450</v>
      </c>
      <c r="H352" s="91" t="s">
        <v>851</v>
      </c>
      <c r="I352" s="63" t="s">
        <v>851</v>
      </c>
      <c r="J352" s="76">
        <v>10000</v>
      </c>
      <c r="K352" s="59" t="s">
        <v>28</v>
      </c>
      <c r="L352" s="59" t="s">
        <v>57</v>
      </c>
      <c r="M352" s="59" t="s">
        <v>30</v>
      </c>
      <c r="N352" s="65">
        <v>10000</v>
      </c>
      <c r="O352" s="65">
        <f t="shared" si="18"/>
        <v>0</v>
      </c>
      <c r="P352" s="66">
        <v>44650</v>
      </c>
      <c r="Q352" s="61">
        <f t="shared" si="17"/>
        <v>44650</v>
      </c>
      <c r="R352" s="59"/>
      <c r="S352" s="59" t="s">
        <v>30</v>
      </c>
      <c r="T352" s="59"/>
      <c r="U352" s="59"/>
      <c r="V352" s="59"/>
      <c r="W352" s="59"/>
      <c r="X352" s="59"/>
    </row>
    <row r="353" s="20" customFormat="1" ht="24" hidden="1" spans="1:24">
      <c r="A353" s="59">
        <v>167</v>
      </c>
      <c r="B353" s="60" t="s">
        <v>852</v>
      </c>
      <c r="C353" s="61">
        <v>44621</v>
      </c>
      <c r="D353" s="62" t="str">
        <f ca="1" t="shared" si="16"/>
        <v>一年以上</v>
      </c>
      <c r="E353" s="66">
        <v>44644</v>
      </c>
      <c r="F353" s="66" t="s">
        <v>70</v>
      </c>
      <c r="G353" s="89" t="s">
        <v>849</v>
      </c>
      <c r="H353" s="60" t="s">
        <v>667</v>
      </c>
      <c r="I353" s="63" t="s">
        <v>667</v>
      </c>
      <c r="J353" s="64">
        <v>1000</v>
      </c>
      <c r="K353" s="59"/>
      <c r="L353" s="59" t="s">
        <v>73</v>
      </c>
      <c r="M353" s="59" t="s">
        <v>65</v>
      </c>
      <c r="N353" s="65">
        <v>1000</v>
      </c>
      <c r="O353" s="65">
        <f t="shared" si="18"/>
        <v>0</v>
      </c>
      <c r="P353" s="66">
        <v>44728</v>
      </c>
      <c r="Q353" s="61">
        <f t="shared" si="17"/>
        <v>44728</v>
      </c>
      <c r="R353" s="66"/>
      <c r="S353" s="59" t="s">
        <v>65</v>
      </c>
      <c r="T353" s="59"/>
      <c r="U353" s="59"/>
      <c r="V353" s="59"/>
      <c r="W353" s="59"/>
      <c r="X353" s="59"/>
    </row>
    <row r="354" s="20" customFormat="1" ht="24" hidden="1" spans="1:24">
      <c r="A354" s="59">
        <v>397</v>
      </c>
      <c r="B354" s="60" t="s">
        <v>853</v>
      </c>
      <c r="C354" s="61">
        <v>44621</v>
      </c>
      <c r="D354" s="62" t="str">
        <f ca="1" t="shared" si="16"/>
        <v>一年以上</v>
      </c>
      <c r="E354" s="66">
        <v>44644</v>
      </c>
      <c r="F354" s="66" t="s">
        <v>632</v>
      </c>
      <c r="G354" s="59" t="s">
        <v>450</v>
      </c>
      <c r="H354" s="60" t="s">
        <v>842</v>
      </c>
      <c r="I354" s="63" t="s">
        <v>842</v>
      </c>
      <c r="J354" s="76">
        <v>200</v>
      </c>
      <c r="K354" s="59"/>
      <c r="L354" s="59" t="s">
        <v>73</v>
      </c>
      <c r="M354" s="59" t="s">
        <v>515</v>
      </c>
      <c r="N354" s="65">
        <v>200</v>
      </c>
      <c r="O354" s="65">
        <f t="shared" si="18"/>
        <v>0</v>
      </c>
      <c r="P354" s="66">
        <v>44718</v>
      </c>
      <c r="Q354" s="61">
        <f t="shared" si="17"/>
        <v>44718</v>
      </c>
      <c r="R354" s="59"/>
      <c r="S354" s="59" t="s">
        <v>854</v>
      </c>
      <c r="T354" s="59"/>
      <c r="U354" s="59"/>
      <c r="V354" s="59"/>
      <c r="W354" s="59"/>
      <c r="X354" s="59"/>
    </row>
    <row r="355" s="20" customFormat="1" ht="24" hidden="1" spans="1:24">
      <c r="A355" s="59">
        <v>168</v>
      </c>
      <c r="B355" s="60" t="s">
        <v>855</v>
      </c>
      <c r="C355" s="61">
        <v>44621</v>
      </c>
      <c r="D355" s="62" t="str">
        <f ca="1" t="shared" si="16"/>
        <v>一年以上</v>
      </c>
      <c r="E355" s="66">
        <v>44648</v>
      </c>
      <c r="F355" s="66" t="s">
        <v>70</v>
      </c>
      <c r="G355" s="89" t="s">
        <v>460</v>
      </c>
      <c r="H355" s="60" t="s">
        <v>686</v>
      </c>
      <c r="I355" s="63" t="s">
        <v>686</v>
      </c>
      <c r="J355" s="64">
        <v>2000</v>
      </c>
      <c r="K355" s="59"/>
      <c r="L355" s="59" t="s">
        <v>73</v>
      </c>
      <c r="M355" s="59" t="s">
        <v>65</v>
      </c>
      <c r="N355" s="65">
        <v>2000</v>
      </c>
      <c r="O355" s="65">
        <f t="shared" si="18"/>
        <v>0</v>
      </c>
      <c r="P355" s="66">
        <v>44712</v>
      </c>
      <c r="Q355" s="61">
        <f t="shared" si="17"/>
        <v>44712</v>
      </c>
      <c r="R355" s="66"/>
      <c r="S355" s="59" t="s">
        <v>65</v>
      </c>
      <c r="T355" s="59"/>
      <c r="U355" s="59"/>
      <c r="V355" s="59"/>
      <c r="W355" s="59"/>
      <c r="X355" s="59"/>
    </row>
    <row r="356" s="20" customFormat="1" ht="24" hidden="1" spans="1:24">
      <c r="A356" s="59">
        <v>169</v>
      </c>
      <c r="B356" s="60" t="s">
        <v>856</v>
      </c>
      <c r="C356" s="61">
        <v>44621</v>
      </c>
      <c r="D356" s="62" t="str">
        <f ca="1" t="shared" si="16"/>
        <v>一年以上</v>
      </c>
      <c r="E356" s="66">
        <v>44648</v>
      </c>
      <c r="F356" s="66" t="s">
        <v>70</v>
      </c>
      <c r="G356" s="89" t="s">
        <v>149</v>
      </c>
      <c r="H356" s="60" t="s">
        <v>600</v>
      </c>
      <c r="I356" s="63" t="s">
        <v>600</v>
      </c>
      <c r="J356" s="64">
        <v>2000</v>
      </c>
      <c r="K356" s="59"/>
      <c r="L356" s="59" t="s">
        <v>73</v>
      </c>
      <c r="M356" s="59" t="s">
        <v>65</v>
      </c>
      <c r="N356" s="65">
        <v>2000</v>
      </c>
      <c r="O356" s="65">
        <f t="shared" si="18"/>
        <v>0</v>
      </c>
      <c r="P356" s="66">
        <v>44672</v>
      </c>
      <c r="Q356" s="61">
        <f t="shared" si="17"/>
        <v>44672</v>
      </c>
      <c r="R356" s="66"/>
      <c r="S356" s="59" t="s">
        <v>65</v>
      </c>
      <c r="T356" s="59"/>
      <c r="U356" s="59"/>
      <c r="V356" s="59"/>
      <c r="W356" s="59"/>
      <c r="X356" s="59"/>
    </row>
    <row r="357" s="18" customFormat="1" ht="24" hidden="1" spans="1:24">
      <c r="A357" s="59">
        <v>170</v>
      </c>
      <c r="B357" s="60" t="s">
        <v>857</v>
      </c>
      <c r="C357" s="61">
        <v>44621</v>
      </c>
      <c r="D357" s="62" t="str">
        <f ca="1" t="shared" si="16"/>
        <v>一年以上</v>
      </c>
      <c r="E357" s="66">
        <v>44648</v>
      </c>
      <c r="F357" s="66" t="s">
        <v>70</v>
      </c>
      <c r="G357" s="89" t="s">
        <v>104</v>
      </c>
      <c r="H357" s="60" t="s">
        <v>858</v>
      </c>
      <c r="I357" s="63" t="s">
        <v>858</v>
      </c>
      <c r="J357" s="64">
        <v>2000</v>
      </c>
      <c r="K357" s="59" t="s">
        <v>28</v>
      </c>
      <c r="L357" s="59" t="s">
        <v>73</v>
      </c>
      <c r="M357" s="59" t="s">
        <v>65</v>
      </c>
      <c r="N357" s="65">
        <v>2000</v>
      </c>
      <c r="O357" s="65">
        <f t="shared" si="18"/>
        <v>0</v>
      </c>
      <c r="P357" s="66">
        <v>44797</v>
      </c>
      <c r="Q357" s="61">
        <f t="shared" si="17"/>
        <v>44797</v>
      </c>
      <c r="R357" s="66"/>
      <c r="S357" s="59" t="s">
        <v>65</v>
      </c>
      <c r="T357" s="59"/>
      <c r="U357" s="59"/>
      <c r="V357" s="59"/>
      <c r="W357" s="50"/>
      <c r="X357" s="50"/>
    </row>
    <row r="358" s="18" customFormat="1" ht="24" hidden="1" spans="1:24">
      <c r="A358" s="59">
        <v>355</v>
      </c>
      <c r="B358" s="60" t="s">
        <v>859</v>
      </c>
      <c r="C358" s="61">
        <v>44621</v>
      </c>
      <c r="D358" s="62" t="str">
        <f ca="1" t="shared" si="16"/>
        <v>一年以上</v>
      </c>
      <c r="E358" s="66">
        <v>44649</v>
      </c>
      <c r="F358" s="66" t="s">
        <v>130</v>
      </c>
      <c r="G358" s="59" t="s">
        <v>87</v>
      </c>
      <c r="H358" s="60" t="s">
        <v>860</v>
      </c>
      <c r="I358" s="63" t="s">
        <v>860</v>
      </c>
      <c r="J358" s="64">
        <v>12500</v>
      </c>
      <c r="K358" s="59" t="s">
        <v>28</v>
      </c>
      <c r="L358" s="59" t="s">
        <v>57</v>
      </c>
      <c r="M358" s="59" t="s">
        <v>133</v>
      </c>
      <c r="N358" s="65">
        <v>12500</v>
      </c>
      <c r="O358" s="65">
        <f t="shared" si="18"/>
        <v>0</v>
      </c>
      <c r="P358" s="66">
        <v>45026</v>
      </c>
      <c r="Q358" s="61">
        <f t="shared" si="17"/>
        <v>45026</v>
      </c>
      <c r="R358" s="59"/>
      <c r="S358" s="59" t="s">
        <v>861</v>
      </c>
      <c r="T358" s="59" t="s">
        <v>86</v>
      </c>
      <c r="U358" s="59"/>
      <c r="V358" s="59"/>
      <c r="W358" s="50"/>
      <c r="X358" s="50"/>
    </row>
    <row r="359" s="20" customFormat="1" ht="24" hidden="1" spans="1:24">
      <c r="A359" s="59">
        <v>356</v>
      </c>
      <c r="B359" s="60" t="s">
        <v>862</v>
      </c>
      <c r="C359" s="61">
        <v>44621</v>
      </c>
      <c r="D359" s="62" t="str">
        <f ca="1" t="shared" si="16"/>
        <v>一年以上</v>
      </c>
      <c r="E359" s="66">
        <v>44651</v>
      </c>
      <c r="F359" s="66" t="s">
        <v>130</v>
      </c>
      <c r="G359" s="59" t="s">
        <v>569</v>
      </c>
      <c r="H359" s="60" t="s">
        <v>863</v>
      </c>
      <c r="I359" s="63" t="s">
        <v>863</v>
      </c>
      <c r="J359" s="64">
        <v>12736</v>
      </c>
      <c r="K359" s="59" t="s">
        <v>28</v>
      </c>
      <c r="L359" s="59" t="s">
        <v>57</v>
      </c>
      <c r="M359" s="59" t="s">
        <v>133</v>
      </c>
      <c r="N359" s="65">
        <v>12736</v>
      </c>
      <c r="O359" s="65">
        <f t="shared" si="18"/>
        <v>0</v>
      </c>
      <c r="P359" s="66">
        <v>44925</v>
      </c>
      <c r="Q359" s="61">
        <f t="shared" si="17"/>
        <v>44925</v>
      </c>
      <c r="R359" s="59"/>
      <c r="S359" s="60" t="s">
        <v>864</v>
      </c>
      <c r="T359" s="59"/>
      <c r="U359" s="59"/>
      <c r="V359" s="59"/>
      <c r="W359" s="59"/>
      <c r="X359" s="59"/>
    </row>
    <row r="360" s="20" customFormat="1" ht="24" hidden="1" spans="1:24">
      <c r="A360" s="59">
        <v>314</v>
      </c>
      <c r="B360" s="60" t="s">
        <v>865</v>
      </c>
      <c r="C360" s="61">
        <v>44652</v>
      </c>
      <c r="D360" s="62" t="str">
        <f ca="1" t="shared" si="16"/>
        <v>一年以上</v>
      </c>
      <c r="E360" s="66">
        <v>44657</v>
      </c>
      <c r="F360" s="66"/>
      <c r="G360" s="59" t="s">
        <v>614</v>
      </c>
      <c r="H360" s="91" t="s">
        <v>315</v>
      </c>
      <c r="I360" s="63" t="s">
        <v>315</v>
      </c>
      <c r="J360" s="96">
        <v>10000</v>
      </c>
      <c r="K360" s="59" t="s">
        <v>28</v>
      </c>
      <c r="L360" s="59" t="s">
        <v>73</v>
      </c>
      <c r="M360" s="59" t="s">
        <v>30</v>
      </c>
      <c r="N360" s="65">
        <v>10000</v>
      </c>
      <c r="O360" s="65">
        <f t="shared" si="18"/>
        <v>0</v>
      </c>
      <c r="P360" s="66">
        <v>44818</v>
      </c>
      <c r="Q360" s="61">
        <f t="shared" si="17"/>
        <v>44818</v>
      </c>
      <c r="R360" s="59"/>
      <c r="S360" s="59" t="s">
        <v>30</v>
      </c>
      <c r="T360" s="59"/>
      <c r="U360" s="59"/>
      <c r="V360" s="59"/>
      <c r="W360" s="59"/>
      <c r="X360" s="59"/>
    </row>
    <row r="361" s="20" customFormat="1" ht="24" hidden="1" spans="1:24">
      <c r="A361" s="59">
        <v>315</v>
      </c>
      <c r="B361" s="60" t="s">
        <v>866</v>
      </c>
      <c r="C361" s="61">
        <v>44652</v>
      </c>
      <c r="D361" s="62" t="str">
        <f ca="1" t="shared" si="16"/>
        <v>一年以上</v>
      </c>
      <c r="E361" s="66">
        <v>44657</v>
      </c>
      <c r="F361" s="66"/>
      <c r="G361" s="59" t="s">
        <v>614</v>
      </c>
      <c r="H361" s="91" t="s">
        <v>867</v>
      </c>
      <c r="I361" s="63" t="s">
        <v>867</v>
      </c>
      <c r="J361" s="76">
        <v>15000</v>
      </c>
      <c r="K361" s="59" t="s">
        <v>356</v>
      </c>
      <c r="L361" s="59" t="s">
        <v>458</v>
      </c>
      <c r="M361" s="59" t="s">
        <v>30</v>
      </c>
      <c r="N361" s="65">
        <v>15000</v>
      </c>
      <c r="O361" s="65">
        <f t="shared" si="18"/>
        <v>0</v>
      </c>
      <c r="P361" s="66">
        <v>44754</v>
      </c>
      <c r="Q361" s="61">
        <f t="shared" si="17"/>
        <v>44754</v>
      </c>
      <c r="R361" s="59"/>
      <c r="S361" s="59" t="s">
        <v>30</v>
      </c>
      <c r="T361" s="59"/>
      <c r="U361" s="59"/>
      <c r="V361" s="59"/>
      <c r="W361" s="59"/>
      <c r="X361" s="59"/>
    </row>
    <row r="362" s="20" customFormat="1" ht="24" hidden="1" spans="1:24">
      <c r="A362" s="59">
        <v>317</v>
      </c>
      <c r="B362" s="60" t="s">
        <v>868</v>
      </c>
      <c r="C362" s="61">
        <v>44652</v>
      </c>
      <c r="D362" s="62" t="str">
        <f ca="1" t="shared" si="16"/>
        <v>一年以上</v>
      </c>
      <c r="E362" s="66">
        <v>44658</v>
      </c>
      <c r="F362" s="66"/>
      <c r="G362" s="59" t="s">
        <v>614</v>
      </c>
      <c r="H362" s="60" t="s">
        <v>325</v>
      </c>
      <c r="I362" s="63" t="s">
        <v>325</v>
      </c>
      <c r="J362" s="76">
        <v>2000</v>
      </c>
      <c r="K362" s="59" t="s">
        <v>356</v>
      </c>
      <c r="L362" s="59" t="s">
        <v>468</v>
      </c>
      <c r="M362" s="59" t="s">
        <v>30</v>
      </c>
      <c r="N362" s="65">
        <v>2000</v>
      </c>
      <c r="O362" s="65">
        <f t="shared" si="18"/>
        <v>0</v>
      </c>
      <c r="P362" s="66">
        <v>44771</v>
      </c>
      <c r="Q362" s="61">
        <f t="shared" si="17"/>
        <v>44771</v>
      </c>
      <c r="R362" s="59"/>
      <c r="S362" s="59"/>
      <c r="T362" s="59"/>
      <c r="U362" s="59"/>
      <c r="V362" s="59"/>
      <c r="W362" s="59"/>
      <c r="X362" s="59"/>
    </row>
    <row r="363" s="20" customFormat="1" hidden="1" spans="1:24">
      <c r="A363" s="59">
        <v>398</v>
      </c>
      <c r="B363" s="60" t="s">
        <v>869</v>
      </c>
      <c r="C363" s="61">
        <v>44652</v>
      </c>
      <c r="D363" s="62" t="str">
        <f ca="1" t="shared" si="16"/>
        <v>一年以上</v>
      </c>
      <c r="E363" s="66">
        <v>44658</v>
      </c>
      <c r="F363" s="66" t="s">
        <v>632</v>
      </c>
      <c r="G363" s="59" t="s">
        <v>450</v>
      </c>
      <c r="H363" s="60" t="s">
        <v>863</v>
      </c>
      <c r="I363" s="63" t="s">
        <v>863</v>
      </c>
      <c r="J363" s="76">
        <v>500</v>
      </c>
      <c r="K363" s="59"/>
      <c r="L363" s="59" t="s">
        <v>73</v>
      </c>
      <c r="M363" s="59" t="s">
        <v>515</v>
      </c>
      <c r="N363" s="65">
        <v>500</v>
      </c>
      <c r="O363" s="65">
        <f t="shared" si="18"/>
        <v>0</v>
      </c>
      <c r="P363" s="66">
        <v>44705</v>
      </c>
      <c r="Q363" s="61">
        <f t="shared" si="17"/>
        <v>44705</v>
      </c>
      <c r="R363" s="59"/>
      <c r="S363" s="60" t="s">
        <v>870</v>
      </c>
      <c r="T363" s="59"/>
      <c r="U363" s="59"/>
      <c r="V363" s="59"/>
      <c r="W363" s="59"/>
      <c r="X363" s="59"/>
    </row>
    <row r="364" s="20" customFormat="1" ht="24" hidden="1" spans="1:24">
      <c r="A364" s="59">
        <v>399</v>
      </c>
      <c r="B364" s="60" t="s">
        <v>871</v>
      </c>
      <c r="C364" s="61">
        <v>44652</v>
      </c>
      <c r="D364" s="62" t="str">
        <f ca="1" t="shared" si="16"/>
        <v>一年以上</v>
      </c>
      <c r="E364" s="66">
        <v>44664</v>
      </c>
      <c r="F364" s="66" t="s">
        <v>632</v>
      </c>
      <c r="G364" s="59" t="s">
        <v>614</v>
      </c>
      <c r="H364" s="60" t="s">
        <v>872</v>
      </c>
      <c r="I364" s="63" t="s">
        <v>872</v>
      </c>
      <c r="J364" s="76">
        <v>800</v>
      </c>
      <c r="K364" s="59" t="s">
        <v>28</v>
      </c>
      <c r="L364" s="59" t="s">
        <v>873</v>
      </c>
      <c r="M364" s="59" t="s">
        <v>515</v>
      </c>
      <c r="N364" s="65">
        <v>800</v>
      </c>
      <c r="O364" s="65">
        <f t="shared" si="18"/>
        <v>0</v>
      </c>
      <c r="P364" s="66">
        <v>44728</v>
      </c>
      <c r="Q364" s="61">
        <f t="shared" si="17"/>
        <v>44728</v>
      </c>
      <c r="R364" s="59"/>
      <c r="S364" s="59"/>
      <c r="T364" s="59"/>
      <c r="U364" s="59"/>
      <c r="V364" s="59"/>
      <c r="W364" s="59"/>
      <c r="X364" s="59"/>
    </row>
    <row r="365" s="20" customFormat="1" ht="24" hidden="1" spans="1:24">
      <c r="A365" s="59">
        <v>171</v>
      </c>
      <c r="B365" s="60" t="s">
        <v>874</v>
      </c>
      <c r="C365" s="61">
        <v>44652</v>
      </c>
      <c r="D365" s="62" t="str">
        <f ca="1" t="shared" si="16"/>
        <v>一年以上</v>
      </c>
      <c r="E365" s="66">
        <v>44671</v>
      </c>
      <c r="F365" s="66" t="s">
        <v>70</v>
      </c>
      <c r="G365" s="89" t="s">
        <v>149</v>
      </c>
      <c r="H365" s="60" t="s">
        <v>600</v>
      </c>
      <c r="I365" s="63" t="s">
        <v>600</v>
      </c>
      <c r="J365" s="64">
        <v>600</v>
      </c>
      <c r="K365" s="59"/>
      <c r="L365" s="59" t="s">
        <v>73</v>
      </c>
      <c r="M365" s="59" t="s">
        <v>65</v>
      </c>
      <c r="N365" s="65">
        <v>600</v>
      </c>
      <c r="O365" s="65">
        <f t="shared" si="18"/>
        <v>0</v>
      </c>
      <c r="P365" s="66">
        <v>44701</v>
      </c>
      <c r="Q365" s="61">
        <f t="shared" si="17"/>
        <v>44701</v>
      </c>
      <c r="R365" s="66"/>
      <c r="S365" s="59" t="s">
        <v>65</v>
      </c>
      <c r="T365" s="59"/>
      <c r="U365" s="59"/>
      <c r="V365" s="59"/>
      <c r="W365" s="59"/>
      <c r="X365" s="59"/>
    </row>
    <row r="366" s="20" customFormat="1" ht="24" hidden="1" spans="1:24">
      <c r="A366" s="59">
        <v>318</v>
      </c>
      <c r="B366" s="60" t="s">
        <v>875</v>
      </c>
      <c r="C366" s="61">
        <v>44652</v>
      </c>
      <c r="D366" s="62" t="str">
        <f ca="1" t="shared" si="16"/>
        <v>一年以上</v>
      </c>
      <c r="E366" s="66">
        <v>44672</v>
      </c>
      <c r="F366" s="66"/>
      <c r="G366" s="59" t="s">
        <v>614</v>
      </c>
      <c r="H366" s="60" t="s">
        <v>876</v>
      </c>
      <c r="I366" s="63" t="s">
        <v>876</v>
      </c>
      <c r="J366" s="76">
        <v>15000</v>
      </c>
      <c r="K366" s="59" t="s">
        <v>28</v>
      </c>
      <c r="L366" s="59" t="s">
        <v>57</v>
      </c>
      <c r="M366" s="59" t="s">
        <v>30</v>
      </c>
      <c r="N366" s="65">
        <v>15000</v>
      </c>
      <c r="O366" s="65">
        <f t="shared" si="18"/>
        <v>0</v>
      </c>
      <c r="P366" s="66">
        <v>44692</v>
      </c>
      <c r="Q366" s="61">
        <f t="shared" si="17"/>
        <v>44692</v>
      </c>
      <c r="R366" s="59"/>
      <c r="S366" s="59" t="s">
        <v>877</v>
      </c>
      <c r="T366" s="59"/>
      <c r="U366" s="59"/>
      <c r="V366" s="59"/>
      <c r="W366" s="59"/>
      <c r="X366" s="59"/>
    </row>
    <row r="367" s="20" customFormat="1" ht="24" hidden="1" spans="1:24">
      <c r="A367" s="59">
        <v>400</v>
      </c>
      <c r="B367" s="60" t="s">
        <v>878</v>
      </c>
      <c r="C367" s="61">
        <v>44652</v>
      </c>
      <c r="D367" s="62" t="str">
        <f ca="1" t="shared" si="16"/>
        <v>一年以上</v>
      </c>
      <c r="E367" s="66">
        <v>44672</v>
      </c>
      <c r="F367" s="66" t="s">
        <v>632</v>
      </c>
      <c r="G367" s="59" t="s">
        <v>614</v>
      </c>
      <c r="H367" s="60" t="s">
        <v>872</v>
      </c>
      <c r="I367" s="63" t="s">
        <v>872</v>
      </c>
      <c r="J367" s="76">
        <v>800</v>
      </c>
      <c r="K367" s="59"/>
      <c r="L367" s="59" t="s">
        <v>73</v>
      </c>
      <c r="M367" s="59" t="s">
        <v>515</v>
      </c>
      <c r="N367" s="65">
        <v>800</v>
      </c>
      <c r="O367" s="65">
        <f t="shared" si="18"/>
        <v>0</v>
      </c>
      <c r="P367" s="66">
        <v>44728</v>
      </c>
      <c r="Q367" s="61">
        <f t="shared" si="17"/>
        <v>44728</v>
      </c>
      <c r="R367" s="59"/>
      <c r="S367" s="59"/>
      <c r="T367" s="59"/>
      <c r="U367" s="59"/>
      <c r="V367" s="59"/>
      <c r="W367" s="59"/>
      <c r="X367" s="59"/>
    </row>
    <row r="368" s="20" customFormat="1" ht="24" hidden="1" spans="1:24">
      <c r="A368" s="59">
        <v>319</v>
      </c>
      <c r="B368" s="60" t="s">
        <v>879</v>
      </c>
      <c r="C368" s="61">
        <v>44652</v>
      </c>
      <c r="D368" s="62" t="str">
        <f ca="1" t="shared" si="16"/>
        <v>一年以上</v>
      </c>
      <c r="E368" s="66">
        <v>44673</v>
      </c>
      <c r="F368" s="66"/>
      <c r="G368" s="59" t="s">
        <v>614</v>
      </c>
      <c r="H368" s="60" t="s">
        <v>115</v>
      </c>
      <c r="I368" s="63" t="s">
        <v>115</v>
      </c>
      <c r="J368" s="76">
        <v>20000</v>
      </c>
      <c r="K368" s="59" t="s">
        <v>356</v>
      </c>
      <c r="L368" s="59" t="s">
        <v>458</v>
      </c>
      <c r="M368" s="59" t="s">
        <v>30</v>
      </c>
      <c r="N368" s="65">
        <v>20000</v>
      </c>
      <c r="O368" s="65">
        <f t="shared" si="18"/>
        <v>0</v>
      </c>
      <c r="P368" s="66">
        <v>44734</v>
      </c>
      <c r="Q368" s="61">
        <f t="shared" si="17"/>
        <v>44734</v>
      </c>
      <c r="R368" s="59"/>
      <c r="S368" s="59" t="s">
        <v>877</v>
      </c>
      <c r="T368" s="59"/>
      <c r="U368" s="59"/>
      <c r="V368" s="59"/>
      <c r="W368" s="59"/>
      <c r="X368" s="59"/>
    </row>
    <row r="369" s="20" customFormat="1" ht="24" hidden="1" spans="1:24">
      <c r="A369" s="59">
        <v>320</v>
      </c>
      <c r="B369" s="60" t="s">
        <v>880</v>
      </c>
      <c r="C369" s="61">
        <v>44652</v>
      </c>
      <c r="D369" s="62" t="str">
        <f ca="1" t="shared" si="16"/>
        <v>一年以上</v>
      </c>
      <c r="E369" s="66">
        <v>44677</v>
      </c>
      <c r="F369" s="66"/>
      <c r="G369" s="59" t="s">
        <v>614</v>
      </c>
      <c r="H369" s="60" t="s">
        <v>325</v>
      </c>
      <c r="I369" s="63" t="s">
        <v>325</v>
      </c>
      <c r="J369" s="76">
        <v>1500</v>
      </c>
      <c r="K369" s="59" t="s">
        <v>356</v>
      </c>
      <c r="L369" s="59" t="s">
        <v>458</v>
      </c>
      <c r="M369" s="59" t="s">
        <v>30</v>
      </c>
      <c r="N369" s="65">
        <v>1500</v>
      </c>
      <c r="O369" s="65">
        <f t="shared" si="18"/>
        <v>0</v>
      </c>
      <c r="P369" s="66">
        <v>44771</v>
      </c>
      <c r="Q369" s="61">
        <f t="shared" si="17"/>
        <v>44771</v>
      </c>
      <c r="R369" s="59"/>
      <c r="S369" s="59" t="s">
        <v>877</v>
      </c>
      <c r="T369" s="59"/>
      <c r="U369" s="59"/>
      <c r="V369" s="59"/>
      <c r="W369" s="59"/>
      <c r="X369" s="59"/>
    </row>
    <row r="370" s="20" customFormat="1" ht="24" hidden="1" spans="1:24">
      <c r="A370" s="59">
        <v>321</v>
      </c>
      <c r="B370" s="60" t="s">
        <v>881</v>
      </c>
      <c r="C370" s="61">
        <v>44652</v>
      </c>
      <c r="D370" s="62" t="str">
        <f ca="1" t="shared" si="16"/>
        <v>一年以上</v>
      </c>
      <c r="E370" s="66">
        <v>44677</v>
      </c>
      <c r="F370" s="66"/>
      <c r="G370" s="59" t="s">
        <v>614</v>
      </c>
      <c r="H370" s="60" t="s">
        <v>325</v>
      </c>
      <c r="I370" s="63" t="s">
        <v>325</v>
      </c>
      <c r="J370" s="76">
        <v>1000</v>
      </c>
      <c r="K370" s="59" t="s">
        <v>356</v>
      </c>
      <c r="L370" s="59" t="s">
        <v>458</v>
      </c>
      <c r="M370" s="59" t="s">
        <v>30</v>
      </c>
      <c r="N370" s="65">
        <v>1000</v>
      </c>
      <c r="O370" s="65">
        <f t="shared" si="18"/>
        <v>0</v>
      </c>
      <c r="P370" s="66">
        <v>44897</v>
      </c>
      <c r="Q370" s="61">
        <f t="shared" si="17"/>
        <v>44897</v>
      </c>
      <c r="R370" s="59"/>
      <c r="S370" s="59" t="s">
        <v>877</v>
      </c>
      <c r="T370" s="59"/>
      <c r="U370" s="59"/>
      <c r="V370" s="59"/>
      <c r="W370" s="59"/>
      <c r="X370" s="59"/>
    </row>
    <row r="371" s="20" customFormat="1" ht="24" hidden="1" spans="1:24">
      <c r="A371" s="59">
        <v>323</v>
      </c>
      <c r="B371" s="60" t="s">
        <v>882</v>
      </c>
      <c r="C371" s="61">
        <v>44652</v>
      </c>
      <c r="D371" s="62" t="str">
        <f ca="1" t="shared" si="16"/>
        <v>一年以上</v>
      </c>
      <c r="E371" s="66">
        <v>44677</v>
      </c>
      <c r="F371" s="66"/>
      <c r="G371" s="59" t="s">
        <v>614</v>
      </c>
      <c r="H371" s="60" t="s">
        <v>872</v>
      </c>
      <c r="I371" s="63" t="s">
        <v>872</v>
      </c>
      <c r="J371" s="76">
        <v>20000</v>
      </c>
      <c r="K371" s="59" t="s">
        <v>28</v>
      </c>
      <c r="L371" s="59" t="s">
        <v>57</v>
      </c>
      <c r="M371" s="59" t="s">
        <v>30</v>
      </c>
      <c r="N371" s="65">
        <v>20000</v>
      </c>
      <c r="O371" s="65">
        <f t="shared" si="18"/>
        <v>0</v>
      </c>
      <c r="P371" s="66">
        <v>44896</v>
      </c>
      <c r="Q371" s="61">
        <f t="shared" si="17"/>
        <v>44896</v>
      </c>
      <c r="R371" s="59"/>
      <c r="S371" s="59" t="s">
        <v>877</v>
      </c>
      <c r="T371" s="59"/>
      <c r="U371" s="59"/>
      <c r="V371" s="59"/>
      <c r="W371" s="59"/>
      <c r="X371" s="59"/>
    </row>
    <row r="372" s="20" customFormat="1" ht="24" hidden="1" spans="1:24">
      <c r="A372" s="59">
        <v>324</v>
      </c>
      <c r="B372" s="60" t="s">
        <v>883</v>
      </c>
      <c r="C372" s="61">
        <v>44652</v>
      </c>
      <c r="D372" s="62" t="str">
        <f ca="1" t="shared" si="16"/>
        <v>一年以上</v>
      </c>
      <c r="E372" s="66">
        <v>44677</v>
      </c>
      <c r="F372" s="66"/>
      <c r="G372" s="59" t="s">
        <v>614</v>
      </c>
      <c r="H372" s="60" t="s">
        <v>872</v>
      </c>
      <c r="I372" s="63" t="s">
        <v>872</v>
      </c>
      <c r="J372" s="76">
        <v>30000</v>
      </c>
      <c r="K372" s="59" t="s">
        <v>28</v>
      </c>
      <c r="L372" s="59" t="s">
        <v>57</v>
      </c>
      <c r="M372" s="59" t="s">
        <v>30</v>
      </c>
      <c r="N372" s="65">
        <v>30000</v>
      </c>
      <c r="O372" s="65">
        <f t="shared" si="18"/>
        <v>0</v>
      </c>
      <c r="P372" s="66">
        <v>44692</v>
      </c>
      <c r="Q372" s="61">
        <f t="shared" si="17"/>
        <v>44692</v>
      </c>
      <c r="R372" s="59"/>
      <c r="S372" s="59" t="s">
        <v>877</v>
      </c>
      <c r="T372" s="59"/>
      <c r="U372" s="59"/>
      <c r="V372" s="59"/>
      <c r="W372" s="59"/>
      <c r="X372" s="59"/>
    </row>
    <row r="373" s="20" customFormat="1" ht="24" hidden="1" spans="1:24">
      <c r="A373" s="59">
        <v>325</v>
      </c>
      <c r="B373" s="60" t="s">
        <v>884</v>
      </c>
      <c r="C373" s="61">
        <v>44652</v>
      </c>
      <c r="D373" s="62" t="str">
        <f ca="1" t="shared" si="16"/>
        <v>一年以上</v>
      </c>
      <c r="E373" s="66">
        <v>44678</v>
      </c>
      <c r="F373" s="66"/>
      <c r="G373" s="59" t="s">
        <v>614</v>
      </c>
      <c r="H373" s="60" t="s">
        <v>366</v>
      </c>
      <c r="I373" s="63" t="s">
        <v>366</v>
      </c>
      <c r="J373" s="76">
        <v>5000</v>
      </c>
      <c r="K373" s="59" t="s">
        <v>356</v>
      </c>
      <c r="L373" s="59" t="s">
        <v>458</v>
      </c>
      <c r="M373" s="59" t="s">
        <v>30</v>
      </c>
      <c r="N373" s="65">
        <v>5000</v>
      </c>
      <c r="O373" s="65">
        <f t="shared" si="18"/>
        <v>0</v>
      </c>
      <c r="P373" s="66">
        <v>44708</v>
      </c>
      <c r="Q373" s="61">
        <f t="shared" si="17"/>
        <v>44708</v>
      </c>
      <c r="R373" s="59"/>
      <c r="S373" s="59" t="s">
        <v>877</v>
      </c>
      <c r="T373" s="59"/>
      <c r="U373" s="59"/>
      <c r="V373" s="59"/>
      <c r="W373" s="59"/>
      <c r="X373" s="59"/>
    </row>
    <row r="374" s="20" customFormat="1" hidden="1" spans="1:24">
      <c r="A374" s="59">
        <v>326</v>
      </c>
      <c r="B374" s="60" t="s">
        <v>885</v>
      </c>
      <c r="C374" s="61">
        <v>44652</v>
      </c>
      <c r="D374" s="62" t="str">
        <f ca="1" t="shared" si="16"/>
        <v>一年以上</v>
      </c>
      <c r="E374" s="66">
        <v>44679</v>
      </c>
      <c r="F374" s="106" t="s">
        <v>632</v>
      </c>
      <c r="G374" s="59" t="s">
        <v>450</v>
      </c>
      <c r="H374" s="60" t="s">
        <v>851</v>
      </c>
      <c r="I374" s="63" t="s">
        <v>851</v>
      </c>
      <c r="J374" s="76">
        <v>10000</v>
      </c>
      <c r="K374" s="59" t="s">
        <v>28</v>
      </c>
      <c r="L374" s="59" t="s">
        <v>57</v>
      </c>
      <c r="M374" s="59" t="s">
        <v>30</v>
      </c>
      <c r="N374" s="65">
        <v>10000</v>
      </c>
      <c r="O374" s="65">
        <f t="shared" si="18"/>
        <v>0</v>
      </c>
      <c r="P374" s="66">
        <v>44692</v>
      </c>
      <c r="Q374" s="61">
        <f t="shared" si="17"/>
        <v>44692</v>
      </c>
      <c r="R374" s="59"/>
      <c r="S374" s="59" t="s">
        <v>877</v>
      </c>
      <c r="T374" s="59"/>
      <c r="U374" s="59"/>
      <c r="V374" s="59"/>
      <c r="W374" s="59"/>
      <c r="X374" s="59"/>
    </row>
    <row r="375" s="20" customFormat="1" ht="24" hidden="1" spans="1:24">
      <c r="A375" s="59">
        <v>401</v>
      </c>
      <c r="B375" s="60" t="s">
        <v>886</v>
      </c>
      <c r="C375" s="61">
        <v>44682</v>
      </c>
      <c r="D375" s="62" t="str">
        <f ca="1" t="shared" si="16"/>
        <v>一年以上</v>
      </c>
      <c r="E375" s="66">
        <v>44687</v>
      </c>
      <c r="F375" s="66" t="s">
        <v>632</v>
      </c>
      <c r="G375" s="59" t="s">
        <v>450</v>
      </c>
      <c r="H375" s="60" t="s">
        <v>555</v>
      </c>
      <c r="I375" s="63" t="s">
        <v>555</v>
      </c>
      <c r="J375" s="76">
        <v>600</v>
      </c>
      <c r="K375" s="59"/>
      <c r="L375" s="59" t="s">
        <v>73</v>
      </c>
      <c r="M375" s="59" t="s">
        <v>515</v>
      </c>
      <c r="N375" s="65">
        <v>600</v>
      </c>
      <c r="O375" s="65">
        <f t="shared" si="18"/>
        <v>0</v>
      </c>
      <c r="P375" s="66">
        <v>44707</v>
      </c>
      <c r="Q375" s="61">
        <f t="shared" si="17"/>
        <v>44707</v>
      </c>
      <c r="R375" s="59"/>
      <c r="S375" s="59" t="s">
        <v>887</v>
      </c>
      <c r="T375" s="59"/>
      <c r="U375" s="59"/>
      <c r="V375" s="59"/>
      <c r="W375" s="59"/>
      <c r="X375" s="59"/>
    </row>
    <row r="376" s="20" customFormat="1" ht="24" hidden="1" spans="1:24">
      <c r="A376" s="59">
        <v>327</v>
      </c>
      <c r="B376" s="60" t="s">
        <v>888</v>
      </c>
      <c r="C376" s="61">
        <v>44682</v>
      </c>
      <c r="D376" s="62" t="str">
        <f ca="1" t="shared" si="16"/>
        <v>一年以上</v>
      </c>
      <c r="E376" s="66">
        <v>44690</v>
      </c>
      <c r="F376" s="66"/>
      <c r="G376" s="59" t="s">
        <v>614</v>
      </c>
      <c r="H376" s="60" t="s">
        <v>490</v>
      </c>
      <c r="I376" s="63" t="s">
        <v>490</v>
      </c>
      <c r="J376" s="64">
        <v>1000</v>
      </c>
      <c r="K376" s="59" t="s">
        <v>28</v>
      </c>
      <c r="L376" s="59" t="s">
        <v>57</v>
      </c>
      <c r="M376" s="59" t="s">
        <v>30</v>
      </c>
      <c r="N376" s="65">
        <v>1000</v>
      </c>
      <c r="O376" s="65">
        <f t="shared" si="18"/>
        <v>0</v>
      </c>
      <c r="P376" s="66">
        <v>44705</v>
      </c>
      <c r="Q376" s="61">
        <f t="shared" si="17"/>
        <v>44705</v>
      </c>
      <c r="R376" s="59"/>
      <c r="S376" s="59"/>
      <c r="T376" s="59"/>
      <c r="U376" s="59"/>
      <c r="V376" s="59"/>
      <c r="W376" s="59"/>
      <c r="X376" s="59"/>
    </row>
    <row r="377" s="20" customFormat="1" hidden="1" spans="1:24">
      <c r="A377" s="59">
        <v>328</v>
      </c>
      <c r="B377" s="60" t="s">
        <v>889</v>
      </c>
      <c r="C377" s="61">
        <v>44682</v>
      </c>
      <c r="D377" s="62" t="str">
        <f ca="1" t="shared" si="16"/>
        <v>一年以上</v>
      </c>
      <c r="E377" s="66">
        <v>44690</v>
      </c>
      <c r="F377" s="66"/>
      <c r="G377" s="59" t="s">
        <v>450</v>
      </c>
      <c r="H377" s="60" t="s">
        <v>890</v>
      </c>
      <c r="I377" s="63" t="s">
        <v>890</v>
      </c>
      <c r="J377" s="76">
        <v>20000</v>
      </c>
      <c r="K377" s="59" t="s">
        <v>28</v>
      </c>
      <c r="L377" s="59" t="s">
        <v>57</v>
      </c>
      <c r="M377" s="59" t="s">
        <v>30</v>
      </c>
      <c r="N377" s="65">
        <v>20000</v>
      </c>
      <c r="O377" s="65">
        <f t="shared" si="18"/>
        <v>0</v>
      </c>
      <c r="P377" s="66">
        <v>44694</v>
      </c>
      <c r="Q377" s="61">
        <f t="shared" si="17"/>
        <v>44694</v>
      </c>
      <c r="R377" s="59"/>
      <c r="S377" s="59" t="s">
        <v>891</v>
      </c>
      <c r="T377" s="59"/>
      <c r="U377" s="59"/>
      <c r="V377" s="59"/>
      <c r="W377" s="59"/>
      <c r="X377" s="59"/>
    </row>
    <row r="378" s="20" customFormat="1" hidden="1" spans="1:24">
      <c r="A378" s="59">
        <v>402</v>
      </c>
      <c r="B378" s="60" t="s">
        <v>892</v>
      </c>
      <c r="C378" s="61">
        <v>44682</v>
      </c>
      <c r="D378" s="62" t="str">
        <f ca="1" t="shared" si="16"/>
        <v>一年以上</v>
      </c>
      <c r="E378" s="66">
        <v>44690</v>
      </c>
      <c r="F378" s="66" t="s">
        <v>632</v>
      </c>
      <c r="G378" s="59" t="s">
        <v>614</v>
      </c>
      <c r="H378" s="60" t="s">
        <v>863</v>
      </c>
      <c r="I378" s="63" t="s">
        <v>863</v>
      </c>
      <c r="J378" s="76">
        <v>500</v>
      </c>
      <c r="K378" s="59"/>
      <c r="L378" s="59" t="s">
        <v>73</v>
      </c>
      <c r="M378" s="59" t="s">
        <v>515</v>
      </c>
      <c r="N378" s="65">
        <v>500</v>
      </c>
      <c r="O378" s="65">
        <f t="shared" si="18"/>
        <v>0</v>
      </c>
      <c r="P378" s="66">
        <v>44728</v>
      </c>
      <c r="Q378" s="61">
        <f t="shared" si="17"/>
        <v>44728</v>
      </c>
      <c r="R378" s="59"/>
      <c r="S378" s="60"/>
      <c r="T378" s="59"/>
      <c r="U378" s="59"/>
      <c r="V378" s="59"/>
      <c r="W378" s="59"/>
      <c r="X378" s="59"/>
    </row>
    <row r="379" s="20" customFormat="1" hidden="1" spans="1:24">
      <c r="A379" s="59">
        <v>403</v>
      </c>
      <c r="B379" s="60" t="s">
        <v>893</v>
      </c>
      <c r="C379" s="61">
        <v>44682</v>
      </c>
      <c r="D379" s="62" t="str">
        <f ca="1" t="shared" si="16"/>
        <v>一年以上</v>
      </c>
      <c r="E379" s="66">
        <v>44690</v>
      </c>
      <c r="F379" s="66" t="s">
        <v>632</v>
      </c>
      <c r="G379" s="59" t="s">
        <v>450</v>
      </c>
      <c r="H379" s="60" t="s">
        <v>894</v>
      </c>
      <c r="I379" s="63" t="s">
        <v>894</v>
      </c>
      <c r="J379" s="76">
        <v>200</v>
      </c>
      <c r="K379" s="59"/>
      <c r="L379" s="59" t="s">
        <v>73</v>
      </c>
      <c r="M379" s="59" t="s">
        <v>515</v>
      </c>
      <c r="N379" s="65">
        <v>200</v>
      </c>
      <c r="O379" s="65">
        <f t="shared" si="18"/>
        <v>0</v>
      </c>
      <c r="P379" s="66">
        <v>44705</v>
      </c>
      <c r="Q379" s="61">
        <f t="shared" si="17"/>
        <v>44705</v>
      </c>
      <c r="R379" s="59"/>
      <c r="S379" s="59" t="s">
        <v>895</v>
      </c>
      <c r="T379" s="59"/>
      <c r="U379" s="59"/>
      <c r="V379" s="59"/>
      <c r="W379" s="59"/>
      <c r="X379" s="59"/>
    </row>
    <row r="380" s="20" customFormat="1" hidden="1" spans="1:24">
      <c r="A380" s="59">
        <v>329</v>
      </c>
      <c r="B380" s="60" t="s">
        <v>896</v>
      </c>
      <c r="C380" s="61">
        <v>44682</v>
      </c>
      <c r="D380" s="62" t="str">
        <f ca="1" t="shared" si="16"/>
        <v>一年以上</v>
      </c>
      <c r="E380" s="66">
        <v>44691</v>
      </c>
      <c r="F380" s="66"/>
      <c r="G380" s="59" t="s">
        <v>897</v>
      </c>
      <c r="H380" s="60" t="s">
        <v>890</v>
      </c>
      <c r="I380" s="63" t="s">
        <v>890</v>
      </c>
      <c r="J380" s="76">
        <v>20000</v>
      </c>
      <c r="K380" s="59"/>
      <c r="L380" s="59" t="s">
        <v>96</v>
      </c>
      <c r="M380" s="59" t="s">
        <v>30</v>
      </c>
      <c r="N380" s="65">
        <v>20000</v>
      </c>
      <c r="O380" s="65">
        <f t="shared" si="18"/>
        <v>0</v>
      </c>
      <c r="P380" s="66">
        <v>44705</v>
      </c>
      <c r="Q380" s="61">
        <f t="shared" si="17"/>
        <v>44705</v>
      </c>
      <c r="R380" s="59"/>
      <c r="S380" s="59" t="s">
        <v>898</v>
      </c>
      <c r="T380" s="59"/>
      <c r="U380" s="59"/>
      <c r="V380" s="59"/>
      <c r="W380" s="59"/>
      <c r="X380" s="59"/>
    </row>
    <row r="381" s="20" customFormat="1" hidden="1" spans="1:24">
      <c r="A381" s="59">
        <v>404</v>
      </c>
      <c r="B381" s="60" t="s">
        <v>899</v>
      </c>
      <c r="C381" s="61">
        <v>44682</v>
      </c>
      <c r="D381" s="62" t="str">
        <f ca="1" t="shared" si="16"/>
        <v>一年以上</v>
      </c>
      <c r="E381" s="66">
        <v>44691</v>
      </c>
      <c r="F381" s="66" t="s">
        <v>632</v>
      </c>
      <c r="G381" s="59" t="s">
        <v>450</v>
      </c>
      <c r="H381" s="60" t="s">
        <v>894</v>
      </c>
      <c r="I381" s="63" t="s">
        <v>894</v>
      </c>
      <c r="J381" s="76">
        <v>200</v>
      </c>
      <c r="K381" s="59"/>
      <c r="L381" s="59" t="s">
        <v>96</v>
      </c>
      <c r="M381" s="59" t="s">
        <v>515</v>
      </c>
      <c r="N381" s="65">
        <v>200</v>
      </c>
      <c r="O381" s="65">
        <f t="shared" si="18"/>
        <v>0</v>
      </c>
      <c r="P381" s="66">
        <v>44705</v>
      </c>
      <c r="Q381" s="61">
        <f t="shared" si="17"/>
        <v>44705</v>
      </c>
      <c r="R381" s="59"/>
      <c r="S381" s="59" t="s">
        <v>900</v>
      </c>
      <c r="T381" s="59"/>
      <c r="U381" s="59"/>
      <c r="V381" s="59"/>
      <c r="W381" s="59"/>
      <c r="X381" s="59"/>
    </row>
    <row r="382" s="20" customFormat="1" ht="17" hidden="1" customHeight="1" spans="1:24">
      <c r="A382" s="59">
        <v>330</v>
      </c>
      <c r="B382" s="60" t="s">
        <v>901</v>
      </c>
      <c r="C382" s="61">
        <v>44682</v>
      </c>
      <c r="D382" s="62" t="str">
        <f ca="1" t="shared" si="16"/>
        <v>一年以上</v>
      </c>
      <c r="E382" s="66">
        <v>44694</v>
      </c>
      <c r="F382" s="66"/>
      <c r="G382" s="59" t="s">
        <v>450</v>
      </c>
      <c r="H382" s="60" t="s">
        <v>555</v>
      </c>
      <c r="I382" s="63" t="s">
        <v>555</v>
      </c>
      <c r="J382" s="64">
        <v>3000</v>
      </c>
      <c r="K382" s="59" t="s">
        <v>28</v>
      </c>
      <c r="L382" s="59" t="s">
        <v>57</v>
      </c>
      <c r="M382" s="59" t="s">
        <v>30</v>
      </c>
      <c r="N382" s="65">
        <v>3000</v>
      </c>
      <c r="O382" s="65">
        <f t="shared" si="18"/>
        <v>0</v>
      </c>
      <c r="P382" s="66">
        <v>44719</v>
      </c>
      <c r="Q382" s="61">
        <f t="shared" si="17"/>
        <v>44719</v>
      </c>
      <c r="R382" s="59"/>
      <c r="S382" s="59" t="s">
        <v>902</v>
      </c>
      <c r="T382" s="59"/>
      <c r="U382" s="59"/>
      <c r="V382" s="59"/>
      <c r="W382" s="59"/>
      <c r="X382" s="59"/>
    </row>
    <row r="383" s="20" customFormat="1" ht="17" hidden="1" customHeight="1" spans="1:24">
      <c r="A383" s="59">
        <v>331</v>
      </c>
      <c r="B383" s="60" t="s">
        <v>903</v>
      </c>
      <c r="C383" s="61">
        <v>44682</v>
      </c>
      <c r="D383" s="62" t="str">
        <f ca="1" t="shared" si="16"/>
        <v>一年以上</v>
      </c>
      <c r="E383" s="66">
        <v>44694</v>
      </c>
      <c r="F383" s="66"/>
      <c r="G383" s="59" t="s">
        <v>450</v>
      </c>
      <c r="H383" s="60" t="s">
        <v>555</v>
      </c>
      <c r="I383" s="63" t="s">
        <v>555</v>
      </c>
      <c r="J383" s="64">
        <v>1000</v>
      </c>
      <c r="K383" s="59" t="s">
        <v>28</v>
      </c>
      <c r="L383" s="59" t="s">
        <v>57</v>
      </c>
      <c r="M383" s="59" t="s">
        <v>30</v>
      </c>
      <c r="N383" s="65">
        <v>1000</v>
      </c>
      <c r="O383" s="65">
        <f t="shared" si="18"/>
        <v>0</v>
      </c>
      <c r="P383" s="66">
        <v>44719</v>
      </c>
      <c r="Q383" s="61">
        <f t="shared" si="17"/>
        <v>44719</v>
      </c>
      <c r="R383" s="59"/>
      <c r="S383" s="59" t="s">
        <v>902</v>
      </c>
      <c r="T383" s="59"/>
      <c r="U383" s="59"/>
      <c r="V383" s="59"/>
      <c r="W383" s="59"/>
      <c r="X383" s="59"/>
    </row>
    <row r="384" s="20" customFormat="1" ht="17" hidden="1" customHeight="1" spans="1:24">
      <c r="A384" s="59">
        <v>332</v>
      </c>
      <c r="B384" s="60" t="s">
        <v>904</v>
      </c>
      <c r="C384" s="61">
        <v>44682</v>
      </c>
      <c r="D384" s="62" t="str">
        <f ca="1" t="shared" si="16"/>
        <v>一年以上</v>
      </c>
      <c r="E384" s="66">
        <v>44694</v>
      </c>
      <c r="F384" s="66"/>
      <c r="G384" s="59" t="s">
        <v>450</v>
      </c>
      <c r="H384" s="60" t="s">
        <v>253</v>
      </c>
      <c r="I384" s="63" t="s">
        <v>253</v>
      </c>
      <c r="J384" s="64">
        <v>10000</v>
      </c>
      <c r="K384" s="59" t="s">
        <v>28</v>
      </c>
      <c r="L384" s="59" t="s">
        <v>57</v>
      </c>
      <c r="M384" s="59" t="s">
        <v>30</v>
      </c>
      <c r="N384" s="65">
        <v>10000</v>
      </c>
      <c r="O384" s="65">
        <f t="shared" si="18"/>
        <v>0</v>
      </c>
      <c r="P384" s="66">
        <v>45051</v>
      </c>
      <c r="Q384" s="61">
        <f t="shared" si="17"/>
        <v>45051</v>
      </c>
      <c r="R384" s="59"/>
      <c r="S384" s="59"/>
      <c r="T384" s="105" t="s">
        <v>182</v>
      </c>
      <c r="U384" s="59"/>
      <c r="V384" s="59"/>
      <c r="W384" s="59"/>
      <c r="X384" s="59"/>
    </row>
    <row r="385" s="20" customFormat="1" ht="24" hidden="1" spans="1:24">
      <c r="A385" s="59">
        <v>357</v>
      </c>
      <c r="B385" s="60" t="s">
        <v>905</v>
      </c>
      <c r="C385" s="61">
        <v>44682</v>
      </c>
      <c r="D385" s="62" t="str">
        <f ca="1" t="shared" si="16"/>
        <v>一年以上</v>
      </c>
      <c r="E385" s="66">
        <v>44698</v>
      </c>
      <c r="F385" s="66" t="s">
        <v>130</v>
      </c>
      <c r="G385" s="59" t="s">
        <v>208</v>
      </c>
      <c r="H385" s="91" t="s">
        <v>132</v>
      </c>
      <c r="I385" s="63" t="s">
        <v>132</v>
      </c>
      <c r="J385" s="76">
        <f>30900</f>
        <v>30900</v>
      </c>
      <c r="K385" s="59" t="s">
        <v>28</v>
      </c>
      <c r="L385" s="59" t="s">
        <v>57</v>
      </c>
      <c r="M385" s="59" t="s">
        <v>133</v>
      </c>
      <c r="N385" s="65">
        <f>23300+7600</f>
        <v>30900</v>
      </c>
      <c r="O385" s="65">
        <f t="shared" si="18"/>
        <v>0</v>
      </c>
      <c r="P385" s="66">
        <v>45016</v>
      </c>
      <c r="Q385" s="61">
        <f t="shared" si="17"/>
        <v>45016</v>
      </c>
      <c r="R385" s="59"/>
      <c r="S385" s="59" t="s">
        <v>906</v>
      </c>
      <c r="T385" s="59" t="s">
        <v>720</v>
      </c>
      <c r="U385" s="59"/>
      <c r="V385" s="59"/>
      <c r="W385" s="59"/>
      <c r="X385" s="59"/>
    </row>
    <row r="386" s="20" customFormat="1" ht="26" hidden="1" customHeight="1" spans="1:24">
      <c r="A386" s="59">
        <v>405</v>
      </c>
      <c r="B386" s="60" t="s">
        <v>907</v>
      </c>
      <c r="C386" s="61">
        <v>44682</v>
      </c>
      <c r="D386" s="62" t="str">
        <f ca="1" t="shared" si="16"/>
        <v>一年以上</v>
      </c>
      <c r="E386" s="66">
        <v>44698</v>
      </c>
      <c r="F386" s="66" t="s">
        <v>632</v>
      </c>
      <c r="G386" s="89" t="s">
        <v>450</v>
      </c>
      <c r="H386" s="91" t="s">
        <v>908</v>
      </c>
      <c r="I386" s="63" t="s">
        <v>908</v>
      </c>
      <c r="J386" s="64">
        <v>200</v>
      </c>
      <c r="K386" s="89" t="s">
        <v>28</v>
      </c>
      <c r="L386" s="89" t="s">
        <v>57</v>
      </c>
      <c r="M386" s="59" t="s">
        <v>515</v>
      </c>
      <c r="N386" s="65">
        <v>200</v>
      </c>
      <c r="O386" s="65">
        <f t="shared" si="18"/>
        <v>0</v>
      </c>
      <c r="P386" s="66">
        <v>44707</v>
      </c>
      <c r="Q386" s="61">
        <f t="shared" si="17"/>
        <v>44707</v>
      </c>
      <c r="R386" s="59"/>
      <c r="S386" s="59" t="s">
        <v>909</v>
      </c>
      <c r="T386" s="59"/>
      <c r="U386" s="59"/>
      <c r="V386" s="59"/>
      <c r="W386" s="59"/>
      <c r="X386" s="59"/>
    </row>
    <row r="387" s="20" customFormat="1" ht="24" hidden="1" spans="1:24">
      <c r="A387" s="59">
        <v>406</v>
      </c>
      <c r="B387" s="60" t="s">
        <v>910</v>
      </c>
      <c r="C387" s="61">
        <v>44682</v>
      </c>
      <c r="D387" s="62" t="str">
        <f ca="1" t="shared" ref="D387:D450" si="19">IF(TODAY()-E387&lt;60,"2个月内",IF(TODAY()-E387&lt;180,"3-6个月",IF(TODAY()-E387&lt;360,"6个月-1年","一年以上")))</f>
        <v>一年以上</v>
      </c>
      <c r="E387" s="66">
        <v>44698</v>
      </c>
      <c r="F387" s="66" t="s">
        <v>632</v>
      </c>
      <c r="G387" s="89" t="s">
        <v>450</v>
      </c>
      <c r="H387" s="91" t="s">
        <v>911</v>
      </c>
      <c r="I387" s="63" t="s">
        <v>912</v>
      </c>
      <c r="J387" s="64">
        <v>200</v>
      </c>
      <c r="K387" s="89" t="s">
        <v>28</v>
      </c>
      <c r="L387" s="89" t="s">
        <v>57</v>
      </c>
      <c r="M387" s="59" t="s">
        <v>515</v>
      </c>
      <c r="N387" s="65">
        <v>200</v>
      </c>
      <c r="O387" s="65">
        <f t="shared" si="18"/>
        <v>0</v>
      </c>
      <c r="P387" s="66">
        <v>44707</v>
      </c>
      <c r="Q387" s="61">
        <f t="shared" ref="Q387:Q450" si="20">P387</f>
        <v>44707</v>
      </c>
      <c r="R387" s="59"/>
      <c r="S387" s="59" t="s">
        <v>909</v>
      </c>
      <c r="T387" s="59"/>
      <c r="U387" s="59"/>
      <c r="V387" s="59"/>
      <c r="W387" s="59"/>
      <c r="X387" s="59"/>
    </row>
    <row r="388" s="20" customFormat="1" ht="24" hidden="1" spans="1:24">
      <c r="A388" s="59">
        <v>333</v>
      </c>
      <c r="B388" s="60" t="s">
        <v>913</v>
      </c>
      <c r="C388" s="61">
        <v>44682</v>
      </c>
      <c r="D388" s="62" t="str">
        <f ca="1" t="shared" si="19"/>
        <v>一年以上</v>
      </c>
      <c r="E388" s="66">
        <v>44699</v>
      </c>
      <c r="F388" s="66" t="s">
        <v>632</v>
      </c>
      <c r="G388" s="59" t="s">
        <v>450</v>
      </c>
      <c r="H388" s="91" t="s">
        <v>914</v>
      </c>
      <c r="I388" s="63" t="s">
        <v>912</v>
      </c>
      <c r="J388" s="76">
        <v>10000</v>
      </c>
      <c r="K388" s="59" t="s">
        <v>28</v>
      </c>
      <c r="L388" s="59" t="s">
        <v>57</v>
      </c>
      <c r="M388" s="59" t="s">
        <v>30</v>
      </c>
      <c r="N388" s="65">
        <v>10000</v>
      </c>
      <c r="O388" s="65">
        <f t="shared" si="18"/>
        <v>0</v>
      </c>
      <c r="P388" s="66">
        <v>45285</v>
      </c>
      <c r="Q388" s="61">
        <f t="shared" si="20"/>
        <v>45285</v>
      </c>
      <c r="R388" s="59"/>
      <c r="S388" s="59"/>
      <c r="T388" s="59" t="s">
        <v>581</v>
      </c>
      <c r="U388" s="59" t="str">
        <f>VLOOKUP(T388,[1]区域划分!$A$1:$C$39,3,0)</f>
        <v>新疆</v>
      </c>
      <c r="V388" s="59"/>
      <c r="W388" s="59"/>
      <c r="X388" s="59"/>
    </row>
    <row r="389" s="20" customFormat="1" ht="29" hidden="1" customHeight="1" spans="1:24">
      <c r="A389" s="59">
        <v>334</v>
      </c>
      <c r="B389" s="60" t="s">
        <v>915</v>
      </c>
      <c r="C389" s="61">
        <v>44682</v>
      </c>
      <c r="D389" s="62" t="str">
        <f ca="1" t="shared" si="19"/>
        <v>一年以上</v>
      </c>
      <c r="E389" s="66">
        <v>44699</v>
      </c>
      <c r="F389" s="66"/>
      <c r="G389" s="59" t="s">
        <v>450</v>
      </c>
      <c r="H389" s="91" t="s">
        <v>916</v>
      </c>
      <c r="I389" s="63" t="s">
        <v>916</v>
      </c>
      <c r="J389" s="76">
        <v>5000</v>
      </c>
      <c r="K389" s="59" t="s">
        <v>28</v>
      </c>
      <c r="L389" s="59" t="s">
        <v>57</v>
      </c>
      <c r="M389" s="59" t="s">
        <v>30</v>
      </c>
      <c r="N389" s="65">
        <v>5000</v>
      </c>
      <c r="O389" s="65">
        <f t="shared" si="18"/>
        <v>0</v>
      </c>
      <c r="P389" s="66">
        <v>44707</v>
      </c>
      <c r="Q389" s="61">
        <f t="shared" si="20"/>
        <v>44707</v>
      </c>
      <c r="R389" s="59"/>
      <c r="S389" s="59"/>
      <c r="T389" s="59"/>
      <c r="U389" s="59"/>
      <c r="V389" s="59"/>
      <c r="W389" s="59"/>
      <c r="X389" s="59"/>
    </row>
    <row r="390" s="20" customFormat="1" ht="24" hidden="1" spans="1:24">
      <c r="A390" s="59">
        <v>407</v>
      </c>
      <c r="B390" s="60" t="s">
        <v>917</v>
      </c>
      <c r="C390" s="61">
        <v>44682</v>
      </c>
      <c r="D390" s="62" t="str">
        <f ca="1" t="shared" si="19"/>
        <v>一年以上</v>
      </c>
      <c r="E390" s="66">
        <v>44699</v>
      </c>
      <c r="F390" s="66" t="s">
        <v>632</v>
      </c>
      <c r="G390" s="89" t="s">
        <v>614</v>
      </c>
      <c r="H390" s="91" t="s">
        <v>872</v>
      </c>
      <c r="I390" s="63" t="s">
        <v>872</v>
      </c>
      <c r="J390" s="64">
        <v>800</v>
      </c>
      <c r="K390" s="59" t="s">
        <v>28</v>
      </c>
      <c r="L390" s="59" t="s">
        <v>57</v>
      </c>
      <c r="M390" s="59" t="s">
        <v>515</v>
      </c>
      <c r="N390" s="65">
        <v>800</v>
      </c>
      <c r="O390" s="65">
        <f t="shared" si="18"/>
        <v>0</v>
      </c>
      <c r="P390" s="66">
        <v>44754</v>
      </c>
      <c r="Q390" s="61">
        <f t="shared" si="20"/>
        <v>44754</v>
      </c>
      <c r="R390" s="59"/>
      <c r="S390" s="59" t="s">
        <v>918</v>
      </c>
      <c r="T390" s="59"/>
      <c r="U390" s="59"/>
      <c r="V390" s="59"/>
      <c r="W390" s="59"/>
      <c r="X390" s="59"/>
    </row>
    <row r="391" s="20" customFormat="1" ht="24" hidden="1" spans="1:24">
      <c r="A391" s="59">
        <v>335</v>
      </c>
      <c r="B391" s="60" t="s">
        <v>919</v>
      </c>
      <c r="C391" s="61">
        <v>44682</v>
      </c>
      <c r="D391" s="62" t="str">
        <f ca="1" t="shared" si="19"/>
        <v>一年以上</v>
      </c>
      <c r="E391" s="66">
        <v>44705</v>
      </c>
      <c r="F391" s="66"/>
      <c r="G391" s="89" t="s">
        <v>614</v>
      </c>
      <c r="H391" s="91" t="s">
        <v>193</v>
      </c>
      <c r="I391" s="63" t="s">
        <v>193</v>
      </c>
      <c r="J391" s="76">
        <v>5000</v>
      </c>
      <c r="K391" s="59" t="s">
        <v>356</v>
      </c>
      <c r="L391" s="59" t="s">
        <v>458</v>
      </c>
      <c r="M391" s="59" t="s">
        <v>30</v>
      </c>
      <c r="N391" s="65"/>
      <c r="O391" s="88">
        <f t="shared" si="18"/>
        <v>5000</v>
      </c>
      <c r="P391" s="66"/>
      <c r="Q391" s="61">
        <f t="shared" si="20"/>
        <v>0</v>
      </c>
      <c r="R391" s="59"/>
      <c r="S391" s="59"/>
      <c r="T391" s="59" t="s">
        <v>701</v>
      </c>
      <c r="U391" s="59" t="str">
        <f>VLOOKUP(T391,[1]区域划分!$A$1:$C$39,3,0)</f>
        <v>汪瑞青</v>
      </c>
      <c r="V391" s="59"/>
      <c r="W391" s="59"/>
      <c r="X391" s="59"/>
    </row>
    <row r="392" s="20" customFormat="1" ht="24" hidden="1" spans="1:24">
      <c r="A392" s="59">
        <v>172</v>
      </c>
      <c r="B392" s="60" t="s">
        <v>920</v>
      </c>
      <c r="C392" s="61">
        <v>44682</v>
      </c>
      <c r="D392" s="62" t="str">
        <f ca="1" t="shared" si="19"/>
        <v>一年以上</v>
      </c>
      <c r="E392" s="66">
        <v>44706</v>
      </c>
      <c r="F392" s="66" t="s">
        <v>70</v>
      </c>
      <c r="G392" s="89" t="s">
        <v>921</v>
      </c>
      <c r="H392" s="91" t="s">
        <v>922</v>
      </c>
      <c r="I392" s="63" t="s">
        <v>922</v>
      </c>
      <c r="J392" s="64">
        <v>20000</v>
      </c>
      <c r="K392" s="59" t="s">
        <v>28</v>
      </c>
      <c r="L392" s="59" t="s">
        <v>57</v>
      </c>
      <c r="M392" s="59" t="s">
        <v>65</v>
      </c>
      <c r="N392" s="107">
        <v>20000</v>
      </c>
      <c r="O392" s="65">
        <f t="shared" si="18"/>
        <v>0</v>
      </c>
      <c r="P392" s="66">
        <v>45013</v>
      </c>
      <c r="Q392" s="61">
        <f t="shared" si="20"/>
        <v>45013</v>
      </c>
      <c r="R392" s="66"/>
      <c r="S392" s="59"/>
      <c r="T392" s="59" t="s">
        <v>923</v>
      </c>
      <c r="U392" s="59"/>
      <c r="V392" s="59" t="s">
        <v>924</v>
      </c>
      <c r="W392" s="59"/>
      <c r="X392" s="59"/>
    </row>
    <row r="393" s="20" customFormat="1" hidden="1" spans="1:24">
      <c r="A393" s="59">
        <v>336</v>
      </c>
      <c r="B393" s="60" t="s">
        <v>925</v>
      </c>
      <c r="C393" s="61">
        <v>44682</v>
      </c>
      <c r="D393" s="62" t="str">
        <f ca="1" t="shared" si="19"/>
        <v>一年以上</v>
      </c>
      <c r="E393" s="66">
        <v>44706</v>
      </c>
      <c r="F393" s="66"/>
      <c r="G393" s="89" t="s">
        <v>614</v>
      </c>
      <c r="H393" s="91" t="s">
        <v>926</v>
      </c>
      <c r="I393" s="63" t="s">
        <v>926</v>
      </c>
      <c r="J393" s="76">
        <v>10000</v>
      </c>
      <c r="K393" s="59" t="s">
        <v>28</v>
      </c>
      <c r="L393" s="59" t="s">
        <v>57</v>
      </c>
      <c r="M393" s="59" t="s">
        <v>30</v>
      </c>
      <c r="N393" s="65">
        <v>10000</v>
      </c>
      <c r="O393" s="65">
        <f t="shared" si="18"/>
        <v>0</v>
      </c>
      <c r="P393" s="66">
        <v>45191</v>
      </c>
      <c r="Q393" s="61">
        <f t="shared" si="20"/>
        <v>45191</v>
      </c>
      <c r="R393" s="59"/>
      <c r="S393" s="59"/>
      <c r="T393" s="59" t="s">
        <v>182</v>
      </c>
      <c r="U393" s="59"/>
      <c r="V393" s="59"/>
      <c r="W393" s="59"/>
      <c r="X393" s="59"/>
    </row>
    <row r="394" s="20" customFormat="1" hidden="1" spans="1:24">
      <c r="A394" s="59">
        <v>337</v>
      </c>
      <c r="B394" s="60" t="s">
        <v>927</v>
      </c>
      <c r="C394" s="61">
        <v>44682</v>
      </c>
      <c r="D394" s="62" t="str">
        <f ca="1" t="shared" si="19"/>
        <v>一年以上</v>
      </c>
      <c r="E394" s="66">
        <v>44707</v>
      </c>
      <c r="F394" s="66" t="s">
        <v>632</v>
      </c>
      <c r="G394" s="59" t="s">
        <v>450</v>
      </c>
      <c r="H394" s="91" t="s">
        <v>863</v>
      </c>
      <c r="I394" s="63" t="s">
        <v>863</v>
      </c>
      <c r="J394" s="76">
        <v>10000</v>
      </c>
      <c r="K394" s="59" t="s">
        <v>28</v>
      </c>
      <c r="L394" s="59" t="s">
        <v>57</v>
      </c>
      <c r="M394" s="59" t="s">
        <v>30</v>
      </c>
      <c r="N394" s="65">
        <v>10000</v>
      </c>
      <c r="O394" s="65">
        <f t="shared" si="18"/>
        <v>0</v>
      </c>
      <c r="P394" s="66">
        <v>44862</v>
      </c>
      <c r="Q394" s="61">
        <f t="shared" si="20"/>
        <v>44862</v>
      </c>
      <c r="R394" s="59"/>
      <c r="S394" s="60" t="s">
        <v>928</v>
      </c>
      <c r="T394" s="59"/>
      <c r="U394" s="59"/>
      <c r="V394" s="59"/>
      <c r="W394" s="59"/>
      <c r="X394" s="59"/>
    </row>
    <row r="395" s="20" customFormat="1" ht="24" hidden="1" spans="1:24">
      <c r="A395" s="59">
        <v>173</v>
      </c>
      <c r="B395" s="60" t="s">
        <v>929</v>
      </c>
      <c r="C395" s="61">
        <v>44682</v>
      </c>
      <c r="D395" s="62" t="str">
        <f ca="1" t="shared" si="19"/>
        <v>一年以上</v>
      </c>
      <c r="E395" s="66">
        <v>44708</v>
      </c>
      <c r="F395" s="66" t="s">
        <v>70</v>
      </c>
      <c r="G395" s="89" t="s">
        <v>434</v>
      </c>
      <c r="H395" s="60" t="s">
        <v>930</v>
      </c>
      <c r="I395" s="63" t="s">
        <v>930</v>
      </c>
      <c r="J395" s="64">
        <v>3000</v>
      </c>
      <c r="K395" s="59"/>
      <c r="L395" s="59" t="s">
        <v>96</v>
      </c>
      <c r="M395" s="59" t="s">
        <v>65</v>
      </c>
      <c r="N395" s="65">
        <v>3000</v>
      </c>
      <c r="O395" s="65">
        <f t="shared" si="18"/>
        <v>0</v>
      </c>
      <c r="P395" s="66">
        <v>44756</v>
      </c>
      <c r="Q395" s="61">
        <f t="shared" si="20"/>
        <v>44756</v>
      </c>
      <c r="R395" s="66"/>
      <c r="S395" s="59" t="s">
        <v>65</v>
      </c>
      <c r="T395" s="59"/>
      <c r="U395" s="59"/>
      <c r="V395" s="59"/>
      <c r="W395" s="59"/>
      <c r="X395" s="59"/>
    </row>
    <row r="396" s="20" customFormat="1" hidden="1" spans="1:24">
      <c r="A396" s="59">
        <v>358</v>
      </c>
      <c r="B396" s="60" t="s">
        <v>931</v>
      </c>
      <c r="C396" s="61">
        <v>44682</v>
      </c>
      <c r="D396" s="62" t="str">
        <f ca="1" t="shared" si="19"/>
        <v>一年以上</v>
      </c>
      <c r="E396" s="66">
        <v>44708</v>
      </c>
      <c r="F396" s="66" t="s">
        <v>130</v>
      </c>
      <c r="G396" s="89" t="s">
        <v>569</v>
      </c>
      <c r="H396" s="91" t="s">
        <v>863</v>
      </c>
      <c r="I396" s="63" t="s">
        <v>863</v>
      </c>
      <c r="J396" s="76">
        <v>12500</v>
      </c>
      <c r="K396" s="59" t="s">
        <v>28</v>
      </c>
      <c r="L396" s="59" t="s">
        <v>57</v>
      </c>
      <c r="M396" s="59" t="s">
        <v>133</v>
      </c>
      <c r="N396" s="65">
        <v>12500</v>
      </c>
      <c r="O396" s="65">
        <f t="shared" si="18"/>
        <v>0</v>
      </c>
      <c r="P396" s="66">
        <v>44862</v>
      </c>
      <c r="Q396" s="61">
        <f t="shared" si="20"/>
        <v>44862</v>
      </c>
      <c r="R396" s="59"/>
      <c r="S396" s="60" t="s">
        <v>932</v>
      </c>
      <c r="T396" s="59"/>
      <c r="U396" s="59"/>
      <c r="V396" s="59"/>
      <c r="W396" s="59"/>
      <c r="X396" s="59"/>
    </row>
    <row r="397" s="20" customFormat="1" hidden="1" spans="1:24">
      <c r="A397" s="59">
        <v>359</v>
      </c>
      <c r="B397" s="60" t="s">
        <v>933</v>
      </c>
      <c r="C397" s="61">
        <v>44682</v>
      </c>
      <c r="D397" s="62" t="str">
        <f ca="1" t="shared" si="19"/>
        <v>一年以上</v>
      </c>
      <c r="E397" s="66">
        <v>44708</v>
      </c>
      <c r="F397" s="66" t="s">
        <v>130</v>
      </c>
      <c r="G397" s="89" t="s">
        <v>569</v>
      </c>
      <c r="H397" s="91" t="s">
        <v>863</v>
      </c>
      <c r="I397" s="63" t="s">
        <v>863</v>
      </c>
      <c r="J397" s="76">
        <v>15500</v>
      </c>
      <c r="K397" s="59" t="s">
        <v>28</v>
      </c>
      <c r="L397" s="59" t="s">
        <v>57</v>
      </c>
      <c r="M397" s="59" t="s">
        <v>133</v>
      </c>
      <c r="N397" s="65">
        <v>15500</v>
      </c>
      <c r="O397" s="65">
        <f t="shared" si="18"/>
        <v>0</v>
      </c>
      <c r="P397" s="66">
        <v>44925</v>
      </c>
      <c r="Q397" s="61">
        <f t="shared" si="20"/>
        <v>44925</v>
      </c>
      <c r="R397" s="59"/>
      <c r="S397" s="60" t="s">
        <v>934</v>
      </c>
      <c r="T397" s="59"/>
      <c r="U397" s="59"/>
      <c r="V397" s="59"/>
      <c r="W397" s="59"/>
      <c r="X397" s="59"/>
    </row>
    <row r="398" s="20" customFormat="1" hidden="1" spans="1:24">
      <c r="A398" s="59">
        <v>360</v>
      </c>
      <c r="B398" s="60" t="s">
        <v>935</v>
      </c>
      <c r="C398" s="61">
        <v>44682</v>
      </c>
      <c r="D398" s="62" t="str">
        <f ca="1" t="shared" si="19"/>
        <v>一年以上</v>
      </c>
      <c r="E398" s="66">
        <v>44708</v>
      </c>
      <c r="F398" s="66" t="s">
        <v>130</v>
      </c>
      <c r="G398" s="89" t="s">
        <v>569</v>
      </c>
      <c r="H398" s="91" t="s">
        <v>863</v>
      </c>
      <c r="I398" s="63" t="s">
        <v>863</v>
      </c>
      <c r="J398" s="76">
        <v>22000</v>
      </c>
      <c r="K398" s="59" t="s">
        <v>28</v>
      </c>
      <c r="L398" s="59" t="s">
        <v>57</v>
      </c>
      <c r="M398" s="59" t="s">
        <v>133</v>
      </c>
      <c r="N398" s="65">
        <v>22000</v>
      </c>
      <c r="O398" s="65">
        <f t="shared" si="18"/>
        <v>0</v>
      </c>
      <c r="P398" s="66">
        <v>44925</v>
      </c>
      <c r="Q398" s="61">
        <f t="shared" si="20"/>
        <v>44925</v>
      </c>
      <c r="R398" s="59"/>
      <c r="S398" s="60" t="s">
        <v>936</v>
      </c>
      <c r="T398" s="59"/>
      <c r="U398" s="59"/>
      <c r="V398" s="59"/>
      <c r="W398" s="59"/>
      <c r="X398" s="59"/>
    </row>
    <row r="399" s="20" customFormat="1" hidden="1" spans="1:24">
      <c r="A399" s="59">
        <v>338</v>
      </c>
      <c r="B399" s="60" t="s">
        <v>937</v>
      </c>
      <c r="C399" s="61">
        <v>44682</v>
      </c>
      <c r="D399" s="62" t="str">
        <f ca="1" t="shared" si="19"/>
        <v>一年以上</v>
      </c>
      <c r="E399" s="66">
        <v>44711</v>
      </c>
      <c r="F399" s="66"/>
      <c r="G399" s="59" t="s">
        <v>450</v>
      </c>
      <c r="H399" s="60" t="s">
        <v>938</v>
      </c>
      <c r="I399" s="63" t="s">
        <v>938</v>
      </c>
      <c r="J399" s="76">
        <v>2000</v>
      </c>
      <c r="K399" s="59" t="s">
        <v>28</v>
      </c>
      <c r="L399" s="59" t="s">
        <v>57</v>
      </c>
      <c r="M399" s="59" t="s">
        <v>30</v>
      </c>
      <c r="N399" s="65">
        <v>2000</v>
      </c>
      <c r="O399" s="65">
        <f t="shared" ref="O399:O462" si="21">J399-N399</f>
        <v>0</v>
      </c>
      <c r="P399" s="66">
        <v>44887</v>
      </c>
      <c r="Q399" s="61">
        <f t="shared" si="20"/>
        <v>44887</v>
      </c>
      <c r="R399" s="59"/>
      <c r="S399" s="59"/>
      <c r="T399" s="59"/>
      <c r="U399" s="59"/>
      <c r="V399" s="59"/>
      <c r="W399" s="59"/>
      <c r="X399" s="59"/>
    </row>
    <row r="400" s="20" customFormat="1" ht="24" hidden="1" spans="1:24">
      <c r="A400" s="59">
        <v>174</v>
      </c>
      <c r="B400" s="60" t="s">
        <v>939</v>
      </c>
      <c r="C400" s="61">
        <v>44682</v>
      </c>
      <c r="D400" s="62" t="str">
        <f ca="1" t="shared" si="19"/>
        <v>一年以上</v>
      </c>
      <c r="E400" s="66">
        <v>44712</v>
      </c>
      <c r="F400" s="66" t="s">
        <v>70</v>
      </c>
      <c r="G400" s="89" t="s">
        <v>940</v>
      </c>
      <c r="H400" s="60" t="s">
        <v>863</v>
      </c>
      <c r="I400" s="63" t="s">
        <v>863</v>
      </c>
      <c r="J400" s="64">
        <v>15500</v>
      </c>
      <c r="K400" s="59" t="s">
        <v>28</v>
      </c>
      <c r="L400" s="59" t="s">
        <v>57</v>
      </c>
      <c r="M400" s="59" t="s">
        <v>941</v>
      </c>
      <c r="N400" s="65">
        <v>15500</v>
      </c>
      <c r="O400" s="65">
        <f t="shared" si="21"/>
        <v>0</v>
      </c>
      <c r="P400" s="66">
        <v>44925</v>
      </c>
      <c r="Q400" s="61">
        <f t="shared" si="20"/>
        <v>44925</v>
      </c>
      <c r="R400" s="66"/>
      <c r="S400" s="60" t="s">
        <v>942</v>
      </c>
      <c r="T400" s="59"/>
      <c r="U400" s="59"/>
      <c r="V400" s="108"/>
      <c r="W400" s="59"/>
      <c r="X400" s="59"/>
    </row>
    <row r="401" s="20" customFormat="1" hidden="1" spans="1:24">
      <c r="A401" s="59">
        <v>175</v>
      </c>
      <c r="B401" s="60" t="s">
        <v>943</v>
      </c>
      <c r="C401" s="61">
        <v>44682</v>
      </c>
      <c r="D401" s="62" t="str">
        <f ca="1" t="shared" si="19"/>
        <v>一年以上</v>
      </c>
      <c r="E401" s="66">
        <v>44712</v>
      </c>
      <c r="F401" s="66" t="s">
        <v>70</v>
      </c>
      <c r="G401" s="89" t="s">
        <v>940</v>
      </c>
      <c r="H401" s="60" t="s">
        <v>863</v>
      </c>
      <c r="I401" s="63" t="s">
        <v>863</v>
      </c>
      <c r="J401" s="64">
        <v>12500</v>
      </c>
      <c r="K401" s="59" t="s">
        <v>28</v>
      </c>
      <c r="L401" s="59" t="s">
        <v>57</v>
      </c>
      <c r="M401" s="59" t="s">
        <v>65</v>
      </c>
      <c r="N401" s="65">
        <v>12500</v>
      </c>
      <c r="O401" s="65">
        <f t="shared" si="21"/>
        <v>0</v>
      </c>
      <c r="P401" s="66">
        <v>44862</v>
      </c>
      <c r="Q401" s="61">
        <f t="shared" si="20"/>
        <v>44862</v>
      </c>
      <c r="R401" s="66"/>
      <c r="S401" s="60" t="s">
        <v>932</v>
      </c>
      <c r="T401" s="59"/>
      <c r="U401" s="59"/>
      <c r="V401" s="89"/>
      <c r="W401" s="59"/>
      <c r="X401" s="59"/>
    </row>
    <row r="402" s="20" customFormat="1" ht="24" hidden="1" spans="1:24">
      <c r="A402" s="59">
        <v>176</v>
      </c>
      <c r="B402" s="60" t="s">
        <v>944</v>
      </c>
      <c r="C402" s="61">
        <v>44682</v>
      </c>
      <c r="D402" s="62" t="str">
        <f ca="1" t="shared" si="19"/>
        <v>一年以上</v>
      </c>
      <c r="E402" s="66">
        <v>44712</v>
      </c>
      <c r="F402" s="66" t="s">
        <v>70</v>
      </c>
      <c r="G402" s="89" t="s">
        <v>940</v>
      </c>
      <c r="H402" s="60" t="s">
        <v>863</v>
      </c>
      <c r="I402" s="63" t="s">
        <v>863</v>
      </c>
      <c r="J402" s="64">
        <v>22000</v>
      </c>
      <c r="K402" s="59" t="s">
        <v>28</v>
      </c>
      <c r="L402" s="59" t="s">
        <v>57</v>
      </c>
      <c r="M402" s="59" t="s">
        <v>941</v>
      </c>
      <c r="N402" s="65">
        <v>22000</v>
      </c>
      <c r="O402" s="65">
        <f t="shared" si="21"/>
        <v>0</v>
      </c>
      <c r="P402" s="66">
        <v>44925</v>
      </c>
      <c r="Q402" s="61">
        <f t="shared" si="20"/>
        <v>44925</v>
      </c>
      <c r="R402" s="66"/>
      <c r="S402" s="60" t="s">
        <v>945</v>
      </c>
      <c r="T402" s="59"/>
      <c r="U402" s="59"/>
      <c r="V402" s="108"/>
      <c r="W402" s="59"/>
      <c r="X402" s="59"/>
    </row>
    <row r="403" s="20" customFormat="1" ht="24" hidden="1" spans="1:24">
      <c r="A403" s="59">
        <v>177</v>
      </c>
      <c r="B403" s="60" t="s">
        <v>946</v>
      </c>
      <c r="C403" s="61">
        <v>44713</v>
      </c>
      <c r="D403" s="62" t="str">
        <f ca="1" t="shared" si="19"/>
        <v>一年以上</v>
      </c>
      <c r="E403" s="66">
        <v>44713</v>
      </c>
      <c r="F403" s="66" t="s">
        <v>70</v>
      </c>
      <c r="G403" s="89" t="s">
        <v>947</v>
      </c>
      <c r="H403" s="91" t="s">
        <v>948</v>
      </c>
      <c r="I403" s="63" t="s">
        <v>948</v>
      </c>
      <c r="J403" s="76">
        <v>3600</v>
      </c>
      <c r="K403" s="59" t="s">
        <v>338</v>
      </c>
      <c r="L403" s="59" t="s">
        <v>627</v>
      </c>
      <c r="M403" s="59" t="s">
        <v>65</v>
      </c>
      <c r="N403" s="65">
        <v>3600</v>
      </c>
      <c r="O403" s="65">
        <f t="shared" si="21"/>
        <v>0</v>
      </c>
      <c r="P403" s="66">
        <v>44770</v>
      </c>
      <c r="Q403" s="61">
        <f t="shared" si="20"/>
        <v>44770</v>
      </c>
      <c r="R403" s="50"/>
      <c r="S403" s="59" t="s">
        <v>65</v>
      </c>
      <c r="T403" s="50"/>
      <c r="U403" s="50"/>
      <c r="V403" s="50"/>
      <c r="W403" s="59"/>
      <c r="X403" s="59"/>
    </row>
    <row r="404" s="20" customFormat="1" ht="30" hidden="1" customHeight="1" spans="1:24">
      <c r="A404" s="59">
        <v>409</v>
      </c>
      <c r="B404" s="60" t="s">
        <v>949</v>
      </c>
      <c r="C404" s="61">
        <v>44713</v>
      </c>
      <c r="D404" s="62" t="str">
        <f ca="1" t="shared" si="19"/>
        <v>一年以上</v>
      </c>
      <c r="E404" s="66">
        <v>44714</v>
      </c>
      <c r="F404" s="66" t="s">
        <v>632</v>
      </c>
      <c r="G404" s="59" t="s">
        <v>450</v>
      </c>
      <c r="H404" s="60" t="s">
        <v>950</v>
      </c>
      <c r="I404" s="63" t="s">
        <v>950</v>
      </c>
      <c r="J404" s="64">
        <v>500</v>
      </c>
      <c r="K404" s="59" t="s">
        <v>28</v>
      </c>
      <c r="L404" s="59" t="s">
        <v>57</v>
      </c>
      <c r="M404" s="59" t="s">
        <v>515</v>
      </c>
      <c r="N404" s="65">
        <v>500</v>
      </c>
      <c r="O404" s="65">
        <f t="shared" si="21"/>
        <v>0</v>
      </c>
      <c r="P404" s="66">
        <v>44880</v>
      </c>
      <c r="Q404" s="61">
        <f t="shared" si="20"/>
        <v>44880</v>
      </c>
      <c r="R404" s="59" t="s">
        <v>951</v>
      </c>
      <c r="S404" s="59"/>
      <c r="T404" s="59"/>
      <c r="U404" s="59"/>
      <c r="V404" s="59"/>
      <c r="W404" s="59"/>
      <c r="X404" s="59"/>
    </row>
    <row r="405" s="20" customFormat="1" ht="24" hidden="1" spans="1:24">
      <c r="A405" s="59">
        <v>178</v>
      </c>
      <c r="B405" s="60" t="s">
        <v>952</v>
      </c>
      <c r="C405" s="61">
        <v>44713</v>
      </c>
      <c r="D405" s="62" t="str">
        <f ca="1" t="shared" si="19"/>
        <v>一年以上</v>
      </c>
      <c r="E405" s="66">
        <v>44718</v>
      </c>
      <c r="F405" s="66" t="s">
        <v>70</v>
      </c>
      <c r="G405" s="109" t="s">
        <v>434</v>
      </c>
      <c r="H405" s="91" t="s">
        <v>115</v>
      </c>
      <c r="I405" s="63" t="s">
        <v>115</v>
      </c>
      <c r="J405" s="64">
        <v>2000</v>
      </c>
      <c r="K405" s="59" t="s">
        <v>28</v>
      </c>
      <c r="L405" s="59" t="s">
        <v>57</v>
      </c>
      <c r="M405" s="59" t="s">
        <v>65</v>
      </c>
      <c r="N405" s="65">
        <v>2000</v>
      </c>
      <c r="O405" s="65">
        <f t="shared" si="21"/>
        <v>0</v>
      </c>
      <c r="P405" s="66">
        <v>45030</v>
      </c>
      <c r="Q405" s="61">
        <f t="shared" si="20"/>
        <v>45030</v>
      </c>
      <c r="R405" s="66"/>
      <c r="S405" s="59" t="s">
        <v>65</v>
      </c>
      <c r="T405" s="59" t="s">
        <v>381</v>
      </c>
      <c r="U405" s="59"/>
      <c r="V405" s="109"/>
      <c r="W405" s="59"/>
      <c r="X405" s="59"/>
    </row>
    <row r="406" s="20" customFormat="1" ht="27" hidden="1" customHeight="1" spans="1:24">
      <c r="A406" s="59">
        <v>179</v>
      </c>
      <c r="B406" s="60" t="s">
        <v>953</v>
      </c>
      <c r="C406" s="61">
        <v>44713</v>
      </c>
      <c r="D406" s="62" t="str">
        <f ca="1" t="shared" si="19"/>
        <v>一年以上</v>
      </c>
      <c r="E406" s="66">
        <v>44718</v>
      </c>
      <c r="F406" s="66" t="s">
        <v>70</v>
      </c>
      <c r="G406" s="109" t="s">
        <v>233</v>
      </c>
      <c r="H406" s="91" t="s">
        <v>954</v>
      </c>
      <c r="I406" s="63" t="s">
        <v>954</v>
      </c>
      <c r="J406" s="64">
        <v>10000</v>
      </c>
      <c r="K406" s="59" t="s">
        <v>28</v>
      </c>
      <c r="L406" s="59" t="s">
        <v>57</v>
      </c>
      <c r="M406" s="59" t="s">
        <v>65</v>
      </c>
      <c r="N406" s="86">
        <v>10000</v>
      </c>
      <c r="O406" s="65">
        <f t="shared" si="21"/>
        <v>0</v>
      </c>
      <c r="P406" s="66">
        <v>45186</v>
      </c>
      <c r="Q406" s="61">
        <f t="shared" si="20"/>
        <v>45186</v>
      </c>
      <c r="R406" s="66"/>
      <c r="S406" s="59" t="s">
        <v>65</v>
      </c>
      <c r="T406" s="59" t="s">
        <v>49</v>
      </c>
      <c r="U406" s="59"/>
      <c r="V406" s="109" t="s">
        <v>955</v>
      </c>
      <c r="W406" s="59"/>
      <c r="X406" s="59"/>
    </row>
    <row r="407" s="20" customFormat="1" ht="24" hidden="1" customHeight="1" spans="1:24">
      <c r="A407" s="59">
        <v>322</v>
      </c>
      <c r="B407" s="60" t="s">
        <v>956</v>
      </c>
      <c r="C407" s="61">
        <v>44713</v>
      </c>
      <c r="D407" s="62" t="str">
        <f ca="1" t="shared" si="19"/>
        <v>一年以上</v>
      </c>
      <c r="E407" s="66">
        <v>44718</v>
      </c>
      <c r="F407" s="66" t="s">
        <v>70</v>
      </c>
      <c r="G407" s="89" t="s">
        <v>378</v>
      </c>
      <c r="H407" s="91" t="s">
        <v>325</v>
      </c>
      <c r="I407" s="63" t="s">
        <v>325</v>
      </c>
      <c r="J407" s="64">
        <v>2000</v>
      </c>
      <c r="K407" s="59" t="s">
        <v>356</v>
      </c>
      <c r="L407" s="59" t="s">
        <v>458</v>
      </c>
      <c r="M407" s="59" t="s">
        <v>65</v>
      </c>
      <c r="N407" s="65">
        <v>2000</v>
      </c>
      <c r="O407" s="65">
        <f t="shared" si="21"/>
        <v>0</v>
      </c>
      <c r="P407" s="66">
        <v>44897</v>
      </c>
      <c r="Q407" s="61">
        <f t="shared" si="20"/>
        <v>44897</v>
      </c>
      <c r="R407" s="89"/>
      <c r="S407" s="59" t="s">
        <v>65</v>
      </c>
      <c r="T407" s="59"/>
      <c r="U407" s="59"/>
      <c r="V407" s="89" t="s">
        <v>957</v>
      </c>
      <c r="W407" s="59"/>
      <c r="X407" s="59"/>
    </row>
    <row r="408" s="20" customFormat="1" ht="24" hidden="1" spans="1:24">
      <c r="A408" s="59">
        <v>410</v>
      </c>
      <c r="B408" s="60" t="s">
        <v>958</v>
      </c>
      <c r="C408" s="61">
        <v>44713</v>
      </c>
      <c r="D408" s="62" t="str">
        <f ca="1" t="shared" si="19"/>
        <v>一年以上</v>
      </c>
      <c r="E408" s="66">
        <v>44718</v>
      </c>
      <c r="F408" s="66" t="s">
        <v>632</v>
      </c>
      <c r="G408" s="59" t="s">
        <v>450</v>
      </c>
      <c r="H408" s="91" t="s">
        <v>842</v>
      </c>
      <c r="I408" s="63" t="s">
        <v>842</v>
      </c>
      <c r="J408" s="64">
        <v>200</v>
      </c>
      <c r="K408" s="59" t="s">
        <v>28</v>
      </c>
      <c r="L408" s="59" t="s">
        <v>57</v>
      </c>
      <c r="M408" s="59" t="s">
        <v>515</v>
      </c>
      <c r="N408" s="65">
        <v>200</v>
      </c>
      <c r="O408" s="65">
        <f t="shared" si="21"/>
        <v>0</v>
      </c>
      <c r="P408" s="66">
        <v>44733</v>
      </c>
      <c r="Q408" s="61">
        <f t="shared" si="20"/>
        <v>44733</v>
      </c>
      <c r="R408" s="59"/>
      <c r="S408" s="59" t="s">
        <v>959</v>
      </c>
      <c r="T408" s="59"/>
      <c r="U408" s="59"/>
      <c r="V408" s="59"/>
      <c r="W408" s="59"/>
      <c r="X408" s="59"/>
    </row>
    <row r="409" s="20" customFormat="1" ht="24" hidden="1" spans="1:24">
      <c r="A409" s="59">
        <v>339</v>
      </c>
      <c r="B409" s="60" t="s">
        <v>960</v>
      </c>
      <c r="C409" s="61">
        <v>44713</v>
      </c>
      <c r="D409" s="62" t="str">
        <f ca="1" t="shared" si="19"/>
        <v>一年以上</v>
      </c>
      <c r="E409" s="66">
        <v>44719</v>
      </c>
      <c r="F409" s="66"/>
      <c r="G409" s="89" t="s">
        <v>614</v>
      </c>
      <c r="H409" s="91" t="s">
        <v>315</v>
      </c>
      <c r="I409" s="63" t="s">
        <v>315</v>
      </c>
      <c r="J409" s="76">
        <v>10000</v>
      </c>
      <c r="K409" s="59" t="s">
        <v>28</v>
      </c>
      <c r="L409" s="59" t="s">
        <v>57</v>
      </c>
      <c r="M409" s="59" t="s">
        <v>30</v>
      </c>
      <c r="N409" s="65">
        <v>10000</v>
      </c>
      <c r="O409" s="65">
        <f t="shared" si="21"/>
        <v>0</v>
      </c>
      <c r="P409" s="66">
        <v>44739</v>
      </c>
      <c r="Q409" s="61">
        <f t="shared" si="20"/>
        <v>44739</v>
      </c>
      <c r="R409" s="50"/>
      <c r="S409" s="59"/>
      <c r="T409" s="50"/>
      <c r="U409" s="50"/>
      <c r="V409" s="50"/>
      <c r="W409" s="59"/>
      <c r="X409" s="59"/>
    </row>
    <row r="410" s="20" customFormat="1" ht="25" hidden="1" customHeight="1" spans="1:24">
      <c r="A410" s="59">
        <v>180</v>
      </c>
      <c r="B410" s="60" t="s">
        <v>961</v>
      </c>
      <c r="C410" s="61">
        <v>44713</v>
      </c>
      <c r="D410" s="62" t="str">
        <f ca="1" t="shared" si="19"/>
        <v>一年以上</v>
      </c>
      <c r="E410" s="66">
        <v>44720</v>
      </c>
      <c r="F410" s="66" t="s">
        <v>70</v>
      </c>
      <c r="G410" s="89" t="s">
        <v>962</v>
      </c>
      <c r="H410" s="91" t="s">
        <v>963</v>
      </c>
      <c r="I410" s="63" t="s">
        <v>963</v>
      </c>
      <c r="J410" s="64">
        <v>4300</v>
      </c>
      <c r="K410" s="59" t="s">
        <v>28</v>
      </c>
      <c r="L410" s="59" t="s">
        <v>57</v>
      </c>
      <c r="M410" s="59" t="s">
        <v>65</v>
      </c>
      <c r="N410" s="65">
        <v>4300</v>
      </c>
      <c r="O410" s="65">
        <f t="shared" si="21"/>
        <v>0</v>
      </c>
      <c r="P410" s="66">
        <v>44817</v>
      </c>
      <c r="Q410" s="61">
        <f t="shared" si="20"/>
        <v>44817</v>
      </c>
      <c r="R410" s="66"/>
      <c r="S410" s="59" t="s">
        <v>65</v>
      </c>
      <c r="T410" s="59"/>
      <c r="U410" s="59"/>
      <c r="V410" s="89" t="s">
        <v>964</v>
      </c>
      <c r="W410" s="59"/>
      <c r="X410" s="59"/>
    </row>
    <row r="411" s="20" customFormat="1" ht="15" hidden="1" customHeight="1" spans="1:24">
      <c r="A411" s="59">
        <v>340</v>
      </c>
      <c r="B411" s="60" t="s">
        <v>965</v>
      </c>
      <c r="C411" s="61">
        <v>44713</v>
      </c>
      <c r="D411" s="62" t="str">
        <f ca="1" t="shared" si="19"/>
        <v>一年以上</v>
      </c>
      <c r="E411" s="66">
        <v>44725</v>
      </c>
      <c r="F411" s="106" t="s">
        <v>632</v>
      </c>
      <c r="G411" s="59" t="s">
        <v>450</v>
      </c>
      <c r="H411" s="91" t="s">
        <v>851</v>
      </c>
      <c r="I411" s="63" t="s">
        <v>851</v>
      </c>
      <c r="J411" s="76">
        <v>10000</v>
      </c>
      <c r="K411" s="59" t="s">
        <v>28</v>
      </c>
      <c r="L411" s="59" t="s">
        <v>57</v>
      </c>
      <c r="M411" s="59" t="s">
        <v>30</v>
      </c>
      <c r="N411" s="65">
        <v>10000</v>
      </c>
      <c r="O411" s="65">
        <f t="shared" si="21"/>
        <v>0</v>
      </c>
      <c r="P411" s="66">
        <v>44733</v>
      </c>
      <c r="Q411" s="61">
        <f t="shared" si="20"/>
        <v>44733</v>
      </c>
      <c r="R411" s="50"/>
      <c r="S411" s="59"/>
      <c r="T411" s="50"/>
      <c r="U411" s="50"/>
      <c r="V411" s="50"/>
      <c r="W411" s="59"/>
      <c r="X411" s="59"/>
    </row>
    <row r="412" s="20" customFormat="1" ht="24" hidden="1" spans="1:24">
      <c r="A412" s="59">
        <v>411</v>
      </c>
      <c r="B412" s="60" t="s">
        <v>966</v>
      </c>
      <c r="C412" s="61">
        <v>44713</v>
      </c>
      <c r="D412" s="62" t="str">
        <f ca="1" t="shared" si="19"/>
        <v>一年以上</v>
      </c>
      <c r="E412" s="66">
        <v>44727</v>
      </c>
      <c r="F412" s="66" t="s">
        <v>632</v>
      </c>
      <c r="G412" s="59" t="s">
        <v>450</v>
      </c>
      <c r="H412" s="91" t="s">
        <v>967</v>
      </c>
      <c r="I412" s="63" t="s">
        <v>967</v>
      </c>
      <c r="J412" s="64">
        <v>500</v>
      </c>
      <c r="K412" s="59" t="s">
        <v>28</v>
      </c>
      <c r="L412" s="59" t="s">
        <v>57</v>
      </c>
      <c r="M412" s="89" t="s">
        <v>968</v>
      </c>
      <c r="N412" s="65">
        <v>500</v>
      </c>
      <c r="O412" s="65">
        <f t="shared" si="21"/>
        <v>0</v>
      </c>
      <c r="P412" s="66">
        <v>44880</v>
      </c>
      <c r="Q412" s="61">
        <f t="shared" si="20"/>
        <v>44880</v>
      </c>
      <c r="R412" s="59"/>
      <c r="S412" s="59" t="s">
        <v>969</v>
      </c>
      <c r="T412" s="59"/>
      <c r="U412" s="59"/>
      <c r="V412" s="59"/>
      <c r="W412" s="59"/>
      <c r="X412" s="59"/>
    </row>
    <row r="413" s="20" customFormat="1" ht="31" hidden="1" customHeight="1" spans="1:24">
      <c r="A413" s="59">
        <v>181</v>
      </c>
      <c r="B413" s="60" t="s">
        <v>970</v>
      </c>
      <c r="C413" s="61">
        <v>44713</v>
      </c>
      <c r="D413" s="62" t="str">
        <f ca="1" t="shared" si="19"/>
        <v>一年以上</v>
      </c>
      <c r="E413" s="66">
        <v>44733</v>
      </c>
      <c r="F413" s="66" t="s">
        <v>70</v>
      </c>
      <c r="G413" s="89" t="s">
        <v>756</v>
      </c>
      <c r="H413" s="91" t="s">
        <v>863</v>
      </c>
      <c r="I413" s="63" t="s">
        <v>863</v>
      </c>
      <c r="J413" s="64">
        <v>50000</v>
      </c>
      <c r="K413" s="59" t="s">
        <v>28</v>
      </c>
      <c r="L413" s="59" t="s">
        <v>57</v>
      </c>
      <c r="M413" s="59" t="s">
        <v>65</v>
      </c>
      <c r="N413" s="65">
        <v>50000</v>
      </c>
      <c r="O413" s="65">
        <f t="shared" si="21"/>
        <v>0</v>
      </c>
      <c r="P413" s="66">
        <v>45286</v>
      </c>
      <c r="Q413" s="61">
        <f t="shared" si="20"/>
        <v>45286</v>
      </c>
      <c r="R413" s="110"/>
      <c r="S413" s="60" t="s">
        <v>971</v>
      </c>
      <c r="T413" s="59" t="s">
        <v>972</v>
      </c>
      <c r="U413" s="59" t="str">
        <f>VLOOKUP(T413,[1]区域划分!$A$1:$C$39,3,0)</f>
        <v>曾江利</v>
      </c>
      <c r="V413" s="89" t="s">
        <v>973</v>
      </c>
      <c r="W413" s="59"/>
      <c r="X413" s="59"/>
    </row>
    <row r="414" s="20" customFormat="1" ht="14" hidden="1" customHeight="1" spans="1:24">
      <c r="A414" s="59">
        <v>412</v>
      </c>
      <c r="B414" s="60" t="s">
        <v>974</v>
      </c>
      <c r="C414" s="61">
        <v>44713</v>
      </c>
      <c r="D414" s="62" t="str">
        <f ca="1" t="shared" si="19"/>
        <v>一年以上</v>
      </c>
      <c r="E414" s="66">
        <v>44739</v>
      </c>
      <c r="F414" s="66" t="s">
        <v>632</v>
      </c>
      <c r="G414" s="59" t="s">
        <v>450</v>
      </c>
      <c r="H414" s="60" t="s">
        <v>975</v>
      </c>
      <c r="I414" s="63" t="s">
        <v>975</v>
      </c>
      <c r="J414" s="64">
        <v>10000</v>
      </c>
      <c r="K414" s="59" t="s">
        <v>28</v>
      </c>
      <c r="L414" s="59" t="s">
        <v>57</v>
      </c>
      <c r="M414" s="59" t="s">
        <v>30</v>
      </c>
      <c r="N414" s="65">
        <v>10000</v>
      </c>
      <c r="O414" s="65">
        <f t="shared" si="21"/>
        <v>0</v>
      </c>
      <c r="P414" s="66">
        <v>44742</v>
      </c>
      <c r="Q414" s="61">
        <f t="shared" si="20"/>
        <v>44742</v>
      </c>
      <c r="R414" s="59"/>
      <c r="S414" s="59"/>
      <c r="T414" s="59"/>
      <c r="U414" s="59"/>
      <c r="V414" s="59"/>
      <c r="W414" s="59"/>
      <c r="X414" s="59"/>
    </row>
    <row r="415" s="20" customFormat="1" ht="14" hidden="1" customHeight="1" spans="1:24">
      <c r="A415" s="59">
        <v>413</v>
      </c>
      <c r="B415" s="60" t="s">
        <v>976</v>
      </c>
      <c r="C415" s="61">
        <v>44713</v>
      </c>
      <c r="D415" s="62" t="str">
        <f ca="1" t="shared" si="19"/>
        <v>一年以上</v>
      </c>
      <c r="E415" s="66">
        <v>44739</v>
      </c>
      <c r="F415" s="66" t="s">
        <v>632</v>
      </c>
      <c r="G415" s="59" t="s">
        <v>450</v>
      </c>
      <c r="H415" s="60" t="s">
        <v>975</v>
      </c>
      <c r="I415" s="63" t="s">
        <v>975</v>
      </c>
      <c r="J415" s="64">
        <v>200</v>
      </c>
      <c r="K415" s="59" t="s">
        <v>28</v>
      </c>
      <c r="L415" s="59" t="s">
        <v>57</v>
      </c>
      <c r="M415" s="59" t="s">
        <v>515</v>
      </c>
      <c r="N415" s="65">
        <v>200</v>
      </c>
      <c r="O415" s="65">
        <f t="shared" si="21"/>
        <v>0</v>
      </c>
      <c r="P415" s="66">
        <v>44741</v>
      </c>
      <c r="Q415" s="61">
        <f t="shared" si="20"/>
        <v>44741</v>
      </c>
      <c r="R415" s="59"/>
      <c r="S415" s="59" t="s">
        <v>977</v>
      </c>
      <c r="T415" s="59"/>
      <c r="U415" s="59"/>
      <c r="V415" s="59"/>
      <c r="W415" s="59"/>
      <c r="X415" s="59"/>
    </row>
    <row r="416" s="20" customFormat="1" ht="24" hidden="1" spans="1:24">
      <c r="A416" s="59">
        <v>414</v>
      </c>
      <c r="B416" s="60" t="s">
        <v>978</v>
      </c>
      <c r="C416" s="61">
        <v>44713</v>
      </c>
      <c r="D416" s="62" t="str">
        <f ca="1" t="shared" si="19"/>
        <v>一年以上</v>
      </c>
      <c r="E416" s="66">
        <v>44740</v>
      </c>
      <c r="F416" s="66" t="s">
        <v>632</v>
      </c>
      <c r="G416" s="59" t="s">
        <v>450</v>
      </c>
      <c r="H416" s="60" t="s">
        <v>914</v>
      </c>
      <c r="I416" s="63" t="s">
        <v>912</v>
      </c>
      <c r="J416" s="76">
        <v>10000</v>
      </c>
      <c r="K416" s="59" t="s">
        <v>28</v>
      </c>
      <c r="L416" s="59" t="s">
        <v>57</v>
      </c>
      <c r="M416" s="59" t="s">
        <v>30</v>
      </c>
      <c r="N416" s="65">
        <v>10000</v>
      </c>
      <c r="O416" s="65">
        <f t="shared" si="21"/>
        <v>0</v>
      </c>
      <c r="P416" s="66">
        <v>44748</v>
      </c>
      <c r="Q416" s="61">
        <f t="shared" si="20"/>
        <v>44748</v>
      </c>
      <c r="R416" s="50"/>
      <c r="S416" s="59"/>
      <c r="T416" s="50"/>
      <c r="U416" s="50"/>
      <c r="V416" s="50"/>
      <c r="W416" s="59"/>
      <c r="X416" s="59"/>
    </row>
    <row r="417" s="20" customFormat="1" ht="24" hidden="1" spans="1:24">
      <c r="A417" s="59">
        <v>415</v>
      </c>
      <c r="B417" s="60" t="s">
        <v>979</v>
      </c>
      <c r="C417" s="61">
        <v>44713</v>
      </c>
      <c r="D417" s="62" t="str">
        <f ca="1" t="shared" si="19"/>
        <v>一年以上</v>
      </c>
      <c r="E417" s="66">
        <v>44740</v>
      </c>
      <c r="F417" s="66" t="s">
        <v>632</v>
      </c>
      <c r="G417" s="59" t="s">
        <v>450</v>
      </c>
      <c r="H417" s="60" t="s">
        <v>914</v>
      </c>
      <c r="I417" s="63" t="s">
        <v>912</v>
      </c>
      <c r="J417" s="64">
        <v>200</v>
      </c>
      <c r="K417" s="59" t="s">
        <v>28</v>
      </c>
      <c r="L417" s="59" t="s">
        <v>57</v>
      </c>
      <c r="M417" s="59" t="s">
        <v>515</v>
      </c>
      <c r="N417" s="65">
        <v>200</v>
      </c>
      <c r="O417" s="65">
        <f t="shared" si="21"/>
        <v>0</v>
      </c>
      <c r="P417" s="66">
        <v>44741</v>
      </c>
      <c r="Q417" s="61">
        <f t="shared" si="20"/>
        <v>44741</v>
      </c>
      <c r="R417" s="59"/>
      <c r="S417" s="59" t="s">
        <v>977</v>
      </c>
      <c r="T417" s="59"/>
      <c r="U417" s="59"/>
      <c r="V417" s="59"/>
      <c r="W417" s="59"/>
      <c r="X417" s="59"/>
    </row>
    <row r="418" s="20" customFormat="1" ht="36" hidden="1" spans="1:24">
      <c r="A418" s="59">
        <v>416</v>
      </c>
      <c r="B418" s="60" t="s">
        <v>980</v>
      </c>
      <c r="C418" s="61">
        <v>44743</v>
      </c>
      <c r="D418" s="62" t="str">
        <f ca="1" t="shared" si="19"/>
        <v>一年以上</v>
      </c>
      <c r="E418" s="66">
        <v>44743</v>
      </c>
      <c r="F418" s="66" t="s">
        <v>70</v>
      </c>
      <c r="G418" s="89" t="s">
        <v>981</v>
      </c>
      <c r="H418" s="91" t="s">
        <v>188</v>
      </c>
      <c r="I418" s="63" t="s">
        <v>188</v>
      </c>
      <c r="J418" s="64">
        <v>11200</v>
      </c>
      <c r="K418" s="59" t="s">
        <v>338</v>
      </c>
      <c r="L418" s="59" t="s">
        <v>627</v>
      </c>
      <c r="M418" s="59" t="s">
        <v>65</v>
      </c>
      <c r="N418" s="65">
        <v>11200</v>
      </c>
      <c r="O418" s="65">
        <f t="shared" si="21"/>
        <v>0</v>
      </c>
      <c r="P418" s="66">
        <v>44855</v>
      </c>
      <c r="Q418" s="61">
        <f t="shared" si="20"/>
        <v>44855</v>
      </c>
      <c r="R418" s="59" t="s">
        <v>982</v>
      </c>
      <c r="S418" s="59" t="s">
        <v>983</v>
      </c>
      <c r="T418" s="59"/>
      <c r="U418" s="59"/>
      <c r="V418" s="89" t="s">
        <v>984</v>
      </c>
      <c r="W418" s="59"/>
      <c r="X418" s="59"/>
    </row>
    <row r="419" s="20" customFormat="1" ht="24" hidden="1" spans="1:24">
      <c r="A419" s="59">
        <v>417</v>
      </c>
      <c r="B419" s="60" t="s">
        <v>985</v>
      </c>
      <c r="C419" s="61">
        <v>44743</v>
      </c>
      <c r="D419" s="62" t="str">
        <f ca="1" t="shared" si="19"/>
        <v>一年以上</v>
      </c>
      <c r="E419" s="66">
        <v>44747</v>
      </c>
      <c r="F419" s="66" t="s">
        <v>70</v>
      </c>
      <c r="G419" s="89" t="s">
        <v>986</v>
      </c>
      <c r="H419" s="91" t="s">
        <v>27</v>
      </c>
      <c r="I419" s="63" t="s">
        <v>27</v>
      </c>
      <c r="J419" s="76">
        <v>3000</v>
      </c>
      <c r="K419" s="59" t="s">
        <v>28</v>
      </c>
      <c r="L419" s="59" t="s">
        <v>57</v>
      </c>
      <c r="M419" s="59" t="s">
        <v>65</v>
      </c>
      <c r="N419" s="65"/>
      <c r="O419" s="88">
        <f t="shared" si="21"/>
        <v>3000</v>
      </c>
      <c r="P419" s="66"/>
      <c r="Q419" s="61">
        <f t="shared" si="20"/>
        <v>0</v>
      </c>
      <c r="R419" s="59" t="s">
        <v>987</v>
      </c>
      <c r="S419" s="59" t="s">
        <v>65</v>
      </c>
      <c r="T419" s="59" t="s">
        <v>32</v>
      </c>
      <c r="U419" s="59" t="str">
        <f>VLOOKUP(T419,[1]区域划分!$A$1:$C$39,3,0)</f>
        <v>方渊</v>
      </c>
      <c r="V419" s="89"/>
      <c r="W419" s="59"/>
      <c r="X419" s="59"/>
    </row>
    <row r="420" s="20" customFormat="1" ht="36" hidden="1" spans="1:24">
      <c r="A420" s="59">
        <v>418</v>
      </c>
      <c r="B420" s="60" t="s">
        <v>988</v>
      </c>
      <c r="C420" s="61">
        <v>44743</v>
      </c>
      <c r="D420" s="62" t="str">
        <f ca="1" t="shared" si="19"/>
        <v>一年以上</v>
      </c>
      <c r="E420" s="66">
        <v>44749</v>
      </c>
      <c r="F420" s="66" t="s">
        <v>632</v>
      </c>
      <c r="G420" s="89" t="s">
        <v>450</v>
      </c>
      <c r="H420" s="91" t="s">
        <v>842</v>
      </c>
      <c r="I420" s="63" t="s">
        <v>842</v>
      </c>
      <c r="J420" s="64">
        <v>200</v>
      </c>
      <c r="K420" s="59" t="s">
        <v>28</v>
      </c>
      <c r="L420" s="59" t="s">
        <v>57</v>
      </c>
      <c r="M420" s="59" t="s">
        <v>515</v>
      </c>
      <c r="N420" s="65">
        <v>200</v>
      </c>
      <c r="O420" s="65">
        <f t="shared" si="21"/>
        <v>0</v>
      </c>
      <c r="P420" s="66">
        <v>44767</v>
      </c>
      <c r="Q420" s="61">
        <f t="shared" si="20"/>
        <v>44767</v>
      </c>
      <c r="R420" s="59"/>
      <c r="S420" s="59" t="s">
        <v>989</v>
      </c>
      <c r="T420" s="59"/>
      <c r="U420" s="59"/>
      <c r="V420" s="59"/>
      <c r="W420" s="59"/>
      <c r="X420" s="59"/>
    </row>
    <row r="421" s="20" customFormat="1" ht="24" hidden="1" spans="1:24">
      <c r="A421" s="59">
        <v>419</v>
      </c>
      <c r="B421" s="60" t="s">
        <v>990</v>
      </c>
      <c r="C421" s="61">
        <v>44743</v>
      </c>
      <c r="D421" s="62" t="str">
        <f ca="1" t="shared" si="19"/>
        <v>一年以上</v>
      </c>
      <c r="E421" s="66">
        <v>44757</v>
      </c>
      <c r="F421" s="89" t="s">
        <v>70</v>
      </c>
      <c r="G421" s="89" t="s">
        <v>104</v>
      </c>
      <c r="H421" s="91" t="s">
        <v>867</v>
      </c>
      <c r="I421" s="63" t="s">
        <v>867</v>
      </c>
      <c r="J421" s="76">
        <v>2000</v>
      </c>
      <c r="K421" s="59" t="s">
        <v>356</v>
      </c>
      <c r="L421" s="59" t="s">
        <v>458</v>
      </c>
      <c r="M421" s="89" t="s">
        <v>65</v>
      </c>
      <c r="N421" s="111">
        <v>2000</v>
      </c>
      <c r="O421" s="65">
        <f t="shared" si="21"/>
        <v>0</v>
      </c>
      <c r="P421" s="66">
        <v>44886</v>
      </c>
      <c r="Q421" s="61">
        <f t="shared" si="20"/>
        <v>44886</v>
      </c>
      <c r="R421" s="59"/>
      <c r="S421" s="59" t="s">
        <v>991</v>
      </c>
      <c r="T421" s="59"/>
      <c r="U421" s="59"/>
      <c r="V421" s="59" t="s">
        <v>991</v>
      </c>
      <c r="W421" s="59"/>
      <c r="X421" s="59"/>
    </row>
    <row r="422" s="20" customFormat="1" hidden="1" spans="1:24">
      <c r="A422" s="59">
        <v>420</v>
      </c>
      <c r="B422" s="60" t="s">
        <v>992</v>
      </c>
      <c r="C422" s="61">
        <v>44743</v>
      </c>
      <c r="D422" s="62" t="str">
        <f ca="1" t="shared" si="19"/>
        <v>一年以上</v>
      </c>
      <c r="E422" s="66">
        <v>44757</v>
      </c>
      <c r="F422" s="89" t="s">
        <v>632</v>
      </c>
      <c r="G422" s="89" t="s">
        <v>993</v>
      </c>
      <c r="H422" s="91" t="s">
        <v>215</v>
      </c>
      <c r="I422" s="63" t="s">
        <v>215</v>
      </c>
      <c r="J422" s="76">
        <v>10000</v>
      </c>
      <c r="K422" s="59" t="s">
        <v>28</v>
      </c>
      <c r="L422" s="59" t="s">
        <v>57</v>
      </c>
      <c r="M422" s="89" t="s">
        <v>30</v>
      </c>
      <c r="N422" s="111">
        <v>10000</v>
      </c>
      <c r="O422" s="65">
        <f t="shared" si="21"/>
        <v>0</v>
      </c>
      <c r="P422" s="66">
        <v>44879</v>
      </c>
      <c r="Q422" s="61">
        <f t="shared" si="20"/>
        <v>44879</v>
      </c>
      <c r="R422" s="59"/>
      <c r="S422" s="59"/>
      <c r="T422" s="59"/>
      <c r="U422" s="59"/>
      <c r="V422" s="59"/>
      <c r="W422" s="59"/>
      <c r="X422" s="59"/>
    </row>
    <row r="423" s="20" customFormat="1" hidden="1" spans="1:24">
      <c r="A423" s="59">
        <v>421</v>
      </c>
      <c r="B423" s="60" t="s">
        <v>994</v>
      </c>
      <c r="C423" s="61">
        <v>44743</v>
      </c>
      <c r="D423" s="62" t="str">
        <f ca="1" t="shared" si="19"/>
        <v>一年以上</v>
      </c>
      <c r="E423" s="66">
        <v>44757</v>
      </c>
      <c r="F423" s="89" t="s">
        <v>632</v>
      </c>
      <c r="G423" s="89" t="s">
        <v>993</v>
      </c>
      <c r="H423" s="91" t="s">
        <v>215</v>
      </c>
      <c r="I423" s="63" t="s">
        <v>215</v>
      </c>
      <c r="J423" s="76">
        <v>10000</v>
      </c>
      <c r="K423" s="59" t="s">
        <v>338</v>
      </c>
      <c r="L423" s="59" t="s">
        <v>627</v>
      </c>
      <c r="M423" s="89" t="s">
        <v>30</v>
      </c>
      <c r="N423" s="111">
        <v>10000</v>
      </c>
      <c r="O423" s="65">
        <f t="shared" si="21"/>
        <v>0</v>
      </c>
      <c r="P423" s="66">
        <v>44873</v>
      </c>
      <c r="Q423" s="61">
        <f t="shared" si="20"/>
        <v>44873</v>
      </c>
      <c r="R423" s="59"/>
      <c r="S423" s="59"/>
      <c r="T423" s="59"/>
      <c r="U423" s="59"/>
      <c r="V423" s="59"/>
      <c r="W423" s="59"/>
      <c r="X423" s="59"/>
    </row>
    <row r="424" s="20" customFormat="1" ht="24" hidden="1" spans="1:24">
      <c r="A424" s="59">
        <v>422</v>
      </c>
      <c r="B424" s="60" t="s">
        <v>995</v>
      </c>
      <c r="C424" s="61">
        <v>44743</v>
      </c>
      <c r="D424" s="62" t="str">
        <f ca="1" t="shared" si="19"/>
        <v>一年以上</v>
      </c>
      <c r="E424" s="66">
        <v>44760</v>
      </c>
      <c r="F424" s="89" t="s">
        <v>632</v>
      </c>
      <c r="G424" s="89" t="s">
        <v>993</v>
      </c>
      <c r="H424" s="91" t="s">
        <v>996</v>
      </c>
      <c r="I424" s="63" t="s">
        <v>996</v>
      </c>
      <c r="J424" s="76">
        <v>3400</v>
      </c>
      <c r="K424" s="59" t="s">
        <v>356</v>
      </c>
      <c r="L424" s="59" t="s">
        <v>458</v>
      </c>
      <c r="M424" s="89" t="s">
        <v>133</v>
      </c>
      <c r="N424" s="111">
        <v>3400</v>
      </c>
      <c r="O424" s="65">
        <f t="shared" si="21"/>
        <v>0</v>
      </c>
      <c r="P424" s="66">
        <v>45071</v>
      </c>
      <c r="Q424" s="61">
        <f t="shared" si="20"/>
        <v>45071</v>
      </c>
      <c r="R424" s="59" t="s">
        <v>997</v>
      </c>
      <c r="S424" s="59" t="s">
        <v>998</v>
      </c>
      <c r="T424" s="59" t="s">
        <v>44</v>
      </c>
      <c r="U424" s="59"/>
      <c r="V424" s="59"/>
      <c r="W424" s="59"/>
      <c r="X424" s="59"/>
    </row>
    <row r="425" s="20" customFormat="1" ht="24" hidden="1" spans="1:24">
      <c r="A425" s="59">
        <v>423</v>
      </c>
      <c r="B425" s="60" t="s">
        <v>999</v>
      </c>
      <c r="C425" s="61">
        <v>44743</v>
      </c>
      <c r="D425" s="62" t="str">
        <f ca="1" t="shared" si="19"/>
        <v>一年以上</v>
      </c>
      <c r="E425" s="66">
        <v>44761</v>
      </c>
      <c r="F425" s="66" t="s">
        <v>70</v>
      </c>
      <c r="G425" s="59" t="s">
        <v>608</v>
      </c>
      <c r="H425" s="60" t="s">
        <v>605</v>
      </c>
      <c r="I425" s="63" t="s">
        <v>605</v>
      </c>
      <c r="J425" s="64">
        <v>7750</v>
      </c>
      <c r="K425" s="59" t="s">
        <v>28</v>
      </c>
      <c r="L425" s="59" t="s">
        <v>57</v>
      </c>
      <c r="M425" s="59" t="s">
        <v>65</v>
      </c>
      <c r="N425" s="65">
        <v>7750</v>
      </c>
      <c r="O425" s="65">
        <f t="shared" si="21"/>
        <v>0</v>
      </c>
      <c r="P425" s="66">
        <v>44925</v>
      </c>
      <c r="Q425" s="61">
        <f t="shared" si="20"/>
        <v>44925</v>
      </c>
      <c r="R425" s="59"/>
      <c r="S425" s="59" t="s">
        <v>1000</v>
      </c>
      <c r="T425" s="59"/>
      <c r="U425" s="59"/>
      <c r="V425" s="59" t="s">
        <v>1000</v>
      </c>
      <c r="W425" s="59"/>
      <c r="X425" s="59"/>
    </row>
    <row r="426" s="20" customFormat="1" ht="24" hidden="1" spans="1:24">
      <c r="A426" s="59">
        <v>424</v>
      </c>
      <c r="B426" s="60" t="s">
        <v>1001</v>
      </c>
      <c r="C426" s="61">
        <v>44743</v>
      </c>
      <c r="D426" s="62" t="str">
        <f ca="1" t="shared" si="19"/>
        <v>一年以上</v>
      </c>
      <c r="E426" s="66">
        <v>44763</v>
      </c>
      <c r="F426" s="89" t="s">
        <v>632</v>
      </c>
      <c r="G426" s="89" t="s">
        <v>993</v>
      </c>
      <c r="H426" s="91" t="s">
        <v>1002</v>
      </c>
      <c r="I426" s="63" t="s">
        <v>1002</v>
      </c>
      <c r="J426" s="76">
        <v>38000</v>
      </c>
      <c r="K426" s="59" t="s">
        <v>28</v>
      </c>
      <c r="L426" s="59" t="s">
        <v>57</v>
      </c>
      <c r="M426" s="89" t="s">
        <v>30</v>
      </c>
      <c r="N426" s="111">
        <v>38000</v>
      </c>
      <c r="O426" s="65">
        <f t="shared" si="21"/>
        <v>0</v>
      </c>
      <c r="P426" s="66">
        <v>44858</v>
      </c>
      <c r="Q426" s="61">
        <f t="shared" si="20"/>
        <v>44858</v>
      </c>
      <c r="R426" s="59"/>
      <c r="S426" s="59"/>
      <c r="T426" s="59"/>
      <c r="U426" s="59"/>
      <c r="V426" s="59"/>
      <c r="W426" s="59"/>
      <c r="X426" s="59"/>
    </row>
    <row r="427" s="20" customFormat="1" ht="24" hidden="1" spans="1:24">
      <c r="A427" s="59">
        <v>425</v>
      </c>
      <c r="B427" s="60" t="s">
        <v>1003</v>
      </c>
      <c r="C427" s="61">
        <v>44743</v>
      </c>
      <c r="D427" s="62" t="str">
        <f ca="1" t="shared" si="19"/>
        <v>一年以上</v>
      </c>
      <c r="E427" s="66">
        <v>44764</v>
      </c>
      <c r="F427" s="89" t="s">
        <v>632</v>
      </c>
      <c r="G427" s="89" t="s">
        <v>993</v>
      </c>
      <c r="H427" s="91" t="s">
        <v>948</v>
      </c>
      <c r="I427" s="63" t="s">
        <v>948</v>
      </c>
      <c r="J427" s="76">
        <v>10000</v>
      </c>
      <c r="K427" s="59" t="s">
        <v>28</v>
      </c>
      <c r="L427" s="59" t="s">
        <v>57</v>
      </c>
      <c r="M427" s="89" t="s">
        <v>30</v>
      </c>
      <c r="N427" s="65">
        <v>10000</v>
      </c>
      <c r="O427" s="65">
        <f t="shared" si="21"/>
        <v>0</v>
      </c>
      <c r="P427" s="66">
        <v>44790</v>
      </c>
      <c r="Q427" s="61">
        <f t="shared" si="20"/>
        <v>44790</v>
      </c>
      <c r="R427" s="59"/>
      <c r="S427" s="59"/>
      <c r="T427" s="59"/>
      <c r="U427" s="59"/>
      <c r="V427" s="59"/>
      <c r="W427" s="59"/>
      <c r="X427" s="59"/>
    </row>
    <row r="428" s="20" customFormat="1" ht="24" hidden="1" spans="1:24">
      <c r="A428" s="59">
        <v>427</v>
      </c>
      <c r="B428" s="60" t="s">
        <v>1004</v>
      </c>
      <c r="C428" s="61">
        <v>44743</v>
      </c>
      <c r="D428" s="62" t="str">
        <f ca="1" t="shared" si="19"/>
        <v>一年以上</v>
      </c>
      <c r="E428" s="66">
        <v>44770</v>
      </c>
      <c r="F428" s="89" t="s">
        <v>632</v>
      </c>
      <c r="G428" s="89" t="s">
        <v>993</v>
      </c>
      <c r="H428" s="91" t="s">
        <v>1005</v>
      </c>
      <c r="I428" s="63" t="s">
        <v>1005</v>
      </c>
      <c r="J428" s="76">
        <v>10000</v>
      </c>
      <c r="K428" s="59" t="s">
        <v>356</v>
      </c>
      <c r="L428" s="59" t="s">
        <v>458</v>
      </c>
      <c r="M428" s="89" t="s">
        <v>30</v>
      </c>
      <c r="N428" s="111">
        <v>10000</v>
      </c>
      <c r="O428" s="65">
        <f t="shared" si="21"/>
        <v>0</v>
      </c>
      <c r="P428" s="66">
        <v>44978</v>
      </c>
      <c r="Q428" s="61">
        <f t="shared" si="20"/>
        <v>44978</v>
      </c>
      <c r="R428" s="59"/>
      <c r="S428" s="59" t="s">
        <v>1006</v>
      </c>
      <c r="T428" s="59" t="s">
        <v>381</v>
      </c>
      <c r="U428" s="59"/>
      <c r="V428" s="59"/>
      <c r="W428" s="59"/>
      <c r="X428" s="59"/>
    </row>
    <row r="429" s="20" customFormat="1" ht="24" hidden="1" spans="1:24">
      <c r="A429" s="59">
        <v>426</v>
      </c>
      <c r="B429" s="60" t="s">
        <v>1007</v>
      </c>
      <c r="C429" s="61">
        <v>44743</v>
      </c>
      <c r="D429" s="62" t="str">
        <f ca="1" t="shared" si="19"/>
        <v>一年以上</v>
      </c>
      <c r="E429" s="66">
        <v>44771</v>
      </c>
      <c r="F429" s="66" t="s">
        <v>632</v>
      </c>
      <c r="G429" s="59" t="s">
        <v>993</v>
      </c>
      <c r="H429" s="91" t="s">
        <v>1008</v>
      </c>
      <c r="I429" s="63" t="s">
        <v>1008</v>
      </c>
      <c r="J429" s="64">
        <v>100</v>
      </c>
      <c r="K429" s="59" t="s">
        <v>28</v>
      </c>
      <c r="L429" s="59" t="s">
        <v>57</v>
      </c>
      <c r="M429" s="59" t="s">
        <v>515</v>
      </c>
      <c r="N429" s="65">
        <v>100</v>
      </c>
      <c r="O429" s="65">
        <f t="shared" si="21"/>
        <v>0</v>
      </c>
      <c r="P429" s="66"/>
      <c r="Q429" s="61">
        <f t="shared" si="20"/>
        <v>0</v>
      </c>
      <c r="R429" s="59" t="s">
        <v>1009</v>
      </c>
      <c r="S429" s="59"/>
      <c r="T429" s="59"/>
      <c r="U429" s="59"/>
      <c r="V429" s="59"/>
      <c r="W429" s="59"/>
      <c r="X429" s="59"/>
    </row>
    <row r="430" s="20" customFormat="1" ht="24" hidden="1" spans="1:24">
      <c r="A430" s="59">
        <v>428</v>
      </c>
      <c r="B430" s="60" t="s">
        <v>1010</v>
      </c>
      <c r="C430" s="61">
        <f t="shared" ref="C430:C493" si="22">E430</f>
        <v>44774</v>
      </c>
      <c r="D430" s="62" t="str">
        <f ca="1" t="shared" si="19"/>
        <v>一年以上</v>
      </c>
      <c r="E430" s="66">
        <v>44774</v>
      </c>
      <c r="F430" s="89" t="s">
        <v>632</v>
      </c>
      <c r="G430" s="89" t="s">
        <v>450</v>
      </c>
      <c r="H430" s="91" t="s">
        <v>379</v>
      </c>
      <c r="I430" s="63" t="s">
        <v>379</v>
      </c>
      <c r="J430" s="76">
        <v>1000</v>
      </c>
      <c r="K430" s="59" t="s">
        <v>356</v>
      </c>
      <c r="L430" s="59" t="s">
        <v>458</v>
      </c>
      <c r="M430" s="89" t="s">
        <v>30</v>
      </c>
      <c r="N430" s="111">
        <v>1000</v>
      </c>
      <c r="O430" s="65">
        <f t="shared" si="21"/>
        <v>0</v>
      </c>
      <c r="P430" s="66">
        <v>44830</v>
      </c>
      <c r="Q430" s="61">
        <f t="shared" si="20"/>
        <v>44830</v>
      </c>
      <c r="R430" s="59"/>
      <c r="S430" s="59"/>
      <c r="T430" s="59"/>
      <c r="U430" s="59"/>
      <c r="V430" s="59"/>
      <c r="W430" s="59"/>
      <c r="X430" s="59"/>
    </row>
    <row r="431" s="20" customFormat="1" ht="24" hidden="1" spans="1:24">
      <c r="A431" s="59">
        <v>429</v>
      </c>
      <c r="B431" s="60" t="s">
        <v>1011</v>
      </c>
      <c r="C431" s="61">
        <f t="shared" si="22"/>
        <v>44777</v>
      </c>
      <c r="D431" s="62" t="str">
        <f ca="1" t="shared" si="19"/>
        <v>一年以上</v>
      </c>
      <c r="E431" s="66">
        <v>44777</v>
      </c>
      <c r="F431" s="89" t="s">
        <v>632</v>
      </c>
      <c r="G431" s="89" t="s">
        <v>993</v>
      </c>
      <c r="H431" s="60" t="s">
        <v>1012</v>
      </c>
      <c r="I431" s="63" t="s">
        <v>1012</v>
      </c>
      <c r="J431" s="76">
        <v>500</v>
      </c>
      <c r="K431" s="59" t="s">
        <v>28</v>
      </c>
      <c r="L431" s="59" t="s">
        <v>57</v>
      </c>
      <c r="M431" s="89" t="s">
        <v>30</v>
      </c>
      <c r="N431" s="111">
        <v>500</v>
      </c>
      <c r="O431" s="65">
        <f t="shared" si="21"/>
        <v>0</v>
      </c>
      <c r="P431" s="66">
        <v>44832</v>
      </c>
      <c r="Q431" s="61">
        <f t="shared" si="20"/>
        <v>44832</v>
      </c>
      <c r="R431" s="59"/>
      <c r="S431" s="59"/>
      <c r="T431" s="59"/>
      <c r="U431" s="59"/>
      <c r="V431" s="59"/>
      <c r="W431" s="59"/>
      <c r="X431" s="59"/>
    </row>
    <row r="432" s="18" customFormat="1" hidden="1" spans="1:24">
      <c r="A432" s="59">
        <v>430</v>
      </c>
      <c r="B432" s="60" t="s">
        <v>1013</v>
      </c>
      <c r="C432" s="61">
        <f t="shared" si="22"/>
        <v>44778</v>
      </c>
      <c r="D432" s="62" t="str">
        <f ca="1" t="shared" si="19"/>
        <v>一年以上</v>
      </c>
      <c r="E432" s="66">
        <v>44778</v>
      </c>
      <c r="F432" s="89" t="s">
        <v>632</v>
      </c>
      <c r="G432" s="89" t="s">
        <v>450</v>
      </c>
      <c r="H432" s="373" t="s">
        <v>938</v>
      </c>
      <c r="I432" s="63" t="s">
        <v>938</v>
      </c>
      <c r="J432" s="76">
        <v>1000</v>
      </c>
      <c r="K432" s="59" t="s">
        <v>28</v>
      </c>
      <c r="L432" s="59" t="s">
        <v>57</v>
      </c>
      <c r="M432" s="89" t="s">
        <v>30</v>
      </c>
      <c r="N432" s="111">
        <v>1000</v>
      </c>
      <c r="O432" s="65">
        <f t="shared" si="21"/>
        <v>0</v>
      </c>
      <c r="P432" s="66">
        <v>44887</v>
      </c>
      <c r="Q432" s="61">
        <f t="shared" si="20"/>
        <v>44887</v>
      </c>
      <c r="R432" s="59"/>
      <c r="S432" s="59"/>
      <c r="T432" s="59"/>
      <c r="U432" s="59"/>
      <c r="V432" s="59"/>
      <c r="W432" s="50"/>
      <c r="X432" s="50"/>
    </row>
    <row r="433" s="20" customFormat="1" ht="36" hidden="1" spans="1:24">
      <c r="A433" s="59">
        <v>433</v>
      </c>
      <c r="B433" s="60" t="s">
        <v>1014</v>
      </c>
      <c r="C433" s="61">
        <f t="shared" si="22"/>
        <v>44783</v>
      </c>
      <c r="D433" s="62" t="str">
        <f ca="1" t="shared" si="19"/>
        <v>一年以上</v>
      </c>
      <c r="E433" s="66">
        <v>44783</v>
      </c>
      <c r="F433" s="66" t="s">
        <v>130</v>
      </c>
      <c r="G433" s="59" t="s">
        <v>371</v>
      </c>
      <c r="H433" s="91" t="s">
        <v>1015</v>
      </c>
      <c r="I433" s="63" t="s">
        <v>1015</v>
      </c>
      <c r="J433" s="64">
        <v>10013</v>
      </c>
      <c r="K433" s="59" t="s">
        <v>28</v>
      </c>
      <c r="L433" s="59" t="s">
        <v>57</v>
      </c>
      <c r="M433" s="59" t="s">
        <v>836</v>
      </c>
      <c r="N433" s="65">
        <v>10013</v>
      </c>
      <c r="O433" s="65">
        <f t="shared" si="21"/>
        <v>0</v>
      </c>
      <c r="P433" s="66">
        <v>44855</v>
      </c>
      <c r="Q433" s="61">
        <f t="shared" si="20"/>
        <v>44855</v>
      </c>
      <c r="R433" s="59" t="s">
        <v>1016</v>
      </c>
      <c r="S433" s="59"/>
      <c r="T433" s="59"/>
      <c r="U433" s="59"/>
      <c r="V433" s="59"/>
      <c r="W433" s="59"/>
      <c r="X433" s="59"/>
    </row>
    <row r="434" s="20" customFormat="1" ht="24" hidden="1" spans="1:24">
      <c r="A434" s="59">
        <v>431</v>
      </c>
      <c r="B434" s="60" t="s">
        <v>1017</v>
      </c>
      <c r="C434" s="61">
        <f t="shared" si="22"/>
        <v>44784</v>
      </c>
      <c r="D434" s="62" t="str">
        <f ca="1" t="shared" si="19"/>
        <v>一年以上</v>
      </c>
      <c r="E434" s="66">
        <v>44784</v>
      </c>
      <c r="F434" s="66" t="s">
        <v>632</v>
      </c>
      <c r="G434" s="59" t="s">
        <v>450</v>
      </c>
      <c r="H434" s="91" t="s">
        <v>1008</v>
      </c>
      <c r="I434" s="63" t="s">
        <v>1008</v>
      </c>
      <c r="J434" s="64">
        <v>100</v>
      </c>
      <c r="K434" s="59" t="s">
        <v>28</v>
      </c>
      <c r="L434" s="59" t="s">
        <v>57</v>
      </c>
      <c r="M434" s="59" t="s">
        <v>515</v>
      </c>
      <c r="N434" s="65">
        <v>100</v>
      </c>
      <c r="O434" s="65">
        <f t="shared" si="21"/>
        <v>0</v>
      </c>
      <c r="P434" s="66">
        <v>44999</v>
      </c>
      <c r="Q434" s="61">
        <f t="shared" si="20"/>
        <v>44999</v>
      </c>
      <c r="R434" s="59" t="s">
        <v>951</v>
      </c>
      <c r="S434" s="59" t="s">
        <v>1018</v>
      </c>
      <c r="T434" s="59"/>
      <c r="U434" s="59"/>
      <c r="V434" s="59"/>
      <c r="W434" s="59"/>
      <c r="X434" s="59"/>
    </row>
    <row r="435" s="20" customFormat="1" ht="24" hidden="1" spans="1:24">
      <c r="A435" s="59">
        <v>432</v>
      </c>
      <c r="B435" s="60" t="s">
        <v>1019</v>
      </c>
      <c r="C435" s="61">
        <f t="shared" si="22"/>
        <v>44785</v>
      </c>
      <c r="D435" s="62" t="str">
        <f ca="1" t="shared" si="19"/>
        <v>一年以上</v>
      </c>
      <c r="E435" s="66">
        <v>44785</v>
      </c>
      <c r="F435" s="66" t="s">
        <v>632</v>
      </c>
      <c r="G435" s="59" t="s">
        <v>450</v>
      </c>
      <c r="H435" s="91" t="s">
        <v>842</v>
      </c>
      <c r="I435" s="63" t="s">
        <v>842</v>
      </c>
      <c r="J435" s="64">
        <v>500</v>
      </c>
      <c r="K435" s="59" t="s">
        <v>28</v>
      </c>
      <c r="L435" s="59" t="s">
        <v>57</v>
      </c>
      <c r="M435" s="59" t="s">
        <v>515</v>
      </c>
      <c r="N435" s="65">
        <v>500</v>
      </c>
      <c r="O435" s="65">
        <f t="shared" si="21"/>
        <v>0</v>
      </c>
      <c r="P435" s="66"/>
      <c r="Q435" s="61">
        <f t="shared" si="20"/>
        <v>0</v>
      </c>
      <c r="R435" s="59"/>
      <c r="S435" s="59" t="s">
        <v>1020</v>
      </c>
      <c r="T435" s="59"/>
      <c r="U435" s="59"/>
      <c r="V435" s="59"/>
      <c r="W435" s="59"/>
      <c r="X435" s="59"/>
    </row>
    <row r="436" s="20" customFormat="1" ht="24" hidden="1" spans="1:24">
      <c r="A436" s="59">
        <v>434</v>
      </c>
      <c r="B436" s="60" t="s">
        <v>1021</v>
      </c>
      <c r="C436" s="61">
        <f t="shared" si="22"/>
        <v>44792</v>
      </c>
      <c r="D436" s="62" t="str">
        <f ca="1" t="shared" si="19"/>
        <v>一年以上</v>
      </c>
      <c r="E436" s="66">
        <v>44792</v>
      </c>
      <c r="F436" s="89" t="s">
        <v>70</v>
      </c>
      <c r="G436" s="89" t="s">
        <v>1022</v>
      </c>
      <c r="H436" s="91" t="s">
        <v>1023</v>
      </c>
      <c r="I436" s="63" t="s">
        <v>1023</v>
      </c>
      <c r="J436" s="76">
        <v>2100</v>
      </c>
      <c r="K436" s="59" t="s">
        <v>28</v>
      </c>
      <c r="L436" s="59" t="s">
        <v>57</v>
      </c>
      <c r="M436" s="89" t="s">
        <v>65</v>
      </c>
      <c r="N436" s="111">
        <v>2100</v>
      </c>
      <c r="O436" s="65">
        <f t="shared" si="21"/>
        <v>0</v>
      </c>
      <c r="P436" s="66">
        <v>44943</v>
      </c>
      <c r="Q436" s="61">
        <f t="shared" si="20"/>
        <v>44943</v>
      </c>
      <c r="R436" s="59"/>
      <c r="S436" s="59" t="s">
        <v>1024</v>
      </c>
      <c r="T436" s="59" t="s">
        <v>171</v>
      </c>
      <c r="U436" s="59"/>
      <c r="V436" s="59" t="s">
        <v>1024</v>
      </c>
      <c r="W436" s="59"/>
      <c r="X436" s="59"/>
    </row>
    <row r="437" s="20" customFormat="1" ht="24" hidden="1" spans="1:24">
      <c r="A437" s="59">
        <v>435</v>
      </c>
      <c r="B437" s="60" t="s">
        <v>1025</v>
      </c>
      <c r="C437" s="61">
        <f t="shared" si="22"/>
        <v>44795</v>
      </c>
      <c r="D437" s="62" t="str">
        <f ca="1" t="shared" si="19"/>
        <v>一年以上</v>
      </c>
      <c r="E437" s="66">
        <v>44795</v>
      </c>
      <c r="F437" s="89" t="s">
        <v>70</v>
      </c>
      <c r="G437" s="89" t="s">
        <v>104</v>
      </c>
      <c r="H437" s="91" t="s">
        <v>291</v>
      </c>
      <c r="I437" s="63" t="s">
        <v>291</v>
      </c>
      <c r="J437" s="76">
        <v>2600</v>
      </c>
      <c r="K437" s="59" t="s">
        <v>356</v>
      </c>
      <c r="L437" s="59" t="s">
        <v>458</v>
      </c>
      <c r="M437" s="89" t="s">
        <v>65</v>
      </c>
      <c r="N437" s="111">
        <v>2600</v>
      </c>
      <c r="O437" s="65">
        <f t="shared" si="21"/>
        <v>0</v>
      </c>
      <c r="P437" s="66">
        <v>44921</v>
      </c>
      <c r="Q437" s="61">
        <f t="shared" si="20"/>
        <v>44921</v>
      </c>
      <c r="R437" s="59"/>
      <c r="S437" s="59" t="s">
        <v>1026</v>
      </c>
      <c r="T437" s="59"/>
      <c r="U437" s="59"/>
      <c r="V437" s="59" t="s">
        <v>1026</v>
      </c>
      <c r="W437" s="59"/>
      <c r="X437" s="59"/>
    </row>
    <row r="438" s="20" customFormat="1" ht="24" hidden="1" spans="1:24">
      <c r="A438" s="59">
        <v>436</v>
      </c>
      <c r="B438" s="60" t="s">
        <v>1027</v>
      </c>
      <c r="C438" s="61">
        <f t="shared" si="22"/>
        <v>44795</v>
      </c>
      <c r="D438" s="62" t="str">
        <f ca="1" t="shared" si="19"/>
        <v>一年以上</v>
      </c>
      <c r="E438" s="66">
        <v>44795</v>
      </c>
      <c r="F438" s="66" t="s">
        <v>632</v>
      </c>
      <c r="G438" s="89" t="s">
        <v>450</v>
      </c>
      <c r="H438" s="100" t="s">
        <v>1028</v>
      </c>
      <c r="I438" s="63" t="s">
        <v>1028</v>
      </c>
      <c r="J438" s="76">
        <v>5000</v>
      </c>
      <c r="K438" s="59" t="s">
        <v>28</v>
      </c>
      <c r="L438" s="59" t="s">
        <v>57</v>
      </c>
      <c r="M438" s="89" t="s">
        <v>30</v>
      </c>
      <c r="N438" s="111">
        <v>5000</v>
      </c>
      <c r="O438" s="65">
        <f t="shared" si="21"/>
        <v>0</v>
      </c>
      <c r="P438" s="66">
        <v>44873</v>
      </c>
      <c r="Q438" s="61">
        <f t="shared" si="20"/>
        <v>44873</v>
      </c>
      <c r="R438" s="59"/>
      <c r="S438" s="59"/>
      <c r="T438" s="59"/>
      <c r="U438" s="59"/>
      <c r="V438" s="59"/>
      <c r="W438" s="59"/>
      <c r="X438" s="59"/>
    </row>
    <row r="439" s="20" customFormat="1" ht="24" hidden="1" spans="1:24">
      <c r="A439" s="59">
        <v>437</v>
      </c>
      <c r="B439" s="60" t="s">
        <v>1029</v>
      </c>
      <c r="C439" s="61">
        <f t="shared" si="22"/>
        <v>44795</v>
      </c>
      <c r="D439" s="62" t="str">
        <f ca="1" t="shared" si="19"/>
        <v>一年以上</v>
      </c>
      <c r="E439" s="66">
        <v>44795</v>
      </c>
      <c r="F439" s="66" t="s">
        <v>632</v>
      </c>
      <c r="G439" s="89" t="s">
        <v>450</v>
      </c>
      <c r="H439" s="100" t="s">
        <v>1028</v>
      </c>
      <c r="I439" s="63" t="s">
        <v>1028</v>
      </c>
      <c r="J439" s="64">
        <v>100</v>
      </c>
      <c r="K439" s="59" t="s">
        <v>28</v>
      </c>
      <c r="L439" s="59" t="s">
        <v>57</v>
      </c>
      <c r="M439" s="89" t="s">
        <v>515</v>
      </c>
      <c r="N439" s="111">
        <v>100</v>
      </c>
      <c r="O439" s="65">
        <f t="shared" si="21"/>
        <v>0</v>
      </c>
      <c r="P439" s="66">
        <v>44880</v>
      </c>
      <c r="Q439" s="61">
        <f t="shared" si="20"/>
        <v>44880</v>
      </c>
      <c r="R439" s="59" t="s">
        <v>951</v>
      </c>
      <c r="S439" s="59"/>
      <c r="T439" s="59"/>
      <c r="U439" s="59"/>
      <c r="V439" s="59"/>
      <c r="W439" s="59"/>
      <c r="X439" s="59"/>
    </row>
    <row r="440" s="20" customFormat="1" ht="24" hidden="1" spans="1:24">
      <c r="A440" s="59">
        <v>438</v>
      </c>
      <c r="B440" s="60" t="s">
        <v>1030</v>
      </c>
      <c r="C440" s="61">
        <f t="shared" si="22"/>
        <v>44796</v>
      </c>
      <c r="D440" s="62" t="str">
        <f ca="1" t="shared" si="19"/>
        <v>一年以上</v>
      </c>
      <c r="E440" s="66">
        <v>44796</v>
      </c>
      <c r="F440" s="66" t="s">
        <v>632</v>
      </c>
      <c r="G440" s="89" t="s">
        <v>450</v>
      </c>
      <c r="H440" s="100" t="s">
        <v>1031</v>
      </c>
      <c r="I440" s="63" t="s">
        <v>1031</v>
      </c>
      <c r="J440" s="76">
        <v>100</v>
      </c>
      <c r="K440" s="59" t="s">
        <v>28</v>
      </c>
      <c r="L440" s="59" t="s">
        <v>57</v>
      </c>
      <c r="M440" s="89" t="s">
        <v>515</v>
      </c>
      <c r="N440" s="111">
        <v>100</v>
      </c>
      <c r="O440" s="111">
        <f t="shared" si="21"/>
        <v>0</v>
      </c>
      <c r="P440" s="66">
        <v>44880</v>
      </c>
      <c r="Q440" s="61">
        <f t="shared" si="20"/>
        <v>44880</v>
      </c>
      <c r="R440" s="59" t="s">
        <v>951</v>
      </c>
      <c r="S440" s="59"/>
      <c r="T440" s="59"/>
      <c r="U440" s="59"/>
      <c r="V440" s="59"/>
      <c r="W440" s="59"/>
      <c r="X440" s="59"/>
    </row>
    <row r="441" s="20" customFormat="1" ht="24" hidden="1" spans="1:24">
      <c r="A441" s="59">
        <v>439</v>
      </c>
      <c r="B441" s="60" t="s">
        <v>1032</v>
      </c>
      <c r="C441" s="61">
        <f t="shared" si="22"/>
        <v>44796</v>
      </c>
      <c r="D441" s="62" t="str">
        <f ca="1" t="shared" si="19"/>
        <v>一年以上</v>
      </c>
      <c r="E441" s="66">
        <v>44796</v>
      </c>
      <c r="F441" s="66" t="s">
        <v>632</v>
      </c>
      <c r="G441" s="89" t="s">
        <v>450</v>
      </c>
      <c r="H441" s="100" t="s">
        <v>1031</v>
      </c>
      <c r="I441" s="63" t="s">
        <v>1031</v>
      </c>
      <c r="J441" s="76">
        <v>10000</v>
      </c>
      <c r="K441" s="59" t="s">
        <v>28</v>
      </c>
      <c r="L441" s="59" t="s">
        <v>57</v>
      </c>
      <c r="M441" s="89" t="s">
        <v>30</v>
      </c>
      <c r="N441" s="111">
        <v>10000</v>
      </c>
      <c r="O441" s="111">
        <f t="shared" si="21"/>
        <v>0</v>
      </c>
      <c r="P441" s="66">
        <v>44827</v>
      </c>
      <c r="Q441" s="61">
        <f t="shared" si="20"/>
        <v>44827</v>
      </c>
      <c r="R441" s="59"/>
      <c r="S441" s="59"/>
      <c r="T441" s="59"/>
      <c r="U441" s="59"/>
      <c r="V441" s="59"/>
      <c r="W441" s="59"/>
      <c r="X441" s="59"/>
    </row>
    <row r="442" s="20" customFormat="1" hidden="1" spans="1:24">
      <c r="A442" s="59">
        <v>440</v>
      </c>
      <c r="B442" s="60" t="s">
        <v>1033</v>
      </c>
      <c r="C442" s="61">
        <f t="shared" si="22"/>
        <v>44796</v>
      </c>
      <c r="D442" s="62" t="str">
        <f ca="1" t="shared" si="19"/>
        <v>一年以上</v>
      </c>
      <c r="E442" s="66">
        <v>44796</v>
      </c>
      <c r="F442" s="66" t="s">
        <v>632</v>
      </c>
      <c r="G442" s="89" t="s">
        <v>450</v>
      </c>
      <c r="H442" s="100" t="s">
        <v>1034</v>
      </c>
      <c r="I442" s="63" t="s">
        <v>1034</v>
      </c>
      <c r="J442" s="76">
        <v>800</v>
      </c>
      <c r="K442" s="59" t="s">
        <v>28</v>
      </c>
      <c r="L442" s="59" t="s">
        <v>96</v>
      </c>
      <c r="M442" s="89" t="s">
        <v>515</v>
      </c>
      <c r="N442" s="111">
        <v>800</v>
      </c>
      <c r="O442" s="111">
        <f t="shared" si="21"/>
        <v>0</v>
      </c>
      <c r="P442" s="66">
        <v>44932</v>
      </c>
      <c r="Q442" s="61">
        <f t="shared" si="20"/>
        <v>44932</v>
      </c>
      <c r="R442" s="59" t="s">
        <v>951</v>
      </c>
      <c r="S442" s="59"/>
      <c r="T442" s="59"/>
      <c r="U442" s="59"/>
      <c r="V442" s="59"/>
      <c r="W442" s="59"/>
      <c r="X442" s="59"/>
    </row>
    <row r="443" s="20" customFormat="1" hidden="1" spans="1:24">
      <c r="A443" s="59">
        <v>441</v>
      </c>
      <c r="B443" s="60" t="s">
        <v>1035</v>
      </c>
      <c r="C443" s="61">
        <f t="shared" si="22"/>
        <v>44796</v>
      </c>
      <c r="D443" s="62" t="str">
        <f ca="1" t="shared" si="19"/>
        <v>一年以上</v>
      </c>
      <c r="E443" s="66">
        <v>44796</v>
      </c>
      <c r="F443" s="66" t="s">
        <v>632</v>
      </c>
      <c r="G443" s="89" t="s">
        <v>993</v>
      </c>
      <c r="H443" s="100" t="s">
        <v>926</v>
      </c>
      <c r="I443" s="63" t="s">
        <v>926</v>
      </c>
      <c r="J443" s="76">
        <v>20000</v>
      </c>
      <c r="K443" s="59" t="s">
        <v>28</v>
      </c>
      <c r="L443" s="59" t="s">
        <v>57</v>
      </c>
      <c r="M443" s="89" t="s">
        <v>30</v>
      </c>
      <c r="N443" s="111">
        <v>20000</v>
      </c>
      <c r="O443" s="111">
        <f t="shared" si="21"/>
        <v>0</v>
      </c>
      <c r="P443" s="66">
        <v>44817</v>
      </c>
      <c r="Q443" s="61">
        <f t="shared" si="20"/>
        <v>44817</v>
      </c>
      <c r="R443" s="59"/>
      <c r="S443" s="59"/>
      <c r="T443" s="59"/>
      <c r="U443" s="59"/>
      <c r="V443" s="59"/>
      <c r="W443" s="59"/>
      <c r="X443" s="59"/>
    </row>
    <row r="444" s="20" customFormat="1" ht="24" hidden="1" spans="1:24">
      <c r="A444" s="59">
        <v>442</v>
      </c>
      <c r="B444" s="60" t="s">
        <v>1036</v>
      </c>
      <c r="C444" s="61">
        <f t="shared" si="22"/>
        <v>44797</v>
      </c>
      <c r="D444" s="62" t="str">
        <f ca="1" t="shared" si="19"/>
        <v>一年以上</v>
      </c>
      <c r="E444" s="66">
        <v>44797</v>
      </c>
      <c r="F444" s="66" t="s">
        <v>632</v>
      </c>
      <c r="G444" s="89" t="s">
        <v>450</v>
      </c>
      <c r="H444" s="100" t="s">
        <v>1037</v>
      </c>
      <c r="I444" s="63" t="s">
        <v>1037</v>
      </c>
      <c r="J444" s="76">
        <v>100</v>
      </c>
      <c r="K444" s="59" t="s">
        <v>28</v>
      </c>
      <c r="L444" s="59" t="s">
        <v>57</v>
      </c>
      <c r="M444" s="89" t="s">
        <v>515</v>
      </c>
      <c r="N444" s="111">
        <v>100</v>
      </c>
      <c r="O444" s="111">
        <f t="shared" si="21"/>
        <v>0</v>
      </c>
      <c r="P444" s="66">
        <v>44880</v>
      </c>
      <c r="Q444" s="61">
        <f t="shared" si="20"/>
        <v>44880</v>
      </c>
      <c r="R444" s="59" t="s">
        <v>951</v>
      </c>
      <c r="S444" s="59"/>
      <c r="T444" s="59"/>
      <c r="U444" s="59"/>
      <c r="V444" s="59"/>
      <c r="W444" s="59"/>
      <c r="X444" s="59"/>
    </row>
    <row r="445" s="20" customFormat="1" ht="24" hidden="1" spans="1:24">
      <c r="A445" s="59">
        <v>443</v>
      </c>
      <c r="B445" s="60" t="s">
        <v>1038</v>
      </c>
      <c r="C445" s="61">
        <f t="shared" si="22"/>
        <v>44797</v>
      </c>
      <c r="D445" s="62" t="str">
        <f ca="1" t="shared" si="19"/>
        <v>一年以上</v>
      </c>
      <c r="E445" s="66">
        <v>44797</v>
      </c>
      <c r="F445" s="66" t="s">
        <v>632</v>
      </c>
      <c r="G445" s="89" t="s">
        <v>450</v>
      </c>
      <c r="H445" s="100" t="s">
        <v>1037</v>
      </c>
      <c r="I445" s="63" t="s">
        <v>1037</v>
      </c>
      <c r="J445" s="76">
        <v>10000</v>
      </c>
      <c r="K445" s="59" t="s">
        <v>28</v>
      </c>
      <c r="L445" s="59" t="s">
        <v>57</v>
      </c>
      <c r="M445" s="89" t="s">
        <v>30</v>
      </c>
      <c r="N445" s="111">
        <v>10000</v>
      </c>
      <c r="O445" s="111">
        <f t="shared" si="21"/>
        <v>0</v>
      </c>
      <c r="P445" s="66">
        <v>44862</v>
      </c>
      <c r="Q445" s="61">
        <f t="shared" si="20"/>
        <v>44862</v>
      </c>
      <c r="R445" s="59"/>
      <c r="S445" s="59"/>
      <c r="T445" s="59"/>
      <c r="U445" s="59"/>
      <c r="V445" s="59"/>
      <c r="W445" s="59"/>
      <c r="X445" s="59"/>
    </row>
    <row r="446" s="20" customFormat="1" ht="24" hidden="1" spans="1:24">
      <c r="A446" s="59">
        <v>444</v>
      </c>
      <c r="B446" s="60" t="s">
        <v>1039</v>
      </c>
      <c r="C446" s="61">
        <f t="shared" si="22"/>
        <v>44797</v>
      </c>
      <c r="D446" s="62" t="str">
        <f ca="1" t="shared" si="19"/>
        <v>一年以上</v>
      </c>
      <c r="E446" s="66">
        <v>44797</v>
      </c>
      <c r="F446" s="66" t="s">
        <v>632</v>
      </c>
      <c r="G446" s="89" t="s">
        <v>450</v>
      </c>
      <c r="H446" s="100" t="s">
        <v>1040</v>
      </c>
      <c r="I446" s="63" t="s">
        <v>1040</v>
      </c>
      <c r="J446" s="76">
        <v>10000</v>
      </c>
      <c r="K446" s="59" t="s">
        <v>356</v>
      </c>
      <c r="L446" s="59" t="s">
        <v>458</v>
      </c>
      <c r="M446" s="89" t="s">
        <v>30</v>
      </c>
      <c r="N446" s="111">
        <v>10000</v>
      </c>
      <c r="O446" s="111">
        <f t="shared" si="21"/>
        <v>0</v>
      </c>
      <c r="P446" s="66">
        <v>44818</v>
      </c>
      <c r="Q446" s="61">
        <f t="shared" si="20"/>
        <v>44818</v>
      </c>
      <c r="R446" s="59"/>
      <c r="S446" s="59"/>
      <c r="T446" s="59"/>
      <c r="U446" s="59"/>
      <c r="V446" s="59"/>
      <c r="W446" s="59"/>
      <c r="X446" s="59"/>
    </row>
    <row r="447" s="20" customFormat="1" ht="24" hidden="1" spans="1:24">
      <c r="A447" s="59">
        <v>445</v>
      </c>
      <c r="B447" s="60" t="s">
        <v>1041</v>
      </c>
      <c r="C447" s="61">
        <f t="shared" si="22"/>
        <v>44797</v>
      </c>
      <c r="D447" s="62" t="str">
        <f ca="1" t="shared" si="19"/>
        <v>一年以上</v>
      </c>
      <c r="E447" s="66">
        <v>44797</v>
      </c>
      <c r="F447" s="66" t="s">
        <v>632</v>
      </c>
      <c r="G447" s="89" t="s">
        <v>1042</v>
      </c>
      <c r="H447" s="100" t="s">
        <v>1043</v>
      </c>
      <c r="I447" s="63" t="s">
        <v>1043</v>
      </c>
      <c r="J447" s="76">
        <v>10000</v>
      </c>
      <c r="K447" s="59" t="s">
        <v>28</v>
      </c>
      <c r="L447" s="59" t="s">
        <v>57</v>
      </c>
      <c r="M447" s="89" t="s">
        <v>133</v>
      </c>
      <c r="N447" s="111">
        <v>10000</v>
      </c>
      <c r="O447" s="111">
        <f t="shared" si="21"/>
        <v>0</v>
      </c>
      <c r="P447" s="66">
        <v>44903</v>
      </c>
      <c r="Q447" s="61">
        <f t="shared" si="20"/>
        <v>44903</v>
      </c>
      <c r="R447" s="59"/>
      <c r="S447" s="59"/>
      <c r="T447" s="59"/>
      <c r="U447" s="59"/>
      <c r="V447" s="59"/>
      <c r="W447" s="59"/>
      <c r="X447" s="59"/>
    </row>
    <row r="448" s="20" customFormat="1" hidden="1" spans="1:24">
      <c r="A448" s="59">
        <v>446</v>
      </c>
      <c r="B448" s="60" t="s">
        <v>1044</v>
      </c>
      <c r="C448" s="61">
        <f t="shared" si="22"/>
        <v>44802</v>
      </c>
      <c r="D448" s="62" t="str">
        <f ca="1" t="shared" si="19"/>
        <v>一年以上</v>
      </c>
      <c r="E448" s="66">
        <v>44802</v>
      </c>
      <c r="F448" s="66" t="s">
        <v>632</v>
      </c>
      <c r="G448" s="89" t="s">
        <v>993</v>
      </c>
      <c r="H448" s="100" t="s">
        <v>863</v>
      </c>
      <c r="I448" s="63" t="s">
        <v>863</v>
      </c>
      <c r="J448" s="76">
        <v>500</v>
      </c>
      <c r="K448" s="59" t="s">
        <v>28</v>
      </c>
      <c r="L448" s="59" t="s">
        <v>57</v>
      </c>
      <c r="M448" s="89" t="s">
        <v>515</v>
      </c>
      <c r="N448" s="111">
        <v>500</v>
      </c>
      <c r="O448" s="111">
        <f t="shared" si="21"/>
        <v>0</v>
      </c>
      <c r="P448" s="66">
        <v>44880</v>
      </c>
      <c r="Q448" s="61">
        <f t="shared" si="20"/>
        <v>44880</v>
      </c>
      <c r="R448" s="59" t="s">
        <v>951</v>
      </c>
      <c r="S448" s="60"/>
      <c r="T448" s="59"/>
      <c r="U448" s="59"/>
      <c r="V448" s="59"/>
      <c r="W448" s="59"/>
      <c r="X448" s="59"/>
    </row>
    <row r="449" s="20" customFormat="1" ht="24" hidden="1" spans="1:24">
      <c r="A449" s="59">
        <v>447</v>
      </c>
      <c r="B449" s="60" t="s">
        <v>1045</v>
      </c>
      <c r="C449" s="61">
        <f t="shared" si="22"/>
        <v>44805</v>
      </c>
      <c r="D449" s="62" t="str">
        <f ca="1" t="shared" si="19"/>
        <v>一年以上</v>
      </c>
      <c r="E449" s="66">
        <v>44805</v>
      </c>
      <c r="F449" s="66" t="s">
        <v>632</v>
      </c>
      <c r="G449" s="89" t="s">
        <v>993</v>
      </c>
      <c r="H449" s="100" t="s">
        <v>1046</v>
      </c>
      <c r="I449" s="63" t="s">
        <v>1046</v>
      </c>
      <c r="J449" s="76">
        <v>10000</v>
      </c>
      <c r="K449" s="59" t="s">
        <v>356</v>
      </c>
      <c r="L449" s="59" t="s">
        <v>458</v>
      </c>
      <c r="M449" s="89" t="s">
        <v>30</v>
      </c>
      <c r="N449" s="111">
        <v>10000</v>
      </c>
      <c r="O449" s="111">
        <f t="shared" si="21"/>
        <v>0</v>
      </c>
      <c r="P449" s="66">
        <v>44853</v>
      </c>
      <c r="Q449" s="61">
        <f t="shared" si="20"/>
        <v>44853</v>
      </c>
      <c r="R449" s="59"/>
      <c r="S449" s="59"/>
      <c r="T449" s="59"/>
      <c r="U449" s="59"/>
      <c r="V449" s="59"/>
      <c r="W449" s="59"/>
      <c r="X449" s="59"/>
    </row>
    <row r="450" s="20" customFormat="1" ht="24" hidden="1" spans="1:24">
      <c r="A450" s="59">
        <v>448</v>
      </c>
      <c r="B450" s="60" t="s">
        <v>1047</v>
      </c>
      <c r="C450" s="61">
        <f t="shared" si="22"/>
        <v>44806</v>
      </c>
      <c r="D450" s="62" t="str">
        <f ca="1" t="shared" si="19"/>
        <v>一年以上</v>
      </c>
      <c r="E450" s="66">
        <v>44806</v>
      </c>
      <c r="F450" s="66" t="s">
        <v>632</v>
      </c>
      <c r="G450" s="89" t="s">
        <v>993</v>
      </c>
      <c r="H450" s="100" t="s">
        <v>1048</v>
      </c>
      <c r="I450" s="63" t="s">
        <v>1048</v>
      </c>
      <c r="J450" s="76">
        <v>10000</v>
      </c>
      <c r="K450" s="59" t="s">
        <v>28</v>
      </c>
      <c r="L450" s="59" t="s">
        <v>57</v>
      </c>
      <c r="M450" s="89" t="s">
        <v>30</v>
      </c>
      <c r="N450" s="111">
        <v>10000</v>
      </c>
      <c r="O450" s="111">
        <f t="shared" si="21"/>
        <v>0</v>
      </c>
      <c r="P450" s="66">
        <v>44846</v>
      </c>
      <c r="Q450" s="61">
        <f t="shared" si="20"/>
        <v>44846</v>
      </c>
      <c r="R450" s="59"/>
      <c r="S450" s="59" t="s">
        <v>1049</v>
      </c>
      <c r="T450" s="59"/>
      <c r="U450" s="59"/>
      <c r="V450" s="59"/>
      <c r="W450" s="59"/>
      <c r="X450" s="59"/>
    </row>
    <row r="451" s="20" customFormat="1" ht="36" hidden="1" spans="1:24">
      <c r="A451" s="59">
        <v>449</v>
      </c>
      <c r="B451" s="60" t="s">
        <v>1050</v>
      </c>
      <c r="C451" s="61">
        <f t="shared" si="22"/>
        <v>44806</v>
      </c>
      <c r="D451" s="62" t="str">
        <f ca="1" t="shared" ref="D451:D514" si="23">IF(TODAY()-E451&lt;60,"2个月内",IF(TODAY()-E451&lt;180,"3-6个月",IF(TODAY()-E451&lt;360,"6个月-1年","一年以上")))</f>
        <v>一年以上</v>
      </c>
      <c r="E451" s="66">
        <v>44806</v>
      </c>
      <c r="F451" s="66" t="s">
        <v>632</v>
      </c>
      <c r="G451" s="89" t="s">
        <v>450</v>
      </c>
      <c r="H451" s="100" t="s">
        <v>1051</v>
      </c>
      <c r="I451" s="63" t="s">
        <v>1051</v>
      </c>
      <c r="J451" s="76">
        <v>28000</v>
      </c>
      <c r="K451" s="59" t="s">
        <v>28</v>
      </c>
      <c r="L451" s="59" t="s">
        <v>57</v>
      </c>
      <c r="M451" s="89" t="s">
        <v>30</v>
      </c>
      <c r="N451" s="111">
        <v>28000</v>
      </c>
      <c r="O451" s="111">
        <f t="shared" si="21"/>
        <v>0</v>
      </c>
      <c r="P451" s="66">
        <v>44888</v>
      </c>
      <c r="Q451" s="61">
        <f t="shared" ref="Q451:Q514" si="24">P451</f>
        <v>44888</v>
      </c>
      <c r="R451" s="59"/>
      <c r="S451" s="59" t="s">
        <v>1052</v>
      </c>
      <c r="T451" s="59"/>
      <c r="U451" s="59"/>
      <c r="V451" s="59"/>
      <c r="W451" s="59"/>
      <c r="X451" s="59"/>
    </row>
    <row r="452" s="20" customFormat="1" ht="24" hidden="1" spans="1:24">
      <c r="A452" s="59">
        <v>450</v>
      </c>
      <c r="B452" s="60" t="s">
        <v>1053</v>
      </c>
      <c r="C452" s="61">
        <f t="shared" si="22"/>
        <v>44806</v>
      </c>
      <c r="D452" s="62" t="str">
        <f ca="1" t="shared" si="23"/>
        <v>一年以上</v>
      </c>
      <c r="E452" s="66">
        <v>44806</v>
      </c>
      <c r="F452" s="66" t="s">
        <v>70</v>
      </c>
      <c r="G452" s="89" t="s">
        <v>1054</v>
      </c>
      <c r="H452" s="100" t="s">
        <v>1043</v>
      </c>
      <c r="I452" s="63" t="s">
        <v>1043</v>
      </c>
      <c r="J452" s="76">
        <v>10000</v>
      </c>
      <c r="K452" s="59" t="s">
        <v>28</v>
      </c>
      <c r="L452" s="59" t="s">
        <v>57</v>
      </c>
      <c r="M452" s="89" t="s">
        <v>65</v>
      </c>
      <c r="N452" s="111">
        <v>10000</v>
      </c>
      <c r="O452" s="111">
        <f t="shared" si="21"/>
        <v>0</v>
      </c>
      <c r="P452" s="66">
        <v>44921</v>
      </c>
      <c r="Q452" s="61">
        <f t="shared" si="24"/>
        <v>44921</v>
      </c>
      <c r="R452" s="59"/>
      <c r="S452" s="59" t="s">
        <v>1055</v>
      </c>
      <c r="T452" s="59"/>
      <c r="U452" s="59"/>
      <c r="V452" s="59"/>
      <c r="W452" s="59"/>
      <c r="X452" s="59"/>
    </row>
    <row r="453" s="20" customFormat="1" ht="24" hidden="1" spans="1:24">
      <c r="A453" s="59">
        <v>451</v>
      </c>
      <c r="B453" s="60" t="s">
        <v>1056</v>
      </c>
      <c r="C453" s="61">
        <f t="shared" si="22"/>
        <v>44806</v>
      </c>
      <c r="D453" s="62" t="str">
        <f ca="1" t="shared" si="23"/>
        <v>一年以上</v>
      </c>
      <c r="E453" s="66">
        <v>44806</v>
      </c>
      <c r="F453" s="66" t="s">
        <v>70</v>
      </c>
      <c r="G453" s="89" t="s">
        <v>1054</v>
      </c>
      <c r="H453" s="100" t="s">
        <v>1043</v>
      </c>
      <c r="I453" s="63" t="s">
        <v>1043</v>
      </c>
      <c r="J453" s="76">
        <v>5000</v>
      </c>
      <c r="K453" s="59" t="s">
        <v>28</v>
      </c>
      <c r="L453" s="59" t="s">
        <v>57</v>
      </c>
      <c r="M453" s="89" t="s">
        <v>65</v>
      </c>
      <c r="N453" s="111">
        <v>5000</v>
      </c>
      <c r="O453" s="111">
        <f t="shared" si="21"/>
        <v>0</v>
      </c>
      <c r="P453" s="66">
        <v>44921</v>
      </c>
      <c r="Q453" s="61">
        <f t="shared" si="24"/>
        <v>44921</v>
      </c>
      <c r="R453" s="59"/>
      <c r="S453" s="59" t="s">
        <v>1055</v>
      </c>
      <c r="T453" s="59"/>
      <c r="U453" s="59"/>
      <c r="V453" s="59"/>
      <c r="W453" s="59"/>
      <c r="X453" s="59"/>
    </row>
    <row r="454" s="20" customFormat="1" hidden="1" spans="1:24">
      <c r="A454" s="59">
        <v>452</v>
      </c>
      <c r="B454" s="60" t="s">
        <v>1057</v>
      </c>
      <c r="C454" s="61">
        <f t="shared" si="22"/>
        <v>44809</v>
      </c>
      <c r="D454" s="62" t="str">
        <f ca="1" t="shared" si="23"/>
        <v>一年以上</v>
      </c>
      <c r="E454" s="66">
        <v>44809</v>
      </c>
      <c r="F454" s="66" t="s">
        <v>632</v>
      </c>
      <c r="G454" s="89" t="s">
        <v>993</v>
      </c>
      <c r="H454" s="100" t="s">
        <v>863</v>
      </c>
      <c r="I454" s="63" t="s">
        <v>863</v>
      </c>
      <c r="J454" s="76">
        <v>20000</v>
      </c>
      <c r="K454" s="59" t="s">
        <v>28</v>
      </c>
      <c r="L454" s="59" t="s">
        <v>57</v>
      </c>
      <c r="M454" s="89" t="s">
        <v>30</v>
      </c>
      <c r="N454" s="111">
        <v>20000</v>
      </c>
      <c r="O454" s="111">
        <f t="shared" si="21"/>
        <v>0</v>
      </c>
      <c r="P454" s="66">
        <v>44883</v>
      </c>
      <c r="Q454" s="61">
        <f t="shared" si="24"/>
        <v>44883</v>
      </c>
      <c r="R454" s="59"/>
      <c r="S454" s="60" t="s">
        <v>1058</v>
      </c>
      <c r="T454" s="59"/>
      <c r="U454" s="59"/>
      <c r="V454" s="59"/>
      <c r="W454" s="59"/>
      <c r="X454" s="59"/>
    </row>
    <row r="455" s="20" customFormat="1" ht="24" hidden="1" spans="1:24">
      <c r="A455" s="59">
        <v>453</v>
      </c>
      <c r="B455" s="60" t="s">
        <v>1059</v>
      </c>
      <c r="C455" s="61">
        <f t="shared" si="22"/>
        <v>44809</v>
      </c>
      <c r="D455" s="62" t="str">
        <f ca="1" t="shared" si="23"/>
        <v>一年以上</v>
      </c>
      <c r="E455" s="66">
        <v>44809</v>
      </c>
      <c r="F455" s="66" t="s">
        <v>70</v>
      </c>
      <c r="G455" s="89" t="s">
        <v>335</v>
      </c>
      <c r="H455" s="100" t="s">
        <v>505</v>
      </c>
      <c r="I455" s="63" t="s">
        <v>505</v>
      </c>
      <c r="J455" s="76">
        <v>2000</v>
      </c>
      <c r="K455" s="59" t="s">
        <v>356</v>
      </c>
      <c r="L455" s="59" t="s">
        <v>96</v>
      </c>
      <c r="M455" s="89" t="s">
        <v>65</v>
      </c>
      <c r="N455" s="111">
        <v>2000</v>
      </c>
      <c r="O455" s="111">
        <f t="shared" si="21"/>
        <v>0</v>
      </c>
      <c r="P455" s="66">
        <v>45014</v>
      </c>
      <c r="Q455" s="61">
        <f t="shared" si="24"/>
        <v>45014</v>
      </c>
      <c r="R455" s="59"/>
      <c r="S455" s="59" t="s">
        <v>1060</v>
      </c>
      <c r="T455" s="59" t="s">
        <v>44</v>
      </c>
      <c r="U455" s="59"/>
      <c r="V455" s="59"/>
      <c r="W455" s="59"/>
      <c r="X455" s="59"/>
    </row>
    <row r="456" s="20" customFormat="1" ht="24" hidden="1" spans="1:24">
      <c r="A456" s="59">
        <v>454</v>
      </c>
      <c r="B456" s="60" t="s">
        <v>1061</v>
      </c>
      <c r="C456" s="61">
        <f t="shared" si="22"/>
        <v>44812</v>
      </c>
      <c r="D456" s="62" t="str">
        <f ca="1" t="shared" si="23"/>
        <v>一年以上</v>
      </c>
      <c r="E456" s="66">
        <v>44812</v>
      </c>
      <c r="F456" s="66" t="s">
        <v>632</v>
      </c>
      <c r="G456" s="89" t="s">
        <v>450</v>
      </c>
      <c r="H456" s="100" t="s">
        <v>577</v>
      </c>
      <c r="I456" s="63" t="s">
        <v>578</v>
      </c>
      <c r="J456" s="76">
        <v>2000</v>
      </c>
      <c r="K456" s="59" t="s">
        <v>28</v>
      </c>
      <c r="L456" s="59" t="s">
        <v>57</v>
      </c>
      <c r="M456" s="89" t="s">
        <v>30</v>
      </c>
      <c r="N456" s="111">
        <v>2000</v>
      </c>
      <c r="O456" s="111">
        <f t="shared" si="21"/>
        <v>0</v>
      </c>
      <c r="P456" s="66">
        <v>44813</v>
      </c>
      <c r="Q456" s="61">
        <f t="shared" si="24"/>
        <v>44813</v>
      </c>
      <c r="R456" s="59"/>
      <c r="S456" s="59" t="s">
        <v>1062</v>
      </c>
      <c r="T456" s="59"/>
      <c r="U456" s="59"/>
      <c r="V456" s="59"/>
      <c r="W456" s="59"/>
      <c r="X456" s="59"/>
    </row>
    <row r="457" s="20" customFormat="1" ht="24" hidden="1" spans="1:24">
      <c r="A457" s="59">
        <v>455</v>
      </c>
      <c r="B457" s="60" t="s">
        <v>1063</v>
      </c>
      <c r="C457" s="61">
        <f t="shared" si="22"/>
        <v>44812</v>
      </c>
      <c r="D457" s="62" t="str">
        <f ca="1" t="shared" si="23"/>
        <v>一年以上</v>
      </c>
      <c r="E457" s="66">
        <v>44812</v>
      </c>
      <c r="F457" s="89" t="s">
        <v>632</v>
      </c>
      <c r="G457" s="89" t="s">
        <v>993</v>
      </c>
      <c r="H457" s="60" t="s">
        <v>1012</v>
      </c>
      <c r="I457" s="63" t="s">
        <v>1012</v>
      </c>
      <c r="J457" s="76">
        <v>2000</v>
      </c>
      <c r="K457" s="59" t="s">
        <v>28</v>
      </c>
      <c r="L457" s="59" t="s">
        <v>57</v>
      </c>
      <c r="M457" s="89" t="s">
        <v>30</v>
      </c>
      <c r="N457" s="111"/>
      <c r="O457" s="112">
        <f t="shared" si="21"/>
        <v>2000</v>
      </c>
      <c r="P457" s="66"/>
      <c r="Q457" s="61">
        <f t="shared" si="24"/>
        <v>0</v>
      </c>
      <c r="R457" s="59"/>
      <c r="S457" s="59"/>
      <c r="T457" s="59" t="s">
        <v>32</v>
      </c>
      <c r="U457" s="59" t="str">
        <f>VLOOKUP(T457,[1]区域划分!$A$1:$C$39,3,0)</f>
        <v>方渊</v>
      </c>
      <c r="V457" s="59"/>
      <c r="W457" s="59"/>
      <c r="X457" s="59"/>
    </row>
    <row r="458" s="20" customFormat="1" ht="24" hidden="1" spans="1:24">
      <c r="A458" s="59">
        <v>456</v>
      </c>
      <c r="B458" s="60" t="s">
        <v>1064</v>
      </c>
      <c r="C458" s="61">
        <f t="shared" si="22"/>
        <v>44812</v>
      </c>
      <c r="D458" s="62" t="str">
        <f ca="1" t="shared" si="23"/>
        <v>一年以上</v>
      </c>
      <c r="E458" s="66">
        <v>44812</v>
      </c>
      <c r="F458" s="89" t="s">
        <v>632</v>
      </c>
      <c r="G458" s="89" t="s">
        <v>993</v>
      </c>
      <c r="H458" s="60" t="s">
        <v>1012</v>
      </c>
      <c r="I458" s="63" t="s">
        <v>1012</v>
      </c>
      <c r="J458" s="76">
        <v>100</v>
      </c>
      <c r="K458" s="59" t="s">
        <v>28</v>
      </c>
      <c r="L458" s="59" t="s">
        <v>57</v>
      </c>
      <c r="M458" s="89" t="s">
        <v>515</v>
      </c>
      <c r="N458" s="111">
        <v>100</v>
      </c>
      <c r="O458" s="111">
        <f t="shared" si="21"/>
        <v>0</v>
      </c>
      <c r="P458" s="66">
        <v>44880</v>
      </c>
      <c r="Q458" s="61">
        <f t="shared" si="24"/>
        <v>44880</v>
      </c>
      <c r="R458" s="59" t="s">
        <v>951</v>
      </c>
      <c r="S458" s="59"/>
      <c r="T458" s="59"/>
      <c r="U458" s="59"/>
      <c r="V458" s="59"/>
      <c r="W458" s="59"/>
      <c r="X458" s="59"/>
    </row>
    <row r="459" s="20" customFormat="1" ht="24" hidden="1" spans="1:24">
      <c r="A459" s="59">
        <v>457</v>
      </c>
      <c r="B459" s="60" t="s">
        <v>1065</v>
      </c>
      <c r="C459" s="61">
        <f t="shared" si="22"/>
        <v>44812</v>
      </c>
      <c r="D459" s="62" t="str">
        <f ca="1" t="shared" si="23"/>
        <v>一年以上</v>
      </c>
      <c r="E459" s="66">
        <v>44812</v>
      </c>
      <c r="F459" s="66" t="s">
        <v>632</v>
      </c>
      <c r="G459" s="89" t="s">
        <v>450</v>
      </c>
      <c r="H459" s="100" t="s">
        <v>577</v>
      </c>
      <c r="I459" s="63" t="s">
        <v>578</v>
      </c>
      <c r="J459" s="76">
        <v>2000</v>
      </c>
      <c r="K459" s="59" t="s">
        <v>28</v>
      </c>
      <c r="L459" s="113" t="s">
        <v>57</v>
      </c>
      <c r="M459" s="89" t="s">
        <v>30</v>
      </c>
      <c r="N459" s="104">
        <v>2000</v>
      </c>
      <c r="O459" s="111">
        <f t="shared" si="21"/>
        <v>0</v>
      </c>
      <c r="P459" s="66">
        <v>45349</v>
      </c>
      <c r="Q459" s="61">
        <f t="shared" si="24"/>
        <v>45349</v>
      </c>
      <c r="R459" s="59"/>
      <c r="S459" s="60" t="s">
        <v>1062</v>
      </c>
      <c r="T459" s="59" t="s">
        <v>581</v>
      </c>
      <c r="U459" s="59" t="str">
        <f>VLOOKUP(T459,[1]区域划分!$A$1:$C$39,3,0)</f>
        <v>新疆</v>
      </c>
      <c r="V459" s="59"/>
      <c r="W459" s="59"/>
      <c r="X459" s="59"/>
    </row>
    <row r="460" s="20" customFormat="1" ht="24" hidden="1" spans="1:24">
      <c r="A460" s="59">
        <v>458</v>
      </c>
      <c r="B460" s="60" t="s">
        <v>1066</v>
      </c>
      <c r="C460" s="61">
        <f t="shared" si="22"/>
        <v>44817</v>
      </c>
      <c r="D460" s="62" t="str">
        <f ca="1" t="shared" si="23"/>
        <v>一年以上</v>
      </c>
      <c r="E460" s="66">
        <v>44817</v>
      </c>
      <c r="F460" s="66" t="s">
        <v>130</v>
      </c>
      <c r="G460" s="89" t="s">
        <v>993</v>
      </c>
      <c r="H460" s="100" t="s">
        <v>996</v>
      </c>
      <c r="I460" s="63" t="s">
        <v>996</v>
      </c>
      <c r="J460" s="76">
        <v>3000</v>
      </c>
      <c r="K460" s="59" t="s">
        <v>28</v>
      </c>
      <c r="L460" s="59" t="s">
        <v>57</v>
      </c>
      <c r="M460" s="89" t="s">
        <v>1067</v>
      </c>
      <c r="N460" s="111">
        <v>3000</v>
      </c>
      <c r="O460" s="111">
        <f t="shared" si="21"/>
        <v>0</v>
      </c>
      <c r="P460" s="66">
        <v>44877</v>
      </c>
      <c r="Q460" s="61">
        <f t="shared" si="24"/>
        <v>44877</v>
      </c>
      <c r="R460" s="59"/>
      <c r="S460" s="59" t="s">
        <v>1068</v>
      </c>
      <c r="T460" s="59"/>
      <c r="U460" s="59"/>
      <c r="V460" s="59"/>
      <c r="W460" s="59"/>
      <c r="X460" s="59"/>
    </row>
    <row r="461" s="20" customFormat="1" ht="24" hidden="1" spans="1:24">
      <c r="A461" s="59">
        <v>459</v>
      </c>
      <c r="B461" s="60" t="s">
        <v>1069</v>
      </c>
      <c r="C461" s="114">
        <f t="shared" si="22"/>
        <v>44819</v>
      </c>
      <c r="D461" s="62" t="str">
        <f ca="1" t="shared" si="23"/>
        <v>一年以上</v>
      </c>
      <c r="E461" s="115">
        <v>44819</v>
      </c>
      <c r="F461" s="66" t="s">
        <v>632</v>
      </c>
      <c r="G461" s="89" t="s">
        <v>450</v>
      </c>
      <c r="H461" s="100" t="s">
        <v>1070</v>
      </c>
      <c r="I461" s="63" t="s">
        <v>1070</v>
      </c>
      <c r="J461" s="116">
        <v>800</v>
      </c>
      <c r="K461" s="59" t="s">
        <v>28</v>
      </c>
      <c r="L461" s="59" t="s">
        <v>57</v>
      </c>
      <c r="M461" s="89" t="s">
        <v>515</v>
      </c>
      <c r="N461" s="117">
        <v>800</v>
      </c>
      <c r="O461" s="117">
        <f t="shared" si="21"/>
        <v>0</v>
      </c>
      <c r="P461" s="66">
        <v>44880</v>
      </c>
      <c r="Q461" s="61">
        <f t="shared" si="24"/>
        <v>44880</v>
      </c>
      <c r="R461" s="59" t="s">
        <v>951</v>
      </c>
      <c r="S461" s="72"/>
      <c r="T461" s="105"/>
      <c r="U461" s="68"/>
      <c r="V461" s="68"/>
      <c r="W461" s="59"/>
      <c r="X461" s="59"/>
    </row>
    <row r="462" s="20" customFormat="1" ht="24" hidden="1" spans="1:24">
      <c r="A462" s="59">
        <v>461</v>
      </c>
      <c r="B462" s="60" t="s">
        <v>1071</v>
      </c>
      <c r="C462" s="114">
        <f t="shared" si="22"/>
        <v>44819</v>
      </c>
      <c r="D462" s="62" t="str">
        <f ca="1" t="shared" si="23"/>
        <v>一年以上</v>
      </c>
      <c r="E462" s="115">
        <v>44819</v>
      </c>
      <c r="F462" s="66" t="s">
        <v>130</v>
      </c>
      <c r="G462" s="89" t="s">
        <v>569</v>
      </c>
      <c r="H462" s="100" t="s">
        <v>863</v>
      </c>
      <c r="I462" s="63" t="s">
        <v>863</v>
      </c>
      <c r="J462" s="116">
        <v>9450</v>
      </c>
      <c r="K462" s="59" t="s">
        <v>28</v>
      </c>
      <c r="L462" s="59" t="s">
        <v>57</v>
      </c>
      <c r="M462" s="59" t="s">
        <v>941</v>
      </c>
      <c r="N462" s="117">
        <v>9450</v>
      </c>
      <c r="O462" s="117">
        <f t="shared" si="21"/>
        <v>0</v>
      </c>
      <c r="P462" s="66">
        <v>44925</v>
      </c>
      <c r="Q462" s="61">
        <f t="shared" si="24"/>
        <v>44925</v>
      </c>
      <c r="R462" s="68"/>
      <c r="S462" s="60" t="s">
        <v>1072</v>
      </c>
      <c r="T462" s="105"/>
      <c r="U462" s="68"/>
      <c r="V462" s="60" t="s">
        <v>1073</v>
      </c>
      <c r="W462" s="59"/>
      <c r="X462" s="59"/>
    </row>
    <row r="463" s="20" customFormat="1" hidden="1" spans="1:24">
      <c r="A463" s="59">
        <v>462</v>
      </c>
      <c r="B463" s="60" t="s">
        <v>1074</v>
      </c>
      <c r="C463" s="114">
        <f t="shared" si="22"/>
        <v>44819</v>
      </c>
      <c r="D463" s="62" t="str">
        <f ca="1" t="shared" si="23"/>
        <v>一年以上</v>
      </c>
      <c r="E463" s="115">
        <v>44819</v>
      </c>
      <c r="F463" s="66" t="s">
        <v>130</v>
      </c>
      <c r="G463" s="89" t="s">
        <v>569</v>
      </c>
      <c r="H463" s="100" t="s">
        <v>863</v>
      </c>
      <c r="I463" s="63" t="s">
        <v>863</v>
      </c>
      <c r="J463" s="116">
        <v>9450</v>
      </c>
      <c r="K463" s="59" t="s">
        <v>28</v>
      </c>
      <c r="L463" s="59" t="s">
        <v>57</v>
      </c>
      <c r="M463" s="89" t="s">
        <v>133</v>
      </c>
      <c r="N463" s="117">
        <v>9450</v>
      </c>
      <c r="O463" s="117">
        <f t="shared" ref="O463:O526" si="25">J463-N463</f>
        <v>0</v>
      </c>
      <c r="P463" s="66">
        <v>44925</v>
      </c>
      <c r="Q463" s="61">
        <f t="shared" si="24"/>
        <v>44925</v>
      </c>
      <c r="R463" s="68"/>
      <c r="S463" s="60" t="s">
        <v>1075</v>
      </c>
      <c r="T463" s="105"/>
      <c r="U463" s="68"/>
      <c r="V463" s="60" t="s">
        <v>1073</v>
      </c>
      <c r="W463" s="59"/>
      <c r="X463" s="59"/>
    </row>
    <row r="464" s="20" customFormat="1" hidden="1" spans="1:24">
      <c r="A464" s="59">
        <v>463</v>
      </c>
      <c r="B464" s="60" t="s">
        <v>1076</v>
      </c>
      <c r="C464" s="114">
        <f t="shared" si="22"/>
        <v>44819</v>
      </c>
      <c r="D464" s="62" t="str">
        <f ca="1" t="shared" si="23"/>
        <v>一年以上</v>
      </c>
      <c r="E464" s="115">
        <v>44819</v>
      </c>
      <c r="F464" s="66" t="s">
        <v>130</v>
      </c>
      <c r="G464" s="89" t="s">
        <v>569</v>
      </c>
      <c r="H464" s="100" t="s">
        <v>863</v>
      </c>
      <c r="I464" s="63" t="s">
        <v>863</v>
      </c>
      <c r="J464" s="116">
        <v>10500</v>
      </c>
      <c r="K464" s="59" t="s">
        <v>28</v>
      </c>
      <c r="L464" s="59" t="s">
        <v>57</v>
      </c>
      <c r="M464" s="89" t="s">
        <v>133</v>
      </c>
      <c r="N464" s="117">
        <v>10500</v>
      </c>
      <c r="O464" s="117">
        <f t="shared" si="25"/>
        <v>0</v>
      </c>
      <c r="P464" s="115">
        <v>45230</v>
      </c>
      <c r="Q464" s="61">
        <f t="shared" si="24"/>
        <v>45230</v>
      </c>
      <c r="R464" s="68" t="s">
        <v>1077</v>
      </c>
      <c r="S464" s="60" t="s">
        <v>1078</v>
      </c>
      <c r="T464" s="105" t="s">
        <v>972</v>
      </c>
      <c r="U464" s="68"/>
      <c r="V464" s="60" t="s">
        <v>1073</v>
      </c>
      <c r="W464" s="59"/>
      <c r="X464" s="59"/>
    </row>
    <row r="465" s="23" customFormat="1" ht="24" hidden="1" spans="1:24">
      <c r="A465" s="118">
        <v>464</v>
      </c>
      <c r="B465" s="119" t="s">
        <v>1079</v>
      </c>
      <c r="C465" s="120">
        <f t="shared" si="22"/>
        <v>44819</v>
      </c>
      <c r="D465" s="121" t="str">
        <f ca="1" t="shared" si="23"/>
        <v>一年以上</v>
      </c>
      <c r="E465" s="122">
        <v>44819</v>
      </c>
      <c r="F465" s="123" t="s">
        <v>130</v>
      </c>
      <c r="G465" s="124" t="s">
        <v>569</v>
      </c>
      <c r="H465" s="125" t="s">
        <v>863</v>
      </c>
      <c r="I465" s="126" t="s">
        <v>863</v>
      </c>
      <c r="J465" s="127">
        <v>20063.75</v>
      </c>
      <c r="K465" s="118" t="s">
        <v>28</v>
      </c>
      <c r="L465" s="118" t="s">
        <v>57</v>
      </c>
      <c r="M465" s="118" t="s">
        <v>941</v>
      </c>
      <c r="N465" s="128">
        <v>20063.75</v>
      </c>
      <c r="O465" s="128">
        <f t="shared" si="25"/>
        <v>0</v>
      </c>
      <c r="P465" s="122" t="s">
        <v>2657</v>
      </c>
      <c r="Q465" s="129" t="str">
        <f t="shared" si="24"/>
        <v>2024.7.26</v>
      </c>
      <c r="R465" s="130"/>
      <c r="S465" s="119" t="s">
        <v>1080</v>
      </c>
      <c r="T465" s="131" t="s">
        <v>972</v>
      </c>
      <c r="U465" s="118" t="str">
        <f>VLOOKUP(T465,[1]区域划分!$A$1:$C$39,3,0)</f>
        <v>曾江利</v>
      </c>
      <c r="V465" s="119" t="s">
        <v>1073</v>
      </c>
      <c r="W465" s="118"/>
      <c r="X465" s="118"/>
    </row>
    <row r="466" s="23" customFormat="1" hidden="1" spans="1:24">
      <c r="A466" s="118">
        <v>465</v>
      </c>
      <c r="B466" s="119" t="s">
        <v>1081</v>
      </c>
      <c r="C466" s="120">
        <f t="shared" si="22"/>
        <v>44819</v>
      </c>
      <c r="D466" s="121" t="str">
        <f ca="1" t="shared" si="23"/>
        <v>一年以上</v>
      </c>
      <c r="E466" s="122">
        <v>44819</v>
      </c>
      <c r="F466" s="123" t="s">
        <v>130</v>
      </c>
      <c r="G466" s="124" t="s">
        <v>569</v>
      </c>
      <c r="H466" s="125" t="s">
        <v>863</v>
      </c>
      <c r="I466" s="126" t="s">
        <v>863</v>
      </c>
      <c r="J466" s="127">
        <v>20063.75</v>
      </c>
      <c r="K466" s="118" t="s">
        <v>28</v>
      </c>
      <c r="L466" s="118" t="s">
        <v>57</v>
      </c>
      <c r="M466" s="124" t="s">
        <v>133</v>
      </c>
      <c r="N466" s="128">
        <v>20063.75</v>
      </c>
      <c r="O466" s="128">
        <f t="shared" si="25"/>
        <v>0</v>
      </c>
      <c r="P466" s="122" t="s">
        <v>2657</v>
      </c>
      <c r="Q466" s="129" t="str">
        <f t="shared" si="24"/>
        <v>2024.7.26</v>
      </c>
      <c r="R466" s="130"/>
      <c r="S466" s="119" t="s">
        <v>1082</v>
      </c>
      <c r="T466" s="131" t="s">
        <v>972</v>
      </c>
      <c r="U466" s="118" t="str">
        <f>VLOOKUP(T466,[1]区域划分!$A$1:$C$39,3,0)</f>
        <v>曾江利</v>
      </c>
      <c r="V466" s="119" t="s">
        <v>1073</v>
      </c>
      <c r="W466" s="118"/>
      <c r="X466" s="118"/>
    </row>
    <row r="467" s="20" customFormat="1" ht="24" hidden="1" spans="1:24">
      <c r="A467" s="59">
        <v>460</v>
      </c>
      <c r="B467" s="60" t="s">
        <v>1083</v>
      </c>
      <c r="C467" s="114">
        <f t="shared" si="22"/>
        <v>44820</v>
      </c>
      <c r="D467" s="62" t="str">
        <f ca="1" t="shared" si="23"/>
        <v>一年以上</v>
      </c>
      <c r="E467" s="115">
        <v>44820</v>
      </c>
      <c r="F467" s="66" t="s">
        <v>632</v>
      </c>
      <c r="G467" s="89" t="s">
        <v>450</v>
      </c>
      <c r="H467" s="100" t="s">
        <v>1084</v>
      </c>
      <c r="I467" s="63" t="s">
        <v>1084</v>
      </c>
      <c r="J467" s="116">
        <v>20000</v>
      </c>
      <c r="K467" s="59" t="s">
        <v>28</v>
      </c>
      <c r="L467" s="59" t="s">
        <v>57</v>
      </c>
      <c r="M467" s="89" t="s">
        <v>30</v>
      </c>
      <c r="N467" s="117">
        <f>10000+10000</f>
        <v>20000</v>
      </c>
      <c r="O467" s="117">
        <f t="shared" si="25"/>
        <v>0</v>
      </c>
      <c r="P467" s="66">
        <v>44881</v>
      </c>
      <c r="Q467" s="61">
        <f t="shared" si="24"/>
        <v>44881</v>
      </c>
      <c r="R467" s="68"/>
      <c r="S467" s="72" t="s">
        <v>1085</v>
      </c>
      <c r="T467" s="105"/>
      <c r="U467" s="68"/>
      <c r="V467" s="68"/>
      <c r="W467" s="59"/>
      <c r="X467" s="59"/>
    </row>
    <row r="468" s="20" customFormat="1" ht="24" hidden="1" spans="1:24">
      <c r="A468" s="59">
        <v>466</v>
      </c>
      <c r="B468" s="60" t="s">
        <v>1086</v>
      </c>
      <c r="C468" s="114">
        <f t="shared" si="22"/>
        <v>44824</v>
      </c>
      <c r="D468" s="62" t="str">
        <f ca="1" t="shared" si="23"/>
        <v>一年以上</v>
      </c>
      <c r="E468" s="115">
        <v>44824</v>
      </c>
      <c r="F468" s="66" t="s">
        <v>130</v>
      </c>
      <c r="G468" s="89" t="s">
        <v>208</v>
      </c>
      <c r="H468" s="100" t="s">
        <v>346</v>
      </c>
      <c r="I468" s="63" t="s">
        <v>346</v>
      </c>
      <c r="J468" s="116">
        <v>6000</v>
      </c>
      <c r="K468" s="59" t="s">
        <v>28</v>
      </c>
      <c r="L468" s="59" t="s">
        <v>57</v>
      </c>
      <c r="M468" s="89" t="s">
        <v>133</v>
      </c>
      <c r="N468" s="117">
        <v>6000</v>
      </c>
      <c r="O468" s="117">
        <f t="shared" si="25"/>
        <v>0</v>
      </c>
      <c r="P468" s="115">
        <v>44923</v>
      </c>
      <c r="Q468" s="61">
        <f t="shared" si="24"/>
        <v>44923</v>
      </c>
      <c r="R468" s="68"/>
      <c r="S468" s="72"/>
      <c r="T468" s="105"/>
      <c r="U468" s="68"/>
      <c r="V468" s="68"/>
      <c r="W468" s="59"/>
      <c r="X468" s="59"/>
    </row>
    <row r="469" s="20" customFormat="1" ht="24" hidden="1" spans="1:24">
      <c r="A469" s="59">
        <v>467</v>
      </c>
      <c r="B469" s="60" t="s">
        <v>1087</v>
      </c>
      <c r="C469" s="114">
        <f t="shared" si="22"/>
        <v>44824</v>
      </c>
      <c r="D469" s="62" t="str">
        <f ca="1" t="shared" si="23"/>
        <v>一年以上</v>
      </c>
      <c r="E469" s="115">
        <v>44824</v>
      </c>
      <c r="F469" s="66" t="s">
        <v>130</v>
      </c>
      <c r="G469" s="89" t="s">
        <v>1088</v>
      </c>
      <c r="H469" s="100" t="s">
        <v>1089</v>
      </c>
      <c r="I469" s="63" t="s">
        <v>1089</v>
      </c>
      <c r="J469" s="116">
        <v>60</v>
      </c>
      <c r="K469" s="59" t="s">
        <v>28</v>
      </c>
      <c r="L469" s="59" t="s">
        <v>96</v>
      </c>
      <c r="M469" s="89" t="s">
        <v>515</v>
      </c>
      <c r="N469" s="117">
        <v>60</v>
      </c>
      <c r="O469" s="117">
        <f t="shared" si="25"/>
        <v>0</v>
      </c>
      <c r="P469" s="115"/>
      <c r="Q469" s="61">
        <f t="shared" si="24"/>
        <v>0</v>
      </c>
      <c r="R469" s="68"/>
      <c r="S469" s="72"/>
      <c r="T469" s="105"/>
      <c r="U469" s="68"/>
      <c r="V469" s="68"/>
      <c r="W469" s="59"/>
      <c r="X469" s="59"/>
    </row>
    <row r="470" s="20" customFormat="1" hidden="1" spans="1:24">
      <c r="A470" s="59">
        <v>468</v>
      </c>
      <c r="B470" s="60" t="s">
        <v>1090</v>
      </c>
      <c r="C470" s="114">
        <f t="shared" si="22"/>
        <v>44824</v>
      </c>
      <c r="D470" s="62" t="str">
        <f ca="1" t="shared" si="23"/>
        <v>一年以上</v>
      </c>
      <c r="E470" s="115">
        <v>44824</v>
      </c>
      <c r="F470" s="66" t="s">
        <v>632</v>
      </c>
      <c r="G470" s="89" t="s">
        <v>450</v>
      </c>
      <c r="H470" s="100" t="s">
        <v>34</v>
      </c>
      <c r="I470" s="63" t="s">
        <v>34</v>
      </c>
      <c r="J470" s="116">
        <v>50000</v>
      </c>
      <c r="K470" s="59" t="s">
        <v>28</v>
      </c>
      <c r="L470" s="59" t="s">
        <v>57</v>
      </c>
      <c r="M470" s="89" t="s">
        <v>30</v>
      </c>
      <c r="N470" s="117">
        <v>50000</v>
      </c>
      <c r="O470" s="117">
        <f t="shared" si="25"/>
        <v>0</v>
      </c>
      <c r="P470" s="66">
        <v>45257</v>
      </c>
      <c r="Q470" s="61">
        <f t="shared" si="24"/>
        <v>45257</v>
      </c>
      <c r="R470" s="68"/>
      <c r="S470" s="72" t="s">
        <v>1091</v>
      </c>
      <c r="T470" s="105" t="s">
        <v>311</v>
      </c>
      <c r="U470" s="59" t="str">
        <f>VLOOKUP(T470,[1]区域划分!$A$1:$C$39,3,0)</f>
        <v>牛国庆</v>
      </c>
      <c r="V470" s="68"/>
      <c r="W470" s="59"/>
      <c r="X470" s="59"/>
    </row>
    <row r="471" s="20" customFormat="1" hidden="1" spans="1:24">
      <c r="A471" s="59">
        <v>469</v>
      </c>
      <c r="B471" s="60" t="s">
        <v>1092</v>
      </c>
      <c r="C471" s="114">
        <f t="shared" si="22"/>
        <v>44824</v>
      </c>
      <c r="D471" s="62" t="str">
        <f ca="1" t="shared" si="23"/>
        <v>一年以上</v>
      </c>
      <c r="E471" s="115">
        <v>44824</v>
      </c>
      <c r="F471" s="66" t="s">
        <v>632</v>
      </c>
      <c r="G471" s="89" t="s">
        <v>450</v>
      </c>
      <c r="H471" s="100" t="s">
        <v>34</v>
      </c>
      <c r="I471" s="63" t="s">
        <v>34</v>
      </c>
      <c r="J471" s="116">
        <v>50000</v>
      </c>
      <c r="K471" s="59" t="s">
        <v>28</v>
      </c>
      <c r="L471" s="59" t="s">
        <v>57</v>
      </c>
      <c r="M471" s="89" t="s">
        <v>30</v>
      </c>
      <c r="N471" s="117">
        <v>50000</v>
      </c>
      <c r="O471" s="117">
        <f t="shared" si="25"/>
        <v>0</v>
      </c>
      <c r="P471" s="115">
        <v>44895</v>
      </c>
      <c r="Q471" s="61">
        <f t="shared" si="24"/>
        <v>44895</v>
      </c>
      <c r="R471" s="68"/>
      <c r="S471" s="72" t="s">
        <v>1093</v>
      </c>
      <c r="T471" s="105"/>
      <c r="U471" s="68"/>
      <c r="V471" s="68"/>
      <c r="W471" s="59"/>
      <c r="X471" s="59"/>
    </row>
    <row r="472" s="20" customFormat="1" ht="24" hidden="1" spans="1:24">
      <c r="A472" s="59">
        <v>470</v>
      </c>
      <c r="B472" s="60" t="s">
        <v>1094</v>
      </c>
      <c r="C472" s="114">
        <f t="shared" si="22"/>
        <v>44824</v>
      </c>
      <c r="D472" s="62" t="str">
        <f ca="1" t="shared" si="23"/>
        <v>一年以上</v>
      </c>
      <c r="E472" s="115">
        <v>44824</v>
      </c>
      <c r="F472" s="66" t="s">
        <v>632</v>
      </c>
      <c r="G472" s="89" t="s">
        <v>450</v>
      </c>
      <c r="H472" s="100" t="s">
        <v>379</v>
      </c>
      <c r="I472" s="63" t="s">
        <v>379</v>
      </c>
      <c r="J472" s="116">
        <v>10000</v>
      </c>
      <c r="K472" s="59" t="s">
        <v>356</v>
      </c>
      <c r="L472" s="59" t="s">
        <v>458</v>
      </c>
      <c r="M472" s="89" t="s">
        <v>30</v>
      </c>
      <c r="N472" s="117">
        <v>10000</v>
      </c>
      <c r="O472" s="117">
        <f t="shared" si="25"/>
        <v>0</v>
      </c>
      <c r="P472" s="115">
        <v>44855</v>
      </c>
      <c r="Q472" s="61">
        <f t="shared" si="24"/>
        <v>44855</v>
      </c>
      <c r="R472" s="68"/>
      <c r="S472" s="72"/>
      <c r="T472" s="105"/>
      <c r="U472" s="68"/>
      <c r="V472" s="68"/>
      <c r="W472" s="59"/>
      <c r="X472" s="59"/>
    </row>
    <row r="473" s="20" customFormat="1" ht="24" hidden="1" spans="1:24">
      <c r="A473" s="59">
        <v>471</v>
      </c>
      <c r="B473" s="60" t="s">
        <v>1095</v>
      </c>
      <c r="C473" s="114">
        <f t="shared" si="22"/>
        <v>44826</v>
      </c>
      <c r="D473" s="62" t="str">
        <f ca="1" t="shared" si="23"/>
        <v>一年以上</v>
      </c>
      <c r="E473" s="115">
        <v>44826</v>
      </c>
      <c r="F473" s="66" t="s">
        <v>632</v>
      </c>
      <c r="G473" s="89" t="s">
        <v>450</v>
      </c>
      <c r="H473" s="100" t="s">
        <v>1096</v>
      </c>
      <c r="I473" s="63" t="s">
        <v>1096</v>
      </c>
      <c r="J473" s="116">
        <v>4136</v>
      </c>
      <c r="K473" s="59" t="s">
        <v>28</v>
      </c>
      <c r="L473" s="59" t="s">
        <v>96</v>
      </c>
      <c r="M473" s="89" t="s">
        <v>968</v>
      </c>
      <c r="N473" s="117">
        <f>3816+320</f>
        <v>4136</v>
      </c>
      <c r="O473" s="117">
        <f t="shared" si="25"/>
        <v>0</v>
      </c>
      <c r="P473" s="115">
        <v>44942</v>
      </c>
      <c r="Q473" s="61">
        <f t="shared" si="24"/>
        <v>44942</v>
      </c>
      <c r="R473" s="68" t="s">
        <v>1097</v>
      </c>
      <c r="S473" s="72"/>
      <c r="T473" s="105"/>
      <c r="U473" s="68"/>
      <c r="V473" s="68"/>
      <c r="W473" s="59"/>
      <c r="X473" s="59"/>
    </row>
    <row r="474" s="20" customFormat="1" ht="24" hidden="1" spans="1:24">
      <c r="A474" s="59">
        <v>472</v>
      </c>
      <c r="B474" s="60" t="s">
        <v>1098</v>
      </c>
      <c r="C474" s="114">
        <f t="shared" si="22"/>
        <v>44826</v>
      </c>
      <c r="D474" s="62" t="str">
        <f ca="1" t="shared" si="23"/>
        <v>一年以上</v>
      </c>
      <c r="E474" s="115">
        <v>44826</v>
      </c>
      <c r="F474" s="66" t="s">
        <v>632</v>
      </c>
      <c r="G474" s="89" t="s">
        <v>450</v>
      </c>
      <c r="H474" s="100" t="s">
        <v>366</v>
      </c>
      <c r="I474" s="63" t="s">
        <v>366</v>
      </c>
      <c r="J474" s="116">
        <v>5000</v>
      </c>
      <c r="K474" s="59" t="s">
        <v>356</v>
      </c>
      <c r="L474" s="59" t="s">
        <v>458</v>
      </c>
      <c r="M474" s="59" t="s">
        <v>30</v>
      </c>
      <c r="N474" s="117">
        <v>5000</v>
      </c>
      <c r="O474" s="117">
        <f t="shared" si="25"/>
        <v>0</v>
      </c>
      <c r="P474" s="115">
        <v>44859</v>
      </c>
      <c r="Q474" s="61">
        <f t="shared" si="24"/>
        <v>44859</v>
      </c>
      <c r="R474" s="68"/>
      <c r="S474" s="72" t="s">
        <v>1099</v>
      </c>
      <c r="T474" s="105"/>
      <c r="U474" s="68"/>
      <c r="V474" s="68"/>
      <c r="W474" s="59"/>
      <c r="X474" s="59"/>
    </row>
    <row r="475" s="20" customFormat="1" hidden="1" spans="1:24">
      <c r="A475" s="59">
        <v>473</v>
      </c>
      <c r="B475" s="60" t="s">
        <v>1100</v>
      </c>
      <c r="C475" s="114">
        <f t="shared" si="22"/>
        <v>44827</v>
      </c>
      <c r="D475" s="62" t="str">
        <f ca="1" t="shared" si="23"/>
        <v>一年以上</v>
      </c>
      <c r="E475" s="115">
        <v>44827</v>
      </c>
      <c r="F475" s="66" t="s">
        <v>632</v>
      </c>
      <c r="G475" s="89" t="s">
        <v>450</v>
      </c>
      <c r="H475" s="100" t="s">
        <v>1101</v>
      </c>
      <c r="I475" s="63" t="s">
        <v>1101</v>
      </c>
      <c r="J475" s="116">
        <v>5000</v>
      </c>
      <c r="K475" s="59" t="s">
        <v>356</v>
      </c>
      <c r="L475" s="59" t="s">
        <v>458</v>
      </c>
      <c r="M475" s="59" t="s">
        <v>30</v>
      </c>
      <c r="N475" s="117">
        <v>5000</v>
      </c>
      <c r="O475" s="117">
        <f t="shared" si="25"/>
        <v>0</v>
      </c>
      <c r="P475" s="115">
        <v>45253</v>
      </c>
      <c r="Q475" s="61">
        <f t="shared" si="24"/>
        <v>45253</v>
      </c>
      <c r="R475" s="68"/>
      <c r="S475" s="72" t="s">
        <v>1102</v>
      </c>
      <c r="T475" s="105" t="s">
        <v>388</v>
      </c>
      <c r="U475" s="59" t="str">
        <f>VLOOKUP(T475,[1]区域划分!$A$1:$C$39,3,0)</f>
        <v>林维</v>
      </c>
      <c r="V475" s="68"/>
      <c r="W475" s="59"/>
      <c r="X475" s="59"/>
    </row>
    <row r="476" s="20" customFormat="1" hidden="1" spans="1:24">
      <c r="A476" s="59">
        <v>474</v>
      </c>
      <c r="B476" s="60" t="s">
        <v>1103</v>
      </c>
      <c r="C476" s="114">
        <f t="shared" si="22"/>
        <v>44827</v>
      </c>
      <c r="D476" s="62" t="str">
        <f ca="1" t="shared" si="23"/>
        <v>一年以上</v>
      </c>
      <c r="E476" s="115">
        <v>44827</v>
      </c>
      <c r="F476" s="66" t="s">
        <v>632</v>
      </c>
      <c r="G476" s="89" t="s">
        <v>450</v>
      </c>
      <c r="H476" s="100" t="s">
        <v>1104</v>
      </c>
      <c r="I476" s="63" t="s">
        <v>1104</v>
      </c>
      <c r="J476" s="116">
        <v>5000</v>
      </c>
      <c r="K476" s="59" t="s">
        <v>28</v>
      </c>
      <c r="L476" s="59" t="s">
        <v>57</v>
      </c>
      <c r="M476" s="59" t="s">
        <v>30</v>
      </c>
      <c r="N476" s="117">
        <v>5000</v>
      </c>
      <c r="O476" s="117">
        <f t="shared" si="25"/>
        <v>0</v>
      </c>
      <c r="P476" s="115">
        <v>45282</v>
      </c>
      <c r="Q476" s="61">
        <f t="shared" si="24"/>
        <v>45282</v>
      </c>
      <c r="R476" s="68"/>
      <c r="S476" s="72" t="s">
        <v>1105</v>
      </c>
      <c r="T476" s="105" t="s">
        <v>32</v>
      </c>
      <c r="U476" s="59" t="str">
        <f>VLOOKUP(T476,[1]区域划分!$A$1:$C$39,3,0)</f>
        <v>方渊</v>
      </c>
      <c r="V476" s="68"/>
      <c r="W476" s="59"/>
      <c r="X476" s="59"/>
    </row>
    <row r="477" s="17" customFormat="1" hidden="1" spans="1:24">
      <c r="A477" s="59">
        <v>475</v>
      </c>
      <c r="B477" s="60" t="s">
        <v>1106</v>
      </c>
      <c r="C477" s="114">
        <f t="shared" si="22"/>
        <v>44827</v>
      </c>
      <c r="D477" s="62" t="str">
        <f ca="1" t="shared" si="23"/>
        <v>一年以上</v>
      </c>
      <c r="E477" s="115">
        <v>44827</v>
      </c>
      <c r="F477" s="66" t="s">
        <v>632</v>
      </c>
      <c r="G477" s="89" t="s">
        <v>450</v>
      </c>
      <c r="H477" s="100" t="s">
        <v>648</v>
      </c>
      <c r="I477" s="63" t="s">
        <v>648</v>
      </c>
      <c r="J477" s="116">
        <v>5000</v>
      </c>
      <c r="K477" s="59" t="s">
        <v>28</v>
      </c>
      <c r="L477" s="59" t="s">
        <v>57</v>
      </c>
      <c r="M477" s="59" t="s">
        <v>30</v>
      </c>
      <c r="N477" s="117">
        <v>5000</v>
      </c>
      <c r="O477" s="117">
        <f t="shared" si="25"/>
        <v>0</v>
      </c>
      <c r="P477" s="115">
        <v>44882</v>
      </c>
      <c r="Q477" s="61">
        <f t="shared" si="24"/>
        <v>44882</v>
      </c>
      <c r="R477" s="68"/>
      <c r="S477" s="72" t="s">
        <v>1107</v>
      </c>
      <c r="T477" s="105"/>
      <c r="U477" s="68"/>
      <c r="V477" s="68"/>
      <c r="W477" s="68"/>
      <c r="X477" s="68"/>
    </row>
    <row r="478" s="17" customFormat="1" ht="24" hidden="1" spans="1:24">
      <c r="A478" s="59">
        <v>476</v>
      </c>
      <c r="B478" s="60" t="s">
        <v>1108</v>
      </c>
      <c r="C478" s="114">
        <f t="shared" si="22"/>
        <v>44830</v>
      </c>
      <c r="D478" s="62" t="str">
        <f ca="1" t="shared" si="23"/>
        <v>一年以上</v>
      </c>
      <c r="E478" s="115">
        <v>44830</v>
      </c>
      <c r="F478" s="66" t="s">
        <v>632</v>
      </c>
      <c r="G478" s="89" t="s">
        <v>993</v>
      </c>
      <c r="H478" s="60" t="s">
        <v>476</v>
      </c>
      <c r="I478" s="63" t="s">
        <v>476</v>
      </c>
      <c r="J478" s="116">
        <v>9800</v>
      </c>
      <c r="K478" s="59" t="s">
        <v>28</v>
      </c>
      <c r="L478" s="59" t="s">
        <v>57</v>
      </c>
      <c r="M478" s="59" t="s">
        <v>30</v>
      </c>
      <c r="N478" s="117">
        <v>9800</v>
      </c>
      <c r="O478" s="117">
        <f t="shared" si="25"/>
        <v>0</v>
      </c>
      <c r="P478" s="115">
        <v>44882</v>
      </c>
      <c r="Q478" s="61">
        <f t="shared" si="24"/>
        <v>44882</v>
      </c>
      <c r="R478" s="68"/>
      <c r="S478" s="72"/>
      <c r="T478" s="105"/>
      <c r="U478" s="68"/>
      <c r="V478" s="68"/>
      <c r="W478" s="68"/>
      <c r="X478" s="68"/>
    </row>
    <row r="479" s="17" customFormat="1" hidden="1" spans="1:24">
      <c r="A479" s="59">
        <v>477</v>
      </c>
      <c r="B479" s="60" t="s">
        <v>1109</v>
      </c>
      <c r="C479" s="114">
        <f t="shared" si="22"/>
        <v>44830</v>
      </c>
      <c r="D479" s="62" t="str">
        <f ca="1" t="shared" si="23"/>
        <v>一年以上</v>
      </c>
      <c r="E479" s="115">
        <v>44830</v>
      </c>
      <c r="F479" s="66" t="s">
        <v>632</v>
      </c>
      <c r="G479" s="89" t="s">
        <v>450</v>
      </c>
      <c r="H479" s="100" t="s">
        <v>209</v>
      </c>
      <c r="I479" s="63" t="s">
        <v>209</v>
      </c>
      <c r="J479" s="116">
        <v>1000</v>
      </c>
      <c r="K479" s="59" t="s">
        <v>28</v>
      </c>
      <c r="L479" s="59" t="s">
        <v>57</v>
      </c>
      <c r="M479" s="59" t="s">
        <v>515</v>
      </c>
      <c r="N479" s="117"/>
      <c r="O479" s="117">
        <f t="shared" si="25"/>
        <v>1000</v>
      </c>
      <c r="P479" s="115"/>
      <c r="Q479" s="61">
        <f t="shared" si="24"/>
        <v>0</v>
      </c>
      <c r="R479" s="68"/>
      <c r="S479" s="72" t="s">
        <v>1110</v>
      </c>
      <c r="T479" s="105" t="s">
        <v>171</v>
      </c>
      <c r="U479" s="59" t="str">
        <f>VLOOKUP(T479,[1]区域划分!$A$1:$C$39,3,0)</f>
        <v>牛国庆</v>
      </c>
      <c r="V479" s="68"/>
      <c r="W479" s="68"/>
      <c r="X479" s="68"/>
    </row>
    <row r="480" s="17" customFormat="1" hidden="1" spans="1:24">
      <c r="A480" s="59">
        <v>478</v>
      </c>
      <c r="B480" s="60" t="s">
        <v>1111</v>
      </c>
      <c r="C480" s="114">
        <f t="shared" si="22"/>
        <v>44831</v>
      </c>
      <c r="D480" s="62" t="str">
        <f ca="1" t="shared" si="23"/>
        <v>一年以上</v>
      </c>
      <c r="E480" s="115">
        <v>44831</v>
      </c>
      <c r="F480" s="66" t="s">
        <v>632</v>
      </c>
      <c r="G480" s="89" t="s">
        <v>450</v>
      </c>
      <c r="H480" s="100" t="s">
        <v>1101</v>
      </c>
      <c r="I480" s="63" t="s">
        <v>1101</v>
      </c>
      <c r="J480" s="116">
        <v>2000</v>
      </c>
      <c r="K480" s="59" t="s">
        <v>356</v>
      </c>
      <c r="L480" s="59" t="s">
        <v>458</v>
      </c>
      <c r="M480" s="59" t="s">
        <v>30</v>
      </c>
      <c r="N480" s="117">
        <v>2000</v>
      </c>
      <c r="O480" s="117">
        <f t="shared" si="25"/>
        <v>0</v>
      </c>
      <c r="P480" s="115">
        <v>45258</v>
      </c>
      <c r="Q480" s="61">
        <f t="shared" si="24"/>
        <v>45258</v>
      </c>
      <c r="R480" s="68"/>
      <c r="S480" s="72" t="s">
        <v>1112</v>
      </c>
      <c r="T480" s="105" t="s">
        <v>388</v>
      </c>
      <c r="U480" s="59" t="str">
        <f>VLOOKUP(T480,[1]区域划分!$A$1:$C$39,3,0)</f>
        <v>林维</v>
      </c>
      <c r="V480" s="68"/>
      <c r="W480" s="68"/>
      <c r="X480" s="68"/>
    </row>
    <row r="481" s="17" customFormat="1" hidden="1" spans="1:24">
      <c r="A481" s="59">
        <v>479</v>
      </c>
      <c r="B481" s="60" t="s">
        <v>1113</v>
      </c>
      <c r="C481" s="114">
        <f t="shared" si="22"/>
        <v>44832</v>
      </c>
      <c r="D481" s="62" t="str">
        <f ca="1" t="shared" si="23"/>
        <v>一年以上</v>
      </c>
      <c r="E481" s="115">
        <v>44832</v>
      </c>
      <c r="F481" s="66" t="s">
        <v>632</v>
      </c>
      <c r="G481" s="89" t="s">
        <v>993</v>
      </c>
      <c r="H481" s="100" t="s">
        <v>1101</v>
      </c>
      <c r="I481" s="63" t="s">
        <v>1101</v>
      </c>
      <c r="J481" s="116">
        <v>5000</v>
      </c>
      <c r="K481" s="59" t="s">
        <v>356</v>
      </c>
      <c r="L481" s="59" t="s">
        <v>458</v>
      </c>
      <c r="M481" s="59" t="s">
        <v>30</v>
      </c>
      <c r="N481" s="117">
        <v>5000</v>
      </c>
      <c r="O481" s="117">
        <f t="shared" si="25"/>
        <v>0</v>
      </c>
      <c r="P481" s="115">
        <v>44945</v>
      </c>
      <c r="Q481" s="61">
        <f t="shared" si="24"/>
        <v>44945</v>
      </c>
      <c r="R481" s="68"/>
      <c r="S481" s="72" t="s">
        <v>1114</v>
      </c>
      <c r="T481" s="105" t="s">
        <v>388</v>
      </c>
      <c r="U481" s="68"/>
      <c r="V481" s="68"/>
      <c r="W481" s="68"/>
      <c r="X481" s="68"/>
    </row>
    <row r="482" s="17" customFormat="1" ht="48" hidden="1" spans="1:24">
      <c r="A482" s="59">
        <v>480</v>
      </c>
      <c r="B482" s="60" t="s">
        <v>1115</v>
      </c>
      <c r="C482" s="114">
        <f t="shared" si="22"/>
        <v>44833</v>
      </c>
      <c r="D482" s="62" t="str">
        <f ca="1" t="shared" si="23"/>
        <v>一年以上</v>
      </c>
      <c r="E482" s="115">
        <v>44833</v>
      </c>
      <c r="F482" s="66" t="s">
        <v>632</v>
      </c>
      <c r="G482" s="89" t="s">
        <v>450</v>
      </c>
      <c r="H482" s="100" t="s">
        <v>209</v>
      </c>
      <c r="I482" s="63" t="s">
        <v>209</v>
      </c>
      <c r="J482" s="116">
        <v>50000</v>
      </c>
      <c r="K482" s="59" t="s">
        <v>28</v>
      </c>
      <c r="L482" s="59" t="s">
        <v>57</v>
      </c>
      <c r="M482" s="59" t="s">
        <v>30</v>
      </c>
      <c r="N482" s="117">
        <v>50000</v>
      </c>
      <c r="O482" s="117">
        <f t="shared" si="25"/>
        <v>0</v>
      </c>
      <c r="P482" s="115">
        <v>44943</v>
      </c>
      <c r="Q482" s="61">
        <f t="shared" si="24"/>
        <v>44943</v>
      </c>
      <c r="R482" s="72" t="s">
        <v>1116</v>
      </c>
      <c r="S482" s="72" t="s">
        <v>1110</v>
      </c>
      <c r="T482" s="105" t="s">
        <v>171</v>
      </c>
      <c r="U482" s="68"/>
      <c r="V482" s="68"/>
      <c r="W482" s="68"/>
      <c r="X482" s="68"/>
    </row>
    <row r="483" s="17" customFormat="1" hidden="1" spans="1:24">
      <c r="A483" s="59">
        <v>481</v>
      </c>
      <c r="B483" s="60" t="s">
        <v>1117</v>
      </c>
      <c r="C483" s="114">
        <f t="shared" si="22"/>
        <v>44834</v>
      </c>
      <c r="D483" s="62" t="str">
        <f ca="1" t="shared" si="23"/>
        <v>一年以上</v>
      </c>
      <c r="E483" s="115">
        <v>44834</v>
      </c>
      <c r="F483" s="66" t="s">
        <v>632</v>
      </c>
      <c r="G483" s="89" t="s">
        <v>993</v>
      </c>
      <c r="H483" s="100" t="s">
        <v>863</v>
      </c>
      <c r="I483" s="63" t="s">
        <v>863</v>
      </c>
      <c r="J483" s="116">
        <v>500</v>
      </c>
      <c r="K483" s="59" t="s">
        <v>28</v>
      </c>
      <c r="L483" s="59" t="s">
        <v>57</v>
      </c>
      <c r="M483" s="59" t="s">
        <v>515</v>
      </c>
      <c r="N483" s="117">
        <v>500</v>
      </c>
      <c r="O483" s="117">
        <f t="shared" si="25"/>
        <v>0</v>
      </c>
      <c r="P483" s="66">
        <v>44880</v>
      </c>
      <c r="Q483" s="61">
        <f t="shared" si="24"/>
        <v>44880</v>
      </c>
      <c r="R483" s="59" t="s">
        <v>951</v>
      </c>
      <c r="S483" s="60" t="s">
        <v>1118</v>
      </c>
      <c r="T483" s="105"/>
      <c r="U483" s="68"/>
      <c r="V483" s="68"/>
      <c r="W483" s="68"/>
      <c r="X483" s="68"/>
    </row>
    <row r="484" s="17" customFormat="1" hidden="1" spans="1:24">
      <c r="A484" s="59">
        <v>482</v>
      </c>
      <c r="B484" s="60" t="s">
        <v>1119</v>
      </c>
      <c r="C484" s="114">
        <f t="shared" si="22"/>
        <v>44841</v>
      </c>
      <c r="D484" s="62" t="str">
        <f ca="1" t="shared" si="23"/>
        <v>一年以上</v>
      </c>
      <c r="E484" s="115">
        <v>44841</v>
      </c>
      <c r="F484" s="66" t="s">
        <v>632</v>
      </c>
      <c r="G484" s="89" t="s">
        <v>993</v>
      </c>
      <c r="H484" s="100" t="s">
        <v>863</v>
      </c>
      <c r="I484" s="63" t="s">
        <v>863</v>
      </c>
      <c r="J484" s="116">
        <v>20000</v>
      </c>
      <c r="K484" s="59" t="s">
        <v>28</v>
      </c>
      <c r="L484" s="59" t="s">
        <v>57</v>
      </c>
      <c r="M484" s="89" t="s">
        <v>30</v>
      </c>
      <c r="N484" s="117">
        <v>20000</v>
      </c>
      <c r="O484" s="117">
        <f t="shared" si="25"/>
        <v>0</v>
      </c>
      <c r="P484" s="115">
        <v>45038</v>
      </c>
      <c r="Q484" s="61">
        <f t="shared" si="24"/>
        <v>45038</v>
      </c>
      <c r="R484" s="68"/>
      <c r="S484" s="60" t="s">
        <v>1118</v>
      </c>
      <c r="T484" s="105" t="s">
        <v>972</v>
      </c>
      <c r="U484" s="68"/>
      <c r="V484" s="68"/>
      <c r="W484" s="68"/>
      <c r="X484" s="68"/>
    </row>
    <row r="485" s="17" customFormat="1" ht="24" hidden="1" spans="1:24">
      <c r="A485" s="59">
        <v>483</v>
      </c>
      <c r="B485" s="60" t="s">
        <v>1120</v>
      </c>
      <c r="C485" s="114">
        <f t="shared" si="22"/>
        <v>44848</v>
      </c>
      <c r="D485" s="62" t="str">
        <f ca="1" t="shared" si="23"/>
        <v>一年以上</v>
      </c>
      <c r="E485" s="115">
        <v>44848</v>
      </c>
      <c r="F485" s="66" t="s">
        <v>632</v>
      </c>
      <c r="G485" s="132" t="s">
        <v>450</v>
      </c>
      <c r="H485" s="100" t="s">
        <v>1121</v>
      </c>
      <c r="I485" s="63" t="s">
        <v>1121</v>
      </c>
      <c r="J485" s="116">
        <v>2100</v>
      </c>
      <c r="K485" s="59" t="s">
        <v>28</v>
      </c>
      <c r="L485" s="59" t="s">
        <v>57</v>
      </c>
      <c r="M485" s="89" t="s">
        <v>515</v>
      </c>
      <c r="N485" s="117">
        <v>2100</v>
      </c>
      <c r="O485" s="117">
        <f t="shared" si="25"/>
        <v>0</v>
      </c>
      <c r="P485" s="115">
        <v>44927</v>
      </c>
      <c r="Q485" s="61">
        <f t="shared" si="24"/>
        <v>44927</v>
      </c>
      <c r="R485" s="68"/>
      <c r="S485" s="72" t="s">
        <v>1118</v>
      </c>
      <c r="T485" s="105"/>
      <c r="U485" s="68"/>
      <c r="V485" s="68"/>
      <c r="W485" s="68"/>
      <c r="X485" s="68"/>
    </row>
    <row r="486" s="17" customFormat="1" ht="24" hidden="1" spans="1:24">
      <c r="A486" s="59">
        <v>484</v>
      </c>
      <c r="B486" s="60" t="s">
        <v>1122</v>
      </c>
      <c r="C486" s="114">
        <f t="shared" si="22"/>
        <v>44851</v>
      </c>
      <c r="D486" s="62" t="str">
        <f ca="1" t="shared" si="23"/>
        <v>一年以上</v>
      </c>
      <c r="E486" s="115">
        <v>44851</v>
      </c>
      <c r="F486" s="66" t="s">
        <v>632</v>
      </c>
      <c r="G486" s="132" t="s">
        <v>450</v>
      </c>
      <c r="H486" s="100" t="s">
        <v>1123</v>
      </c>
      <c r="I486" s="63" t="s">
        <v>1123</v>
      </c>
      <c r="J486" s="116">
        <v>4800</v>
      </c>
      <c r="K486" s="59" t="s">
        <v>28</v>
      </c>
      <c r="L486" s="59" t="s">
        <v>57</v>
      </c>
      <c r="M486" s="89" t="s">
        <v>968</v>
      </c>
      <c r="N486" s="117">
        <v>4800</v>
      </c>
      <c r="O486" s="117">
        <f t="shared" si="25"/>
        <v>0</v>
      </c>
      <c r="P486" s="115">
        <v>44853</v>
      </c>
      <c r="Q486" s="61">
        <f t="shared" si="24"/>
        <v>44853</v>
      </c>
      <c r="R486" s="68"/>
      <c r="S486" s="72" t="s">
        <v>968</v>
      </c>
      <c r="T486" s="105"/>
      <c r="U486" s="68"/>
      <c r="V486" s="68"/>
      <c r="W486" s="68"/>
      <c r="X486" s="68"/>
    </row>
    <row r="487" s="17" customFormat="1" ht="36" hidden="1" customHeight="1" spans="1:24">
      <c r="A487" s="59">
        <v>485</v>
      </c>
      <c r="B487" s="60" t="s">
        <v>1124</v>
      </c>
      <c r="C487" s="114">
        <f t="shared" si="22"/>
        <v>44851</v>
      </c>
      <c r="D487" s="62" t="str">
        <f ca="1" t="shared" si="23"/>
        <v>一年以上</v>
      </c>
      <c r="E487" s="115">
        <v>44851</v>
      </c>
      <c r="F487" s="66" t="s">
        <v>632</v>
      </c>
      <c r="G487" s="132" t="s">
        <v>450</v>
      </c>
      <c r="H487" s="100" t="s">
        <v>1125</v>
      </c>
      <c r="I487" s="63" t="s">
        <v>1125</v>
      </c>
      <c r="J487" s="116">
        <v>3000</v>
      </c>
      <c r="K487" s="59" t="s">
        <v>28</v>
      </c>
      <c r="L487" s="59" t="s">
        <v>57</v>
      </c>
      <c r="M487" s="89" t="s">
        <v>30</v>
      </c>
      <c r="N487" s="117">
        <v>3000</v>
      </c>
      <c r="O487" s="117">
        <f t="shared" si="25"/>
        <v>0</v>
      </c>
      <c r="P487" s="115">
        <v>44883</v>
      </c>
      <c r="Q487" s="61">
        <f t="shared" si="24"/>
        <v>44883</v>
      </c>
      <c r="R487" s="68"/>
      <c r="S487" s="72" t="s">
        <v>1126</v>
      </c>
      <c r="T487" s="105"/>
      <c r="U487" s="68"/>
      <c r="V487" s="68"/>
      <c r="W487" s="68"/>
      <c r="X487" s="68"/>
    </row>
    <row r="488" s="17" customFormat="1" ht="36" hidden="1" customHeight="1" spans="1:24">
      <c r="A488" s="59">
        <v>486</v>
      </c>
      <c r="B488" s="60" t="s">
        <v>1127</v>
      </c>
      <c r="C488" s="114">
        <f t="shared" si="22"/>
        <v>44851</v>
      </c>
      <c r="D488" s="62" t="str">
        <f ca="1" t="shared" si="23"/>
        <v>一年以上</v>
      </c>
      <c r="E488" s="115">
        <v>44851</v>
      </c>
      <c r="F488" s="66" t="s">
        <v>632</v>
      </c>
      <c r="G488" s="132" t="s">
        <v>450</v>
      </c>
      <c r="H488" s="100" t="s">
        <v>1125</v>
      </c>
      <c r="I488" s="63" t="s">
        <v>1125</v>
      </c>
      <c r="J488" s="116">
        <v>4000</v>
      </c>
      <c r="K488" s="59" t="s">
        <v>28</v>
      </c>
      <c r="L488" s="59" t="s">
        <v>57</v>
      </c>
      <c r="M488" s="89" t="s">
        <v>30</v>
      </c>
      <c r="N488" s="117">
        <v>4000</v>
      </c>
      <c r="O488" s="117">
        <f t="shared" si="25"/>
        <v>0</v>
      </c>
      <c r="P488" s="115">
        <v>44883</v>
      </c>
      <c r="Q488" s="61">
        <f t="shared" si="24"/>
        <v>44883</v>
      </c>
      <c r="R488" s="68"/>
      <c r="S488" s="72" t="s">
        <v>1128</v>
      </c>
      <c r="T488" s="105"/>
      <c r="U488" s="68"/>
      <c r="V488" s="68"/>
      <c r="W488" s="68"/>
      <c r="X488" s="68"/>
    </row>
    <row r="489" s="17" customFormat="1" ht="36" hidden="1" customHeight="1" spans="1:24">
      <c r="A489" s="59">
        <v>487</v>
      </c>
      <c r="B489" s="60" t="s">
        <v>1129</v>
      </c>
      <c r="C489" s="114">
        <f t="shared" si="22"/>
        <v>44851</v>
      </c>
      <c r="D489" s="62" t="str">
        <f ca="1" t="shared" si="23"/>
        <v>一年以上</v>
      </c>
      <c r="E489" s="115">
        <v>44851</v>
      </c>
      <c r="F489" s="66" t="s">
        <v>632</v>
      </c>
      <c r="G489" s="132" t="s">
        <v>450</v>
      </c>
      <c r="H489" s="100" t="s">
        <v>1125</v>
      </c>
      <c r="I489" s="63" t="s">
        <v>1125</v>
      </c>
      <c r="J489" s="116">
        <v>5000</v>
      </c>
      <c r="K489" s="59" t="s">
        <v>28</v>
      </c>
      <c r="L489" s="59" t="s">
        <v>57</v>
      </c>
      <c r="M489" s="89" t="s">
        <v>30</v>
      </c>
      <c r="N489" s="117">
        <v>5000</v>
      </c>
      <c r="O489" s="117">
        <f t="shared" si="25"/>
        <v>0</v>
      </c>
      <c r="P489" s="115">
        <v>44883</v>
      </c>
      <c r="Q489" s="61">
        <f t="shared" si="24"/>
        <v>44883</v>
      </c>
      <c r="R489" s="68"/>
      <c r="S489" s="72" t="s">
        <v>1130</v>
      </c>
      <c r="T489" s="105"/>
      <c r="U489" s="68"/>
      <c r="V489" s="68"/>
      <c r="W489" s="68"/>
      <c r="X489" s="68"/>
    </row>
    <row r="490" s="17" customFormat="1" ht="36" hidden="1" customHeight="1" spans="1:24">
      <c r="A490" s="59">
        <v>488</v>
      </c>
      <c r="B490" s="60" t="s">
        <v>1131</v>
      </c>
      <c r="C490" s="114">
        <f t="shared" si="22"/>
        <v>44851</v>
      </c>
      <c r="D490" s="62" t="str">
        <f ca="1" t="shared" si="23"/>
        <v>一年以上</v>
      </c>
      <c r="E490" s="115">
        <v>44851</v>
      </c>
      <c r="F490" s="66" t="s">
        <v>632</v>
      </c>
      <c r="G490" s="132" t="s">
        <v>450</v>
      </c>
      <c r="H490" s="100" t="s">
        <v>1125</v>
      </c>
      <c r="I490" s="63" t="s">
        <v>1125</v>
      </c>
      <c r="J490" s="116">
        <v>7000</v>
      </c>
      <c r="K490" s="59" t="s">
        <v>28</v>
      </c>
      <c r="L490" s="59" t="s">
        <v>57</v>
      </c>
      <c r="M490" s="89" t="s">
        <v>30</v>
      </c>
      <c r="N490" s="117">
        <f>5320+1680</f>
        <v>7000</v>
      </c>
      <c r="O490" s="117">
        <f t="shared" si="25"/>
        <v>0</v>
      </c>
      <c r="P490" s="115">
        <v>44883</v>
      </c>
      <c r="Q490" s="61">
        <f t="shared" si="24"/>
        <v>44883</v>
      </c>
      <c r="R490" s="68" t="s">
        <v>1132</v>
      </c>
      <c r="S490" s="72" t="s">
        <v>1133</v>
      </c>
      <c r="T490" s="105" t="s">
        <v>86</v>
      </c>
      <c r="U490" s="68"/>
      <c r="V490" s="68"/>
      <c r="W490" s="68"/>
      <c r="X490" s="68"/>
    </row>
    <row r="491" s="17" customFormat="1" ht="36" hidden="1" customHeight="1" spans="1:24">
      <c r="A491" s="59">
        <v>489</v>
      </c>
      <c r="B491" s="60" t="s">
        <v>1134</v>
      </c>
      <c r="C491" s="114">
        <f t="shared" si="22"/>
        <v>44851</v>
      </c>
      <c r="D491" s="62" t="str">
        <f ca="1" t="shared" si="23"/>
        <v>一年以上</v>
      </c>
      <c r="E491" s="115">
        <v>44851</v>
      </c>
      <c r="F491" s="66" t="s">
        <v>632</v>
      </c>
      <c r="G491" s="132" t="s">
        <v>450</v>
      </c>
      <c r="H491" s="100" t="s">
        <v>1135</v>
      </c>
      <c r="I491" s="63" t="s">
        <v>1135</v>
      </c>
      <c r="J491" s="116">
        <v>15000</v>
      </c>
      <c r="K491" s="59" t="s">
        <v>28</v>
      </c>
      <c r="L491" s="59" t="s">
        <v>57</v>
      </c>
      <c r="M491" s="89" t="s">
        <v>30</v>
      </c>
      <c r="N491" s="117">
        <f>8550+6450</f>
        <v>15000</v>
      </c>
      <c r="O491" s="117">
        <f t="shared" si="25"/>
        <v>0</v>
      </c>
      <c r="P491" s="115">
        <v>44869</v>
      </c>
      <c r="Q491" s="61">
        <f t="shared" si="24"/>
        <v>44869</v>
      </c>
      <c r="R491" s="68" t="s">
        <v>1136</v>
      </c>
      <c r="S491" s="72" t="s">
        <v>1137</v>
      </c>
      <c r="T491" s="105" t="s">
        <v>86</v>
      </c>
      <c r="U491" s="68"/>
      <c r="V491" s="68"/>
      <c r="W491" s="68"/>
      <c r="X491" s="68"/>
    </row>
    <row r="492" s="17" customFormat="1" ht="36" hidden="1" customHeight="1" spans="1:24">
      <c r="A492" s="59">
        <v>490</v>
      </c>
      <c r="B492" s="60" t="s">
        <v>1138</v>
      </c>
      <c r="C492" s="114">
        <f t="shared" si="22"/>
        <v>44851</v>
      </c>
      <c r="D492" s="62" t="str">
        <f ca="1" t="shared" si="23"/>
        <v>一年以上</v>
      </c>
      <c r="E492" s="115">
        <v>44851</v>
      </c>
      <c r="F492" s="66" t="s">
        <v>632</v>
      </c>
      <c r="G492" s="132" t="s">
        <v>450</v>
      </c>
      <c r="H492" s="100" t="s">
        <v>1135</v>
      </c>
      <c r="I492" s="63" t="s">
        <v>1135</v>
      </c>
      <c r="J492" s="116">
        <v>10000</v>
      </c>
      <c r="K492" s="59" t="s">
        <v>28</v>
      </c>
      <c r="L492" s="59" t="s">
        <v>57</v>
      </c>
      <c r="M492" s="89" t="s">
        <v>30</v>
      </c>
      <c r="N492" s="117">
        <v>10000</v>
      </c>
      <c r="O492" s="117">
        <f t="shared" si="25"/>
        <v>0</v>
      </c>
      <c r="P492" s="115">
        <v>44869</v>
      </c>
      <c r="Q492" s="61">
        <f t="shared" si="24"/>
        <v>44869</v>
      </c>
      <c r="R492" s="68"/>
      <c r="S492" s="72" t="s">
        <v>1139</v>
      </c>
      <c r="T492" s="105"/>
      <c r="U492" s="68"/>
      <c r="V492" s="68"/>
      <c r="W492" s="68"/>
      <c r="X492" s="68"/>
    </row>
    <row r="493" s="17" customFormat="1" ht="33" hidden="1" customHeight="1" spans="1:24">
      <c r="A493" s="59">
        <v>491</v>
      </c>
      <c r="B493" s="60" t="s">
        <v>1140</v>
      </c>
      <c r="C493" s="114">
        <f t="shared" si="22"/>
        <v>44852</v>
      </c>
      <c r="D493" s="62" t="str">
        <f ca="1" t="shared" si="23"/>
        <v>一年以上</v>
      </c>
      <c r="E493" s="115">
        <v>44852</v>
      </c>
      <c r="F493" s="66" t="s">
        <v>632</v>
      </c>
      <c r="G493" s="132" t="s">
        <v>993</v>
      </c>
      <c r="H493" s="100" t="s">
        <v>1141</v>
      </c>
      <c r="I493" s="63" t="s">
        <v>1141</v>
      </c>
      <c r="J493" s="116">
        <v>300</v>
      </c>
      <c r="K493" s="59" t="s">
        <v>28</v>
      </c>
      <c r="L493" s="59" t="s">
        <v>57</v>
      </c>
      <c r="M493" s="89" t="s">
        <v>515</v>
      </c>
      <c r="N493" s="117">
        <v>300</v>
      </c>
      <c r="O493" s="117">
        <f t="shared" si="25"/>
        <v>0</v>
      </c>
      <c r="P493" s="66">
        <v>44880</v>
      </c>
      <c r="Q493" s="61">
        <f t="shared" si="24"/>
        <v>44880</v>
      </c>
      <c r="R493" s="59" t="s">
        <v>951</v>
      </c>
      <c r="S493" s="72" t="s">
        <v>1142</v>
      </c>
      <c r="T493" s="105"/>
      <c r="U493" s="68"/>
      <c r="V493" s="68"/>
      <c r="W493" s="68"/>
      <c r="X493" s="68"/>
    </row>
    <row r="494" s="17" customFormat="1" hidden="1" spans="1:24">
      <c r="A494" s="59">
        <v>492</v>
      </c>
      <c r="B494" s="60" t="s">
        <v>1143</v>
      </c>
      <c r="C494" s="114">
        <f t="shared" ref="C494:C557" si="26">E494</f>
        <v>44854</v>
      </c>
      <c r="D494" s="62" t="str">
        <f ca="1" t="shared" si="23"/>
        <v>一年以上</v>
      </c>
      <c r="E494" s="115">
        <v>44854</v>
      </c>
      <c r="F494" s="66" t="s">
        <v>632</v>
      </c>
      <c r="G494" s="132" t="s">
        <v>993</v>
      </c>
      <c r="H494" s="100" t="s">
        <v>863</v>
      </c>
      <c r="I494" s="63" t="s">
        <v>863</v>
      </c>
      <c r="J494" s="116">
        <v>500</v>
      </c>
      <c r="K494" s="59" t="s">
        <v>28</v>
      </c>
      <c r="L494" s="59" t="s">
        <v>57</v>
      </c>
      <c r="M494" s="89" t="s">
        <v>515</v>
      </c>
      <c r="N494" s="117">
        <v>500</v>
      </c>
      <c r="O494" s="117">
        <f t="shared" si="25"/>
        <v>0</v>
      </c>
      <c r="P494" s="66">
        <v>44880</v>
      </c>
      <c r="Q494" s="61">
        <f t="shared" si="24"/>
        <v>44880</v>
      </c>
      <c r="R494" s="59" t="s">
        <v>951</v>
      </c>
      <c r="S494" s="60" t="s">
        <v>1144</v>
      </c>
      <c r="T494" s="105"/>
      <c r="U494" s="68"/>
      <c r="V494" s="68"/>
      <c r="W494" s="68"/>
      <c r="X494" s="68"/>
    </row>
    <row r="495" s="17" customFormat="1" hidden="1" spans="1:24">
      <c r="A495" s="59">
        <v>493</v>
      </c>
      <c r="B495" s="60" t="s">
        <v>1145</v>
      </c>
      <c r="C495" s="114">
        <f t="shared" si="26"/>
        <v>44855</v>
      </c>
      <c r="D495" s="62" t="str">
        <f ca="1" t="shared" si="23"/>
        <v>一年以上</v>
      </c>
      <c r="E495" s="115">
        <v>44855</v>
      </c>
      <c r="F495" s="66" t="s">
        <v>632</v>
      </c>
      <c r="G495" s="132" t="s">
        <v>993</v>
      </c>
      <c r="H495" s="100" t="s">
        <v>863</v>
      </c>
      <c r="I495" s="63" t="s">
        <v>863</v>
      </c>
      <c r="J495" s="116">
        <v>20000</v>
      </c>
      <c r="K495" s="59" t="s">
        <v>28</v>
      </c>
      <c r="L495" s="59" t="s">
        <v>57</v>
      </c>
      <c r="M495" s="89" t="s">
        <v>30</v>
      </c>
      <c r="N495" s="117">
        <v>20000</v>
      </c>
      <c r="O495" s="117">
        <f t="shared" si="25"/>
        <v>0</v>
      </c>
      <c r="P495" s="115">
        <v>44924</v>
      </c>
      <c r="Q495" s="61">
        <f t="shared" si="24"/>
        <v>44924</v>
      </c>
      <c r="R495" s="68"/>
      <c r="S495" s="60" t="s">
        <v>1146</v>
      </c>
      <c r="T495" s="105"/>
      <c r="U495" s="68"/>
      <c r="V495" s="68"/>
      <c r="W495" s="68"/>
      <c r="X495" s="68"/>
    </row>
    <row r="496" s="17" customFormat="1" ht="24" hidden="1" spans="1:24">
      <c r="A496" s="59">
        <v>494</v>
      </c>
      <c r="B496" s="60" t="s">
        <v>1147</v>
      </c>
      <c r="C496" s="114">
        <f t="shared" si="26"/>
        <v>44858</v>
      </c>
      <c r="D496" s="62" t="str">
        <f ca="1" t="shared" si="23"/>
        <v>一年以上</v>
      </c>
      <c r="E496" s="115">
        <v>44858</v>
      </c>
      <c r="F496" s="66" t="s">
        <v>632</v>
      </c>
      <c r="G496" s="132" t="s">
        <v>993</v>
      </c>
      <c r="H496" s="100" t="s">
        <v>315</v>
      </c>
      <c r="I496" s="63" t="s">
        <v>315</v>
      </c>
      <c r="J496" s="116">
        <v>10000</v>
      </c>
      <c r="K496" s="59" t="s">
        <v>28</v>
      </c>
      <c r="L496" s="59" t="s">
        <v>57</v>
      </c>
      <c r="M496" s="89" t="s">
        <v>30</v>
      </c>
      <c r="N496" s="117">
        <v>10000</v>
      </c>
      <c r="O496" s="117">
        <f t="shared" si="25"/>
        <v>0</v>
      </c>
      <c r="P496" s="115">
        <v>44908</v>
      </c>
      <c r="Q496" s="61">
        <f t="shared" si="24"/>
        <v>44908</v>
      </c>
      <c r="R496" s="68"/>
      <c r="S496" s="72" t="s">
        <v>1148</v>
      </c>
      <c r="T496" s="105"/>
      <c r="U496" s="68"/>
      <c r="V496" s="68"/>
      <c r="W496" s="68"/>
      <c r="X496" s="68"/>
    </row>
    <row r="497" s="17" customFormat="1" ht="28" hidden="1" customHeight="1" spans="1:24">
      <c r="A497" s="59">
        <v>495</v>
      </c>
      <c r="B497" s="60" t="s">
        <v>1149</v>
      </c>
      <c r="C497" s="114">
        <f t="shared" si="26"/>
        <v>44858</v>
      </c>
      <c r="D497" s="62" t="str">
        <f ca="1" t="shared" si="23"/>
        <v>一年以上</v>
      </c>
      <c r="E497" s="115">
        <v>44858</v>
      </c>
      <c r="F497" s="115" t="s">
        <v>70</v>
      </c>
      <c r="G497" s="132" t="s">
        <v>146</v>
      </c>
      <c r="H497" s="100" t="s">
        <v>1150</v>
      </c>
      <c r="I497" s="63" t="s">
        <v>1150</v>
      </c>
      <c r="J497" s="133">
        <v>5000</v>
      </c>
      <c r="K497" s="105" t="s">
        <v>28</v>
      </c>
      <c r="L497" s="105" t="s">
        <v>73</v>
      </c>
      <c r="M497" s="89" t="s">
        <v>65</v>
      </c>
      <c r="N497" s="117">
        <v>5000</v>
      </c>
      <c r="O497" s="117">
        <f t="shared" si="25"/>
        <v>0</v>
      </c>
      <c r="P497" s="115">
        <v>45069</v>
      </c>
      <c r="Q497" s="61">
        <f t="shared" si="24"/>
        <v>45069</v>
      </c>
      <c r="R497" s="68"/>
      <c r="S497" s="72" t="s">
        <v>1151</v>
      </c>
      <c r="T497" s="105" t="s">
        <v>1152</v>
      </c>
      <c r="U497" s="68"/>
      <c r="V497" s="68"/>
      <c r="W497" s="68"/>
      <c r="X497" s="68"/>
    </row>
    <row r="498" s="17" customFormat="1" ht="36" hidden="1" customHeight="1" spans="1:24">
      <c r="A498" s="59">
        <v>496</v>
      </c>
      <c r="B498" s="60" t="s">
        <v>1153</v>
      </c>
      <c r="C498" s="114">
        <f t="shared" si="26"/>
        <v>44858</v>
      </c>
      <c r="D498" s="62" t="str">
        <f ca="1" t="shared" si="23"/>
        <v>一年以上</v>
      </c>
      <c r="E498" s="115">
        <v>44858</v>
      </c>
      <c r="F498" s="115" t="s">
        <v>632</v>
      </c>
      <c r="G498" s="132" t="s">
        <v>993</v>
      </c>
      <c r="H498" s="100" t="s">
        <v>1154</v>
      </c>
      <c r="I498" s="63" t="s">
        <v>1154</v>
      </c>
      <c r="J498" s="116">
        <v>400</v>
      </c>
      <c r="K498" s="105" t="s">
        <v>28</v>
      </c>
      <c r="L498" s="105" t="s">
        <v>73</v>
      </c>
      <c r="M498" s="89" t="s">
        <v>515</v>
      </c>
      <c r="N498" s="117">
        <v>400</v>
      </c>
      <c r="O498" s="117">
        <f t="shared" si="25"/>
        <v>0</v>
      </c>
      <c r="P498" s="66">
        <v>44880</v>
      </c>
      <c r="Q498" s="61">
        <f t="shared" si="24"/>
        <v>44880</v>
      </c>
      <c r="R498" s="59" t="s">
        <v>951</v>
      </c>
      <c r="S498" s="72" t="s">
        <v>1155</v>
      </c>
      <c r="T498" s="105"/>
      <c r="U498" s="68"/>
      <c r="V498" s="68"/>
      <c r="W498" s="68"/>
      <c r="X498" s="68"/>
    </row>
    <row r="499" s="17" customFormat="1" ht="24" hidden="1" spans="1:24">
      <c r="A499" s="59">
        <v>497</v>
      </c>
      <c r="B499" s="60" t="s">
        <v>1156</v>
      </c>
      <c r="C499" s="114">
        <f t="shared" si="26"/>
        <v>44860</v>
      </c>
      <c r="D499" s="62" t="str">
        <f ca="1" t="shared" si="23"/>
        <v>一年以上</v>
      </c>
      <c r="E499" s="115">
        <v>44860</v>
      </c>
      <c r="F499" s="115" t="s">
        <v>632</v>
      </c>
      <c r="G499" s="132" t="s">
        <v>450</v>
      </c>
      <c r="H499" s="100" t="s">
        <v>1157</v>
      </c>
      <c r="I499" s="63" t="s">
        <v>1157</v>
      </c>
      <c r="J499" s="116">
        <v>15000</v>
      </c>
      <c r="K499" s="105" t="s">
        <v>28</v>
      </c>
      <c r="L499" s="105" t="s">
        <v>73</v>
      </c>
      <c r="M499" s="89" t="s">
        <v>30</v>
      </c>
      <c r="N499" s="117"/>
      <c r="O499" s="134">
        <f t="shared" si="25"/>
        <v>15000</v>
      </c>
      <c r="P499" s="115"/>
      <c r="Q499" s="61">
        <f t="shared" si="24"/>
        <v>0</v>
      </c>
      <c r="R499" s="68"/>
      <c r="S499" s="72" t="s">
        <v>1159</v>
      </c>
      <c r="T499" s="105" t="s">
        <v>49</v>
      </c>
      <c r="U499" s="59" t="str">
        <f>VLOOKUP(T499,[1]区域划分!$A$1:$C$39,3,0)</f>
        <v>龚运谱</v>
      </c>
      <c r="V499" s="68"/>
      <c r="W499" s="68"/>
      <c r="X499" s="68"/>
    </row>
    <row r="500" s="17" customFormat="1" ht="48" hidden="1" spans="1:24">
      <c r="A500" s="59">
        <v>498</v>
      </c>
      <c r="B500" s="60" t="s">
        <v>1160</v>
      </c>
      <c r="C500" s="114">
        <f t="shared" si="26"/>
        <v>44860</v>
      </c>
      <c r="D500" s="62" t="str">
        <f ca="1" t="shared" si="23"/>
        <v>一年以上</v>
      </c>
      <c r="E500" s="115">
        <v>44860</v>
      </c>
      <c r="F500" s="115" t="s">
        <v>632</v>
      </c>
      <c r="G500" s="132" t="s">
        <v>993</v>
      </c>
      <c r="H500" s="100" t="s">
        <v>1154</v>
      </c>
      <c r="I500" s="63" t="s">
        <v>1154</v>
      </c>
      <c r="J500" s="116">
        <v>10000</v>
      </c>
      <c r="K500" s="105" t="s">
        <v>28</v>
      </c>
      <c r="L500" s="105" t="s">
        <v>73</v>
      </c>
      <c r="M500" s="89" t="s">
        <v>30</v>
      </c>
      <c r="N500" s="117">
        <v>10000</v>
      </c>
      <c r="O500" s="117">
        <f t="shared" si="25"/>
        <v>0</v>
      </c>
      <c r="P500" s="115">
        <v>44879</v>
      </c>
      <c r="Q500" s="61">
        <f t="shared" si="24"/>
        <v>44879</v>
      </c>
      <c r="R500" s="68"/>
      <c r="S500" s="72" t="s">
        <v>1155</v>
      </c>
      <c r="T500" s="105"/>
      <c r="U500" s="68"/>
      <c r="V500" s="68"/>
      <c r="W500" s="68"/>
      <c r="X500" s="68"/>
    </row>
    <row r="501" s="17" customFormat="1" ht="36" hidden="1" spans="1:24">
      <c r="A501" s="59">
        <v>499</v>
      </c>
      <c r="B501" s="60" t="s">
        <v>1161</v>
      </c>
      <c r="C501" s="114">
        <f t="shared" si="26"/>
        <v>44861</v>
      </c>
      <c r="D501" s="62" t="str">
        <f ca="1" t="shared" si="23"/>
        <v>一年以上</v>
      </c>
      <c r="E501" s="115">
        <v>44861</v>
      </c>
      <c r="F501" s="115" t="s">
        <v>632</v>
      </c>
      <c r="G501" s="132" t="s">
        <v>993</v>
      </c>
      <c r="H501" s="100" t="s">
        <v>1141</v>
      </c>
      <c r="I501" s="63" t="s">
        <v>1141</v>
      </c>
      <c r="J501" s="116">
        <v>4600</v>
      </c>
      <c r="K501" s="105" t="s">
        <v>28</v>
      </c>
      <c r="L501" s="105" t="s">
        <v>73</v>
      </c>
      <c r="M501" s="89" t="s">
        <v>30</v>
      </c>
      <c r="N501" s="117">
        <v>4600</v>
      </c>
      <c r="O501" s="117">
        <f t="shared" si="25"/>
        <v>0</v>
      </c>
      <c r="P501" s="115">
        <v>44869</v>
      </c>
      <c r="Q501" s="61">
        <f t="shared" si="24"/>
        <v>44869</v>
      </c>
      <c r="R501" s="68"/>
      <c r="S501" s="72" t="s">
        <v>1142</v>
      </c>
      <c r="T501" s="105"/>
      <c r="U501" s="68"/>
      <c r="V501" s="68"/>
      <c r="W501" s="68"/>
      <c r="X501" s="68"/>
    </row>
    <row r="502" s="17" customFormat="1" hidden="1" spans="1:24">
      <c r="A502" s="59">
        <v>500</v>
      </c>
      <c r="B502" s="60" t="s">
        <v>1162</v>
      </c>
      <c r="C502" s="114">
        <f t="shared" si="26"/>
        <v>44862</v>
      </c>
      <c r="D502" s="62" t="str">
        <f ca="1" t="shared" si="23"/>
        <v>一年以上</v>
      </c>
      <c r="E502" s="115">
        <v>44862</v>
      </c>
      <c r="F502" s="115" t="s">
        <v>632</v>
      </c>
      <c r="G502" s="132" t="s">
        <v>450</v>
      </c>
      <c r="H502" s="100" t="s">
        <v>634</v>
      </c>
      <c r="I502" s="63" t="s">
        <v>634</v>
      </c>
      <c r="J502" s="116">
        <v>200</v>
      </c>
      <c r="K502" s="105" t="s">
        <v>28</v>
      </c>
      <c r="L502" s="105" t="s">
        <v>73</v>
      </c>
      <c r="M502" s="89" t="s">
        <v>515</v>
      </c>
      <c r="N502" s="117">
        <v>200</v>
      </c>
      <c r="O502" s="117">
        <f t="shared" si="25"/>
        <v>0</v>
      </c>
      <c r="P502" s="115">
        <v>44862</v>
      </c>
      <c r="Q502" s="61">
        <f t="shared" si="24"/>
        <v>44862</v>
      </c>
      <c r="R502" s="68"/>
      <c r="S502" s="72" t="s">
        <v>1163</v>
      </c>
      <c r="T502" s="105"/>
      <c r="U502" s="68"/>
      <c r="V502" s="68"/>
      <c r="W502" s="68"/>
      <c r="X502" s="68"/>
    </row>
    <row r="503" s="17" customFormat="1" hidden="1" spans="1:24">
      <c r="A503" s="59">
        <v>501</v>
      </c>
      <c r="B503" s="60" t="s">
        <v>1164</v>
      </c>
      <c r="C503" s="114">
        <f t="shared" si="26"/>
        <v>44862</v>
      </c>
      <c r="D503" s="62" t="str">
        <f ca="1" t="shared" si="23"/>
        <v>一年以上</v>
      </c>
      <c r="E503" s="115">
        <v>44862</v>
      </c>
      <c r="F503" s="115" t="s">
        <v>632</v>
      </c>
      <c r="G503" s="132" t="s">
        <v>450</v>
      </c>
      <c r="H503" s="100" t="s">
        <v>634</v>
      </c>
      <c r="I503" s="63" t="s">
        <v>634</v>
      </c>
      <c r="J503" s="116">
        <v>20000</v>
      </c>
      <c r="K503" s="105" t="s">
        <v>28</v>
      </c>
      <c r="L503" s="105" t="s">
        <v>73</v>
      </c>
      <c r="M503" s="89" t="s">
        <v>30</v>
      </c>
      <c r="N503" s="117">
        <v>20000</v>
      </c>
      <c r="O503" s="117">
        <f t="shared" si="25"/>
        <v>0</v>
      </c>
      <c r="P503" s="115">
        <v>44872</v>
      </c>
      <c r="Q503" s="61">
        <f t="shared" si="24"/>
        <v>44872</v>
      </c>
      <c r="R503" s="68"/>
      <c r="S503" s="72" t="s">
        <v>1163</v>
      </c>
      <c r="T503" s="105"/>
      <c r="U503" s="68"/>
      <c r="V503" s="68"/>
      <c r="W503" s="68"/>
      <c r="X503" s="68"/>
    </row>
    <row r="504" s="17" customFormat="1" ht="48" hidden="1" spans="1:24">
      <c r="A504" s="59">
        <v>502</v>
      </c>
      <c r="B504" s="60" t="s">
        <v>1165</v>
      </c>
      <c r="C504" s="114">
        <f t="shared" si="26"/>
        <v>44862</v>
      </c>
      <c r="D504" s="62" t="str">
        <f ca="1" t="shared" si="23"/>
        <v>一年以上</v>
      </c>
      <c r="E504" s="115">
        <v>44862</v>
      </c>
      <c r="F504" s="115" t="s">
        <v>632</v>
      </c>
      <c r="G504" s="132" t="s">
        <v>450</v>
      </c>
      <c r="H504" s="374" t="s">
        <v>1166</v>
      </c>
      <c r="I504" s="63" t="s">
        <v>1166</v>
      </c>
      <c r="J504" s="116">
        <v>6000</v>
      </c>
      <c r="K504" s="105" t="s">
        <v>28</v>
      </c>
      <c r="L504" s="105" t="s">
        <v>73</v>
      </c>
      <c r="M504" s="89" t="s">
        <v>30</v>
      </c>
      <c r="N504" s="117">
        <v>6000</v>
      </c>
      <c r="O504" s="117">
        <f t="shared" si="25"/>
        <v>0</v>
      </c>
      <c r="P504" s="115">
        <v>45102</v>
      </c>
      <c r="Q504" s="61">
        <f t="shared" si="24"/>
        <v>45102</v>
      </c>
      <c r="R504" s="68"/>
      <c r="S504" s="72" t="s">
        <v>1167</v>
      </c>
      <c r="T504" s="105" t="s">
        <v>267</v>
      </c>
      <c r="U504" s="68"/>
      <c r="V504" s="68"/>
      <c r="W504" s="68"/>
      <c r="X504" s="68"/>
    </row>
    <row r="505" s="17" customFormat="1" ht="24" hidden="1" spans="1:24">
      <c r="A505" s="59">
        <v>503</v>
      </c>
      <c r="B505" s="60" t="s">
        <v>1168</v>
      </c>
      <c r="C505" s="114">
        <f t="shared" si="26"/>
        <v>44865</v>
      </c>
      <c r="D505" s="62" t="str">
        <f ca="1" t="shared" si="23"/>
        <v>一年以上</v>
      </c>
      <c r="E505" s="115">
        <v>44865</v>
      </c>
      <c r="F505" s="115" t="s">
        <v>632</v>
      </c>
      <c r="G505" s="132" t="s">
        <v>993</v>
      </c>
      <c r="H505" s="100" t="s">
        <v>1169</v>
      </c>
      <c r="I505" s="63" t="s">
        <v>1169</v>
      </c>
      <c r="J505" s="116">
        <v>10000</v>
      </c>
      <c r="K505" s="105" t="s">
        <v>28</v>
      </c>
      <c r="L505" s="105" t="s">
        <v>73</v>
      </c>
      <c r="M505" s="89" t="s">
        <v>30</v>
      </c>
      <c r="N505" s="117">
        <v>10000</v>
      </c>
      <c r="O505" s="117">
        <f t="shared" si="25"/>
        <v>0</v>
      </c>
      <c r="P505" s="115">
        <v>45280</v>
      </c>
      <c r="Q505" s="61">
        <f t="shared" si="24"/>
        <v>45280</v>
      </c>
      <c r="R505" s="68"/>
      <c r="S505" s="72" t="s">
        <v>1170</v>
      </c>
      <c r="T505" s="94" t="s">
        <v>396</v>
      </c>
      <c r="U505" s="59" t="str">
        <f>VLOOKUP(T505,[1]区域划分!$A$1:$C$39,3,0)</f>
        <v>牛国庆</v>
      </c>
      <c r="V505" s="68"/>
      <c r="W505" s="68"/>
      <c r="X505" s="68"/>
    </row>
    <row r="506" s="17" customFormat="1" ht="36" hidden="1" spans="1:24">
      <c r="A506" s="59">
        <v>504</v>
      </c>
      <c r="B506" s="60" t="s">
        <v>1171</v>
      </c>
      <c r="C506" s="114">
        <f t="shared" si="26"/>
        <v>44869</v>
      </c>
      <c r="D506" s="62" t="str">
        <f ca="1" t="shared" si="23"/>
        <v>一年以上</v>
      </c>
      <c r="E506" s="115">
        <v>44869</v>
      </c>
      <c r="F506" s="115" t="s">
        <v>632</v>
      </c>
      <c r="G506" s="132" t="s">
        <v>450</v>
      </c>
      <c r="H506" s="100" t="s">
        <v>1172</v>
      </c>
      <c r="I506" s="63" t="s">
        <v>1172</v>
      </c>
      <c r="J506" s="116">
        <v>5000</v>
      </c>
      <c r="K506" s="105" t="s">
        <v>28</v>
      </c>
      <c r="L506" s="105" t="s">
        <v>73</v>
      </c>
      <c r="M506" s="89" t="s">
        <v>30</v>
      </c>
      <c r="N506" s="117">
        <v>5000</v>
      </c>
      <c r="O506" s="117">
        <f t="shared" si="25"/>
        <v>0</v>
      </c>
      <c r="P506" s="115">
        <v>45059</v>
      </c>
      <c r="Q506" s="61">
        <f t="shared" si="24"/>
        <v>45059</v>
      </c>
      <c r="R506" s="68"/>
      <c r="S506" s="72" t="s">
        <v>1173</v>
      </c>
      <c r="T506" s="105" t="s">
        <v>86</v>
      </c>
      <c r="U506" s="68"/>
      <c r="V506" s="68"/>
      <c r="W506" s="68"/>
      <c r="X506" s="68"/>
    </row>
    <row r="507" s="17" customFormat="1" hidden="1" spans="1:24">
      <c r="A507" s="59">
        <v>505</v>
      </c>
      <c r="B507" s="60" t="s">
        <v>1174</v>
      </c>
      <c r="C507" s="114">
        <f t="shared" si="26"/>
        <v>44872</v>
      </c>
      <c r="D507" s="62" t="str">
        <f ca="1" t="shared" si="23"/>
        <v>一年以上</v>
      </c>
      <c r="E507" s="115">
        <v>44872</v>
      </c>
      <c r="F507" s="115" t="s">
        <v>632</v>
      </c>
      <c r="G507" s="132" t="s">
        <v>450</v>
      </c>
      <c r="H507" s="100" t="s">
        <v>577</v>
      </c>
      <c r="I507" s="63" t="s">
        <v>578</v>
      </c>
      <c r="J507" s="116">
        <v>10000</v>
      </c>
      <c r="K507" s="105" t="s">
        <v>28</v>
      </c>
      <c r="L507" s="105" t="s">
        <v>73</v>
      </c>
      <c r="M507" s="89" t="s">
        <v>30</v>
      </c>
      <c r="N507" s="117">
        <v>10000</v>
      </c>
      <c r="O507" s="117">
        <f t="shared" si="25"/>
        <v>0</v>
      </c>
      <c r="P507" s="115">
        <v>44880</v>
      </c>
      <c r="Q507" s="61">
        <f t="shared" si="24"/>
        <v>44880</v>
      </c>
      <c r="R507" s="68"/>
      <c r="S507" s="72" t="s">
        <v>1175</v>
      </c>
      <c r="T507" s="105"/>
      <c r="U507" s="68"/>
      <c r="V507" s="68"/>
      <c r="W507" s="68"/>
      <c r="X507" s="68"/>
    </row>
    <row r="508" s="17" customFormat="1" hidden="1" spans="1:24">
      <c r="A508" s="59">
        <v>506</v>
      </c>
      <c r="B508" s="60" t="s">
        <v>1176</v>
      </c>
      <c r="C508" s="114">
        <f t="shared" si="26"/>
        <v>44872</v>
      </c>
      <c r="D508" s="62" t="str">
        <f ca="1" t="shared" si="23"/>
        <v>一年以上</v>
      </c>
      <c r="E508" s="115">
        <v>44872</v>
      </c>
      <c r="F508" s="115" t="s">
        <v>632</v>
      </c>
      <c r="G508" s="132" t="s">
        <v>450</v>
      </c>
      <c r="H508" s="100" t="s">
        <v>577</v>
      </c>
      <c r="I508" s="63" t="s">
        <v>578</v>
      </c>
      <c r="J508" s="116">
        <v>200</v>
      </c>
      <c r="K508" s="105" t="s">
        <v>28</v>
      </c>
      <c r="L508" s="105" t="s">
        <v>73</v>
      </c>
      <c r="M508" s="89" t="s">
        <v>515</v>
      </c>
      <c r="N508" s="117">
        <v>200</v>
      </c>
      <c r="O508" s="117">
        <f t="shared" si="25"/>
        <v>0</v>
      </c>
      <c r="P508" s="115">
        <v>44872</v>
      </c>
      <c r="Q508" s="61">
        <f t="shared" si="24"/>
        <v>44872</v>
      </c>
      <c r="R508" s="68"/>
      <c r="S508" s="72" t="s">
        <v>1175</v>
      </c>
      <c r="T508" s="105"/>
      <c r="U508" s="68"/>
      <c r="V508" s="68"/>
      <c r="W508" s="68"/>
      <c r="X508" s="68"/>
    </row>
    <row r="509" s="17" customFormat="1" ht="24" hidden="1" spans="1:24">
      <c r="A509" s="59">
        <v>507</v>
      </c>
      <c r="B509" s="60" t="s">
        <v>1177</v>
      </c>
      <c r="C509" s="114">
        <f t="shared" si="26"/>
        <v>44872</v>
      </c>
      <c r="D509" s="62" t="str">
        <f ca="1" t="shared" si="23"/>
        <v>一年以上</v>
      </c>
      <c r="E509" s="115">
        <v>44872</v>
      </c>
      <c r="F509" s="115" t="s">
        <v>632</v>
      </c>
      <c r="G509" s="132" t="s">
        <v>450</v>
      </c>
      <c r="H509" s="100" t="s">
        <v>1178</v>
      </c>
      <c r="I509" s="63" t="s">
        <v>1178</v>
      </c>
      <c r="J509" s="116">
        <v>10000</v>
      </c>
      <c r="K509" s="105" t="s">
        <v>28</v>
      </c>
      <c r="L509" s="105" t="s">
        <v>73</v>
      </c>
      <c r="M509" s="89" t="s">
        <v>30</v>
      </c>
      <c r="N509" s="117">
        <v>10000</v>
      </c>
      <c r="O509" s="117">
        <f t="shared" si="25"/>
        <v>0</v>
      </c>
      <c r="P509" s="115">
        <v>44880</v>
      </c>
      <c r="Q509" s="61">
        <f t="shared" si="24"/>
        <v>44880</v>
      </c>
      <c r="R509" s="68"/>
      <c r="S509" s="72" t="s">
        <v>1179</v>
      </c>
      <c r="T509" s="105"/>
      <c r="U509" s="68"/>
      <c r="V509" s="68"/>
      <c r="W509" s="68"/>
      <c r="X509" s="68"/>
    </row>
    <row r="510" s="17" customFormat="1" ht="24" hidden="1" spans="1:24">
      <c r="A510" s="59">
        <v>508</v>
      </c>
      <c r="B510" s="60" t="s">
        <v>1180</v>
      </c>
      <c r="C510" s="114">
        <f t="shared" si="26"/>
        <v>44872</v>
      </c>
      <c r="D510" s="62" t="str">
        <f ca="1" t="shared" si="23"/>
        <v>一年以上</v>
      </c>
      <c r="E510" s="115">
        <v>44872</v>
      </c>
      <c r="F510" s="115" t="s">
        <v>632</v>
      </c>
      <c r="G510" s="132" t="s">
        <v>450</v>
      </c>
      <c r="H510" s="100" t="s">
        <v>1178</v>
      </c>
      <c r="I510" s="63" t="s">
        <v>1178</v>
      </c>
      <c r="J510" s="116">
        <v>200</v>
      </c>
      <c r="K510" s="105" t="s">
        <v>28</v>
      </c>
      <c r="L510" s="105" t="s">
        <v>73</v>
      </c>
      <c r="M510" s="89" t="s">
        <v>515</v>
      </c>
      <c r="N510" s="117">
        <v>200</v>
      </c>
      <c r="O510" s="117">
        <f t="shared" si="25"/>
        <v>0</v>
      </c>
      <c r="P510" s="115">
        <v>44872</v>
      </c>
      <c r="Q510" s="61">
        <f t="shared" si="24"/>
        <v>44872</v>
      </c>
      <c r="R510" s="68"/>
      <c r="S510" s="72" t="s">
        <v>1179</v>
      </c>
      <c r="T510" s="105"/>
      <c r="U510" s="68"/>
      <c r="V510" s="68"/>
      <c r="W510" s="68"/>
      <c r="X510" s="68"/>
    </row>
    <row r="511" s="17" customFormat="1" ht="24" hidden="1" spans="1:24">
      <c r="A511" s="59">
        <v>509</v>
      </c>
      <c r="B511" s="60" t="s">
        <v>1181</v>
      </c>
      <c r="C511" s="114">
        <f t="shared" si="26"/>
        <v>44872</v>
      </c>
      <c r="D511" s="62" t="str">
        <f ca="1" t="shared" si="23"/>
        <v>一年以上</v>
      </c>
      <c r="E511" s="115">
        <v>44872</v>
      </c>
      <c r="F511" s="115" t="s">
        <v>632</v>
      </c>
      <c r="G511" s="132" t="s">
        <v>450</v>
      </c>
      <c r="H511" s="100" t="s">
        <v>366</v>
      </c>
      <c r="I511" s="63" t="s">
        <v>366</v>
      </c>
      <c r="J511" s="116">
        <v>5000</v>
      </c>
      <c r="K511" s="59" t="s">
        <v>356</v>
      </c>
      <c r="L511" s="59" t="s">
        <v>458</v>
      </c>
      <c r="M511" s="59" t="s">
        <v>30</v>
      </c>
      <c r="N511" s="117">
        <v>5000</v>
      </c>
      <c r="O511" s="117">
        <f t="shared" si="25"/>
        <v>0</v>
      </c>
      <c r="P511" s="115">
        <v>44887</v>
      </c>
      <c r="Q511" s="61">
        <f t="shared" si="24"/>
        <v>44887</v>
      </c>
      <c r="R511" s="68"/>
      <c r="S511" s="72" t="s">
        <v>1182</v>
      </c>
      <c r="T511" s="105"/>
      <c r="U511" s="68"/>
      <c r="V511" s="68"/>
      <c r="W511" s="68"/>
      <c r="X511" s="68"/>
    </row>
    <row r="512" s="24" customFormat="1" hidden="1" spans="1:24">
      <c r="A512" s="118">
        <v>510</v>
      </c>
      <c r="B512" s="119" t="s">
        <v>1183</v>
      </c>
      <c r="C512" s="120">
        <f t="shared" si="26"/>
        <v>44872</v>
      </c>
      <c r="D512" s="121" t="str">
        <f ca="1" t="shared" si="23"/>
        <v>一年以上</v>
      </c>
      <c r="E512" s="122">
        <v>44872</v>
      </c>
      <c r="F512" s="122" t="s">
        <v>130</v>
      </c>
      <c r="G512" s="135" t="s">
        <v>569</v>
      </c>
      <c r="H512" s="125" t="s">
        <v>863</v>
      </c>
      <c r="I512" s="126" t="s">
        <v>863</v>
      </c>
      <c r="J512" s="127">
        <v>52088</v>
      </c>
      <c r="K512" s="131" t="s">
        <v>28</v>
      </c>
      <c r="L512" s="131" t="s">
        <v>57</v>
      </c>
      <c r="M512" s="124" t="s">
        <v>133</v>
      </c>
      <c r="N512" s="128">
        <v>52088</v>
      </c>
      <c r="O512" s="128">
        <f t="shared" si="25"/>
        <v>0</v>
      </c>
      <c r="P512" s="122" t="s">
        <v>2657</v>
      </c>
      <c r="Q512" s="129" t="str">
        <f t="shared" si="24"/>
        <v>2024.7.26</v>
      </c>
      <c r="R512" s="130"/>
      <c r="S512" s="119" t="s">
        <v>1118</v>
      </c>
      <c r="T512" s="131" t="s">
        <v>972</v>
      </c>
      <c r="U512" s="118" t="str">
        <f>VLOOKUP(T512,[1]区域划分!$A$1:$C$39,3,0)</f>
        <v>曾江利</v>
      </c>
      <c r="V512" s="130"/>
      <c r="W512" s="130"/>
      <c r="X512" s="130"/>
    </row>
    <row r="513" s="17" customFormat="1" ht="72" hidden="1" spans="1:24">
      <c r="A513" s="59">
        <v>511</v>
      </c>
      <c r="B513" s="60" t="s">
        <v>1184</v>
      </c>
      <c r="C513" s="114">
        <f t="shared" si="26"/>
        <v>44872</v>
      </c>
      <c r="D513" s="62" t="str">
        <f ca="1" t="shared" si="23"/>
        <v>一年以上</v>
      </c>
      <c r="E513" s="115">
        <v>44872</v>
      </c>
      <c r="F513" s="115" t="s">
        <v>70</v>
      </c>
      <c r="G513" s="132" t="s">
        <v>146</v>
      </c>
      <c r="H513" s="100" t="s">
        <v>305</v>
      </c>
      <c r="I513" s="63" t="s">
        <v>305</v>
      </c>
      <c r="J513" s="116">
        <v>3000</v>
      </c>
      <c r="K513" s="105" t="s">
        <v>28</v>
      </c>
      <c r="L513" s="105" t="s">
        <v>57</v>
      </c>
      <c r="M513" s="89" t="s">
        <v>65</v>
      </c>
      <c r="N513" s="117">
        <v>3000</v>
      </c>
      <c r="O513" s="117">
        <f t="shared" si="25"/>
        <v>0</v>
      </c>
      <c r="P513" s="115">
        <v>44945</v>
      </c>
      <c r="Q513" s="61">
        <f t="shared" si="24"/>
        <v>44945</v>
      </c>
      <c r="R513" s="72" t="s">
        <v>1185</v>
      </c>
      <c r="S513" s="72" t="s">
        <v>1186</v>
      </c>
      <c r="T513" s="105" t="s">
        <v>293</v>
      </c>
      <c r="U513" s="68"/>
      <c r="V513" s="68"/>
      <c r="W513" s="68"/>
      <c r="X513" s="68"/>
    </row>
    <row r="514" s="17" customFormat="1" hidden="1" spans="1:24">
      <c r="A514" s="59">
        <v>512</v>
      </c>
      <c r="B514" s="60" t="s">
        <v>1187</v>
      </c>
      <c r="C514" s="114">
        <f t="shared" si="26"/>
        <v>44873</v>
      </c>
      <c r="D514" s="62" t="str">
        <f ca="1" t="shared" si="23"/>
        <v>一年以上</v>
      </c>
      <c r="E514" s="115">
        <v>44873</v>
      </c>
      <c r="F514" s="115" t="s">
        <v>632</v>
      </c>
      <c r="G514" s="132" t="s">
        <v>450</v>
      </c>
      <c r="H514" s="100" t="s">
        <v>674</v>
      </c>
      <c r="I514" s="63" t="s">
        <v>1188</v>
      </c>
      <c r="J514" s="116">
        <v>5000</v>
      </c>
      <c r="K514" s="105" t="s">
        <v>28</v>
      </c>
      <c r="L514" s="105" t="s">
        <v>57</v>
      </c>
      <c r="M514" s="59" t="s">
        <v>30</v>
      </c>
      <c r="N514" s="134">
        <v>5000</v>
      </c>
      <c r="O514" s="117">
        <f t="shared" si="25"/>
        <v>0</v>
      </c>
      <c r="P514" s="115">
        <v>45287</v>
      </c>
      <c r="Q514" s="61">
        <f t="shared" si="24"/>
        <v>45287</v>
      </c>
      <c r="R514" s="68" t="s">
        <v>1189</v>
      </c>
      <c r="S514" s="72" t="s">
        <v>1190</v>
      </c>
      <c r="T514" s="105" t="s">
        <v>581</v>
      </c>
      <c r="U514" s="59" t="str">
        <f>VLOOKUP(T514,[1]区域划分!$A$1:$C$39,3,0)</f>
        <v>新疆</v>
      </c>
      <c r="V514" s="68"/>
      <c r="W514" s="68"/>
      <c r="X514" s="68"/>
    </row>
    <row r="515" s="17" customFormat="1" hidden="1" spans="1:24">
      <c r="A515" s="59">
        <v>513</v>
      </c>
      <c r="B515" s="60" t="s">
        <v>1191</v>
      </c>
      <c r="C515" s="114">
        <f t="shared" si="26"/>
        <v>44873</v>
      </c>
      <c r="D515" s="62" t="str">
        <f ca="1" t="shared" ref="D515:D578" si="27">IF(TODAY()-E515&lt;60,"2个月内",IF(TODAY()-E515&lt;180,"3-6个月",IF(TODAY()-E515&lt;360,"6个月-1年","一年以上")))</f>
        <v>一年以上</v>
      </c>
      <c r="E515" s="115">
        <v>44873</v>
      </c>
      <c r="F515" s="115" t="s">
        <v>632</v>
      </c>
      <c r="G515" s="132" t="s">
        <v>450</v>
      </c>
      <c r="H515" s="100" t="s">
        <v>674</v>
      </c>
      <c r="I515" s="63" t="s">
        <v>674</v>
      </c>
      <c r="J515" s="116">
        <v>200</v>
      </c>
      <c r="K515" s="105" t="s">
        <v>28</v>
      </c>
      <c r="L515" s="105" t="s">
        <v>57</v>
      </c>
      <c r="M515" s="59" t="s">
        <v>515</v>
      </c>
      <c r="N515" s="117">
        <v>200</v>
      </c>
      <c r="O515" s="117">
        <f t="shared" si="25"/>
        <v>0</v>
      </c>
      <c r="P515" s="115"/>
      <c r="Q515" s="61">
        <f t="shared" ref="Q515:Q578" si="28">P515</f>
        <v>0</v>
      </c>
      <c r="R515" s="68"/>
      <c r="S515" s="72" t="s">
        <v>1190</v>
      </c>
      <c r="T515" s="105"/>
      <c r="U515" s="68"/>
      <c r="V515" s="68"/>
      <c r="W515" s="68"/>
      <c r="X515" s="68"/>
    </row>
    <row r="516" s="17" customFormat="1" hidden="1" spans="1:24">
      <c r="A516" s="59">
        <v>514</v>
      </c>
      <c r="B516" s="60" t="s">
        <v>1192</v>
      </c>
      <c r="C516" s="114">
        <f t="shared" si="26"/>
        <v>44874</v>
      </c>
      <c r="D516" s="62" t="str">
        <f ca="1" t="shared" si="27"/>
        <v>一年以上</v>
      </c>
      <c r="E516" s="115">
        <v>44874</v>
      </c>
      <c r="F516" s="115" t="s">
        <v>632</v>
      </c>
      <c r="G516" s="132" t="s">
        <v>450</v>
      </c>
      <c r="H516" s="100" t="s">
        <v>1101</v>
      </c>
      <c r="I516" s="63" t="s">
        <v>1101</v>
      </c>
      <c r="J516" s="116">
        <v>5000</v>
      </c>
      <c r="K516" s="105" t="s">
        <v>356</v>
      </c>
      <c r="L516" s="105" t="s">
        <v>458</v>
      </c>
      <c r="M516" s="89" t="s">
        <v>30</v>
      </c>
      <c r="N516" s="117">
        <v>5000</v>
      </c>
      <c r="O516" s="117">
        <f t="shared" si="25"/>
        <v>0</v>
      </c>
      <c r="P516" s="115">
        <v>45258</v>
      </c>
      <c r="Q516" s="61">
        <f t="shared" si="28"/>
        <v>45258</v>
      </c>
      <c r="R516" s="68"/>
      <c r="S516" s="72" t="s">
        <v>1193</v>
      </c>
      <c r="T516" s="105" t="s">
        <v>388</v>
      </c>
      <c r="U516" s="59" t="str">
        <f>VLOOKUP(T516,[1]区域划分!$A$1:$C$39,3,0)</f>
        <v>林维</v>
      </c>
      <c r="V516" s="68"/>
      <c r="W516" s="68"/>
      <c r="X516" s="68"/>
    </row>
    <row r="517" s="17" customFormat="1" hidden="1" spans="1:24">
      <c r="A517" s="59">
        <v>515</v>
      </c>
      <c r="B517" s="60" t="s">
        <v>1194</v>
      </c>
      <c r="C517" s="114">
        <f t="shared" si="26"/>
        <v>44874</v>
      </c>
      <c r="D517" s="62" t="str">
        <f ca="1" t="shared" si="27"/>
        <v>一年以上</v>
      </c>
      <c r="E517" s="115">
        <v>44874</v>
      </c>
      <c r="F517" s="115" t="s">
        <v>632</v>
      </c>
      <c r="G517" s="132" t="s">
        <v>450</v>
      </c>
      <c r="H517" s="100" t="s">
        <v>1101</v>
      </c>
      <c r="I517" s="63" t="s">
        <v>1101</v>
      </c>
      <c r="J517" s="116">
        <v>9000</v>
      </c>
      <c r="K517" s="105" t="s">
        <v>356</v>
      </c>
      <c r="L517" s="105" t="s">
        <v>458</v>
      </c>
      <c r="M517" s="89" t="s">
        <v>30</v>
      </c>
      <c r="N517" s="117"/>
      <c r="O517" s="134">
        <f t="shared" si="25"/>
        <v>9000</v>
      </c>
      <c r="P517" s="115"/>
      <c r="Q517" s="61">
        <f t="shared" si="28"/>
        <v>0</v>
      </c>
      <c r="R517" s="68"/>
      <c r="S517" s="72" t="s">
        <v>1196</v>
      </c>
      <c r="T517" s="105" t="s">
        <v>388</v>
      </c>
      <c r="U517" s="59" t="str">
        <f>VLOOKUP(T517,[1]区域划分!$A$1:$C$39,3,0)</f>
        <v>林维</v>
      </c>
      <c r="V517" s="68"/>
      <c r="W517" s="68"/>
      <c r="X517" s="68"/>
    </row>
    <row r="518" s="17" customFormat="1" ht="24" hidden="1" spans="1:24">
      <c r="A518" s="59">
        <v>516</v>
      </c>
      <c r="B518" s="60" t="s">
        <v>1197</v>
      </c>
      <c r="C518" s="114">
        <f t="shared" si="26"/>
        <v>44874</v>
      </c>
      <c r="D518" s="62" t="str">
        <f ca="1" t="shared" si="27"/>
        <v>一年以上</v>
      </c>
      <c r="E518" s="115">
        <v>44874</v>
      </c>
      <c r="F518" s="115" t="s">
        <v>632</v>
      </c>
      <c r="G518" s="132" t="s">
        <v>450</v>
      </c>
      <c r="H518" s="100" t="s">
        <v>495</v>
      </c>
      <c r="I518" s="63" t="s">
        <v>495</v>
      </c>
      <c r="J518" s="116">
        <v>2000</v>
      </c>
      <c r="K518" s="105" t="s">
        <v>356</v>
      </c>
      <c r="L518" s="105" t="s">
        <v>458</v>
      </c>
      <c r="M518" s="89" t="s">
        <v>30</v>
      </c>
      <c r="N518" s="117">
        <v>2000</v>
      </c>
      <c r="O518" s="117">
        <f t="shared" si="25"/>
        <v>0</v>
      </c>
      <c r="P518" s="115">
        <v>44932</v>
      </c>
      <c r="Q518" s="61">
        <f t="shared" si="28"/>
        <v>44932</v>
      </c>
      <c r="R518" s="68"/>
      <c r="S518" s="72" t="s">
        <v>1198</v>
      </c>
      <c r="T518" s="105" t="s">
        <v>182</v>
      </c>
      <c r="U518" s="68"/>
      <c r="V518" s="68"/>
      <c r="W518" s="68"/>
      <c r="X518" s="68"/>
    </row>
    <row r="519" s="17" customFormat="1" ht="24" hidden="1" spans="1:24">
      <c r="A519" s="59">
        <v>517</v>
      </c>
      <c r="B519" s="60" t="s">
        <v>1199</v>
      </c>
      <c r="C519" s="114">
        <f t="shared" si="26"/>
        <v>44875</v>
      </c>
      <c r="D519" s="62" t="str">
        <f ca="1" t="shared" si="27"/>
        <v>一年以上</v>
      </c>
      <c r="E519" s="115">
        <v>44875</v>
      </c>
      <c r="F519" s="115" t="s">
        <v>632</v>
      </c>
      <c r="G519" s="132" t="s">
        <v>450</v>
      </c>
      <c r="H519" s="100" t="s">
        <v>1200</v>
      </c>
      <c r="I519" s="63" t="s">
        <v>1200</v>
      </c>
      <c r="J519" s="116">
        <v>10500</v>
      </c>
      <c r="K519" s="105" t="s">
        <v>28</v>
      </c>
      <c r="L519" s="105" t="s">
        <v>57</v>
      </c>
      <c r="M519" s="89" t="s">
        <v>968</v>
      </c>
      <c r="N519" s="117">
        <v>10500</v>
      </c>
      <c r="O519" s="117">
        <f t="shared" si="25"/>
        <v>0</v>
      </c>
      <c r="P519" s="115">
        <v>44960</v>
      </c>
      <c r="Q519" s="61">
        <f t="shared" si="28"/>
        <v>44960</v>
      </c>
      <c r="R519" s="68" t="s">
        <v>951</v>
      </c>
      <c r="S519" s="72"/>
      <c r="T519" s="105"/>
      <c r="U519" s="68"/>
      <c r="V519" s="68"/>
      <c r="W519" s="68"/>
      <c r="X519" s="68"/>
    </row>
    <row r="520" s="17" customFormat="1" hidden="1" spans="1:24">
      <c r="A520" s="59">
        <v>518</v>
      </c>
      <c r="B520" s="60" t="s">
        <v>1201</v>
      </c>
      <c r="C520" s="114">
        <f t="shared" si="26"/>
        <v>44875</v>
      </c>
      <c r="D520" s="62" t="str">
        <f ca="1" t="shared" si="27"/>
        <v>一年以上</v>
      </c>
      <c r="E520" s="115">
        <v>44875</v>
      </c>
      <c r="F520" s="115" t="s">
        <v>70</v>
      </c>
      <c r="G520" s="132" t="s">
        <v>1202</v>
      </c>
      <c r="H520" s="100" t="s">
        <v>1203</v>
      </c>
      <c r="I520" s="63" t="s">
        <v>1203</v>
      </c>
      <c r="J520" s="116">
        <v>30000</v>
      </c>
      <c r="K520" s="105" t="s">
        <v>28</v>
      </c>
      <c r="L520" s="105" t="s">
        <v>57</v>
      </c>
      <c r="M520" s="89" t="s">
        <v>65</v>
      </c>
      <c r="N520" s="117">
        <v>30000</v>
      </c>
      <c r="O520" s="117">
        <f t="shared" si="25"/>
        <v>0</v>
      </c>
      <c r="P520" s="115">
        <v>45215</v>
      </c>
      <c r="Q520" s="61">
        <f t="shared" si="28"/>
        <v>45215</v>
      </c>
      <c r="R520" s="68" t="s">
        <v>1204</v>
      </c>
      <c r="S520" s="72"/>
      <c r="T520" s="105" t="s">
        <v>86</v>
      </c>
      <c r="U520" s="68"/>
      <c r="V520" s="68"/>
      <c r="W520" s="68"/>
      <c r="X520" s="68"/>
    </row>
    <row r="521" s="17" customFormat="1" ht="24" hidden="1" spans="1:24">
      <c r="A521" s="59">
        <v>519</v>
      </c>
      <c r="B521" s="60" t="s">
        <v>1205</v>
      </c>
      <c r="C521" s="114">
        <f t="shared" si="26"/>
        <v>44879</v>
      </c>
      <c r="D521" s="62" t="str">
        <f ca="1" t="shared" si="27"/>
        <v>一年以上</v>
      </c>
      <c r="E521" s="115">
        <v>44879</v>
      </c>
      <c r="F521" s="115" t="s">
        <v>130</v>
      </c>
      <c r="G521" s="132" t="s">
        <v>239</v>
      </c>
      <c r="H521" s="100" t="s">
        <v>1005</v>
      </c>
      <c r="I521" s="63" t="s">
        <v>1005</v>
      </c>
      <c r="J521" s="116">
        <v>10000</v>
      </c>
      <c r="K521" s="105" t="s">
        <v>356</v>
      </c>
      <c r="L521" s="105" t="s">
        <v>1206</v>
      </c>
      <c r="M521" s="89" t="s">
        <v>30</v>
      </c>
      <c r="N521" s="117">
        <v>10000</v>
      </c>
      <c r="O521" s="117">
        <f t="shared" si="25"/>
        <v>0</v>
      </c>
      <c r="P521" s="115">
        <v>45013</v>
      </c>
      <c r="Q521" s="61">
        <f t="shared" si="28"/>
        <v>45013</v>
      </c>
      <c r="R521" s="68" t="s">
        <v>1207</v>
      </c>
      <c r="S521" s="72" t="s">
        <v>1208</v>
      </c>
      <c r="T521" s="105" t="s">
        <v>381</v>
      </c>
      <c r="U521" s="68"/>
      <c r="V521" s="68"/>
      <c r="W521" s="68"/>
      <c r="X521" s="68"/>
    </row>
    <row r="522" s="17" customFormat="1" ht="24" hidden="1" spans="1:24">
      <c r="A522" s="59">
        <v>520</v>
      </c>
      <c r="B522" s="60" t="s">
        <v>1209</v>
      </c>
      <c r="C522" s="114">
        <f t="shared" si="26"/>
        <v>44879</v>
      </c>
      <c r="D522" s="62" t="str">
        <f ca="1" t="shared" si="27"/>
        <v>一年以上</v>
      </c>
      <c r="E522" s="115">
        <v>44879</v>
      </c>
      <c r="F522" s="115" t="s">
        <v>632</v>
      </c>
      <c r="G522" s="132" t="s">
        <v>450</v>
      </c>
      <c r="H522" s="100" t="s">
        <v>696</v>
      </c>
      <c r="I522" s="63" t="s">
        <v>696</v>
      </c>
      <c r="J522" s="116">
        <v>3000</v>
      </c>
      <c r="K522" s="105" t="s">
        <v>356</v>
      </c>
      <c r="L522" s="105" t="s">
        <v>458</v>
      </c>
      <c r="M522" s="89" t="s">
        <v>30</v>
      </c>
      <c r="N522" s="117">
        <v>3000</v>
      </c>
      <c r="O522" s="117">
        <f t="shared" si="25"/>
        <v>0</v>
      </c>
      <c r="P522" s="115">
        <v>44923</v>
      </c>
      <c r="Q522" s="61">
        <f t="shared" si="28"/>
        <v>44923</v>
      </c>
      <c r="R522" s="68"/>
      <c r="S522" s="72" t="s">
        <v>1210</v>
      </c>
      <c r="T522" s="105"/>
      <c r="U522" s="68"/>
      <c r="V522" s="68"/>
      <c r="W522" s="68"/>
      <c r="X522" s="68"/>
    </row>
    <row r="523" s="17" customFormat="1" hidden="1" spans="1:24">
      <c r="A523" s="59">
        <v>521</v>
      </c>
      <c r="B523" s="60" t="s">
        <v>1211</v>
      </c>
      <c r="C523" s="114">
        <f t="shared" si="26"/>
        <v>44880</v>
      </c>
      <c r="D523" s="62" t="str">
        <f ca="1" t="shared" si="27"/>
        <v>一年以上</v>
      </c>
      <c r="E523" s="115">
        <v>44880</v>
      </c>
      <c r="F523" s="115" t="s">
        <v>632</v>
      </c>
      <c r="G523" s="132" t="s">
        <v>450</v>
      </c>
      <c r="H523" s="100" t="s">
        <v>1101</v>
      </c>
      <c r="I523" s="63" t="s">
        <v>1101</v>
      </c>
      <c r="J523" s="116">
        <v>4000</v>
      </c>
      <c r="K523" s="105" t="s">
        <v>356</v>
      </c>
      <c r="L523" s="105" t="s">
        <v>458</v>
      </c>
      <c r="M523" s="89" t="s">
        <v>30</v>
      </c>
      <c r="N523" s="117">
        <v>4000</v>
      </c>
      <c r="O523" s="117">
        <f t="shared" si="25"/>
        <v>0</v>
      </c>
      <c r="P523" s="115">
        <v>45226</v>
      </c>
      <c r="Q523" s="61">
        <f t="shared" si="28"/>
        <v>45226</v>
      </c>
      <c r="R523" s="68"/>
      <c r="S523" s="72" t="s">
        <v>1212</v>
      </c>
      <c r="T523" s="105" t="s">
        <v>388</v>
      </c>
      <c r="U523" s="68"/>
      <c r="V523" s="68"/>
      <c r="W523" s="68"/>
      <c r="X523" s="68"/>
    </row>
    <row r="524" s="17" customFormat="1" hidden="1" spans="1:24">
      <c r="A524" s="59">
        <v>522</v>
      </c>
      <c r="B524" s="60" t="s">
        <v>1213</v>
      </c>
      <c r="C524" s="114">
        <f t="shared" si="26"/>
        <v>44880</v>
      </c>
      <c r="D524" s="62" t="str">
        <f ca="1" t="shared" si="27"/>
        <v>一年以上</v>
      </c>
      <c r="E524" s="115">
        <v>44880</v>
      </c>
      <c r="F524" s="115" t="s">
        <v>70</v>
      </c>
      <c r="G524" s="132" t="s">
        <v>149</v>
      </c>
      <c r="H524" s="100" t="s">
        <v>283</v>
      </c>
      <c r="I524" s="63" t="s">
        <v>283</v>
      </c>
      <c r="J524" s="116">
        <v>2500</v>
      </c>
      <c r="K524" s="105" t="s">
        <v>356</v>
      </c>
      <c r="L524" s="136" t="s">
        <v>458</v>
      </c>
      <c r="M524" s="89" t="s">
        <v>65</v>
      </c>
      <c r="N524" s="104">
        <v>2500</v>
      </c>
      <c r="O524" s="117">
        <f t="shared" si="25"/>
        <v>0</v>
      </c>
      <c r="P524" s="115">
        <v>45313</v>
      </c>
      <c r="Q524" s="61">
        <f t="shared" si="28"/>
        <v>45313</v>
      </c>
      <c r="R524" s="68"/>
      <c r="S524" s="72" t="s">
        <v>1214</v>
      </c>
      <c r="T524" s="105" t="s">
        <v>182</v>
      </c>
      <c r="U524" s="59" t="str">
        <f>VLOOKUP(T524,[1]区域划分!$A$1:$C$39,3,0)</f>
        <v>汪瑞青</v>
      </c>
      <c r="V524" s="68"/>
      <c r="W524" s="68"/>
      <c r="X524" s="68"/>
    </row>
    <row r="525" s="24" customFormat="1" ht="24" hidden="1" spans="1:24">
      <c r="A525" s="118">
        <v>523</v>
      </c>
      <c r="B525" s="119" t="s">
        <v>1215</v>
      </c>
      <c r="C525" s="120">
        <f t="shared" si="26"/>
        <v>44880</v>
      </c>
      <c r="D525" s="121" t="str">
        <f ca="1" t="shared" si="27"/>
        <v>一年以上</v>
      </c>
      <c r="E525" s="122">
        <v>44880</v>
      </c>
      <c r="F525" s="122" t="s">
        <v>70</v>
      </c>
      <c r="G525" s="135" t="s">
        <v>940</v>
      </c>
      <c r="H525" s="125" t="s">
        <v>863</v>
      </c>
      <c r="I525" s="126" t="s">
        <v>863</v>
      </c>
      <c r="J525" s="127">
        <v>52088</v>
      </c>
      <c r="K525" s="131" t="s">
        <v>28</v>
      </c>
      <c r="L525" s="131" t="s">
        <v>57</v>
      </c>
      <c r="M525" s="124" t="s">
        <v>941</v>
      </c>
      <c r="N525" s="128">
        <v>52088</v>
      </c>
      <c r="O525" s="128">
        <f t="shared" si="25"/>
        <v>0</v>
      </c>
      <c r="P525" s="122" t="s">
        <v>2657</v>
      </c>
      <c r="Q525" s="129" t="str">
        <f t="shared" si="28"/>
        <v>2024.7.26</v>
      </c>
      <c r="R525" s="130"/>
      <c r="S525" s="119" t="s">
        <v>1216</v>
      </c>
      <c r="T525" s="131" t="s">
        <v>972</v>
      </c>
      <c r="U525" s="118" t="str">
        <f>VLOOKUP(T525,[1]区域划分!$A$1:$C$39,3,0)</f>
        <v>曾江利</v>
      </c>
      <c r="V525" s="130" t="s">
        <v>1217</v>
      </c>
      <c r="W525" s="130"/>
      <c r="X525" s="130"/>
    </row>
    <row r="526" s="17" customFormat="1" hidden="1" spans="1:24">
      <c r="A526" s="59">
        <v>524</v>
      </c>
      <c r="B526" s="60" t="s">
        <v>1218</v>
      </c>
      <c r="C526" s="114">
        <f t="shared" si="26"/>
        <v>44886</v>
      </c>
      <c r="D526" s="62" t="str">
        <f ca="1" t="shared" si="27"/>
        <v>一年以上</v>
      </c>
      <c r="E526" s="115">
        <v>44886</v>
      </c>
      <c r="F526" s="115" t="s">
        <v>632</v>
      </c>
      <c r="G526" s="132" t="s">
        <v>450</v>
      </c>
      <c r="H526" s="100" t="s">
        <v>1101</v>
      </c>
      <c r="I526" s="63" t="s">
        <v>1101</v>
      </c>
      <c r="J526" s="116">
        <v>4000</v>
      </c>
      <c r="K526" s="105" t="s">
        <v>356</v>
      </c>
      <c r="L526" s="105" t="s">
        <v>458</v>
      </c>
      <c r="M526" s="89" t="s">
        <v>30</v>
      </c>
      <c r="N526" s="117">
        <v>4000</v>
      </c>
      <c r="O526" s="117">
        <f t="shared" si="25"/>
        <v>0</v>
      </c>
      <c r="P526" s="115">
        <v>45253</v>
      </c>
      <c r="Q526" s="61">
        <f t="shared" si="28"/>
        <v>45253</v>
      </c>
      <c r="R526" s="68"/>
      <c r="S526" s="72" t="s">
        <v>1219</v>
      </c>
      <c r="T526" s="105" t="s">
        <v>388</v>
      </c>
      <c r="U526" s="59" t="str">
        <f>VLOOKUP(T526,[1]区域划分!$A$1:$C$39,3,0)</f>
        <v>林维</v>
      </c>
      <c r="V526" s="68"/>
      <c r="W526" s="68"/>
      <c r="X526" s="68"/>
    </row>
    <row r="527" s="17" customFormat="1" ht="24" hidden="1" spans="1:24">
      <c r="A527" s="59">
        <v>525</v>
      </c>
      <c r="B527" s="60" t="s">
        <v>1220</v>
      </c>
      <c r="C527" s="114">
        <f t="shared" si="26"/>
        <v>44887</v>
      </c>
      <c r="D527" s="62" t="str">
        <f ca="1" t="shared" si="27"/>
        <v>一年以上</v>
      </c>
      <c r="E527" s="115">
        <v>44887</v>
      </c>
      <c r="F527" s="115" t="s">
        <v>632</v>
      </c>
      <c r="G527" s="132" t="s">
        <v>993</v>
      </c>
      <c r="H527" s="100" t="s">
        <v>1221</v>
      </c>
      <c r="I527" s="63" t="s">
        <v>1221</v>
      </c>
      <c r="J527" s="116">
        <v>3000</v>
      </c>
      <c r="K527" s="105" t="s">
        <v>28</v>
      </c>
      <c r="L527" s="105" t="s">
        <v>57</v>
      </c>
      <c r="M527" s="89" t="s">
        <v>30</v>
      </c>
      <c r="N527" s="117">
        <v>3000</v>
      </c>
      <c r="O527" s="117">
        <f t="shared" ref="O527:O590" si="29">J527-N527</f>
        <v>0</v>
      </c>
      <c r="P527" s="115">
        <v>44923</v>
      </c>
      <c r="Q527" s="61">
        <f t="shared" si="28"/>
        <v>44923</v>
      </c>
      <c r="R527" s="68"/>
      <c r="S527" s="72" t="s">
        <v>1222</v>
      </c>
      <c r="T527" s="105" t="s">
        <v>330</v>
      </c>
      <c r="U527" s="68"/>
      <c r="V527" s="68"/>
      <c r="W527" s="68"/>
      <c r="X527" s="68"/>
    </row>
    <row r="528" s="17" customFormat="1" ht="24" hidden="1" spans="1:24">
      <c r="A528" s="59">
        <v>526</v>
      </c>
      <c r="B528" s="60" t="s">
        <v>1223</v>
      </c>
      <c r="C528" s="114">
        <f t="shared" si="26"/>
        <v>44890</v>
      </c>
      <c r="D528" s="62" t="str">
        <f ca="1" t="shared" si="27"/>
        <v>一年以上</v>
      </c>
      <c r="E528" s="115">
        <v>44890</v>
      </c>
      <c r="F528" s="115" t="s">
        <v>632</v>
      </c>
      <c r="G528" s="132" t="s">
        <v>1088</v>
      </c>
      <c r="H528" s="100" t="s">
        <v>346</v>
      </c>
      <c r="I528" s="63" t="s">
        <v>346</v>
      </c>
      <c r="J528" s="116">
        <v>36000</v>
      </c>
      <c r="K528" s="105" t="s">
        <v>28</v>
      </c>
      <c r="L528" s="105" t="s">
        <v>57</v>
      </c>
      <c r="M528" s="89" t="s">
        <v>30</v>
      </c>
      <c r="N528" s="117">
        <v>36000</v>
      </c>
      <c r="O528" s="137">
        <f t="shared" si="29"/>
        <v>0</v>
      </c>
      <c r="P528" s="115">
        <v>44973</v>
      </c>
      <c r="Q528" s="61">
        <f t="shared" si="28"/>
        <v>44973</v>
      </c>
      <c r="R528" s="68"/>
      <c r="S528" s="72" t="s">
        <v>1224</v>
      </c>
      <c r="T528" s="105" t="s">
        <v>720</v>
      </c>
      <c r="U528" s="68"/>
      <c r="V528" s="68"/>
      <c r="W528" s="68"/>
      <c r="X528" s="68"/>
    </row>
    <row r="529" s="17" customFormat="1" hidden="1" spans="1:24">
      <c r="A529" s="59">
        <v>527</v>
      </c>
      <c r="B529" s="60" t="s">
        <v>1225</v>
      </c>
      <c r="C529" s="114">
        <f t="shared" si="26"/>
        <v>44893</v>
      </c>
      <c r="D529" s="62" t="str">
        <f ca="1" t="shared" si="27"/>
        <v>一年以上</v>
      </c>
      <c r="E529" s="115">
        <v>44893</v>
      </c>
      <c r="F529" s="115" t="s">
        <v>70</v>
      </c>
      <c r="G529" s="132" t="s">
        <v>1226</v>
      </c>
      <c r="H529" s="100" t="s">
        <v>1227</v>
      </c>
      <c r="I529" s="63" t="s">
        <v>1227</v>
      </c>
      <c r="J529" s="116">
        <v>5000</v>
      </c>
      <c r="K529" s="105" t="s">
        <v>28</v>
      </c>
      <c r="L529" s="105" t="s">
        <v>57</v>
      </c>
      <c r="M529" s="89" t="s">
        <v>65</v>
      </c>
      <c r="N529" s="117">
        <v>5000</v>
      </c>
      <c r="O529" s="137">
        <f t="shared" si="29"/>
        <v>0</v>
      </c>
      <c r="P529" s="115">
        <v>45040</v>
      </c>
      <c r="Q529" s="61">
        <f t="shared" si="28"/>
        <v>45040</v>
      </c>
      <c r="R529" s="68"/>
      <c r="S529" s="72" t="s">
        <v>1228</v>
      </c>
      <c r="T529" s="105" t="s">
        <v>86</v>
      </c>
      <c r="U529" s="68"/>
      <c r="V529" s="68"/>
      <c r="W529" s="68"/>
      <c r="X529" s="68"/>
    </row>
    <row r="530" s="17" customFormat="1" ht="36" hidden="1" spans="1:24">
      <c r="A530" s="59">
        <v>528</v>
      </c>
      <c r="B530" s="60" t="s">
        <v>1229</v>
      </c>
      <c r="C530" s="114">
        <f t="shared" si="26"/>
        <v>44894</v>
      </c>
      <c r="D530" s="62" t="str">
        <f ca="1" t="shared" si="27"/>
        <v>一年以上</v>
      </c>
      <c r="E530" s="115">
        <v>44894</v>
      </c>
      <c r="F530" s="115" t="s">
        <v>632</v>
      </c>
      <c r="G530" s="132" t="s">
        <v>1088</v>
      </c>
      <c r="H530" s="100" t="s">
        <v>1230</v>
      </c>
      <c r="I530" s="63" t="s">
        <v>1230</v>
      </c>
      <c r="J530" s="116">
        <v>300</v>
      </c>
      <c r="K530" s="105" t="s">
        <v>28</v>
      </c>
      <c r="L530" s="105" t="s">
        <v>57</v>
      </c>
      <c r="M530" s="89" t="s">
        <v>515</v>
      </c>
      <c r="N530" s="117"/>
      <c r="O530" s="137">
        <f t="shared" si="29"/>
        <v>300</v>
      </c>
      <c r="P530" s="115"/>
      <c r="Q530" s="61">
        <f t="shared" si="28"/>
        <v>0</v>
      </c>
      <c r="R530" s="68"/>
      <c r="S530" s="72" t="s">
        <v>1231</v>
      </c>
      <c r="T530" s="105" t="s">
        <v>86</v>
      </c>
      <c r="U530" s="59" t="str">
        <f>VLOOKUP(T530,[1]区域划分!$A$1:$C$39,3,0)</f>
        <v>朱利勇</v>
      </c>
      <c r="V530" s="68"/>
      <c r="W530" s="68"/>
      <c r="X530" s="68"/>
    </row>
    <row r="531" s="17" customFormat="1" ht="36" hidden="1" spans="1:24">
      <c r="A531" s="59">
        <v>529</v>
      </c>
      <c r="B531" s="60" t="s">
        <v>1232</v>
      </c>
      <c r="C531" s="114">
        <f t="shared" si="26"/>
        <v>44894</v>
      </c>
      <c r="D531" s="62" t="str">
        <f ca="1" t="shared" si="27"/>
        <v>一年以上</v>
      </c>
      <c r="E531" s="115">
        <v>44894</v>
      </c>
      <c r="F531" s="115" t="s">
        <v>632</v>
      </c>
      <c r="G531" s="132" t="s">
        <v>1088</v>
      </c>
      <c r="H531" s="100" t="s">
        <v>1230</v>
      </c>
      <c r="I531" s="63" t="s">
        <v>1230</v>
      </c>
      <c r="J531" s="116">
        <v>4200</v>
      </c>
      <c r="K531" s="105" t="s">
        <v>28</v>
      </c>
      <c r="L531" s="105" t="s">
        <v>57</v>
      </c>
      <c r="M531" s="89" t="s">
        <v>30</v>
      </c>
      <c r="N531" s="117">
        <v>4200</v>
      </c>
      <c r="O531" s="137">
        <f t="shared" si="29"/>
        <v>0</v>
      </c>
      <c r="P531" s="115">
        <v>44900</v>
      </c>
      <c r="Q531" s="61">
        <f t="shared" si="28"/>
        <v>44900</v>
      </c>
      <c r="R531" s="68"/>
      <c r="S531" s="72" t="s">
        <v>1231</v>
      </c>
      <c r="T531" s="105"/>
      <c r="U531" s="68"/>
      <c r="V531" s="68"/>
      <c r="W531" s="68"/>
      <c r="X531" s="68"/>
    </row>
    <row r="532" s="17" customFormat="1" ht="36" hidden="1" spans="1:24">
      <c r="A532" s="59">
        <v>530</v>
      </c>
      <c r="B532" s="60" t="s">
        <v>1233</v>
      </c>
      <c r="C532" s="114">
        <f t="shared" si="26"/>
        <v>44894</v>
      </c>
      <c r="D532" s="62" t="str">
        <f ca="1" t="shared" si="27"/>
        <v>一年以上</v>
      </c>
      <c r="E532" s="115">
        <v>44894</v>
      </c>
      <c r="F532" s="115" t="s">
        <v>632</v>
      </c>
      <c r="G532" s="132" t="s">
        <v>1088</v>
      </c>
      <c r="H532" s="100" t="s">
        <v>1230</v>
      </c>
      <c r="I532" s="63" t="s">
        <v>1230</v>
      </c>
      <c r="J532" s="116">
        <v>4000</v>
      </c>
      <c r="K532" s="105" t="s">
        <v>28</v>
      </c>
      <c r="L532" s="105" t="s">
        <v>57</v>
      </c>
      <c r="M532" s="89" t="s">
        <v>30</v>
      </c>
      <c r="N532" s="117">
        <v>4000</v>
      </c>
      <c r="O532" s="137">
        <f t="shared" si="29"/>
        <v>0</v>
      </c>
      <c r="P532" s="115">
        <v>44900</v>
      </c>
      <c r="Q532" s="61">
        <f t="shared" si="28"/>
        <v>44900</v>
      </c>
      <c r="R532" s="68"/>
      <c r="S532" s="72" t="s">
        <v>1234</v>
      </c>
      <c r="T532" s="105"/>
      <c r="U532" s="68"/>
      <c r="V532" s="68"/>
      <c r="W532" s="68"/>
      <c r="X532" s="68"/>
    </row>
    <row r="533" s="17" customFormat="1" ht="36" hidden="1" spans="1:24">
      <c r="A533" s="59">
        <v>531</v>
      </c>
      <c r="B533" s="60" t="s">
        <v>1235</v>
      </c>
      <c r="C533" s="114">
        <f t="shared" si="26"/>
        <v>44894</v>
      </c>
      <c r="D533" s="62" t="str">
        <f ca="1" t="shared" si="27"/>
        <v>一年以上</v>
      </c>
      <c r="E533" s="115">
        <v>44894</v>
      </c>
      <c r="F533" s="115" t="s">
        <v>632</v>
      </c>
      <c r="G533" s="132" t="s">
        <v>1088</v>
      </c>
      <c r="H533" s="100" t="s">
        <v>1230</v>
      </c>
      <c r="I533" s="63" t="s">
        <v>1230</v>
      </c>
      <c r="J533" s="116">
        <v>300</v>
      </c>
      <c r="K533" s="105" t="s">
        <v>28</v>
      </c>
      <c r="L533" s="105" t="s">
        <v>57</v>
      </c>
      <c r="M533" s="89" t="s">
        <v>515</v>
      </c>
      <c r="N533" s="117"/>
      <c r="O533" s="137">
        <f t="shared" si="29"/>
        <v>300</v>
      </c>
      <c r="P533" s="115"/>
      <c r="Q533" s="61">
        <f t="shared" si="28"/>
        <v>0</v>
      </c>
      <c r="R533" s="68"/>
      <c r="S533" s="72" t="s">
        <v>1234</v>
      </c>
      <c r="T533" s="105" t="s">
        <v>86</v>
      </c>
      <c r="U533" s="59" t="str">
        <f>VLOOKUP(T533,[1]区域划分!$A$1:$C$39,3,0)</f>
        <v>朱利勇</v>
      </c>
      <c r="V533" s="68"/>
      <c r="W533" s="68"/>
      <c r="X533" s="68"/>
    </row>
    <row r="534" s="17" customFormat="1" ht="36" hidden="1" spans="1:24">
      <c r="A534" s="59">
        <v>532</v>
      </c>
      <c r="B534" s="60" t="s">
        <v>1236</v>
      </c>
      <c r="C534" s="114">
        <f t="shared" si="26"/>
        <v>44894</v>
      </c>
      <c r="D534" s="62" t="str">
        <f ca="1" t="shared" si="27"/>
        <v>一年以上</v>
      </c>
      <c r="E534" s="115">
        <v>44894</v>
      </c>
      <c r="F534" s="115" t="s">
        <v>632</v>
      </c>
      <c r="G534" s="132" t="s">
        <v>1088</v>
      </c>
      <c r="H534" s="100" t="s">
        <v>1230</v>
      </c>
      <c r="I534" s="63" t="s">
        <v>1230</v>
      </c>
      <c r="J534" s="116">
        <v>300</v>
      </c>
      <c r="K534" s="105" t="s">
        <v>28</v>
      </c>
      <c r="L534" s="105" t="s">
        <v>57</v>
      </c>
      <c r="M534" s="89" t="s">
        <v>515</v>
      </c>
      <c r="N534" s="117"/>
      <c r="O534" s="137">
        <f t="shared" si="29"/>
        <v>300</v>
      </c>
      <c r="P534" s="115"/>
      <c r="Q534" s="61">
        <f t="shared" si="28"/>
        <v>0</v>
      </c>
      <c r="R534" s="68"/>
      <c r="S534" s="72" t="s">
        <v>1237</v>
      </c>
      <c r="T534" s="105" t="s">
        <v>86</v>
      </c>
      <c r="U534" s="59" t="str">
        <f>VLOOKUP(T534,[1]区域划分!$A$1:$C$39,3,0)</f>
        <v>朱利勇</v>
      </c>
      <c r="V534" s="68"/>
      <c r="W534" s="68"/>
      <c r="X534" s="68"/>
    </row>
    <row r="535" s="17" customFormat="1" ht="36" hidden="1" spans="1:24">
      <c r="A535" s="59">
        <v>533</v>
      </c>
      <c r="B535" s="60" t="s">
        <v>1238</v>
      </c>
      <c r="C535" s="114">
        <f t="shared" si="26"/>
        <v>44894</v>
      </c>
      <c r="D535" s="62" t="str">
        <f ca="1" t="shared" si="27"/>
        <v>一年以上</v>
      </c>
      <c r="E535" s="115">
        <v>44894</v>
      </c>
      <c r="F535" s="115" t="s">
        <v>632</v>
      </c>
      <c r="G535" s="132" t="s">
        <v>1088</v>
      </c>
      <c r="H535" s="100" t="s">
        <v>1230</v>
      </c>
      <c r="I535" s="63" t="s">
        <v>1230</v>
      </c>
      <c r="J535" s="116">
        <v>3800</v>
      </c>
      <c r="K535" s="105" t="s">
        <v>28</v>
      </c>
      <c r="L535" s="105" t="s">
        <v>57</v>
      </c>
      <c r="M535" s="89" t="s">
        <v>30</v>
      </c>
      <c r="N535" s="117">
        <v>3800</v>
      </c>
      <c r="O535" s="137">
        <f t="shared" si="29"/>
        <v>0</v>
      </c>
      <c r="P535" s="115">
        <v>44900</v>
      </c>
      <c r="Q535" s="61">
        <f t="shared" si="28"/>
        <v>44900</v>
      </c>
      <c r="R535" s="68"/>
      <c r="S535" s="72" t="s">
        <v>1237</v>
      </c>
      <c r="T535" s="105"/>
      <c r="U535" s="68"/>
      <c r="V535" s="68"/>
      <c r="W535" s="68"/>
      <c r="X535" s="68"/>
    </row>
    <row r="536" s="17" customFormat="1" ht="24" hidden="1" spans="1:24">
      <c r="A536" s="59">
        <v>534</v>
      </c>
      <c r="B536" s="60" t="s">
        <v>1239</v>
      </c>
      <c r="C536" s="114">
        <f t="shared" si="26"/>
        <v>44896</v>
      </c>
      <c r="D536" s="62" t="str">
        <f ca="1" t="shared" si="27"/>
        <v>一年以上</v>
      </c>
      <c r="E536" s="115">
        <v>44896</v>
      </c>
      <c r="F536" s="115" t="s">
        <v>632</v>
      </c>
      <c r="G536" s="132" t="s">
        <v>1088</v>
      </c>
      <c r="H536" s="100" t="s">
        <v>1240</v>
      </c>
      <c r="I536" s="63" t="s">
        <v>1240</v>
      </c>
      <c r="J536" s="116">
        <v>190</v>
      </c>
      <c r="K536" s="105" t="s">
        <v>28</v>
      </c>
      <c r="L536" s="105" t="s">
        <v>1241</v>
      </c>
      <c r="M536" s="89" t="s">
        <v>968</v>
      </c>
      <c r="N536" s="117">
        <v>190</v>
      </c>
      <c r="O536" s="137">
        <f t="shared" si="29"/>
        <v>0</v>
      </c>
      <c r="P536" s="115">
        <v>44896</v>
      </c>
      <c r="Q536" s="61">
        <f t="shared" si="28"/>
        <v>44896</v>
      </c>
      <c r="R536" s="68" t="s">
        <v>951</v>
      </c>
      <c r="S536" s="72" t="s">
        <v>1242</v>
      </c>
      <c r="T536" s="105"/>
      <c r="U536" s="68"/>
      <c r="V536" s="68"/>
      <c r="W536" s="68"/>
      <c r="X536" s="68"/>
    </row>
    <row r="537" s="17" customFormat="1" ht="36" hidden="1" spans="1:24">
      <c r="A537" s="59">
        <v>535</v>
      </c>
      <c r="B537" s="60" t="s">
        <v>1243</v>
      </c>
      <c r="C537" s="114">
        <f t="shared" si="26"/>
        <v>44896</v>
      </c>
      <c r="D537" s="62" t="str">
        <f ca="1" t="shared" si="27"/>
        <v>一年以上</v>
      </c>
      <c r="E537" s="115">
        <v>44896</v>
      </c>
      <c r="F537" s="115" t="s">
        <v>632</v>
      </c>
      <c r="G537" s="132" t="s">
        <v>993</v>
      </c>
      <c r="H537" s="100" t="s">
        <v>1244</v>
      </c>
      <c r="I537" s="63" t="s">
        <v>1244</v>
      </c>
      <c r="J537" s="116">
        <v>300</v>
      </c>
      <c r="K537" s="105" t="s">
        <v>28</v>
      </c>
      <c r="L537" s="105" t="s">
        <v>57</v>
      </c>
      <c r="M537" s="89" t="s">
        <v>515</v>
      </c>
      <c r="N537" s="117">
        <v>300</v>
      </c>
      <c r="O537" s="137">
        <f t="shared" si="29"/>
        <v>0</v>
      </c>
      <c r="P537" s="115">
        <v>44956</v>
      </c>
      <c r="Q537" s="61">
        <f t="shared" si="28"/>
        <v>44956</v>
      </c>
      <c r="R537" s="68" t="s">
        <v>951</v>
      </c>
      <c r="S537" s="72" t="s">
        <v>1245</v>
      </c>
      <c r="T537" s="105"/>
      <c r="U537" s="68"/>
      <c r="V537" s="68"/>
      <c r="W537" s="68"/>
      <c r="X537" s="68"/>
    </row>
    <row r="538" s="17" customFormat="1" ht="36" hidden="1" spans="1:24">
      <c r="A538" s="59">
        <v>536</v>
      </c>
      <c r="B538" s="60" t="s">
        <v>1246</v>
      </c>
      <c r="C538" s="114">
        <f t="shared" si="26"/>
        <v>44896</v>
      </c>
      <c r="D538" s="62" t="str">
        <f ca="1" t="shared" si="27"/>
        <v>一年以上</v>
      </c>
      <c r="E538" s="115">
        <v>44896</v>
      </c>
      <c r="F538" s="115" t="s">
        <v>632</v>
      </c>
      <c r="G538" s="132" t="s">
        <v>993</v>
      </c>
      <c r="H538" s="100" t="s">
        <v>1244</v>
      </c>
      <c r="I538" s="63" t="s">
        <v>1244</v>
      </c>
      <c r="J538" s="116">
        <v>10000</v>
      </c>
      <c r="K538" s="105" t="s">
        <v>28</v>
      </c>
      <c r="L538" s="105" t="s">
        <v>57</v>
      </c>
      <c r="M538" s="89" t="s">
        <v>30</v>
      </c>
      <c r="N538" s="117">
        <v>10000</v>
      </c>
      <c r="O538" s="137">
        <f t="shared" si="29"/>
        <v>0</v>
      </c>
      <c r="P538" s="115">
        <v>45118</v>
      </c>
      <c r="Q538" s="61">
        <f t="shared" si="28"/>
        <v>45118</v>
      </c>
      <c r="R538" s="68"/>
      <c r="S538" s="72" t="s">
        <v>1245</v>
      </c>
      <c r="T538" s="105" t="s">
        <v>86</v>
      </c>
      <c r="U538" s="68"/>
      <c r="V538" s="68"/>
      <c r="W538" s="68"/>
      <c r="X538" s="68"/>
    </row>
    <row r="539" s="17" customFormat="1" hidden="1" spans="1:24">
      <c r="A539" s="59">
        <v>537</v>
      </c>
      <c r="B539" s="60" t="s">
        <v>1247</v>
      </c>
      <c r="C539" s="114">
        <f t="shared" si="26"/>
        <v>44896</v>
      </c>
      <c r="D539" s="62" t="str">
        <f ca="1" t="shared" si="27"/>
        <v>一年以上</v>
      </c>
      <c r="E539" s="115">
        <v>44896</v>
      </c>
      <c r="F539" s="115" t="s">
        <v>632</v>
      </c>
      <c r="G539" s="132" t="s">
        <v>993</v>
      </c>
      <c r="H539" s="100" t="s">
        <v>577</v>
      </c>
      <c r="I539" s="63" t="s">
        <v>578</v>
      </c>
      <c r="J539" s="116">
        <v>10000</v>
      </c>
      <c r="K539" s="105" t="s">
        <v>28</v>
      </c>
      <c r="L539" s="105" t="s">
        <v>57</v>
      </c>
      <c r="M539" s="89" t="s">
        <v>30</v>
      </c>
      <c r="N539" s="117">
        <v>10000</v>
      </c>
      <c r="O539" s="137">
        <f t="shared" si="29"/>
        <v>0</v>
      </c>
      <c r="P539" s="115">
        <v>44902</v>
      </c>
      <c r="Q539" s="61">
        <f t="shared" si="28"/>
        <v>44902</v>
      </c>
      <c r="R539" s="68"/>
      <c r="S539" s="72" t="s">
        <v>1248</v>
      </c>
      <c r="T539" s="105"/>
      <c r="U539" s="68"/>
      <c r="V539" s="68"/>
      <c r="W539" s="68"/>
      <c r="X539" s="68"/>
    </row>
    <row r="540" s="17" customFormat="1" hidden="1" spans="1:24">
      <c r="A540" s="59">
        <v>538</v>
      </c>
      <c r="B540" s="60" t="s">
        <v>1249</v>
      </c>
      <c r="C540" s="114">
        <f t="shared" si="26"/>
        <v>44896</v>
      </c>
      <c r="D540" s="62" t="str">
        <f ca="1" t="shared" si="27"/>
        <v>一年以上</v>
      </c>
      <c r="E540" s="115">
        <v>44896</v>
      </c>
      <c r="F540" s="115" t="s">
        <v>632</v>
      </c>
      <c r="G540" s="132" t="s">
        <v>993</v>
      </c>
      <c r="H540" s="100" t="s">
        <v>577</v>
      </c>
      <c r="I540" s="63" t="s">
        <v>578</v>
      </c>
      <c r="J540" s="116">
        <v>200</v>
      </c>
      <c r="K540" s="105" t="s">
        <v>28</v>
      </c>
      <c r="L540" s="105" t="s">
        <v>57</v>
      </c>
      <c r="M540" s="89" t="s">
        <v>515</v>
      </c>
      <c r="N540" s="117">
        <v>200</v>
      </c>
      <c r="O540" s="137">
        <f t="shared" si="29"/>
        <v>0</v>
      </c>
      <c r="P540" s="115">
        <v>44896</v>
      </c>
      <c r="Q540" s="61">
        <f t="shared" si="28"/>
        <v>44896</v>
      </c>
      <c r="R540" s="68" t="s">
        <v>1250</v>
      </c>
      <c r="S540" s="72" t="s">
        <v>1248</v>
      </c>
      <c r="T540" s="105"/>
      <c r="U540" s="68"/>
      <c r="V540" s="68"/>
      <c r="W540" s="68"/>
      <c r="X540" s="68"/>
    </row>
    <row r="541" s="17" customFormat="1" ht="24" hidden="1" spans="1:24">
      <c r="A541" s="59">
        <v>539</v>
      </c>
      <c r="B541" s="60" t="s">
        <v>1251</v>
      </c>
      <c r="C541" s="114">
        <f t="shared" si="26"/>
        <v>44900</v>
      </c>
      <c r="D541" s="62" t="str">
        <f ca="1" t="shared" si="27"/>
        <v>一年以上</v>
      </c>
      <c r="E541" s="115">
        <v>44900</v>
      </c>
      <c r="F541" s="115" t="s">
        <v>632</v>
      </c>
      <c r="G541" s="132" t="s">
        <v>450</v>
      </c>
      <c r="H541" s="100" t="s">
        <v>1252</v>
      </c>
      <c r="I541" s="63" t="s">
        <v>1252</v>
      </c>
      <c r="J541" s="116">
        <v>200</v>
      </c>
      <c r="K541" s="105" t="s">
        <v>28</v>
      </c>
      <c r="L541" s="105" t="s">
        <v>57</v>
      </c>
      <c r="M541" s="89" t="s">
        <v>515</v>
      </c>
      <c r="N541" s="117">
        <v>200</v>
      </c>
      <c r="O541" s="137">
        <f t="shared" si="29"/>
        <v>0</v>
      </c>
      <c r="P541" s="115"/>
      <c r="Q541" s="61">
        <f t="shared" si="28"/>
        <v>0</v>
      </c>
      <c r="R541" s="68" t="s">
        <v>951</v>
      </c>
      <c r="S541" s="72" t="s">
        <v>1253</v>
      </c>
      <c r="T541" s="105"/>
      <c r="U541" s="68"/>
      <c r="V541" s="68"/>
      <c r="W541" s="68"/>
      <c r="X541" s="68"/>
    </row>
    <row r="542" s="17" customFormat="1" hidden="1" spans="1:24">
      <c r="A542" s="59">
        <v>540</v>
      </c>
      <c r="B542" s="60" t="s">
        <v>1254</v>
      </c>
      <c r="C542" s="114">
        <f t="shared" si="26"/>
        <v>44900</v>
      </c>
      <c r="D542" s="62" t="str">
        <f ca="1" t="shared" si="27"/>
        <v>一年以上</v>
      </c>
      <c r="E542" s="115">
        <v>44900</v>
      </c>
      <c r="F542" s="115" t="s">
        <v>632</v>
      </c>
      <c r="G542" s="132" t="s">
        <v>993</v>
      </c>
      <c r="H542" s="100" t="s">
        <v>650</v>
      </c>
      <c r="I542" s="63" t="s">
        <v>650</v>
      </c>
      <c r="J542" s="116">
        <v>200</v>
      </c>
      <c r="K542" s="105" t="s">
        <v>28</v>
      </c>
      <c r="L542" s="105" t="s">
        <v>57</v>
      </c>
      <c r="M542" s="89" t="s">
        <v>515</v>
      </c>
      <c r="N542" s="117">
        <v>200</v>
      </c>
      <c r="O542" s="137">
        <f t="shared" si="29"/>
        <v>0</v>
      </c>
      <c r="P542" s="115">
        <v>44901</v>
      </c>
      <c r="Q542" s="61">
        <f t="shared" si="28"/>
        <v>44901</v>
      </c>
      <c r="R542" s="68" t="s">
        <v>1250</v>
      </c>
      <c r="S542" s="72" t="s">
        <v>1255</v>
      </c>
      <c r="T542" s="105"/>
      <c r="U542" s="68"/>
      <c r="V542" s="68"/>
      <c r="W542" s="68"/>
      <c r="X542" s="68"/>
    </row>
    <row r="543" s="17" customFormat="1" hidden="1" spans="1:24">
      <c r="A543" s="59">
        <v>541</v>
      </c>
      <c r="B543" s="60" t="s">
        <v>1256</v>
      </c>
      <c r="C543" s="114">
        <f t="shared" si="26"/>
        <v>44900</v>
      </c>
      <c r="D543" s="62" t="str">
        <f ca="1" t="shared" si="27"/>
        <v>一年以上</v>
      </c>
      <c r="E543" s="115">
        <v>44900</v>
      </c>
      <c r="F543" s="115" t="s">
        <v>130</v>
      </c>
      <c r="G543" s="132" t="s">
        <v>239</v>
      </c>
      <c r="H543" s="100" t="s">
        <v>650</v>
      </c>
      <c r="I543" s="63" t="s">
        <v>650</v>
      </c>
      <c r="J543" s="116">
        <v>1000</v>
      </c>
      <c r="K543" s="105" t="s">
        <v>28</v>
      </c>
      <c r="L543" s="105" t="s">
        <v>1206</v>
      </c>
      <c r="M543" s="89" t="s">
        <v>515</v>
      </c>
      <c r="N543" s="117">
        <v>1000</v>
      </c>
      <c r="O543" s="137">
        <f t="shared" si="29"/>
        <v>0</v>
      </c>
      <c r="P543" s="115">
        <v>44939</v>
      </c>
      <c r="Q543" s="61">
        <f t="shared" si="28"/>
        <v>44939</v>
      </c>
      <c r="R543" s="68" t="s">
        <v>951</v>
      </c>
      <c r="S543" s="72" t="s">
        <v>1257</v>
      </c>
      <c r="T543" s="105"/>
      <c r="U543" s="68"/>
      <c r="V543" s="68"/>
      <c r="W543" s="68"/>
      <c r="X543" s="68"/>
    </row>
    <row r="544" s="17" customFormat="1" ht="24" hidden="1" spans="1:24">
      <c r="A544" s="59">
        <v>542</v>
      </c>
      <c r="B544" s="60" t="s">
        <v>1258</v>
      </c>
      <c r="C544" s="114">
        <f t="shared" si="26"/>
        <v>44900</v>
      </c>
      <c r="D544" s="62" t="str">
        <f ca="1" t="shared" si="27"/>
        <v>一年以上</v>
      </c>
      <c r="E544" s="115">
        <v>44900</v>
      </c>
      <c r="F544" s="115" t="s">
        <v>632</v>
      </c>
      <c r="G544" s="132" t="s">
        <v>1088</v>
      </c>
      <c r="H544" s="100" t="s">
        <v>1259</v>
      </c>
      <c r="I544" s="63" t="s">
        <v>1259</v>
      </c>
      <c r="J544" s="116">
        <v>3000</v>
      </c>
      <c r="K544" s="105" t="s">
        <v>28</v>
      </c>
      <c r="L544" s="105" t="s">
        <v>57</v>
      </c>
      <c r="M544" s="89" t="s">
        <v>30</v>
      </c>
      <c r="N544" s="117">
        <v>3000</v>
      </c>
      <c r="O544" s="137">
        <f t="shared" si="29"/>
        <v>0</v>
      </c>
      <c r="P544" s="115">
        <v>45060</v>
      </c>
      <c r="Q544" s="61">
        <f t="shared" si="28"/>
        <v>45060</v>
      </c>
      <c r="R544" s="68" t="s">
        <v>1260</v>
      </c>
      <c r="S544" s="100" t="s">
        <v>1261</v>
      </c>
      <c r="T544" s="105" t="s">
        <v>32</v>
      </c>
      <c r="U544" s="68"/>
      <c r="V544" s="68"/>
      <c r="W544" s="68"/>
      <c r="X544" s="68"/>
    </row>
    <row r="545" s="17" customFormat="1" hidden="1" spans="1:24">
      <c r="A545" s="59">
        <v>543</v>
      </c>
      <c r="B545" s="60" t="s">
        <v>1262</v>
      </c>
      <c r="C545" s="114">
        <f t="shared" si="26"/>
        <v>44900</v>
      </c>
      <c r="D545" s="62" t="str">
        <f ca="1" t="shared" si="27"/>
        <v>一年以上</v>
      </c>
      <c r="E545" s="115">
        <v>44900</v>
      </c>
      <c r="F545" s="115" t="s">
        <v>632</v>
      </c>
      <c r="G545" s="132" t="s">
        <v>450</v>
      </c>
      <c r="H545" s="100" t="s">
        <v>1263</v>
      </c>
      <c r="I545" s="63" t="s">
        <v>1263</v>
      </c>
      <c r="J545" s="116">
        <v>50</v>
      </c>
      <c r="K545" s="105" t="s">
        <v>28</v>
      </c>
      <c r="L545" s="105" t="s">
        <v>57</v>
      </c>
      <c r="M545" s="89" t="s">
        <v>968</v>
      </c>
      <c r="N545" s="117">
        <v>50</v>
      </c>
      <c r="O545" s="137">
        <f t="shared" si="29"/>
        <v>0</v>
      </c>
      <c r="P545" s="115">
        <v>44897</v>
      </c>
      <c r="Q545" s="61">
        <f t="shared" si="28"/>
        <v>44897</v>
      </c>
      <c r="R545" s="68" t="s">
        <v>951</v>
      </c>
      <c r="S545" s="72" t="s">
        <v>1264</v>
      </c>
      <c r="T545" s="105"/>
      <c r="U545" s="68"/>
      <c r="V545" s="68"/>
      <c r="W545" s="68"/>
      <c r="X545" s="68"/>
    </row>
    <row r="546" s="17" customFormat="1" ht="24" hidden="1" spans="1:24">
      <c r="A546" s="59">
        <v>544</v>
      </c>
      <c r="B546" s="60" t="s">
        <v>1265</v>
      </c>
      <c r="C546" s="114">
        <f t="shared" si="26"/>
        <v>44900</v>
      </c>
      <c r="D546" s="62" t="str">
        <f ca="1" t="shared" si="27"/>
        <v>一年以上</v>
      </c>
      <c r="E546" s="115">
        <v>44900</v>
      </c>
      <c r="F546" s="115" t="s">
        <v>632</v>
      </c>
      <c r="G546" s="132" t="s">
        <v>993</v>
      </c>
      <c r="H546" s="100" t="s">
        <v>1266</v>
      </c>
      <c r="I546" s="63" t="s">
        <v>1266</v>
      </c>
      <c r="J546" s="116">
        <v>10000</v>
      </c>
      <c r="K546" s="105" t="s">
        <v>28</v>
      </c>
      <c r="L546" s="105" t="s">
        <v>57</v>
      </c>
      <c r="M546" s="89" t="s">
        <v>30</v>
      </c>
      <c r="N546" s="117">
        <v>10000</v>
      </c>
      <c r="O546" s="137">
        <f t="shared" si="29"/>
        <v>0</v>
      </c>
      <c r="P546" s="115">
        <v>44937</v>
      </c>
      <c r="Q546" s="61">
        <f t="shared" si="28"/>
        <v>44937</v>
      </c>
      <c r="R546" s="68"/>
      <c r="S546" s="72" t="s">
        <v>1267</v>
      </c>
      <c r="T546" s="105" t="s">
        <v>267</v>
      </c>
      <c r="U546" s="68"/>
      <c r="V546" s="68"/>
      <c r="W546" s="68"/>
      <c r="X546" s="68"/>
    </row>
    <row r="547" s="17" customFormat="1" ht="24" hidden="1" spans="1:24">
      <c r="A547" s="59">
        <v>545</v>
      </c>
      <c r="B547" s="60" t="s">
        <v>1268</v>
      </c>
      <c r="C547" s="114">
        <f t="shared" si="26"/>
        <v>44900</v>
      </c>
      <c r="D547" s="62" t="str">
        <f ca="1" t="shared" si="27"/>
        <v>一年以上</v>
      </c>
      <c r="E547" s="115">
        <v>44900</v>
      </c>
      <c r="F547" s="115" t="s">
        <v>632</v>
      </c>
      <c r="G547" s="132" t="s">
        <v>83</v>
      </c>
      <c r="H547" s="100" t="s">
        <v>1101</v>
      </c>
      <c r="I547" s="63" t="s">
        <v>1101</v>
      </c>
      <c r="J547" s="116">
        <v>15000</v>
      </c>
      <c r="K547" s="105" t="s">
        <v>356</v>
      </c>
      <c r="L547" s="105" t="s">
        <v>458</v>
      </c>
      <c r="M547" s="89" t="s">
        <v>65</v>
      </c>
      <c r="N547" s="117">
        <f>3000+12000</f>
        <v>15000</v>
      </c>
      <c r="O547" s="137">
        <f t="shared" si="29"/>
        <v>0</v>
      </c>
      <c r="P547" s="115">
        <v>45281</v>
      </c>
      <c r="Q547" s="61">
        <f t="shared" si="28"/>
        <v>45281</v>
      </c>
      <c r="R547" s="68"/>
      <c r="S547" s="72" t="s">
        <v>1269</v>
      </c>
      <c r="T547" s="105" t="s">
        <v>388</v>
      </c>
      <c r="U547" s="59" t="str">
        <f>VLOOKUP(T547,[1]区域划分!$A$1:$C$39,3,0)</f>
        <v>林维</v>
      </c>
      <c r="V547" s="68"/>
      <c r="W547" s="68"/>
      <c r="X547" s="68"/>
    </row>
    <row r="548" s="17" customFormat="1" ht="24" hidden="1" spans="1:24">
      <c r="A548" s="59">
        <v>546</v>
      </c>
      <c r="B548" s="60" t="s">
        <v>1270</v>
      </c>
      <c r="C548" s="114">
        <f t="shared" si="26"/>
        <v>44901</v>
      </c>
      <c r="D548" s="62" t="str">
        <f ca="1" t="shared" si="27"/>
        <v>一年以上</v>
      </c>
      <c r="E548" s="115">
        <v>44901</v>
      </c>
      <c r="F548" s="115" t="s">
        <v>632</v>
      </c>
      <c r="G548" s="132" t="s">
        <v>993</v>
      </c>
      <c r="H548" s="100" t="s">
        <v>650</v>
      </c>
      <c r="I548" s="63" t="s">
        <v>651</v>
      </c>
      <c r="J548" s="116">
        <v>4000</v>
      </c>
      <c r="K548" s="105" t="s">
        <v>28</v>
      </c>
      <c r="L548" s="105" t="s">
        <v>57</v>
      </c>
      <c r="M548" s="89" t="s">
        <v>30</v>
      </c>
      <c r="N548" s="117"/>
      <c r="O548" s="138">
        <f t="shared" si="29"/>
        <v>4000</v>
      </c>
      <c r="P548" s="115"/>
      <c r="Q548" s="61">
        <f t="shared" si="28"/>
        <v>0</v>
      </c>
      <c r="R548" s="68"/>
      <c r="S548" s="72" t="s">
        <v>1255</v>
      </c>
      <c r="T548" s="105" t="s">
        <v>581</v>
      </c>
      <c r="U548" s="59" t="str">
        <f>VLOOKUP(T548,[1]区域划分!$A$1:$C$39,3,0)</f>
        <v>新疆</v>
      </c>
      <c r="V548" s="68"/>
      <c r="W548" s="68"/>
      <c r="X548" s="68"/>
    </row>
    <row r="549" s="17" customFormat="1" hidden="1" spans="1:24">
      <c r="A549" s="59">
        <v>547</v>
      </c>
      <c r="B549" s="60" t="s">
        <v>1272</v>
      </c>
      <c r="C549" s="114">
        <f t="shared" si="26"/>
        <v>44901</v>
      </c>
      <c r="D549" s="62" t="str">
        <f ca="1" t="shared" si="27"/>
        <v>一年以上</v>
      </c>
      <c r="E549" s="115">
        <v>44901</v>
      </c>
      <c r="F549" s="115" t="s">
        <v>130</v>
      </c>
      <c r="G549" s="132" t="s">
        <v>239</v>
      </c>
      <c r="H549" s="100" t="s">
        <v>650</v>
      </c>
      <c r="I549" s="63" t="s">
        <v>650</v>
      </c>
      <c r="J549" s="116">
        <v>1000</v>
      </c>
      <c r="K549" s="105" t="s">
        <v>28</v>
      </c>
      <c r="L549" s="105" t="s">
        <v>1206</v>
      </c>
      <c r="M549" s="89" t="s">
        <v>515</v>
      </c>
      <c r="N549" s="117">
        <v>1000</v>
      </c>
      <c r="O549" s="137">
        <f t="shared" si="29"/>
        <v>0</v>
      </c>
      <c r="P549" s="115">
        <v>44939</v>
      </c>
      <c r="Q549" s="61">
        <f t="shared" si="28"/>
        <v>44939</v>
      </c>
      <c r="R549" s="68" t="s">
        <v>951</v>
      </c>
      <c r="S549" s="72" t="s">
        <v>1257</v>
      </c>
      <c r="T549" s="105"/>
      <c r="U549" s="68"/>
      <c r="V549" s="68"/>
      <c r="W549" s="68"/>
      <c r="X549" s="68"/>
    </row>
    <row r="550" s="17" customFormat="1" ht="36" hidden="1" spans="1:24">
      <c r="A550" s="59">
        <v>548</v>
      </c>
      <c r="B550" s="60" t="s">
        <v>1273</v>
      </c>
      <c r="C550" s="114">
        <f t="shared" si="26"/>
        <v>44901</v>
      </c>
      <c r="D550" s="62" t="str">
        <f ca="1" t="shared" si="27"/>
        <v>一年以上</v>
      </c>
      <c r="E550" s="115">
        <v>44901</v>
      </c>
      <c r="F550" s="115" t="s">
        <v>632</v>
      </c>
      <c r="G550" s="132" t="s">
        <v>993</v>
      </c>
      <c r="H550" s="100" t="s">
        <v>1274</v>
      </c>
      <c r="I550" s="63" t="s">
        <v>1274</v>
      </c>
      <c r="J550" s="116">
        <v>300</v>
      </c>
      <c r="K550" s="105" t="s">
        <v>28</v>
      </c>
      <c r="L550" s="105" t="s">
        <v>57</v>
      </c>
      <c r="M550" s="89" t="s">
        <v>515</v>
      </c>
      <c r="N550" s="117">
        <v>300</v>
      </c>
      <c r="O550" s="137">
        <f t="shared" si="29"/>
        <v>0</v>
      </c>
      <c r="P550" s="115">
        <v>44956</v>
      </c>
      <c r="Q550" s="61">
        <f t="shared" si="28"/>
        <v>44956</v>
      </c>
      <c r="R550" s="68" t="s">
        <v>951</v>
      </c>
      <c r="S550" s="72" t="s">
        <v>1275</v>
      </c>
      <c r="T550" s="105"/>
      <c r="U550" s="68"/>
      <c r="V550" s="68"/>
      <c r="W550" s="68"/>
      <c r="X550" s="68"/>
    </row>
    <row r="551" s="17" customFormat="1" ht="36" hidden="1" spans="1:24">
      <c r="A551" s="59">
        <v>549</v>
      </c>
      <c r="B551" s="60" t="s">
        <v>1276</v>
      </c>
      <c r="C551" s="114">
        <f t="shared" si="26"/>
        <v>44901</v>
      </c>
      <c r="D551" s="62" t="str">
        <f ca="1" t="shared" si="27"/>
        <v>一年以上</v>
      </c>
      <c r="E551" s="115">
        <v>44901</v>
      </c>
      <c r="F551" s="115" t="s">
        <v>632</v>
      </c>
      <c r="G551" s="132" t="s">
        <v>993</v>
      </c>
      <c r="H551" s="100" t="s">
        <v>1274</v>
      </c>
      <c r="I551" s="63" t="s">
        <v>1274</v>
      </c>
      <c r="J551" s="116">
        <v>10000</v>
      </c>
      <c r="K551" s="105" t="s">
        <v>28</v>
      </c>
      <c r="L551" s="105" t="s">
        <v>57</v>
      </c>
      <c r="M551" s="89" t="s">
        <v>30</v>
      </c>
      <c r="N551" s="117">
        <v>10000</v>
      </c>
      <c r="O551" s="137">
        <f t="shared" si="29"/>
        <v>0</v>
      </c>
      <c r="P551" s="115">
        <v>45058</v>
      </c>
      <c r="Q551" s="61">
        <f t="shared" si="28"/>
        <v>45058</v>
      </c>
      <c r="R551" s="68"/>
      <c r="S551" s="72" t="s">
        <v>1275</v>
      </c>
      <c r="T551" s="105" t="s">
        <v>86</v>
      </c>
      <c r="U551" s="68"/>
      <c r="V551" s="68"/>
      <c r="W551" s="68"/>
      <c r="X551" s="68"/>
    </row>
    <row r="552" s="17" customFormat="1" hidden="1" spans="1:24">
      <c r="A552" s="59">
        <v>550</v>
      </c>
      <c r="B552" s="60" t="s">
        <v>1277</v>
      </c>
      <c r="C552" s="114">
        <f t="shared" si="26"/>
        <v>44902</v>
      </c>
      <c r="D552" s="62" t="str">
        <f ca="1" t="shared" si="27"/>
        <v>一年以上</v>
      </c>
      <c r="E552" s="115">
        <v>44902</v>
      </c>
      <c r="F552" s="115" t="s">
        <v>632</v>
      </c>
      <c r="G552" s="132" t="s">
        <v>450</v>
      </c>
      <c r="H552" s="100" t="s">
        <v>209</v>
      </c>
      <c r="I552" s="63" t="s">
        <v>209</v>
      </c>
      <c r="J552" s="116">
        <v>50000</v>
      </c>
      <c r="K552" s="105" t="s">
        <v>28</v>
      </c>
      <c r="L552" s="105" t="s">
        <v>57</v>
      </c>
      <c r="M552" s="89" t="s">
        <v>133</v>
      </c>
      <c r="N552" s="117"/>
      <c r="O552" s="137">
        <f t="shared" si="29"/>
        <v>50000</v>
      </c>
      <c r="P552" s="115"/>
      <c r="Q552" s="61">
        <f t="shared" si="28"/>
        <v>0</v>
      </c>
      <c r="R552" s="68"/>
      <c r="S552" s="72" t="s">
        <v>1278</v>
      </c>
      <c r="T552" s="105" t="s">
        <v>171</v>
      </c>
      <c r="U552" s="59" t="str">
        <f>VLOOKUP(T552,[1]区域划分!$A$1:$C$39,3,0)</f>
        <v>牛国庆</v>
      </c>
      <c r="V552" s="68"/>
      <c r="W552" s="68"/>
      <c r="X552" s="68"/>
    </row>
    <row r="553" s="17" customFormat="1" ht="24" hidden="1" spans="1:24">
      <c r="A553" s="59">
        <v>551</v>
      </c>
      <c r="B553" s="60" t="s">
        <v>1279</v>
      </c>
      <c r="C553" s="114">
        <f t="shared" si="26"/>
        <v>44904</v>
      </c>
      <c r="D553" s="62" t="str">
        <f ca="1" t="shared" si="27"/>
        <v>一年以上</v>
      </c>
      <c r="E553" s="115">
        <v>44904</v>
      </c>
      <c r="F553" s="115" t="s">
        <v>632</v>
      </c>
      <c r="G553" s="132" t="s">
        <v>450</v>
      </c>
      <c r="H553" s="100" t="s">
        <v>1252</v>
      </c>
      <c r="I553" s="63" t="s">
        <v>1252</v>
      </c>
      <c r="J553" s="116">
        <v>3150</v>
      </c>
      <c r="K553" s="105" t="s">
        <v>28</v>
      </c>
      <c r="L553" s="105" t="s">
        <v>57</v>
      </c>
      <c r="M553" s="89" t="s">
        <v>836</v>
      </c>
      <c r="N553" s="117">
        <v>3150</v>
      </c>
      <c r="O553" s="137">
        <f t="shared" si="29"/>
        <v>0</v>
      </c>
      <c r="P553" s="115">
        <v>44999</v>
      </c>
      <c r="Q553" s="61">
        <f t="shared" si="28"/>
        <v>44999</v>
      </c>
      <c r="R553" s="68" t="s">
        <v>951</v>
      </c>
      <c r="S553" s="72" t="s">
        <v>1280</v>
      </c>
      <c r="T553" s="105"/>
      <c r="U553" s="68"/>
      <c r="V553" s="68"/>
      <c r="W553" s="68"/>
      <c r="X553" s="68"/>
    </row>
    <row r="554" s="17" customFormat="1" ht="24" hidden="1" spans="1:24">
      <c r="A554" s="59">
        <v>552</v>
      </c>
      <c r="B554" s="60" t="s">
        <v>1281</v>
      </c>
      <c r="C554" s="114">
        <f t="shared" si="26"/>
        <v>44904</v>
      </c>
      <c r="D554" s="62" t="str">
        <f ca="1" t="shared" si="27"/>
        <v>一年以上</v>
      </c>
      <c r="E554" s="115">
        <v>44904</v>
      </c>
      <c r="F554" s="115" t="s">
        <v>632</v>
      </c>
      <c r="G554" s="132" t="s">
        <v>993</v>
      </c>
      <c r="H554" s="100" t="s">
        <v>362</v>
      </c>
      <c r="I554" s="63" t="s">
        <v>362</v>
      </c>
      <c r="J554" s="116">
        <v>200</v>
      </c>
      <c r="K554" s="105" t="s">
        <v>28</v>
      </c>
      <c r="L554" s="105" t="s">
        <v>57</v>
      </c>
      <c r="M554" s="89" t="s">
        <v>515</v>
      </c>
      <c r="N554" s="117">
        <v>200</v>
      </c>
      <c r="O554" s="137">
        <f t="shared" si="29"/>
        <v>0</v>
      </c>
      <c r="P554" s="115">
        <v>44918</v>
      </c>
      <c r="Q554" s="61">
        <f t="shared" si="28"/>
        <v>44918</v>
      </c>
      <c r="R554" s="68" t="s">
        <v>1250</v>
      </c>
      <c r="S554" s="72" t="s">
        <v>1282</v>
      </c>
      <c r="T554" s="105"/>
      <c r="U554" s="68"/>
      <c r="V554" s="68"/>
      <c r="W554" s="68"/>
      <c r="X554" s="68"/>
    </row>
    <row r="555" s="17" customFormat="1" ht="24" hidden="1" spans="1:24">
      <c r="A555" s="59">
        <v>553</v>
      </c>
      <c r="B555" s="60" t="s">
        <v>1283</v>
      </c>
      <c r="C555" s="114">
        <f t="shared" si="26"/>
        <v>44904</v>
      </c>
      <c r="D555" s="62" t="str">
        <f ca="1" t="shared" si="27"/>
        <v>一年以上</v>
      </c>
      <c r="E555" s="115">
        <v>44904</v>
      </c>
      <c r="F555" s="115" t="s">
        <v>632</v>
      </c>
      <c r="G555" s="132" t="s">
        <v>993</v>
      </c>
      <c r="H555" s="100" t="s">
        <v>362</v>
      </c>
      <c r="I555" s="63" t="s">
        <v>362</v>
      </c>
      <c r="J555" s="116">
        <v>15000</v>
      </c>
      <c r="K555" s="105" t="s">
        <v>28</v>
      </c>
      <c r="L555" s="105" t="s">
        <v>57</v>
      </c>
      <c r="M555" s="89" t="s">
        <v>30</v>
      </c>
      <c r="N555" s="117">
        <v>15000</v>
      </c>
      <c r="O555" s="137">
        <f t="shared" si="29"/>
        <v>0</v>
      </c>
      <c r="P555" s="115">
        <v>44921</v>
      </c>
      <c r="Q555" s="61">
        <f t="shared" si="28"/>
        <v>44921</v>
      </c>
      <c r="R555" s="68"/>
      <c r="S555" s="72" t="s">
        <v>1282</v>
      </c>
      <c r="T555" s="105"/>
      <c r="U555" s="68"/>
      <c r="V555" s="68"/>
      <c r="W555" s="68"/>
      <c r="X555" s="68"/>
    </row>
    <row r="556" s="17" customFormat="1" ht="24" hidden="1" spans="1:24">
      <c r="A556" s="59">
        <v>554</v>
      </c>
      <c r="B556" s="60" t="s">
        <v>1284</v>
      </c>
      <c r="C556" s="114">
        <f t="shared" si="26"/>
        <v>44907</v>
      </c>
      <c r="D556" s="62" t="str">
        <f ca="1" t="shared" si="27"/>
        <v>一年以上</v>
      </c>
      <c r="E556" s="115">
        <v>44907</v>
      </c>
      <c r="F556" s="115" t="s">
        <v>632</v>
      </c>
      <c r="G556" s="132" t="s">
        <v>993</v>
      </c>
      <c r="H556" s="100" t="s">
        <v>362</v>
      </c>
      <c r="I556" s="63" t="s">
        <v>362</v>
      </c>
      <c r="J556" s="116">
        <v>200</v>
      </c>
      <c r="K556" s="105" t="s">
        <v>28</v>
      </c>
      <c r="L556" s="105" t="s">
        <v>57</v>
      </c>
      <c r="M556" s="89" t="s">
        <v>515</v>
      </c>
      <c r="N556" s="117">
        <v>200</v>
      </c>
      <c r="O556" s="137">
        <f t="shared" si="29"/>
        <v>0</v>
      </c>
      <c r="P556" s="115">
        <v>44918</v>
      </c>
      <c r="Q556" s="61">
        <f t="shared" si="28"/>
        <v>44918</v>
      </c>
      <c r="R556" s="68" t="s">
        <v>1250</v>
      </c>
      <c r="S556" s="72" t="s">
        <v>1285</v>
      </c>
      <c r="T556" s="105"/>
      <c r="U556" s="68"/>
      <c r="V556" s="68"/>
      <c r="W556" s="68"/>
      <c r="X556" s="68"/>
    </row>
    <row r="557" s="17" customFormat="1" ht="24" hidden="1" spans="1:24">
      <c r="A557" s="59">
        <v>555</v>
      </c>
      <c r="B557" s="60" t="s">
        <v>1286</v>
      </c>
      <c r="C557" s="114">
        <f t="shared" si="26"/>
        <v>44907</v>
      </c>
      <c r="D557" s="62" t="str">
        <f ca="1" t="shared" si="27"/>
        <v>一年以上</v>
      </c>
      <c r="E557" s="115">
        <v>44907</v>
      </c>
      <c r="F557" s="115" t="s">
        <v>632</v>
      </c>
      <c r="G557" s="132" t="s">
        <v>993</v>
      </c>
      <c r="H557" s="100" t="s">
        <v>362</v>
      </c>
      <c r="I557" s="63" t="s">
        <v>362</v>
      </c>
      <c r="J557" s="116">
        <v>12000</v>
      </c>
      <c r="K557" s="105" t="s">
        <v>28</v>
      </c>
      <c r="L557" s="105" t="s">
        <v>57</v>
      </c>
      <c r="M557" s="89" t="s">
        <v>30</v>
      </c>
      <c r="N557" s="117">
        <v>12000</v>
      </c>
      <c r="O557" s="137">
        <f t="shared" si="29"/>
        <v>0</v>
      </c>
      <c r="P557" s="115">
        <v>44918</v>
      </c>
      <c r="Q557" s="61">
        <f t="shared" si="28"/>
        <v>44918</v>
      </c>
      <c r="R557" s="68"/>
      <c r="S557" s="72" t="s">
        <v>1285</v>
      </c>
      <c r="T557" s="105"/>
      <c r="U557" s="68"/>
      <c r="V557" s="68"/>
      <c r="W557" s="68"/>
      <c r="X557" s="68"/>
    </row>
    <row r="558" s="17" customFormat="1" ht="24" hidden="1" spans="1:24">
      <c r="A558" s="59">
        <v>556</v>
      </c>
      <c r="B558" s="60" t="s">
        <v>1287</v>
      </c>
      <c r="C558" s="114">
        <f t="shared" ref="C558:C621" si="30">E558</f>
        <v>44915</v>
      </c>
      <c r="D558" s="62" t="str">
        <f ca="1" t="shared" si="27"/>
        <v>一年以上</v>
      </c>
      <c r="E558" s="115">
        <v>44915</v>
      </c>
      <c r="F558" s="115" t="s">
        <v>632</v>
      </c>
      <c r="G558" s="132" t="s">
        <v>450</v>
      </c>
      <c r="H558" s="100" t="s">
        <v>1288</v>
      </c>
      <c r="I558" s="63" t="s">
        <v>1288</v>
      </c>
      <c r="J558" s="116">
        <v>1000</v>
      </c>
      <c r="K558" s="105" t="s">
        <v>28</v>
      </c>
      <c r="L558" s="105" t="s">
        <v>57</v>
      </c>
      <c r="M558" s="89" t="s">
        <v>515</v>
      </c>
      <c r="N558" s="117">
        <v>1000</v>
      </c>
      <c r="O558" s="137">
        <f t="shared" si="29"/>
        <v>0</v>
      </c>
      <c r="P558" s="115"/>
      <c r="Q558" s="61">
        <f t="shared" si="28"/>
        <v>0</v>
      </c>
      <c r="R558" s="68" t="s">
        <v>951</v>
      </c>
      <c r="S558" s="72"/>
      <c r="T558" s="105"/>
      <c r="U558" s="68"/>
      <c r="V558" s="68"/>
      <c r="W558" s="68"/>
      <c r="X558" s="68"/>
    </row>
    <row r="559" s="17" customFormat="1" ht="24" hidden="1" spans="1:24">
      <c r="A559" s="59">
        <v>557</v>
      </c>
      <c r="B559" s="60" t="s">
        <v>1289</v>
      </c>
      <c r="C559" s="114">
        <f t="shared" si="30"/>
        <v>44916</v>
      </c>
      <c r="D559" s="62" t="str">
        <f ca="1" t="shared" si="27"/>
        <v>一年以上</v>
      </c>
      <c r="E559" s="115">
        <v>44916</v>
      </c>
      <c r="F559" s="115" t="s">
        <v>632</v>
      </c>
      <c r="G559" s="132" t="s">
        <v>450</v>
      </c>
      <c r="H559" s="100" t="s">
        <v>1290</v>
      </c>
      <c r="I559" s="63" t="s">
        <v>1290</v>
      </c>
      <c r="J559" s="116">
        <v>10000</v>
      </c>
      <c r="K559" s="105" t="s">
        <v>28</v>
      </c>
      <c r="L559" s="105" t="s">
        <v>1206</v>
      </c>
      <c r="M559" s="89" t="s">
        <v>30</v>
      </c>
      <c r="N559" s="117">
        <v>10000</v>
      </c>
      <c r="O559" s="137">
        <f t="shared" si="29"/>
        <v>0</v>
      </c>
      <c r="P559" s="115">
        <v>44958</v>
      </c>
      <c r="Q559" s="61">
        <f t="shared" si="28"/>
        <v>44958</v>
      </c>
      <c r="R559" s="68"/>
      <c r="S559" s="72" t="s">
        <v>1291</v>
      </c>
      <c r="T559" s="105" t="s">
        <v>311</v>
      </c>
      <c r="U559" s="68"/>
      <c r="V559" s="68"/>
      <c r="W559" s="68"/>
      <c r="X559" s="68"/>
    </row>
    <row r="560" s="17" customFormat="1" ht="24" hidden="1" spans="1:24">
      <c r="A560" s="59">
        <v>558</v>
      </c>
      <c r="B560" s="60" t="s">
        <v>1292</v>
      </c>
      <c r="C560" s="114">
        <f t="shared" si="30"/>
        <v>44916</v>
      </c>
      <c r="D560" s="62" t="str">
        <f ca="1" t="shared" si="27"/>
        <v>一年以上</v>
      </c>
      <c r="E560" s="115">
        <v>44916</v>
      </c>
      <c r="F560" s="115" t="s">
        <v>632</v>
      </c>
      <c r="G560" s="132" t="s">
        <v>450</v>
      </c>
      <c r="H560" s="100" t="s">
        <v>1290</v>
      </c>
      <c r="I560" s="63" t="s">
        <v>1290</v>
      </c>
      <c r="J560" s="116">
        <v>300</v>
      </c>
      <c r="K560" s="105" t="s">
        <v>28</v>
      </c>
      <c r="L560" s="105" t="s">
        <v>1206</v>
      </c>
      <c r="M560" s="89" t="s">
        <v>515</v>
      </c>
      <c r="N560" s="117">
        <v>300</v>
      </c>
      <c r="O560" s="137">
        <f t="shared" si="29"/>
        <v>0</v>
      </c>
      <c r="P560" s="115">
        <v>44977</v>
      </c>
      <c r="Q560" s="61">
        <f t="shared" si="28"/>
        <v>44977</v>
      </c>
      <c r="R560" s="68" t="s">
        <v>951</v>
      </c>
      <c r="S560" s="72" t="s">
        <v>1291</v>
      </c>
      <c r="T560" s="105"/>
      <c r="U560" s="68"/>
      <c r="V560" s="68"/>
      <c r="W560" s="68"/>
      <c r="X560" s="68"/>
    </row>
    <row r="561" s="17" customFormat="1" ht="24" hidden="1" spans="1:24">
      <c r="A561" s="59">
        <v>559</v>
      </c>
      <c r="B561" s="60" t="s">
        <v>1293</v>
      </c>
      <c r="C561" s="114">
        <f t="shared" si="30"/>
        <v>44918</v>
      </c>
      <c r="D561" s="62" t="str">
        <f ca="1" t="shared" si="27"/>
        <v>一年以上</v>
      </c>
      <c r="E561" s="115">
        <v>44918</v>
      </c>
      <c r="F561" s="115" t="s">
        <v>632</v>
      </c>
      <c r="G561" s="132" t="s">
        <v>450</v>
      </c>
      <c r="H561" s="100" t="s">
        <v>495</v>
      </c>
      <c r="I561" s="63" t="s">
        <v>495</v>
      </c>
      <c r="J561" s="116">
        <v>2000</v>
      </c>
      <c r="K561" s="105" t="s">
        <v>356</v>
      </c>
      <c r="L561" s="105" t="s">
        <v>73</v>
      </c>
      <c r="M561" s="89" t="s">
        <v>30</v>
      </c>
      <c r="N561" s="117">
        <v>2000</v>
      </c>
      <c r="O561" s="137">
        <f t="shared" si="29"/>
        <v>0</v>
      </c>
      <c r="P561" s="115">
        <v>44932</v>
      </c>
      <c r="Q561" s="61">
        <f t="shared" si="28"/>
        <v>44932</v>
      </c>
      <c r="R561" s="68"/>
      <c r="S561" s="72" t="s">
        <v>1294</v>
      </c>
      <c r="T561" s="105" t="s">
        <v>182</v>
      </c>
      <c r="U561" s="68"/>
      <c r="V561" s="68"/>
      <c r="W561" s="68"/>
      <c r="X561" s="68"/>
    </row>
    <row r="562" s="17" customFormat="1" ht="24" hidden="1" spans="1:24">
      <c r="A562" s="59">
        <v>560</v>
      </c>
      <c r="B562" s="60" t="s">
        <v>1295</v>
      </c>
      <c r="C562" s="114">
        <f t="shared" si="30"/>
        <v>44922</v>
      </c>
      <c r="D562" s="62" t="str">
        <f ca="1" t="shared" si="27"/>
        <v>一年以上</v>
      </c>
      <c r="E562" s="115">
        <v>44922</v>
      </c>
      <c r="F562" s="115" t="s">
        <v>70</v>
      </c>
      <c r="G562" s="132" t="s">
        <v>1202</v>
      </c>
      <c r="H562" s="100" t="s">
        <v>1252</v>
      </c>
      <c r="I562" s="63" t="s">
        <v>1252</v>
      </c>
      <c r="J562" s="116">
        <v>50000</v>
      </c>
      <c r="K562" s="105" t="s">
        <v>28</v>
      </c>
      <c r="L562" s="105" t="s">
        <v>73</v>
      </c>
      <c r="M562" s="89" t="s">
        <v>65</v>
      </c>
      <c r="N562" s="117"/>
      <c r="O562" s="138">
        <f t="shared" si="29"/>
        <v>50000</v>
      </c>
      <c r="P562" s="115"/>
      <c r="Q562" s="61">
        <f t="shared" si="28"/>
        <v>0</v>
      </c>
      <c r="R562" s="68"/>
      <c r="S562" s="72" t="s">
        <v>1296</v>
      </c>
      <c r="T562" s="105" t="s">
        <v>1152</v>
      </c>
      <c r="U562" s="59" t="str">
        <f>VLOOKUP(T562,[1]区域划分!$A$1:$C$39,3,0)</f>
        <v>饶亚龙</v>
      </c>
      <c r="V562" s="68"/>
      <c r="W562" s="68"/>
      <c r="X562" s="68"/>
    </row>
    <row r="563" s="17" customFormat="1" ht="24" hidden="1" spans="1:24">
      <c r="A563" s="59">
        <v>561</v>
      </c>
      <c r="B563" s="60" t="s">
        <v>1297</v>
      </c>
      <c r="C563" s="114">
        <f t="shared" si="30"/>
        <v>44925</v>
      </c>
      <c r="D563" s="62" t="str">
        <f ca="1" t="shared" si="27"/>
        <v>一年以上</v>
      </c>
      <c r="E563" s="115">
        <v>44925</v>
      </c>
      <c r="F563" s="115" t="s">
        <v>70</v>
      </c>
      <c r="G563" s="132" t="s">
        <v>460</v>
      </c>
      <c r="H563" s="100" t="s">
        <v>867</v>
      </c>
      <c r="I563" s="63" t="s">
        <v>867</v>
      </c>
      <c r="J563" s="116">
        <v>2000</v>
      </c>
      <c r="K563" s="105" t="s">
        <v>356</v>
      </c>
      <c r="L563" s="105" t="s">
        <v>458</v>
      </c>
      <c r="M563" s="89" t="s">
        <v>65</v>
      </c>
      <c r="N563" s="117">
        <v>2000</v>
      </c>
      <c r="O563" s="137">
        <f t="shared" si="29"/>
        <v>0</v>
      </c>
      <c r="P563" s="115">
        <v>44999</v>
      </c>
      <c r="Q563" s="61">
        <f t="shared" si="28"/>
        <v>44999</v>
      </c>
      <c r="R563" s="68"/>
      <c r="S563" s="72" t="s">
        <v>1298</v>
      </c>
      <c r="T563" s="105" t="s">
        <v>182</v>
      </c>
      <c r="U563" s="68"/>
      <c r="V563" s="68"/>
      <c r="W563" s="68"/>
      <c r="X563" s="68"/>
    </row>
    <row r="564" s="17" customFormat="1" ht="24" hidden="1" spans="1:24">
      <c r="A564" s="59">
        <v>562</v>
      </c>
      <c r="B564" s="60" t="s">
        <v>1299</v>
      </c>
      <c r="C564" s="114">
        <f t="shared" si="30"/>
        <v>44935</v>
      </c>
      <c r="D564" s="62" t="str">
        <f ca="1" t="shared" si="27"/>
        <v>一年以上</v>
      </c>
      <c r="E564" s="115">
        <v>44935</v>
      </c>
      <c r="F564" s="115" t="s">
        <v>632</v>
      </c>
      <c r="G564" s="132" t="s">
        <v>993</v>
      </c>
      <c r="H564" s="100" t="s">
        <v>996</v>
      </c>
      <c r="I564" s="63" t="s">
        <v>996</v>
      </c>
      <c r="J564" s="116">
        <v>1000</v>
      </c>
      <c r="K564" s="105" t="s">
        <v>356</v>
      </c>
      <c r="L564" s="105" t="s">
        <v>458</v>
      </c>
      <c r="M564" s="89" t="s">
        <v>30</v>
      </c>
      <c r="N564" s="117">
        <v>1000</v>
      </c>
      <c r="O564" s="137">
        <f t="shared" si="29"/>
        <v>0</v>
      </c>
      <c r="P564" s="115">
        <v>44966</v>
      </c>
      <c r="Q564" s="61">
        <f t="shared" si="28"/>
        <v>44966</v>
      </c>
      <c r="R564" s="68"/>
      <c r="S564" s="72" t="s">
        <v>1300</v>
      </c>
      <c r="T564" s="105" t="s">
        <v>44</v>
      </c>
      <c r="U564" s="68"/>
      <c r="V564" s="68"/>
      <c r="W564" s="68"/>
      <c r="X564" s="68"/>
    </row>
    <row r="565" s="17" customFormat="1" ht="24" hidden="1" spans="1:24">
      <c r="A565" s="59">
        <v>563</v>
      </c>
      <c r="B565" s="60" t="s">
        <v>1301</v>
      </c>
      <c r="C565" s="114">
        <f t="shared" si="30"/>
        <v>44935</v>
      </c>
      <c r="D565" s="62" t="str">
        <f ca="1" t="shared" si="27"/>
        <v>一年以上</v>
      </c>
      <c r="E565" s="115">
        <v>44935</v>
      </c>
      <c r="F565" s="115" t="s">
        <v>632</v>
      </c>
      <c r="G565" s="132" t="s">
        <v>993</v>
      </c>
      <c r="H565" s="100" t="s">
        <v>1302</v>
      </c>
      <c r="I565" s="63" t="s">
        <v>1302</v>
      </c>
      <c r="J565" s="139">
        <v>30328</v>
      </c>
      <c r="K565" s="105" t="s">
        <v>28</v>
      </c>
      <c r="L565" s="105" t="s">
        <v>57</v>
      </c>
      <c r="M565" s="89" t="s">
        <v>30</v>
      </c>
      <c r="N565" s="117">
        <v>30328</v>
      </c>
      <c r="O565" s="137">
        <f t="shared" si="29"/>
        <v>0</v>
      </c>
      <c r="P565" s="115">
        <v>45258</v>
      </c>
      <c r="Q565" s="61">
        <f t="shared" si="28"/>
        <v>45258</v>
      </c>
      <c r="R565" s="68" t="s">
        <v>1303</v>
      </c>
      <c r="S565" s="72" t="s">
        <v>1304</v>
      </c>
      <c r="T565" s="105" t="s">
        <v>171</v>
      </c>
      <c r="U565" s="59" t="str">
        <f>VLOOKUP(T565,[1]区域划分!$A$1:$C$39,3,0)</f>
        <v>牛国庆</v>
      </c>
      <c r="V565" s="68"/>
      <c r="W565" s="68"/>
      <c r="X565" s="68"/>
    </row>
    <row r="566" s="17" customFormat="1" ht="36" hidden="1" spans="1:24">
      <c r="A566" s="59">
        <v>564</v>
      </c>
      <c r="B566" s="60" t="s">
        <v>1305</v>
      </c>
      <c r="C566" s="114">
        <f t="shared" si="30"/>
        <v>44935</v>
      </c>
      <c r="D566" s="62" t="str">
        <f ca="1" t="shared" si="27"/>
        <v>一年以上</v>
      </c>
      <c r="E566" s="115">
        <v>44935</v>
      </c>
      <c r="F566" s="115" t="s">
        <v>632</v>
      </c>
      <c r="G566" s="132" t="s">
        <v>993</v>
      </c>
      <c r="H566" s="100" t="s">
        <v>1306</v>
      </c>
      <c r="I566" s="63" t="s">
        <v>1306</v>
      </c>
      <c r="J566" s="116">
        <v>10000</v>
      </c>
      <c r="K566" s="105" t="s">
        <v>28</v>
      </c>
      <c r="L566" s="105" t="s">
        <v>57</v>
      </c>
      <c r="M566" s="89" t="s">
        <v>30</v>
      </c>
      <c r="N566" s="117">
        <v>10000</v>
      </c>
      <c r="O566" s="137">
        <f t="shared" si="29"/>
        <v>0</v>
      </c>
      <c r="P566" s="115">
        <v>45072</v>
      </c>
      <c r="Q566" s="61">
        <f t="shared" si="28"/>
        <v>45072</v>
      </c>
      <c r="R566" s="68"/>
      <c r="S566" s="72" t="s">
        <v>1307</v>
      </c>
      <c r="T566" s="105" t="s">
        <v>44</v>
      </c>
      <c r="U566" s="68"/>
      <c r="V566" s="68"/>
      <c r="W566" s="68"/>
      <c r="X566" s="68"/>
    </row>
    <row r="567" s="17" customFormat="1" ht="36" hidden="1" spans="1:24">
      <c r="A567" s="59">
        <v>565</v>
      </c>
      <c r="B567" s="60" t="s">
        <v>1308</v>
      </c>
      <c r="C567" s="114">
        <f t="shared" si="30"/>
        <v>44935</v>
      </c>
      <c r="D567" s="62" t="str">
        <f ca="1" t="shared" si="27"/>
        <v>一年以上</v>
      </c>
      <c r="E567" s="115">
        <v>44935</v>
      </c>
      <c r="F567" s="115" t="s">
        <v>632</v>
      </c>
      <c r="G567" s="132" t="s">
        <v>993</v>
      </c>
      <c r="H567" s="100" t="s">
        <v>1306</v>
      </c>
      <c r="I567" s="63" t="s">
        <v>1306</v>
      </c>
      <c r="J567" s="116">
        <v>600</v>
      </c>
      <c r="K567" s="105" t="s">
        <v>28</v>
      </c>
      <c r="L567" s="105" t="s">
        <v>57</v>
      </c>
      <c r="M567" s="89" t="s">
        <v>515</v>
      </c>
      <c r="N567" s="117">
        <v>600</v>
      </c>
      <c r="O567" s="137">
        <f t="shared" si="29"/>
        <v>0</v>
      </c>
      <c r="P567" s="115">
        <v>44977</v>
      </c>
      <c r="Q567" s="61">
        <f t="shared" si="28"/>
        <v>44977</v>
      </c>
      <c r="R567" s="68" t="s">
        <v>951</v>
      </c>
      <c r="S567" s="72" t="s">
        <v>1307</v>
      </c>
      <c r="T567" s="105"/>
      <c r="U567" s="68"/>
      <c r="V567" s="68"/>
      <c r="W567" s="68"/>
      <c r="X567" s="68"/>
    </row>
    <row r="568" s="17" customFormat="1" hidden="1" spans="1:24">
      <c r="A568" s="59">
        <v>566</v>
      </c>
      <c r="B568" s="60" t="s">
        <v>1309</v>
      </c>
      <c r="C568" s="114">
        <f t="shared" si="30"/>
        <v>44936</v>
      </c>
      <c r="D568" s="62" t="str">
        <f ca="1" t="shared" si="27"/>
        <v>一年以上</v>
      </c>
      <c r="E568" s="115">
        <v>44936</v>
      </c>
      <c r="F568" s="115" t="s">
        <v>130</v>
      </c>
      <c r="G568" s="132" t="s">
        <v>569</v>
      </c>
      <c r="H568" s="100" t="s">
        <v>863</v>
      </c>
      <c r="I568" s="63" t="s">
        <v>863</v>
      </c>
      <c r="J568" s="116">
        <v>6650</v>
      </c>
      <c r="K568" s="105" t="s">
        <v>28</v>
      </c>
      <c r="L568" s="105" t="s">
        <v>57</v>
      </c>
      <c r="M568" s="89" t="s">
        <v>133</v>
      </c>
      <c r="N568" s="117">
        <v>6650</v>
      </c>
      <c r="O568" s="137">
        <f t="shared" si="29"/>
        <v>0</v>
      </c>
      <c r="P568" s="115">
        <v>45285</v>
      </c>
      <c r="Q568" s="61">
        <f t="shared" si="28"/>
        <v>45285</v>
      </c>
      <c r="R568" s="68"/>
      <c r="S568" s="60" t="s">
        <v>1310</v>
      </c>
      <c r="T568" s="105" t="s">
        <v>972</v>
      </c>
      <c r="U568" s="59" t="str">
        <f>VLOOKUP(T568,[1]区域划分!$A$1:$C$39,3,0)</f>
        <v>曾江利</v>
      </c>
      <c r="V568" s="68"/>
      <c r="W568" s="68"/>
      <c r="X568" s="68"/>
    </row>
    <row r="569" s="17" customFormat="1" hidden="1" spans="1:24">
      <c r="A569" s="59">
        <v>567</v>
      </c>
      <c r="B569" s="60" t="s">
        <v>1311</v>
      </c>
      <c r="C569" s="114">
        <f t="shared" si="30"/>
        <v>44937</v>
      </c>
      <c r="D569" s="62" t="str">
        <f ca="1" t="shared" si="27"/>
        <v>一年以上</v>
      </c>
      <c r="E569" s="115">
        <v>44937</v>
      </c>
      <c r="F569" s="115" t="s">
        <v>70</v>
      </c>
      <c r="G569" s="132" t="s">
        <v>1312</v>
      </c>
      <c r="H569" s="100" t="s">
        <v>1313</v>
      </c>
      <c r="I569" s="63" t="s">
        <v>1313</v>
      </c>
      <c r="J569" s="116">
        <v>5000</v>
      </c>
      <c r="K569" s="105" t="s">
        <v>28</v>
      </c>
      <c r="L569" s="105" t="s">
        <v>57</v>
      </c>
      <c r="M569" s="89" t="s">
        <v>65</v>
      </c>
      <c r="N569" s="117">
        <v>5000</v>
      </c>
      <c r="O569" s="137">
        <f t="shared" si="29"/>
        <v>0</v>
      </c>
      <c r="P569" s="115">
        <v>45008</v>
      </c>
      <c r="Q569" s="61">
        <f t="shared" si="28"/>
        <v>45008</v>
      </c>
      <c r="R569" s="68"/>
      <c r="S569" s="60"/>
      <c r="T569" s="105"/>
      <c r="U569" s="68"/>
      <c r="V569" s="68"/>
      <c r="W569" s="68"/>
      <c r="X569" s="68"/>
    </row>
    <row r="570" s="17" customFormat="1" ht="36" hidden="1" spans="1:24">
      <c r="A570" s="59">
        <v>568</v>
      </c>
      <c r="B570" s="60" t="s">
        <v>1314</v>
      </c>
      <c r="C570" s="114">
        <f t="shared" si="30"/>
        <v>44939</v>
      </c>
      <c r="D570" s="62" t="str">
        <f ca="1" t="shared" si="27"/>
        <v>一年以上</v>
      </c>
      <c r="E570" s="115">
        <v>44939</v>
      </c>
      <c r="F570" s="115" t="s">
        <v>632</v>
      </c>
      <c r="G570" s="132" t="s">
        <v>450</v>
      </c>
      <c r="H570" s="100" t="s">
        <v>1315</v>
      </c>
      <c r="I570" s="63" t="s">
        <v>1315</v>
      </c>
      <c r="J570" s="116">
        <v>2800</v>
      </c>
      <c r="K570" s="105" t="s">
        <v>28</v>
      </c>
      <c r="L570" s="105" t="s">
        <v>57</v>
      </c>
      <c r="M570" s="89" t="s">
        <v>30</v>
      </c>
      <c r="N570" s="117">
        <v>2800</v>
      </c>
      <c r="O570" s="137">
        <f t="shared" si="29"/>
        <v>0</v>
      </c>
      <c r="P570" s="115">
        <v>44957</v>
      </c>
      <c r="Q570" s="61">
        <f t="shared" si="28"/>
        <v>44957</v>
      </c>
      <c r="R570" s="68"/>
      <c r="S570" s="72" t="s">
        <v>1316</v>
      </c>
      <c r="T570" s="105" t="s">
        <v>38</v>
      </c>
      <c r="U570" s="68"/>
      <c r="V570" s="68"/>
      <c r="W570" s="68"/>
      <c r="X570" s="68"/>
    </row>
    <row r="571" s="17" customFormat="1" ht="24" hidden="1" spans="1:24">
      <c r="A571" s="59">
        <v>569</v>
      </c>
      <c r="B571" s="60" t="s">
        <v>1317</v>
      </c>
      <c r="C571" s="114">
        <f t="shared" si="30"/>
        <v>44943</v>
      </c>
      <c r="D571" s="62" t="str">
        <f ca="1" t="shared" si="27"/>
        <v>一年以上</v>
      </c>
      <c r="E571" s="115">
        <v>44943</v>
      </c>
      <c r="F571" s="115" t="s">
        <v>632</v>
      </c>
      <c r="G571" s="132" t="s">
        <v>993</v>
      </c>
      <c r="H571" s="100" t="s">
        <v>1318</v>
      </c>
      <c r="I571" s="63" t="s">
        <v>1318</v>
      </c>
      <c r="J571" s="116">
        <v>2000</v>
      </c>
      <c r="K571" s="105" t="s">
        <v>28</v>
      </c>
      <c r="L571" s="105" t="s">
        <v>57</v>
      </c>
      <c r="M571" s="89" t="s">
        <v>30</v>
      </c>
      <c r="N571" s="117">
        <v>2000</v>
      </c>
      <c r="O571" s="137">
        <f t="shared" si="29"/>
        <v>0</v>
      </c>
      <c r="P571" s="115">
        <v>44975</v>
      </c>
      <c r="Q571" s="61">
        <f t="shared" si="28"/>
        <v>44975</v>
      </c>
      <c r="R571" s="68"/>
      <c r="S571" s="72" t="s">
        <v>1319</v>
      </c>
      <c r="T571" s="105" t="s">
        <v>1320</v>
      </c>
      <c r="U571" s="68"/>
      <c r="V571" s="68"/>
      <c r="W571" s="68"/>
      <c r="X571" s="68"/>
    </row>
    <row r="572" s="17" customFormat="1" ht="24" hidden="1" spans="1:24">
      <c r="A572" s="59">
        <v>570</v>
      </c>
      <c r="B572" s="60" t="s">
        <v>1321</v>
      </c>
      <c r="C572" s="114">
        <f t="shared" si="30"/>
        <v>44944</v>
      </c>
      <c r="D572" s="62" t="str">
        <f ca="1" t="shared" si="27"/>
        <v>一年以上</v>
      </c>
      <c r="E572" s="115">
        <v>44944</v>
      </c>
      <c r="F572" s="115" t="s">
        <v>130</v>
      </c>
      <c r="G572" s="132" t="s">
        <v>208</v>
      </c>
      <c r="H572" s="100" t="s">
        <v>132</v>
      </c>
      <c r="I572" s="63" t="s">
        <v>132</v>
      </c>
      <c r="J572" s="116">
        <v>21560</v>
      </c>
      <c r="K572" s="105" t="s">
        <v>28</v>
      </c>
      <c r="L572" s="136" t="s">
        <v>57</v>
      </c>
      <c r="M572" s="89" t="s">
        <v>133</v>
      </c>
      <c r="N572" s="104">
        <v>21560</v>
      </c>
      <c r="O572" s="137">
        <f t="shared" si="29"/>
        <v>0</v>
      </c>
      <c r="P572" s="115">
        <v>45308</v>
      </c>
      <c r="Q572" s="61">
        <f t="shared" si="28"/>
        <v>45308</v>
      </c>
      <c r="R572" s="68"/>
      <c r="S572" s="72" t="s">
        <v>1322</v>
      </c>
      <c r="T572" s="105" t="s">
        <v>720</v>
      </c>
      <c r="U572" s="59" t="str">
        <f>VLOOKUP(T572,[1]区域划分!$A$1:$C$39,3,0)</f>
        <v>杨春龙</v>
      </c>
      <c r="V572" s="68"/>
      <c r="W572" s="68"/>
      <c r="X572" s="68"/>
    </row>
    <row r="573" s="17" customFormat="1" hidden="1" spans="1:24">
      <c r="A573" s="59">
        <v>571</v>
      </c>
      <c r="B573" s="60" t="s">
        <v>1323</v>
      </c>
      <c r="C573" s="114">
        <f t="shared" si="30"/>
        <v>44945</v>
      </c>
      <c r="D573" s="62" t="str">
        <f ca="1" t="shared" si="27"/>
        <v>一年以上</v>
      </c>
      <c r="E573" s="115">
        <v>44945</v>
      </c>
      <c r="F573" s="115" t="s">
        <v>632</v>
      </c>
      <c r="G573" s="132" t="s">
        <v>993</v>
      </c>
      <c r="H573" s="100" t="s">
        <v>863</v>
      </c>
      <c r="I573" s="63" t="s">
        <v>863</v>
      </c>
      <c r="J573" s="127">
        <v>500</v>
      </c>
      <c r="K573" s="105" t="s">
        <v>28</v>
      </c>
      <c r="L573" s="105" t="s">
        <v>57</v>
      </c>
      <c r="M573" s="89" t="s">
        <v>515</v>
      </c>
      <c r="N573" s="117"/>
      <c r="O573" s="140">
        <f t="shared" si="29"/>
        <v>500</v>
      </c>
      <c r="P573" s="115"/>
      <c r="Q573" s="61">
        <f t="shared" si="28"/>
        <v>0</v>
      </c>
      <c r="R573" s="68"/>
      <c r="S573" s="60" t="s">
        <v>1324</v>
      </c>
      <c r="T573" s="105" t="s">
        <v>720</v>
      </c>
      <c r="U573" s="59" t="str">
        <f>VLOOKUP(T573,[1]区域划分!$A$1:$C$39,3,0)</f>
        <v>杨春龙</v>
      </c>
      <c r="V573" s="68"/>
      <c r="W573" s="68"/>
      <c r="X573" s="68"/>
    </row>
    <row r="574" s="17" customFormat="1" hidden="1" spans="1:24">
      <c r="A574" s="59">
        <v>572</v>
      </c>
      <c r="B574" s="60" t="s">
        <v>1325</v>
      </c>
      <c r="C574" s="114">
        <f t="shared" si="30"/>
        <v>44953</v>
      </c>
      <c r="D574" s="62" t="str">
        <f ca="1" t="shared" si="27"/>
        <v>一年以上</v>
      </c>
      <c r="E574" s="115">
        <v>44953</v>
      </c>
      <c r="F574" s="115" t="s">
        <v>632</v>
      </c>
      <c r="G574" s="132" t="s">
        <v>450</v>
      </c>
      <c r="H574" s="100" t="s">
        <v>406</v>
      </c>
      <c r="I574" s="63" t="s">
        <v>406</v>
      </c>
      <c r="J574" s="116">
        <v>800</v>
      </c>
      <c r="K574" s="105" t="s">
        <v>28</v>
      </c>
      <c r="L574" s="105" t="s">
        <v>57</v>
      </c>
      <c r="M574" s="89" t="s">
        <v>515</v>
      </c>
      <c r="N574" s="117">
        <v>800</v>
      </c>
      <c r="O574" s="137">
        <f t="shared" si="29"/>
        <v>0</v>
      </c>
      <c r="P574" s="115">
        <v>44989</v>
      </c>
      <c r="Q574" s="61">
        <f t="shared" si="28"/>
        <v>44989</v>
      </c>
      <c r="R574" s="68"/>
      <c r="S574" s="72" t="s">
        <v>1326</v>
      </c>
      <c r="T574" s="105"/>
      <c r="U574" s="68"/>
      <c r="V574" s="68"/>
      <c r="W574" s="68"/>
      <c r="X574" s="68"/>
    </row>
    <row r="575" s="17" customFormat="1" hidden="1" spans="1:24">
      <c r="A575" s="59">
        <v>573</v>
      </c>
      <c r="B575" s="60" t="s">
        <v>1327</v>
      </c>
      <c r="C575" s="114">
        <f t="shared" si="30"/>
        <v>44954</v>
      </c>
      <c r="D575" s="62" t="str">
        <f ca="1" t="shared" si="27"/>
        <v>一年以上</v>
      </c>
      <c r="E575" s="115">
        <v>44954</v>
      </c>
      <c r="F575" s="115" t="s">
        <v>70</v>
      </c>
      <c r="G575" s="132" t="s">
        <v>119</v>
      </c>
      <c r="H575" s="100" t="s">
        <v>1328</v>
      </c>
      <c r="I575" s="63" t="s">
        <v>1328</v>
      </c>
      <c r="J575" s="116">
        <v>14000</v>
      </c>
      <c r="K575" s="105" t="s">
        <v>28</v>
      </c>
      <c r="L575" s="136" t="s">
        <v>57</v>
      </c>
      <c r="M575" s="89" t="s">
        <v>65</v>
      </c>
      <c r="N575" s="104">
        <f>10000+4000</f>
        <v>14000</v>
      </c>
      <c r="O575" s="137">
        <f t="shared" si="29"/>
        <v>0</v>
      </c>
      <c r="P575" s="66">
        <v>45315</v>
      </c>
      <c r="Q575" s="61">
        <f t="shared" si="28"/>
        <v>45315</v>
      </c>
      <c r="R575" s="68"/>
      <c r="S575" s="72" t="s">
        <v>1329</v>
      </c>
      <c r="T575" s="105" t="s">
        <v>86</v>
      </c>
      <c r="U575" s="59" t="str">
        <f>VLOOKUP(T575,[1]区域划分!$A$1:$C$39,3,0)</f>
        <v>朱利勇</v>
      </c>
      <c r="V575" s="68"/>
      <c r="W575" s="68"/>
      <c r="X575" s="68"/>
    </row>
    <row r="576" s="17" customFormat="1" ht="24" hidden="1" spans="1:24">
      <c r="A576" s="59">
        <v>574</v>
      </c>
      <c r="B576" s="60" t="s">
        <v>1330</v>
      </c>
      <c r="C576" s="114">
        <f t="shared" si="30"/>
        <v>44954</v>
      </c>
      <c r="D576" s="62" t="str">
        <f ca="1" t="shared" si="27"/>
        <v>一年以上</v>
      </c>
      <c r="E576" s="115">
        <v>44954</v>
      </c>
      <c r="F576" s="115" t="s">
        <v>632</v>
      </c>
      <c r="G576" s="132" t="s">
        <v>450</v>
      </c>
      <c r="H576" s="100" t="s">
        <v>708</v>
      </c>
      <c r="I576" s="63" t="s">
        <v>708</v>
      </c>
      <c r="J576" s="116">
        <v>500</v>
      </c>
      <c r="K576" s="105" t="s">
        <v>28</v>
      </c>
      <c r="L576" s="105" t="s">
        <v>57</v>
      </c>
      <c r="M576" s="89" t="s">
        <v>515</v>
      </c>
      <c r="N576" s="117">
        <v>500</v>
      </c>
      <c r="O576" s="137">
        <f t="shared" si="29"/>
        <v>0</v>
      </c>
      <c r="P576" s="115">
        <v>44957</v>
      </c>
      <c r="Q576" s="61">
        <f t="shared" si="28"/>
        <v>44957</v>
      </c>
      <c r="R576" s="68" t="s">
        <v>951</v>
      </c>
      <c r="S576" s="72" t="s">
        <v>1167</v>
      </c>
      <c r="T576" s="105"/>
      <c r="U576" s="68"/>
      <c r="V576" s="68"/>
      <c r="W576" s="68"/>
      <c r="X576" s="68"/>
    </row>
    <row r="577" s="17" customFormat="1" hidden="1" spans="1:24">
      <c r="A577" s="59">
        <v>575</v>
      </c>
      <c r="B577" s="60" t="s">
        <v>1331</v>
      </c>
      <c r="C577" s="114">
        <f t="shared" si="30"/>
        <v>44955</v>
      </c>
      <c r="D577" s="62" t="str">
        <f ca="1" t="shared" si="27"/>
        <v>一年以上</v>
      </c>
      <c r="E577" s="115">
        <v>44955</v>
      </c>
      <c r="F577" s="115" t="s">
        <v>632</v>
      </c>
      <c r="G577" s="132" t="s">
        <v>450</v>
      </c>
      <c r="H577" s="100" t="s">
        <v>863</v>
      </c>
      <c r="I577" s="63" t="s">
        <v>863</v>
      </c>
      <c r="J577" s="141">
        <v>10000</v>
      </c>
      <c r="K577" s="105" t="s">
        <v>28</v>
      </c>
      <c r="L577" s="105" t="s">
        <v>57</v>
      </c>
      <c r="M577" s="89" t="s">
        <v>30</v>
      </c>
      <c r="N577" s="117">
        <v>10000</v>
      </c>
      <c r="O577" s="137">
        <f t="shared" si="29"/>
        <v>0</v>
      </c>
      <c r="P577" s="115">
        <v>45039</v>
      </c>
      <c r="Q577" s="61">
        <f t="shared" si="28"/>
        <v>45039</v>
      </c>
      <c r="R577" s="68"/>
      <c r="S577" s="60" t="s">
        <v>1324</v>
      </c>
      <c r="T577" s="105" t="s">
        <v>972</v>
      </c>
      <c r="U577" s="68"/>
      <c r="V577" s="68"/>
      <c r="W577" s="68"/>
      <c r="X577" s="68"/>
    </row>
    <row r="578" s="17" customFormat="1" hidden="1" spans="1:24">
      <c r="A578" s="59">
        <v>576</v>
      </c>
      <c r="B578" s="60" t="s">
        <v>1332</v>
      </c>
      <c r="C578" s="114">
        <f t="shared" si="30"/>
        <v>44956</v>
      </c>
      <c r="D578" s="62" t="str">
        <f ca="1" t="shared" si="27"/>
        <v>一年以上</v>
      </c>
      <c r="E578" s="115">
        <v>44956</v>
      </c>
      <c r="F578" s="115" t="s">
        <v>70</v>
      </c>
      <c r="G578" s="132" t="s">
        <v>1333</v>
      </c>
      <c r="H578" s="100" t="s">
        <v>179</v>
      </c>
      <c r="I578" s="63" t="s">
        <v>179</v>
      </c>
      <c r="J578" s="116">
        <v>2650</v>
      </c>
      <c r="K578" s="105" t="s">
        <v>28</v>
      </c>
      <c r="L578" s="105" t="s">
        <v>57</v>
      </c>
      <c r="M578" s="89" t="s">
        <v>65</v>
      </c>
      <c r="N578" s="117">
        <v>2650</v>
      </c>
      <c r="O578" s="137">
        <f t="shared" si="29"/>
        <v>0</v>
      </c>
      <c r="P578" s="115">
        <v>45069</v>
      </c>
      <c r="Q578" s="61">
        <f t="shared" si="28"/>
        <v>45069</v>
      </c>
      <c r="R578" s="68"/>
      <c r="S578" s="72" t="s">
        <v>1334</v>
      </c>
      <c r="T578" s="105"/>
      <c r="U578" s="68"/>
      <c r="V578" s="68"/>
      <c r="W578" s="68"/>
      <c r="X578" s="68"/>
    </row>
    <row r="579" s="17" customFormat="1" ht="24" hidden="1" spans="1:24">
      <c r="A579" s="59">
        <v>577</v>
      </c>
      <c r="B579" s="60" t="s">
        <v>1335</v>
      </c>
      <c r="C579" s="114">
        <f t="shared" si="30"/>
        <v>44958</v>
      </c>
      <c r="D579" s="62" t="str">
        <f ca="1" t="shared" ref="D579:D642" si="31">IF(TODAY()-E579&lt;60,"2个月内",IF(TODAY()-E579&lt;180,"3-6个月",IF(TODAY()-E579&lt;360,"6个月-1年","一年以上")))</f>
        <v>一年以上</v>
      </c>
      <c r="E579" s="115">
        <v>44958</v>
      </c>
      <c r="F579" s="115" t="s">
        <v>632</v>
      </c>
      <c r="G579" s="132" t="s">
        <v>450</v>
      </c>
      <c r="H579" s="100" t="s">
        <v>1336</v>
      </c>
      <c r="I579" s="60" t="s">
        <v>1336</v>
      </c>
      <c r="J579" s="116">
        <v>1000</v>
      </c>
      <c r="K579" s="105" t="s">
        <v>28</v>
      </c>
      <c r="L579" s="105" t="s">
        <v>57</v>
      </c>
      <c r="M579" s="89" t="s">
        <v>515</v>
      </c>
      <c r="N579" s="117">
        <v>1000</v>
      </c>
      <c r="O579" s="137">
        <f t="shared" si="29"/>
        <v>0</v>
      </c>
      <c r="P579" s="115">
        <v>44960</v>
      </c>
      <c r="Q579" s="61">
        <f t="shared" ref="Q579:Q642" si="32">P579</f>
        <v>44960</v>
      </c>
      <c r="R579" s="68" t="s">
        <v>951</v>
      </c>
      <c r="S579" s="142" t="s">
        <v>1337</v>
      </c>
      <c r="T579" s="105"/>
      <c r="U579" s="68"/>
      <c r="V579" s="68"/>
      <c r="W579" s="68"/>
      <c r="X579" s="68"/>
    </row>
    <row r="580" s="17" customFormat="1" ht="24" hidden="1" spans="1:24">
      <c r="A580" s="59">
        <v>578</v>
      </c>
      <c r="B580" s="60" t="s">
        <v>1338</v>
      </c>
      <c r="C580" s="114">
        <f t="shared" si="30"/>
        <v>44959</v>
      </c>
      <c r="D580" s="62" t="str">
        <f ca="1" t="shared" si="31"/>
        <v>一年以上</v>
      </c>
      <c r="E580" s="115">
        <v>44959</v>
      </c>
      <c r="F580" s="115" t="s">
        <v>632</v>
      </c>
      <c r="G580" s="132" t="s">
        <v>450</v>
      </c>
      <c r="H580" s="100" t="s">
        <v>495</v>
      </c>
      <c r="I580" s="60" t="s">
        <v>495</v>
      </c>
      <c r="J580" s="116">
        <v>2000</v>
      </c>
      <c r="K580" s="105" t="s">
        <v>356</v>
      </c>
      <c r="L580" s="105" t="s">
        <v>458</v>
      </c>
      <c r="M580" s="89" t="s">
        <v>30</v>
      </c>
      <c r="N580" s="117">
        <v>2000</v>
      </c>
      <c r="O580" s="137">
        <f t="shared" si="29"/>
        <v>0</v>
      </c>
      <c r="P580" s="115">
        <v>44974</v>
      </c>
      <c r="Q580" s="61">
        <f t="shared" si="32"/>
        <v>44974</v>
      </c>
      <c r="R580" s="68"/>
      <c r="S580" s="72" t="s">
        <v>1294</v>
      </c>
      <c r="T580" s="105" t="s">
        <v>182</v>
      </c>
      <c r="U580" s="68"/>
      <c r="V580" s="68"/>
      <c r="W580" s="68"/>
      <c r="X580" s="68"/>
    </row>
    <row r="581" s="17" customFormat="1" ht="24" hidden="1" spans="1:24">
      <c r="A581" s="59">
        <v>579</v>
      </c>
      <c r="B581" s="60" t="s">
        <v>1339</v>
      </c>
      <c r="C581" s="114">
        <f t="shared" si="30"/>
        <v>44960</v>
      </c>
      <c r="D581" s="62" t="str">
        <f ca="1" t="shared" si="31"/>
        <v>一年以上</v>
      </c>
      <c r="E581" s="115">
        <v>44960</v>
      </c>
      <c r="F581" s="66" t="s">
        <v>632</v>
      </c>
      <c r="G581" s="59" t="s">
        <v>450</v>
      </c>
      <c r="H581" s="100" t="s">
        <v>967</v>
      </c>
      <c r="I581" s="60" t="s">
        <v>967</v>
      </c>
      <c r="J581" s="116">
        <v>6000</v>
      </c>
      <c r="K581" s="105" t="s">
        <v>28</v>
      </c>
      <c r="L581" s="105" t="s">
        <v>57</v>
      </c>
      <c r="M581" s="89" t="s">
        <v>968</v>
      </c>
      <c r="N581" s="117">
        <v>6000</v>
      </c>
      <c r="O581" s="137">
        <f t="shared" si="29"/>
        <v>0</v>
      </c>
      <c r="P581" s="115">
        <v>44960</v>
      </c>
      <c r="Q581" s="61">
        <f t="shared" si="32"/>
        <v>44960</v>
      </c>
      <c r="R581" s="68" t="s">
        <v>951</v>
      </c>
      <c r="S581" s="59" t="s">
        <v>1340</v>
      </c>
      <c r="T581" s="105"/>
      <c r="U581" s="68"/>
      <c r="V581" s="68"/>
      <c r="W581" s="68"/>
      <c r="X581" s="68"/>
    </row>
    <row r="582" s="17" customFormat="1" ht="24" hidden="1" spans="1:24">
      <c r="A582" s="59">
        <v>580</v>
      </c>
      <c r="B582" s="60" t="s">
        <v>1341</v>
      </c>
      <c r="C582" s="114">
        <f t="shared" si="30"/>
        <v>44963</v>
      </c>
      <c r="D582" s="62" t="str">
        <f ca="1" t="shared" si="31"/>
        <v>一年以上</v>
      </c>
      <c r="E582" s="115">
        <v>44963</v>
      </c>
      <c r="F582" s="66" t="s">
        <v>70</v>
      </c>
      <c r="G582" s="59" t="s">
        <v>1342</v>
      </c>
      <c r="H582" s="100" t="s">
        <v>1343</v>
      </c>
      <c r="I582" s="60" t="s">
        <v>1343</v>
      </c>
      <c r="J582" s="116">
        <v>54479.6</v>
      </c>
      <c r="K582" s="105" t="s">
        <v>356</v>
      </c>
      <c r="L582" s="105" t="s">
        <v>458</v>
      </c>
      <c r="M582" s="89" t="s">
        <v>65</v>
      </c>
      <c r="N582" s="117">
        <v>54479.6</v>
      </c>
      <c r="O582" s="137">
        <f t="shared" si="29"/>
        <v>0</v>
      </c>
      <c r="P582" s="115">
        <v>45044</v>
      </c>
      <c r="Q582" s="61">
        <f t="shared" si="32"/>
        <v>45044</v>
      </c>
      <c r="R582" s="68"/>
      <c r="S582" s="72" t="s">
        <v>1344</v>
      </c>
      <c r="T582" s="105"/>
      <c r="U582" s="68"/>
      <c r="V582" s="68"/>
      <c r="W582" s="68"/>
      <c r="X582" s="68"/>
    </row>
    <row r="583" s="17" customFormat="1" ht="24" hidden="1" spans="1:24">
      <c r="A583" s="59">
        <v>581</v>
      </c>
      <c r="B583" s="60" t="s">
        <v>1345</v>
      </c>
      <c r="C583" s="114">
        <f t="shared" si="30"/>
        <v>44963</v>
      </c>
      <c r="D583" s="62" t="str">
        <f ca="1" t="shared" si="31"/>
        <v>一年以上</v>
      </c>
      <c r="E583" s="115">
        <v>44963</v>
      </c>
      <c r="F583" s="66" t="s">
        <v>632</v>
      </c>
      <c r="G583" s="132" t="s">
        <v>993</v>
      </c>
      <c r="H583" s="100" t="s">
        <v>1318</v>
      </c>
      <c r="I583" s="60" t="s">
        <v>1318</v>
      </c>
      <c r="J583" s="116">
        <v>3000</v>
      </c>
      <c r="K583" s="105" t="s">
        <v>28</v>
      </c>
      <c r="L583" s="105" t="s">
        <v>57</v>
      </c>
      <c r="M583" s="89" t="s">
        <v>30</v>
      </c>
      <c r="N583" s="117">
        <v>3000</v>
      </c>
      <c r="O583" s="137">
        <f t="shared" si="29"/>
        <v>0</v>
      </c>
      <c r="P583" s="115">
        <v>44982</v>
      </c>
      <c r="Q583" s="61">
        <f t="shared" si="32"/>
        <v>44982</v>
      </c>
      <c r="R583" s="68"/>
      <c r="S583" s="72" t="s">
        <v>1346</v>
      </c>
      <c r="T583" s="105"/>
      <c r="U583" s="68"/>
      <c r="V583" s="68"/>
      <c r="W583" s="68"/>
      <c r="X583" s="68"/>
    </row>
    <row r="584" s="17" customFormat="1" hidden="1" spans="1:24">
      <c r="A584" s="59">
        <v>582</v>
      </c>
      <c r="B584" s="60" t="s">
        <v>1347</v>
      </c>
      <c r="C584" s="114">
        <f t="shared" si="30"/>
        <v>44964</v>
      </c>
      <c r="D584" s="62" t="str">
        <f ca="1" t="shared" si="31"/>
        <v>一年以上</v>
      </c>
      <c r="E584" s="115">
        <v>44964</v>
      </c>
      <c r="F584" s="66" t="s">
        <v>632</v>
      </c>
      <c r="G584" s="132" t="s">
        <v>450</v>
      </c>
      <c r="H584" s="100" t="s">
        <v>679</v>
      </c>
      <c r="I584" s="60" t="s">
        <v>679</v>
      </c>
      <c r="J584" s="116">
        <v>4000</v>
      </c>
      <c r="K584" s="105" t="s">
        <v>28</v>
      </c>
      <c r="L584" s="105" t="s">
        <v>57</v>
      </c>
      <c r="M584" s="89" t="s">
        <v>30</v>
      </c>
      <c r="N584" s="117">
        <v>4000</v>
      </c>
      <c r="O584" s="137">
        <f t="shared" si="29"/>
        <v>0</v>
      </c>
      <c r="P584" s="115">
        <v>45075</v>
      </c>
      <c r="Q584" s="61">
        <f t="shared" si="32"/>
        <v>45075</v>
      </c>
      <c r="R584" s="68"/>
      <c r="S584" s="72" t="s">
        <v>1348</v>
      </c>
      <c r="T584" s="105"/>
      <c r="U584" s="68"/>
      <c r="V584" s="68"/>
      <c r="W584" s="68"/>
      <c r="X584" s="68"/>
    </row>
    <row r="585" s="17" customFormat="1" hidden="1" spans="1:24">
      <c r="A585" s="59">
        <v>583</v>
      </c>
      <c r="B585" s="60" t="s">
        <v>1349</v>
      </c>
      <c r="C585" s="114">
        <f t="shared" si="30"/>
        <v>44964</v>
      </c>
      <c r="D585" s="62" t="str">
        <f ca="1" t="shared" si="31"/>
        <v>一年以上</v>
      </c>
      <c r="E585" s="115">
        <v>44964</v>
      </c>
      <c r="F585" s="66" t="s">
        <v>632</v>
      </c>
      <c r="G585" s="132" t="s">
        <v>450</v>
      </c>
      <c r="H585" s="100" t="s">
        <v>679</v>
      </c>
      <c r="I585" s="60" t="s">
        <v>679</v>
      </c>
      <c r="J585" s="116">
        <v>500</v>
      </c>
      <c r="K585" s="105" t="s">
        <v>28</v>
      </c>
      <c r="L585" s="105" t="s">
        <v>57</v>
      </c>
      <c r="M585" s="89" t="s">
        <v>515</v>
      </c>
      <c r="N585" s="117"/>
      <c r="O585" s="137">
        <f t="shared" si="29"/>
        <v>500</v>
      </c>
      <c r="P585" s="115"/>
      <c r="Q585" s="61">
        <f t="shared" si="32"/>
        <v>0</v>
      </c>
      <c r="R585" s="68"/>
      <c r="S585" s="72" t="s">
        <v>515</v>
      </c>
      <c r="T585" s="101" t="s">
        <v>44</v>
      </c>
      <c r="U585" s="59" t="str">
        <f>VLOOKUP(T585,[1]区域划分!$A$1:$C$39,3,0)</f>
        <v>殷坤鹏</v>
      </c>
      <c r="V585" s="68"/>
      <c r="W585" s="68"/>
      <c r="X585" s="68"/>
    </row>
    <row r="586" s="17" customFormat="1" ht="24" hidden="1" spans="1:24">
      <c r="A586" s="59">
        <v>584</v>
      </c>
      <c r="B586" s="60" t="s">
        <v>1350</v>
      </c>
      <c r="C586" s="114">
        <f t="shared" si="30"/>
        <v>44964</v>
      </c>
      <c r="D586" s="62" t="str">
        <f ca="1" t="shared" si="31"/>
        <v>一年以上</v>
      </c>
      <c r="E586" s="115">
        <v>44964</v>
      </c>
      <c r="F586" s="66" t="s">
        <v>632</v>
      </c>
      <c r="G586" s="132" t="s">
        <v>450</v>
      </c>
      <c r="H586" s="100" t="s">
        <v>1351</v>
      </c>
      <c r="I586" s="60" t="s">
        <v>1351</v>
      </c>
      <c r="J586" s="116">
        <v>300</v>
      </c>
      <c r="K586" s="105" t="s">
        <v>28</v>
      </c>
      <c r="L586" s="105" t="s">
        <v>57</v>
      </c>
      <c r="M586" s="89" t="s">
        <v>968</v>
      </c>
      <c r="N586" s="117">
        <v>300</v>
      </c>
      <c r="O586" s="137">
        <f t="shared" si="29"/>
        <v>0</v>
      </c>
      <c r="P586" s="115">
        <v>44967</v>
      </c>
      <c r="Q586" s="61">
        <f t="shared" si="32"/>
        <v>44967</v>
      </c>
      <c r="R586" s="68" t="s">
        <v>1352</v>
      </c>
      <c r="S586" s="72" t="s">
        <v>1353</v>
      </c>
      <c r="T586" s="105"/>
      <c r="U586" s="68"/>
      <c r="V586" s="68"/>
      <c r="W586" s="68"/>
      <c r="X586" s="68"/>
    </row>
    <row r="587" s="17" customFormat="1" ht="24" hidden="1" spans="1:24">
      <c r="A587" s="59">
        <v>585</v>
      </c>
      <c r="B587" s="60" t="s">
        <v>1354</v>
      </c>
      <c r="C587" s="114">
        <f t="shared" si="30"/>
        <v>44967</v>
      </c>
      <c r="D587" s="62" t="str">
        <f ca="1" t="shared" si="31"/>
        <v>一年以上</v>
      </c>
      <c r="E587" s="115">
        <v>44967</v>
      </c>
      <c r="F587" s="66" t="s">
        <v>632</v>
      </c>
      <c r="G587" s="132" t="s">
        <v>450</v>
      </c>
      <c r="H587" s="100" t="s">
        <v>1355</v>
      </c>
      <c r="I587" s="60" t="s">
        <v>1355</v>
      </c>
      <c r="J587" s="116">
        <v>50000</v>
      </c>
      <c r="K587" s="105" t="s">
        <v>28</v>
      </c>
      <c r="L587" s="105" t="s">
        <v>57</v>
      </c>
      <c r="M587" s="89" t="s">
        <v>30</v>
      </c>
      <c r="N587" s="117">
        <v>50000</v>
      </c>
      <c r="O587" s="137">
        <f t="shared" si="29"/>
        <v>0</v>
      </c>
      <c r="P587" s="115">
        <v>45007</v>
      </c>
      <c r="Q587" s="61">
        <f t="shared" si="32"/>
        <v>45007</v>
      </c>
      <c r="R587" s="68"/>
      <c r="S587" s="72" t="s">
        <v>1356</v>
      </c>
      <c r="T587" s="105"/>
      <c r="U587" s="68"/>
      <c r="V587" s="68"/>
      <c r="W587" s="68"/>
      <c r="X587" s="68"/>
    </row>
    <row r="588" s="17" customFormat="1" ht="36" hidden="1" spans="1:24">
      <c r="A588" s="59">
        <v>586</v>
      </c>
      <c r="B588" s="60" t="s">
        <v>1357</v>
      </c>
      <c r="C588" s="114">
        <f t="shared" si="30"/>
        <v>44973</v>
      </c>
      <c r="D588" s="62" t="str">
        <f ca="1" t="shared" si="31"/>
        <v>一年以上</v>
      </c>
      <c r="E588" s="115">
        <v>44973</v>
      </c>
      <c r="F588" s="66" t="s">
        <v>632</v>
      </c>
      <c r="G588" s="132" t="s">
        <v>450</v>
      </c>
      <c r="H588" s="100" t="s">
        <v>577</v>
      </c>
      <c r="I588" s="60" t="s">
        <v>578</v>
      </c>
      <c r="J588" s="116">
        <v>200</v>
      </c>
      <c r="K588" s="105" t="s">
        <v>28</v>
      </c>
      <c r="L588" s="105" t="s">
        <v>57</v>
      </c>
      <c r="M588" s="89" t="s">
        <v>515</v>
      </c>
      <c r="N588" s="117">
        <v>200</v>
      </c>
      <c r="O588" s="137">
        <f t="shared" si="29"/>
        <v>0</v>
      </c>
      <c r="P588" s="115">
        <v>44976</v>
      </c>
      <c r="Q588" s="61">
        <f t="shared" si="32"/>
        <v>44976</v>
      </c>
      <c r="R588" s="68" t="s">
        <v>1250</v>
      </c>
      <c r="S588" s="72" t="s">
        <v>1358</v>
      </c>
      <c r="T588" s="105"/>
      <c r="U588" s="68"/>
      <c r="V588" s="68"/>
      <c r="W588" s="68"/>
      <c r="X588" s="68"/>
    </row>
    <row r="589" s="17" customFormat="1" ht="36" hidden="1" spans="1:24">
      <c r="A589" s="59">
        <v>587</v>
      </c>
      <c r="B589" s="60" t="s">
        <v>1359</v>
      </c>
      <c r="C589" s="114">
        <f t="shared" si="30"/>
        <v>44973</v>
      </c>
      <c r="D589" s="62" t="str">
        <f ca="1" t="shared" si="31"/>
        <v>一年以上</v>
      </c>
      <c r="E589" s="115">
        <v>44973</v>
      </c>
      <c r="F589" s="66" t="s">
        <v>632</v>
      </c>
      <c r="G589" s="132" t="s">
        <v>450</v>
      </c>
      <c r="H589" s="100" t="s">
        <v>577</v>
      </c>
      <c r="I589" s="60" t="s">
        <v>578</v>
      </c>
      <c r="J589" s="116">
        <v>10000</v>
      </c>
      <c r="K589" s="105" t="s">
        <v>28</v>
      </c>
      <c r="L589" s="143" t="s">
        <v>57</v>
      </c>
      <c r="M589" s="89" t="s">
        <v>30</v>
      </c>
      <c r="N589" s="104">
        <v>10000</v>
      </c>
      <c r="O589" s="137">
        <f t="shared" si="29"/>
        <v>0</v>
      </c>
      <c r="P589" s="115">
        <v>45349</v>
      </c>
      <c r="Q589" s="61">
        <f t="shared" si="32"/>
        <v>45349</v>
      </c>
      <c r="R589" s="68"/>
      <c r="S589" s="72" t="s">
        <v>1358</v>
      </c>
      <c r="T589" s="105" t="s">
        <v>581</v>
      </c>
      <c r="U589" s="59" t="str">
        <f>VLOOKUP(T589,[1]区域划分!$A$1:$C$39,3,0)</f>
        <v>新疆</v>
      </c>
      <c r="V589" s="68"/>
      <c r="W589" s="68"/>
      <c r="X589" s="68"/>
    </row>
    <row r="590" s="17" customFormat="1" hidden="1" spans="1:24">
      <c r="A590" s="59">
        <v>588</v>
      </c>
      <c r="B590" s="60" t="s">
        <v>1360</v>
      </c>
      <c r="C590" s="114">
        <f t="shared" si="30"/>
        <v>44974</v>
      </c>
      <c r="D590" s="62" t="str">
        <f ca="1" t="shared" si="31"/>
        <v>一年以上</v>
      </c>
      <c r="E590" s="115">
        <v>44974</v>
      </c>
      <c r="F590" s="66" t="s">
        <v>70</v>
      </c>
      <c r="G590" s="132" t="s">
        <v>246</v>
      </c>
      <c r="H590" s="100" t="s">
        <v>341</v>
      </c>
      <c r="I590" s="60" t="s">
        <v>341</v>
      </c>
      <c r="J590" s="116">
        <v>2000</v>
      </c>
      <c r="K590" s="105" t="s">
        <v>28</v>
      </c>
      <c r="L590" s="105" t="s">
        <v>57</v>
      </c>
      <c r="M590" s="89" t="s">
        <v>65</v>
      </c>
      <c r="N590" s="117">
        <v>2000</v>
      </c>
      <c r="O590" s="137">
        <f t="shared" si="29"/>
        <v>0</v>
      </c>
      <c r="P590" s="115">
        <v>45006</v>
      </c>
      <c r="Q590" s="61">
        <f t="shared" si="32"/>
        <v>45006</v>
      </c>
      <c r="R590" s="68"/>
      <c r="S590" s="72"/>
      <c r="T590" s="105"/>
      <c r="U590" s="68"/>
      <c r="V590" s="68"/>
      <c r="W590" s="68"/>
      <c r="X590" s="68"/>
    </row>
    <row r="591" s="17" customFormat="1" ht="24" hidden="1" spans="1:24">
      <c r="A591" s="59">
        <v>589</v>
      </c>
      <c r="B591" s="60" t="s">
        <v>1361</v>
      </c>
      <c r="C591" s="114">
        <f t="shared" si="30"/>
        <v>44978</v>
      </c>
      <c r="D591" s="62" t="str">
        <f ca="1" t="shared" si="31"/>
        <v>一年以上</v>
      </c>
      <c r="E591" s="115">
        <v>44978</v>
      </c>
      <c r="F591" s="115" t="s">
        <v>632</v>
      </c>
      <c r="G591" s="132" t="s">
        <v>450</v>
      </c>
      <c r="H591" s="100" t="s">
        <v>1362</v>
      </c>
      <c r="I591" s="60" t="s">
        <v>1363</v>
      </c>
      <c r="J591" s="116">
        <v>10000</v>
      </c>
      <c r="K591" s="105" t="s">
        <v>28</v>
      </c>
      <c r="L591" s="105" t="s">
        <v>73</v>
      </c>
      <c r="M591" s="89" t="s">
        <v>30</v>
      </c>
      <c r="N591" s="117">
        <v>10000</v>
      </c>
      <c r="O591" s="138">
        <f t="shared" ref="O591:O654" si="33">J591-N591</f>
        <v>0</v>
      </c>
      <c r="P591" s="144">
        <v>45440</v>
      </c>
      <c r="Q591" s="61">
        <f t="shared" si="32"/>
        <v>45440</v>
      </c>
      <c r="R591" s="68"/>
      <c r="S591" s="72" t="s">
        <v>1364</v>
      </c>
      <c r="T591" s="105" t="s">
        <v>1365</v>
      </c>
      <c r="U591" s="59" t="str">
        <f>VLOOKUP(T591,[1]区域划分!$A$1:$C$39,3,0)</f>
        <v>方渊</v>
      </c>
      <c r="V591" s="68"/>
      <c r="W591" s="68"/>
      <c r="X591" s="68"/>
    </row>
    <row r="592" s="17" customFormat="1" ht="24" hidden="1" spans="1:24">
      <c r="A592" s="59">
        <v>590</v>
      </c>
      <c r="B592" s="60" t="s">
        <v>1366</v>
      </c>
      <c r="C592" s="114">
        <f t="shared" si="30"/>
        <v>44978</v>
      </c>
      <c r="D592" s="62" t="str">
        <f ca="1" t="shared" si="31"/>
        <v>一年以上</v>
      </c>
      <c r="E592" s="115">
        <v>44978</v>
      </c>
      <c r="F592" s="115" t="s">
        <v>632</v>
      </c>
      <c r="G592" s="132" t="s">
        <v>450</v>
      </c>
      <c r="H592" s="100" t="s">
        <v>1362</v>
      </c>
      <c r="I592" s="60" t="s">
        <v>1362</v>
      </c>
      <c r="J592" s="116">
        <v>200</v>
      </c>
      <c r="K592" s="105" t="s">
        <v>28</v>
      </c>
      <c r="L592" s="105" t="s">
        <v>73</v>
      </c>
      <c r="M592" s="89" t="s">
        <v>515</v>
      </c>
      <c r="N592" s="117">
        <v>200</v>
      </c>
      <c r="O592" s="137">
        <f t="shared" si="33"/>
        <v>0</v>
      </c>
      <c r="P592" s="115">
        <v>44991</v>
      </c>
      <c r="Q592" s="61">
        <f t="shared" si="32"/>
        <v>44991</v>
      </c>
      <c r="R592" s="68" t="s">
        <v>951</v>
      </c>
      <c r="S592" s="72" t="s">
        <v>1364</v>
      </c>
      <c r="T592" s="105"/>
      <c r="U592" s="68"/>
      <c r="V592" s="68"/>
      <c r="W592" s="68"/>
      <c r="X592" s="68"/>
    </row>
    <row r="593" s="17" customFormat="1" ht="24" hidden="1" spans="1:24">
      <c r="A593" s="59">
        <v>591</v>
      </c>
      <c r="B593" s="60" t="s">
        <v>1367</v>
      </c>
      <c r="C593" s="114">
        <f t="shared" si="30"/>
        <v>44978</v>
      </c>
      <c r="D593" s="62" t="str">
        <f ca="1" t="shared" si="31"/>
        <v>一年以上</v>
      </c>
      <c r="E593" s="115">
        <v>44978</v>
      </c>
      <c r="F593" s="115" t="s">
        <v>632</v>
      </c>
      <c r="G593" s="132" t="s">
        <v>450</v>
      </c>
      <c r="H593" s="100" t="s">
        <v>1368</v>
      </c>
      <c r="I593" s="60" t="s">
        <v>1368</v>
      </c>
      <c r="J593" s="116">
        <v>1000</v>
      </c>
      <c r="K593" s="105" t="s">
        <v>28</v>
      </c>
      <c r="L593" s="105" t="s">
        <v>73</v>
      </c>
      <c r="M593" s="89" t="s">
        <v>968</v>
      </c>
      <c r="N593" s="117">
        <v>1000</v>
      </c>
      <c r="O593" s="137">
        <f t="shared" si="33"/>
        <v>0</v>
      </c>
      <c r="P593" s="115">
        <v>45023</v>
      </c>
      <c r="Q593" s="61">
        <f t="shared" si="32"/>
        <v>45023</v>
      </c>
      <c r="R593" s="68"/>
      <c r="S593" s="72" t="s">
        <v>1369</v>
      </c>
      <c r="T593" s="105"/>
      <c r="U593" s="68"/>
      <c r="V593" s="68"/>
      <c r="W593" s="68"/>
      <c r="X593" s="68"/>
    </row>
    <row r="594" s="17" customFormat="1" ht="24" hidden="1" spans="1:24">
      <c r="A594" s="59">
        <v>592</v>
      </c>
      <c r="B594" s="60" t="s">
        <v>1370</v>
      </c>
      <c r="C594" s="114">
        <f t="shared" si="30"/>
        <v>44978</v>
      </c>
      <c r="D594" s="62" t="str">
        <f ca="1" t="shared" si="31"/>
        <v>一年以上</v>
      </c>
      <c r="E594" s="115">
        <v>44978</v>
      </c>
      <c r="F594" s="115" t="s">
        <v>632</v>
      </c>
      <c r="G594" s="132" t="s">
        <v>450</v>
      </c>
      <c r="H594" s="100" t="s">
        <v>495</v>
      </c>
      <c r="I594" s="60" t="s">
        <v>495</v>
      </c>
      <c r="J594" s="116">
        <v>2000</v>
      </c>
      <c r="K594" s="105" t="s">
        <v>356</v>
      </c>
      <c r="L594" s="105" t="s">
        <v>73</v>
      </c>
      <c r="M594" s="89" t="s">
        <v>30</v>
      </c>
      <c r="N594" s="117">
        <v>2000</v>
      </c>
      <c r="O594" s="137">
        <f t="shared" si="33"/>
        <v>0</v>
      </c>
      <c r="P594" s="115">
        <v>44985</v>
      </c>
      <c r="Q594" s="61">
        <f t="shared" si="32"/>
        <v>44985</v>
      </c>
      <c r="R594" s="68"/>
      <c r="S594" s="72" t="s">
        <v>1294</v>
      </c>
      <c r="T594" s="105" t="s">
        <v>182</v>
      </c>
      <c r="U594" s="68"/>
      <c r="V594" s="68"/>
      <c r="W594" s="68"/>
      <c r="X594" s="68"/>
    </row>
    <row r="595" s="17" customFormat="1" ht="24" hidden="1" spans="1:24">
      <c r="A595" s="59">
        <v>593</v>
      </c>
      <c r="B595" s="60" t="s">
        <v>1371</v>
      </c>
      <c r="C595" s="114">
        <f t="shared" si="30"/>
        <v>44979</v>
      </c>
      <c r="D595" s="62" t="str">
        <f ca="1" t="shared" si="31"/>
        <v>一年以上</v>
      </c>
      <c r="E595" s="115">
        <v>44979</v>
      </c>
      <c r="F595" s="66" t="s">
        <v>130</v>
      </c>
      <c r="G595" s="132" t="s">
        <v>1372</v>
      </c>
      <c r="H595" s="100" t="s">
        <v>863</v>
      </c>
      <c r="I595" s="60" t="s">
        <v>863</v>
      </c>
      <c r="J595" s="116">
        <v>5400</v>
      </c>
      <c r="K595" s="105" t="s">
        <v>28</v>
      </c>
      <c r="L595" s="105" t="s">
        <v>73</v>
      </c>
      <c r="M595" s="89" t="s">
        <v>133</v>
      </c>
      <c r="N595" s="117">
        <v>5400</v>
      </c>
      <c r="O595" s="137">
        <f t="shared" si="33"/>
        <v>0</v>
      </c>
      <c r="P595" s="115">
        <v>45230</v>
      </c>
      <c r="Q595" s="61">
        <f t="shared" si="32"/>
        <v>45230</v>
      </c>
      <c r="R595" s="68" t="s">
        <v>1077</v>
      </c>
      <c r="S595" s="60" t="s">
        <v>1373</v>
      </c>
      <c r="T595" s="105"/>
      <c r="U595" s="68"/>
      <c r="V595" s="68"/>
      <c r="W595" s="68"/>
      <c r="X595" s="68"/>
    </row>
    <row r="596" s="17" customFormat="1" ht="36" hidden="1" spans="1:24">
      <c r="A596" s="59">
        <v>594</v>
      </c>
      <c r="B596" s="60" t="s">
        <v>1374</v>
      </c>
      <c r="C596" s="114">
        <f t="shared" si="30"/>
        <v>44979</v>
      </c>
      <c r="D596" s="62" t="str">
        <f ca="1" t="shared" si="31"/>
        <v>一年以上</v>
      </c>
      <c r="E596" s="115">
        <v>44979</v>
      </c>
      <c r="F596" s="66" t="s">
        <v>130</v>
      </c>
      <c r="G596" s="132" t="s">
        <v>1372</v>
      </c>
      <c r="H596" s="100" t="s">
        <v>863</v>
      </c>
      <c r="I596" s="60" t="s">
        <v>863</v>
      </c>
      <c r="J596" s="116">
        <v>6400</v>
      </c>
      <c r="K596" s="105" t="s">
        <v>28</v>
      </c>
      <c r="L596" s="105" t="s">
        <v>73</v>
      </c>
      <c r="M596" s="89" t="s">
        <v>133</v>
      </c>
      <c r="N596" s="117">
        <v>6400</v>
      </c>
      <c r="O596" s="137">
        <f t="shared" si="33"/>
        <v>0</v>
      </c>
      <c r="P596" s="115">
        <v>45230</v>
      </c>
      <c r="Q596" s="61">
        <f t="shared" si="32"/>
        <v>45230</v>
      </c>
      <c r="R596" s="68" t="s">
        <v>1077</v>
      </c>
      <c r="S596" s="60" t="s">
        <v>1375</v>
      </c>
      <c r="T596" s="105"/>
      <c r="U596" s="68"/>
      <c r="V596" s="68"/>
      <c r="W596" s="68"/>
      <c r="X596" s="68"/>
    </row>
    <row r="597" s="24" customFormat="1" hidden="1" spans="1:24">
      <c r="A597" s="118">
        <v>595</v>
      </c>
      <c r="B597" s="119" t="s">
        <v>1376</v>
      </c>
      <c r="C597" s="120">
        <f t="shared" si="30"/>
        <v>44979</v>
      </c>
      <c r="D597" s="121" t="str">
        <f ca="1" t="shared" si="31"/>
        <v>一年以上</v>
      </c>
      <c r="E597" s="122">
        <v>44979</v>
      </c>
      <c r="F597" s="123" t="s">
        <v>130</v>
      </c>
      <c r="G597" s="135" t="s">
        <v>1372</v>
      </c>
      <c r="H597" s="100" t="s">
        <v>863</v>
      </c>
      <c r="I597" s="119" t="s">
        <v>863</v>
      </c>
      <c r="J597" s="127">
        <v>3100</v>
      </c>
      <c r="K597" s="131" t="s">
        <v>28</v>
      </c>
      <c r="L597" s="131" t="s">
        <v>73</v>
      </c>
      <c r="M597" s="124" t="s">
        <v>133</v>
      </c>
      <c r="N597" s="128">
        <v>3100</v>
      </c>
      <c r="O597" s="140">
        <f t="shared" si="33"/>
        <v>0</v>
      </c>
      <c r="P597" s="122" t="s">
        <v>2657</v>
      </c>
      <c r="Q597" s="129" t="str">
        <f t="shared" si="32"/>
        <v>2024.7.26</v>
      </c>
      <c r="R597" s="130" t="s">
        <v>1377</v>
      </c>
      <c r="S597" s="119" t="s">
        <v>1378</v>
      </c>
      <c r="T597" s="131" t="s">
        <v>972</v>
      </c>
      <c r="U597" s="118" t="str">
        <f>VLOOKUP(T597,[1]区域划分!$A$1:$C$39,3,0)</f>
        <v>曾江利</v>
      </c>
      <c r="V597" s="130"/>
      <c r="W597" s="130"/>
      <c r="X597" s="130"/>
    </row>
    <row r="598" s="17" customFormat="1" hidden="1" spans="1:24">
      <c r="A598" s="59">
        <v>596</v>
      </c>
      <c r="B598" s="60" t="s">
        <v>1379</v>
      </c>
      <c r="C598" s="114">
        <f t="shared" si="30"/>
        <v>44979</v>
      </c>
      <c r="D598" s="62" t="str">
        <f ca="1" t="shared" si="31"/>
        <v>一年以上</v>
      </c>
      <c r="E598" s="115">
        <v>44979</v>
      </c>
      <c r="F598" s="66" t="s">
        <v>130</v>
      </c>
      <c r="G598" s="132" t="s">
        <v>1372</v>
      </c>
      <c r="H598" s="100" t="s">
        <v>863</v>
      </c>
      <c r="I598" s="60" t="s">
        <v>863</v>
      </c>
      <c r="J598" s="116">
        <v>4500</v>
      </c>
      <c r="K598" s="105" t="s">
        <v>28</v>
      </c>
      <c r="L598" s="105" t="s">
        <v>73</v>
      </c>
      <c r="M598" s="89" t="s">
        <v>133</v>
      </c>
      <c r="N598" s="117">
        <v>4500</v>
      </c>
      <c r="O598" s="137">
        <f t="shared" si="33"/>
        <v>0</v>
      </c>
      <c r="P598" s="115">
        <v>45230</v>
      </c>
      <c r="Q598" s="61">
        <f t="shared" si="32"/>
        <v>45230</v>
      </c>
      <c r="R598" s="68" t="s">
        <v>1077</v>
      </c>
      <c r="S598" s="60" t="s">
        <v>1380</v>
      </c>
      <c r="T598" s="105"/>
      <c r="U598" s="68"/>
      <c r="V598" s="68"/>
      <c r="W598" s="68"/>
      <c r="X598" s="68"/>
    </row>
    <row r="599" s="17" customFormat="1" ht="24" hidden="1" spans="1:24">
      <c r="A599" s="59">
        <v>597</v>
      </c>
      <c r="B599" s="60" t="s">
        <v>1381</v>
      </c>
      <c r="C599" s="114">
        <f t="shared" si="30"/>
        <v>44979</v>
      </c>
      <c r="D599" s="62" t="str">
        <f ca="1" t="shared" si="31"/>
        <v>一年以上</v>
      </c>
      <c r="E599" s="115">
        <v>44979</v>
      </c>
      <c r="F599" s="66" t="s">
        <v>130</v>
      </c>
      <c r="G599" s="132" t="s">
        <v>456</v>
      </c>
      <c r="H599" s="60" t="s">
        <v>457</v>
      </c>
      <c r="I599" s="60" t="s">
        <v>1382</v>
      </c>
      <c r="J599" s="116">
        <v>15800</v>
      </c>
      <c r="K599" s="105" t="s">
        <v>28</v>
      </c>
      <c r="L599" s="105" t="s">
        <v>73</v>
      </c>
      <c r="M599" s="89" t="s">
        <v>133</v>
      </c>
      <c r="N599" s="117"/>
      <c r="O599" s="137">
        <f t="shared" si="33"/>
        <v>15800</v>
      </c>
      <c r="P599" s="115"/>
      <c r="Q599" s="61">
        <f t="shared" si="32"/>
        <v>0</v>
      </c>
      <c r="R599" s="68"/>
      <c r="S599" s="72" t="s">
        <v>1383</v>
      </c>
      <c r="T599" s="105" t="s">
        <v>1152</v>
      </c>
      <c r="U599" s="59" t="str">
        <f>VLOOKUP(T599,[1]区域划分!$A$1:$C$39,3,0)</f>
        <v>饶亚龙</v>
      </c>
      <c r="V599" s="68"/>
      <c r="W599" s="68"/>
      <c r="X599" s="68"/>
    </row>
    <row r="600" s="17" customFormat="1" hidden="1" spans="1:24">
      <c r="A600" s="59">
        <v>598</v>
      </c>
      <c r="B600" s="60" t="s">
        <v>1384</v>
      </c>
      <c r="C600" s="114">
        <f t="shared" si="30"/>
        <v>44979</v>
      </c>
      <c r="D600" s="62" t="str">
        <f ca="1" t="shared" si="31"/>
        <v>一年以上</v>
      </c>
      <c r="E600" s="115">
        <v>44979</v>
      </c>
      <c r="F600" s="115" t="s">
        <v>632</v>
      </c>
      <c r="G600" s="132" t="s">
        <v>450</v>
      </c>
      <c r="H600" s="100" t="s">
        <v>1385</v>
      </c>
      <c r="I600" s="60" t="s">
        <v>1385</v>
      </c>
      <c r="J600" s="116">
        <v>300</v>
      </c>
      <c r="K600" s="105" t="s">
        <v>28</v>
      </c>
      <c r="L600" s="105" t="s">
        <v>73</v>
      </c>
      <c r="M600" s="89" t="s">
        <v>968</v>
      </c>
      <c r="N600" s="117">
        <v>300</v>
      </c>
      <c r="O600" s="137">
        <f t="shared" si="33"/>
        <v>0</v>
      </c>
      <c r="P600" s="115">
        <v>44987</v>
      </c>
      <c r="Q600" s="61">
        <f t="shared" si="32"/>
        <v>44987</v>
      </c>
      <c r="R600" s="68"/>
      <c r="S600" s="72" t="s">
        <v>1386</v>
      </c>
      <c r="T600" s="105"/>
      <c r="U600" s="68"/>
      <c r="V600" s="68"/>
      <c r="W600" s="68"/>
      <c r="X600" s="68"/>
    </row>
    <row r="601" s="17" customFormat="1" hidden="1" spans="1:24">
      <c r="A601" s="59">
        <v>599</v>
      </c>
      <c r="B601" s="60" t="s">
        <v>1387</v>
      </c>
      <c r="C601" s="114">
        <f t="shared" si="30"/>
        <v>44980</v>
      </c>
      <c r="D601" s="62" t="str">
        <f ca="1" t="shared" si="31"/>
        <v>一年以上</v>
      </c>
      <c r="E601" s="115">
        <v>44980</v>
      </c>
      <c r="F601" s="115" t="s">
        <v>632</v>
      </c>
      <c r="G601" s="132" t="s">
        <v>450</v>
      </c>
      <c r="H601" s="100" t="s">
        <v>1388</v>
      </c>
      <c r="I601" s="60" t="s">
        <v>1388</v>
      </c>
      <c r="J601" s="116">
        <v>6000</v>
      </c>
      <c r="K601" s="105" t="s">
        <v>28</v>
      </c>
      <c r="L601" s="105" t="s">
        <v>73</v>
      </c>
      <c r="M601" s="89" t="s">
        <v>968</v>
      </c>
      <c r="N601" s="117">
        <v>6000</v>
      </c>
      <c r="O601" s="137">
        <f t="shared" si="33"/>
        <v>0</v>
      </c>
      <c r="P601" s="115">
        <v>45161</v>
      </c>
      <c r="Q601" s="61">
        <f t="shared" si="32"/>
        <v>45161</v>
      </c>
      <c r="R601" s="59" t="s">
        <v>951</v>
      </c>
      <c r="S601" s="72" t="s">
        <v>1389</v>
      </c>
      <c r="T601" s="105"/>
      <c r="U601" s="68"/>
      <c r="V601" s="68"/>
      <c r="W601" s="68"/>
      <c r="X601" s="68"/>
    </row>
    <row r="602" s="17" customFormat="1" ht="24" hidden="1" spans="1:24">
      <c r="A602" s="59">
        <v>600</v>
      </c>
      <c r="B602" s="60" t="s">
        <v>1390</v>
      </c>
      <c r="C602" s="114">
        <f t="shared" si="30"/>
        <v>44980</v>
      </c>
      <c r="D602" s="62" t="str">
        <f ca="1" t="shared" si="31"/>
        <v>一年以上</v>
      </c>
      <c r="E602" s="115">
        <v>44980</v>
      </c>
      <c r="F602" s="115" t="s">
        <v>632</v>
      </c>
      <c r="G602" s="132" t="s">
        <v>450</v>
      </c>
      <c r="H602" s="100" t="s">
        <v>1391</v>
      </c>
      <c r="I602" s="60" t="s">
        <v>1391</v>
      </c>
      <c r="J602" s="116">
        <v>2500</v>
      </c>
      <c r="K602" s="105" t="s">
        <v>28</v>
      </c>
      <c r="L602" s="105" t="s">
        <v>73</v>
      </c>
      <c r="M602" s="89" t="s">
        <v>968</v>
      </c>
      <c r="N602" s="117"/>
      <c r="O602" s="137">
        <f t="shared" si="33"/>
        <v>2500</v>
      </c>
      <c r="P602" s="115"/>
      <c r="Q602" s="61">
        <f t="shared" si="32"/>
        <v>0</v>
      </c>
      <c r="R602" s="68"/>
      <c r="S602" s="72" t="s">
        <v>1389</v>
      </c>
      <c r="T602" s="105" t="s">
        <v>32</v>
      </c>
      <c r="U602" s="59" t="str">
        <f>VLOOKUP(T602,[1]区域划分!$A$1:$C$39,3,0)</f>
        <v>方渊</v>
      </c>
      <c r="V602" s="68"/>
      <c r="W602" s="68"/>
      <c r="X602" s="68"/>
    </row>
    <row r="603" s="17" customFormat="1" ht="24" hidden="1" spans="1:24">
      <c r="A603" s="59">
        <v>601</v>
      </c>
      <c r="B603" s="60" t="s">
        <v>1392</v>
      </c>
      <c r="C603" s="114">
        <f t="shared" si="30"/>
        <v>44980</v>
      </c>
      <c r="D603" s="62" t="str">
        <f ca="1" t="shared" si="31"/>
        <v>一年以上</v>
      </c>
      <c r="E603" s="115">
        <v>44980</v>
      </c>
      <c r="F603" s="115" t="s">
        <v>632</v>
      </c>
      <c r="G603" s="132" t="s">
        <v>450</v>
      </c>
      <c r="H603" s="100" t="s">
        <v>1391</v>
      </c>
      <c r="I603" s="60" t="s">
        <v>1391</v>
      </c>
      <c r="J603" s="116">
        <v>900</v>
      </c>
      <c r="K603" s="105" t="s">
        <v>28</v>
      </c>
      <c r="L603" s="105" t="s">
        <v>73</v>
      </c>
      <c r="M603" s="89" t="s">
        <v>968</v>
      </c>
      <c r="N603" s="117"/>
      <c r="O603" s="137">
        <f t="shared" si="33"/>
        <v>900</v>
      </c>
      <c r="P603" s="115"/>
      <c r="Q603" s="61">
        <f t="shared" si="32"/>
        <v>0</v>
      </c>
      <c r="R603" s="68"/>
      <c r="S603" s="72" t="s">
        <v>1393</v>
      </c>
      <c r="T603" s="105" t="s">
        <v>32</v>
      </c>
      <c r="U603" s="59" t="str">
        <f>VLOOKUP(T603,[1]区域划分!$A$1:$C$39,3,0)</f>
        <v>方渊</v>
      </c>
      <c r="V603" s="68"/>
      <c r="W603" s="68"/>
      <c r="X603" s="68"/>
    </row>
    <row r="604" s="17" customFormat="1" ht="24" hidden="1" spans="1:24">
      <c r="A604" s="59">
        <v>602</v>
      </c>
      <c r="B604" s="60" t="s">
        <v>1394</v>
      </c>
      <c r="C604" s="114">
        <f t="shared" si="30"/>
        <v>44984</v>
      </c>
      <c r="D604" s="62" t="str">
        <f ca="1" t="shared" si="31"/>
        <v>一年以上</v>
      </c>
      <c r="E604" s="115">
        <v>44984</v>
      </c>
      <c r="F604" s="115" t="s">
        <v>632</v>
      </c>
      <c r="G604" s="132" t="s">
        <v>450</v>
      </c>
      <c r="H604" s="100" t="s">
        <v>1336</v>
      </c>
      <c r="I604" s="60" t="s">
        <v>1336</v>
      </c>
      <c r="J604" s="116">
        <v>20100</v>
      </c>
      <c r="K604" s="105" t="s">
        <v>28</v>
      </c>
      <c r="L604" s="105" t="s">
        <v>73</v>
      </c>
      <c r="M604" s="89" t="s">
        <v>30</v>
      </c>
      <c r="N604" s="117">
        <v>20100</v>
      </c>
      <c r="O604" s="137">
        <f t="shared" si="33"/>
        <v>0</v>
      </c>
      <c r="P604" s="115">
        <v>45060</v>
      </c>
      <c r="Q604" s="61">
        <f t="shared" si="32"/>
        <v>45060</v>
      </c>
      <c r="R604" s="68"/>
      <c r="S604" s="142" t="s">
        <v>1395</v>
      </c>
      <c r="T604" s="105"/>
      <c r="U604" s="68"/>
      <c r="V604" s="68" t="s">
        <v>1396</v>
      </c>
      <c r="W604" s="68"/>
      <c r="X604" s="68"/>
    </row>
    <row r="605" s="17" customFormat="1" ht="24" hidden="1" spans="1:24">
      <c r="A605" s="59">
        <v>603</v>
      </c>
      <c r="B605" s="60" t="s">
        <v>1397</v>
      </c>
      <c r="C605" s="114">
        <f t="shared" si="30"/>
        <v>44985</v>
      </c>
      <c r="D605" s="62" t="str">
        <f ca="1" t="shared" si="31"/>
        <v>一年以上</v>
      </c>
      <c r="E605" s="115">
        <v>44985</v>
      </c>
      <c r="F605" s="115" t="s">
        <v>632</v>
      </c>
      <c r="G605" s="132" t="s">
        <v>450</v>
      </c>
      <c r="H605" s="100" t="s">
        <v>1302</v>
      </c>
      <c r="I605" s="60" t="s">
        <v>1302</v>
      </c>
      <c r="J605" s="116">
        <v>20100</v>
      </c>
      <c r="K605" s="105" t="s">
        <v>28</v>
      </c>
      <c r="L605" s="105" t="s">
        <v>73</v>
      </c>
      <c r="M605" s="89" t="s">
        <v>30</v>
      </c>
      <c r="N605" s="117">
        <v>20100</v>
      </c>
      <c r="O605" s="137">
        <f t="shared" si="33"/>
        <v>0</v>
      </c>
      <c r="P605" s="115">
        <v>45258</v>
      </c>
      <c r="Q605" s="61">
        <f t="shared" si="32"/>
        <v>45258</v>
      </c>
      <c r="R605" s="68" t="s">
        <v>1398</v>
      </c>
      <c r="S605" s="142" t="s">
        <v>1395</v>
      </c>
      <c r="T605" s="105" t="s">
        <v>171</v>
      </c>
      <c r="U605" s="59" t="str">
        <f>VLOOKUP(T605,[1]区域划分!$A$1:$C$39,3,0)</f>
        <v>牛国庆</v>
      </c>
      <c r="V605" s="68" t="s">
        <v>1399</v>
      </c>
      <c r="W605" s="68"/>
      <c r="X605" s="68"/>
    </row>
    <row r="606" s="17" customFormat="1" ht="24" hidden="1" spans="1:24">
      <c r="A606" s="59">
        <v>604</v>
      </c>
      <c r="B606" s="60" t="s">
        <v>1400</v>
      </c>
      <c r="C606" s="114">
        <f t="shared" si="30"/>
        <v>44987</v>
      </c>
      <c r="D606" s="62" t="str">
        <f ca="1" t="shared" si="31"/>
        <v>一年以上</v>
      </c>
      <c r="E606" s="115">
        <v>44987</v>
      </c>
      <c r="F606" s="115" t="s">
        <v>632</v>
      </c>
      <c r="G606" s="132" t="s">
        <v>450</v>
      </c>
      <c r="H606" s="100" t="s">
        <v>842</v>
      </c>
      <c r="I606" s="60" t="s">
        <v>842</v>
      </c>
      <c r="J606" s="116">
        <v>1000</v>
      </c>
      <c r="K606" s="105" t="s">
        <v>28</v>
      </c>
      <c r="L606" s="105" t="s">
        <v>73</v>
      </c>
      <c r="M606" s="89" t="s">
        <v>968</v>
      </c>
      <c r="N606" s="117">
        <v>1000</v>
      </c>
      <c r="O606" s="137">
        <f t="shared" si="33"/>
        <v>0</v>
      </c>
      <c r="P606" s="115">
        <v>44998</v>
      </c>
      <c r="Q606" s="61">
        <f t="shared" si="32"/>
        <v>44998</v>
      </c>
      <c r="R606" s="68"/>
      <c r="S606" s="72" t="s">
        <v>1401</v>
      </c>
      <c r="T606" s="105"/>
      <c r="U606" s="68"/>
      <c r="V606" s="68"/>
      <c r="W606" s="68"/>
      <c r="X606" s="68"/>
    </row>
    <row r="607" s="17" customFormat="1" ht="24" hidden="1" spans="1:24">
      <c r="A607" s="59">
        <v>605</v>
      </c>
      <c r="B607" s="60" t="s">
        <v>1402</v>
      </c>
      <c r="C607" s="114">
        <f t="shared" si="30"/>
        <v>44987</v>
      </c>
      <c r="D607" s="62" t="str">
        <f ca="1" t="shared" si="31"/>
        <v>一年以上</v>
      </c>
      <c r="E607" s="115">
        <v>44987</v>
      </c>
      <c r="F607" s="115" t="s">
        <v>632</v>
      </c>
      <c r="G607" s="132" t="s">
        <v>450</v>
      </c>
      <c r="H607" s="100" t="s">
        <v>967</v>
      </c>
      <c r="I607" s="60" t="s">
        <v>967</v>
      </c>
      <c r="J607" s="116">
        <v>1000</v>
      </c>
      <c r="K607" s="105" t="s">
        <v>28</v>
      </c>
      <c r="L607" s="105" t="s">
        <v>73</v>
      </c>
      <c r="M607" s="89" t="s">
        <v>968</v>
      </c>
      <c r="N607" s="117"/>
      <c r="O607" s="137">
        <f t="shared" si="33"/>
        <v>1000</v>
      </c>
      <c r="P607" s="115"/>
      <c r="Q607" s="61">
        <f t="shared" si="32"/>
        <v>0</v>
      </c>
      <c r="R607" s="68"/>
      <c r="S607" s="72" t="s">
        <v>1403</v>
      </c>
      <c r="T607" s="105" t="s">
        <v>171</v>
      </c>
      <c r="U607" s="59" t="str">
        <f>VLOOKUP(T607,[1]区域划分!$A$1:$C$39,3,0)</f>
        <v>牛国庆</v>
      </c>
      <c r="V607" s="68"/>
      <c r="W607" s="68"/>
      <c r="X607" s="68"/>
    </row>
    <row r="608" s="17" customFormat="1" ht="24" hidden="1" spans="1:24">
      <c r="A608" s="59">
        <v>606</v>
      </c>
      <c r="B608" s="60" t="s">
        <v>1404</v>
      </c>
      <c r="C608" s="114">
        <f t="shared" si="30"/>
        <v>44988</v>
      </c>
      <c r="D608" s="62" t="str">
        <f ca="1" t="shared" si="31"/>
        <v>一年以上</v>
      </c>
      <c r="E608" s="115">
        <v>44988</v>
      </c>
      <c r="F608" s="115" t="s">
        <v>70</v>
      </c>
      <c r="G608" s="132" t="s">
        <v>1405</v>
      </c>
      <c r="H608" s="100" t="s">
        <v>286</v>
      </c>
      <c r="I608" s="60" t="s">
        <v>286</v>
      </c>
      <c r="J608" s="116">
        <v>2000</v>
      </c>
      <c r="K608" s="105" t="s">
        <v>28</v>
      </c>
      <c r="L608" s="105" t="s">
        <v>73</v>
      </c>
      <c r="M608" s="89" t="s">
        <v>65</v>
      </c>
      <c r="N608" s="117">
        <v>2000</v>
      </c>
      <c r="O608" s="117">
        <f t="shared" si="33"/>
        <v>0</v>
      </c>
      <c r="P608" s="115">
        <v>45190</v>
      </c>
      <c r="Q608" s="61">
        <f t="shared" si="32"/>
        <v>45190</v>
      </c>
      <c r="R608" s="68"/>
      <c r="S608" s="72"/>
      <c r="T608" s="105" t="s">
        <v>267</v>
      </c>
      <c r="U608" s="59" t="str">
        <f>VLOOKUP(T608,[1]区域划分!$A$1:$C$39,3,0)</f>
        <v>牛国庆</v>
      </c>
      <c r="V608" s="68"/>
      <c r="W608" s="68"/>
      <c r="X608" s="68"/>
    </row>
    <row r="609" s="17" customFormat="1" ht="24" hidden="1" spans="1:24">
      <c r="A609" s="59">
        <v>607</v>
      </c>
      <c r="B609" s="60" t="s">
        <v>1406</v>
      </c>
      <c r="C609" s="114">
        <f t="shared" si="30"/>
        <v>44989</v>
      </c>
      <c r="D609" s="62" t="str">
        <f ca="1" t="shared" si="31"/>
        <v>一年以上</v>
      </c>
      <c r="E609" s="115">
        <v>44989</v>
      </c>
      <c r="F609" s="115" t="s">
        <v>70</v>
      </c>
      <c r="G609" s="132" t="s">
        <v>1407</v>
      </c>
      <c r="H609" s="100" t="s">
        <v>1408</v>
      </c>
      <c r="I609" s="60" t="s">
        <v>1408</v>
      </c>
      <c r="J609" s="116">
        <v>2000</v>
      </c>
      <c r="K609" s="105" t="s">
        <v>28</v>
      </c>
      <c r="L609" s="105" t="s">
        <v>1409</v>
      </c>
      <c r="M609" s="89" t="s">
        <v>65</v>
      </c>
      <c r="N609" s="117">
        <v>2000</v>
      </c>
      <c r="O609" s="137">
        <f t="shared" si="33"/>
        <v>0</v>
      </c>
      <c r="P609" s="115">
        <v>45021</v>
      </c>
      <c r="Q609" s="61">
        <f t="shared" si="32"/>
        <v>45021</v>
      </c>
      <c r="R609" s="68" t="s">
        <v>1410</v>
      </c>
      <c r="S609" s="72" t="s">
        <v>1411</v>
      </c>
      <c r="T609" s="105"/>
      <c r="U609" s="68"/>
      <c r="V609" s="68"/>
      <c r="W609" s="68"/>
      <c r="X609" s="68"/>
    </row>
    <row r="610" s="17" customFormat="1" ht="36" hidden="1" spans="1:24">
      <c r="A610" s="59">
        <v>608</v>
      </c>
      <c r="B610" s="60" t="s">
        <v>1412</v>
      </c>
      <c r="C610" s="114">
        <f t="shared" si="30"/>
        <v>44991</v>
      </c>
      <c r="D610" s="62" t="str">
        <f ca="1" t="shared" si="31"/>
        <v>一年以上</v>
      </c>
      <c r="E610" s="115">
        <v>44991</v>
      </c>
      <c r="F610" s="115" t="s">
        <v>632</v>
      </c>
      <c r="G610" s="132" t="s">
        <v>993</v>
      </c>
      <c r="H610" s="100" t="s">
        <v>1413</v>
      </c>
      <c r="I610" s="60" t="s">
        <v>1413</v>
      </c>
      <c r="J610" s="116">
        <v>500</v>
      </c>
      <c r="K610" s="105" t="s">
        <v>28</v>
      </c>
      <c r="L610" s="105" t="s">
        <v>73</v>
      </c>
      <c r="M610" s="89" t="s">
        <v>515</v>
      </c>
      <c r="N610" s="117"/>
      <c r="O610" s="140">
        <f t="shared" si="33"/>
        <v>500</v>
      </c>
      <c r="P610" s="115"/>
      <c r="Q610" s="61">
        <f t="shared" si="32"/>
        <v>0</v>
      </c>
      <c r="R610" s="68"/>
      <c r="S610" s="72" t="s">
        <v>1414</v>
      </c>
      <c r="T610" s="105" t="s">
        <v>972</v>
      </c>
      <c r="U610" s="59" t="str">
        <f>VLOOKUP(T610,[1]区域划分!$A$1:$C$39,3,0)</f>
        <v>曾江利</v>
      </c>
      <c r="V610" s="68"/>
      <c r="W610" s="68"/>
      <c r="X610" s="68"/>
    </row>
    <row r="611" s="17" customFormat="1" ht="36" hidden="1" spans="1:24">
      <c r="A611" s="59">
        <v>609</v>
      </c>
      <c r="B611" s="60" t="s">
        <v>1415</v>
      </c>
      <c r="C611" s="114">
        <f t="shared" si="30"/>
        <v>44991</v>
      </c>
      <c r="D611" s="62" t="str">
        <f ca="1" t="shared" si="31"/>
        <v>一年以上</v>
      </c>
      <c r="E611" s="115">
        <v>44991</v>
      </c>
      <c r="F611" s="115" t="s">
        <v>632</v>
      </c>
      <c r="G611" s="132" t="s">
        <v>993</v>
      </c>
      <c r="H611" s="100" t="s">
        <v>1413</v>
      </c>
      <c r="I611" s="60" t="s">
        <v>1413</v>
      </c>
      <c r="J611" s="116">
        <v>500</v>
      </c>
      <c r="K611" s="105" t="s">
        <v>28</v>
      </c>
      <c r="L611" s="105" t="s">
        <v>73</v>
      </c>
      <c r="M611" s="89" t="s">
        <v>515</v>
      </c>
      <c r="N611" s="117"/>
      <c r="O611" s="140">
        <f t="shared" si="33"/>
        <v>500</v>
      </c>
      <c r="P611" s="115"/>
      <c r="Q611" s="61">
        <f t="shared" si="32"/>
        <v>0</v>
      </c>
      <c r="R611" s="68"/>
      <c r="S611" s="72" t="s">
        <v>1416</v>
      </c>
      <c r="T611" s="105" t="s">
        <v>972</v>
      </c>
      <c r="U611" s="59" t="str">
        <f>VLOOKUP(T611,[1]区域划分!$A$1:$C$39,3,0)</f>
        <v>曾江利</v>
      </c>
      <c r="V611" s="68"/>
      <c r="W611" s="68"/>
      <c r="X611" s="68"/>
    </row>
    <row r="612" s="17" customFormat="1" ht="24" hidden="1" spans="1:24">
      <c r="A612" s="59">
        <v>610</v>
      </c>
      <c r="B612" s="60" t="s">
        <v>1417</v>
      </c>
      <c r="C612" s="114">
        <f t="shared" si="30"/>
        <v>44991</v>
      </c>
      <c r="D612" s="62" t="str">
        <f ca="1" t="shared" si="31"/>
        <v>一年以上</v>
      </c>
      <c r="E612" s="115">
        <v>44991</v>
      </c>
      <c r="F612" s="115" t="s">
        <v>632</v>
      </c>
      <c r="G612" s="132" t="s">
        <v>450</v>
      </c>
      <c r="H612" s="100" t="s">
        <v>1418</v>
      </c>
      <c r="I612" s="60" t="s">
        <v>1418</v>
      </c>
      <c r="J612" s="116">
        <v>80000</v>
      </c>
      <c r="K612" s="105" t="s">
        <v>356</v>
      </c>
      <c r="L612" s="105" t="s">
        <v>73</v>
      </c>
      <c r="M612" s="89" t="s">
        <v>30</v>
      </c>
      <c r="N612" s="117">
        <v>80000</v>
      </c>
      <c r="O612" s="137">
        <f t="shared" si="33"/>
        <v>0</v>
      </c>
      <c r="P612" s="115">
        <v>45012</v>
      </c>
      <c r="Q612" s="61">
        <f t="shared" si="32"/>
        <v>45012</v>
      </c>
      <c r="R612" s="68"/>
      <c r="S612" s="72" t="s">
        <v>1420</v>
      </c>
      <c r="T612" s="105"/>
      <c r="U612" s="68"/>
      <c r="V612" s="68"/>
      <c r="W612" s="68"/>
      <c r="X612" s="68"/>
    </row>
    <row r="613" s="17" customFormat="1" hidden="1" spans="1:24">
      <c r="A613" s="59">
        <v>611</v>
      </c>
      <c r="B613" s="60" t="s">
        <v>1421</v>
      </c>
      <c r="C613" s="114">
        <f t="shared" si="30"/>
        <v>44991</v>
      </c>
      <c r="D613" s="62" t="str">
        <f ca="1" t="shared" si="31"/>
        <v>一年以上</v>
      </c>
      <c r="E613" s="115">
        <v>44991</v>
      </c>
      <c r="F613" s="115" t="s">
        <v>632</v>
      </c>
      <c r="G613" s="132" t="s">
        <v>450</v>
      </c>
      <c r="H613" s="100" t="s">
        <v>1422</v>
      </c>
      <c r="I613" s="60" t="s">
        <v>1422</v>
      </c>
      <c r="J613" s="116">
        <v>10000</v>
      </c>
      <c r="K613" s="105" t="s">
        <v>28</v>
      </c>
      <c r="L613" s="105" t="s">
        <v>73</v>
      </c>
      <c r="M613" s="89" t="s">
        <v>30</v>
      </c>
      <c r="N613" s="117">
        <v>10000</v>
      </c>
      <c r="O613" s="137">
        <f t="shared" si="33"/>
        <v>0</v>
      </c>
      <c r="P613" s="115">
        <v>45005</v>
      </c>
      <c r="Q613" s="61">
        <f t="shared" si="32"/>
        <v>45005</v>
      </c>
      <c r="R613" s="68"/>
      <c r="S613" s="72" t="s">
        <v>1423</v>
      </c>
      <c r="T613" s="105"/>
      <c r="U613" s="68"/>
      <c r="V613" s="68"/>
      <c r="W613" s="68"/>
      <c r="X613" s="68"/>
    </row>
    <row r="614" s="17" customFormat="1" hidden="1" spans="1:24">
      <c r="A614" s="59">
        <v>612</v>
      </c>
      <c r="B614" s="60" t="s">
        <v>1424</v>
      </c>
      <c r="C614" s="114">
        <f t="shared" si="30"/>
        <v>44991</v>
      </c>
      <c r="D614" s="62" t="str">
        <f ca="1" t="shared" si="31"/>
        <v>一年以上</v>
      </c>
      <c r="E614" s="115">
        <v>44991</v>
      </c>
      <c r="F614" s="115" t="s">
        <v>632</v>
      </c>
      <c r="G614" s="132" t="s">
        <v>450</v>
      </c>
      <c r="H614" s="100" t="s">
        <v>1422</v>
      </c>
      <c r="I614" s="60" t="s">
        <v>1422</v>
      </c>
      <c r="J614" s="116">
        <v>200</v>
      </c>
      <c r="K614" s="105" t="s">
        <v>28</v>
      </c>
      <c r="L614" s="105" t="s">
        <v>73</v>
      </c>
      <c r="M614" s="89" t="s">
        <v>515</v>
      </c>
      <c r="N614" s="117">
        <v>200</v>
      </c>
      <c r="O614" s="137">
        <f t="shared" si="33"/>
        <v>0</v>
      </c>
      <c r="P614" s="115">
        <v>45006</v>
      </c>
      <c r="Q614" s="61">
        <f t="shared" si="32"/>
        <v>45006</v>
      </c>
      <c r="R614" s="68" t="s">
        <v>1250</v>
      </c>
      <c r="S614" s="72" t="s">
        <v>1423</v>
      </c>
      <c r="T614" s="105"/>
      <c r="U614" s="68"/>
      <c r="V614" s="68"/>
      <c r="W614" s="68"/>
      <c r="X614" s="68"/>
    </row>
    <row r="615" s="17" customFormat="1" hidden="1" spans="1:24">
      <c r="A615" s="59">
        <v>613</v>
      </c>
      <c r="B615" s="60" t="s">
        <v>1425</v>
      </c>
      <c r="C615" s="114">
        <f t="shared" si="30"/>
        <v>44992</v>
      </c>
      <c r="D615" s="62" t="str">
        <f ca="1" t="shared" si="31"/>
        <v>一年以上</v>
      </c>
      <c r="E615" s="115">
        <v>44992</v>
      </c>
      <c r="F615" s="115" t="s">
        <v>632</v>
      </c>
      <c r="G615" s="132" t="s">
        <v>450</v>
      </c>
      <c r="H615" s="100" t="s">
        <v>1426</v>
      </c>
      <c r="I615" s="60" t="s">
        <v>1426</v>
      </c>
      <c r="J615" s="116">
        <v>200</v>
      </c>
      <c r="K615" s="105" t="s">
        <v>28</v>
      </c>
      <c r="L615" s="105" t="s">
        <v>73</v>
      </c>
      <c r="M615" s="89" t="s">
        <v>515</v>
      </c>
      <c r="N615" s="117">
        <v>200</v>
      </c>
      <c r="O615" s="137">
        <f t="shared" si="33"/>
        <v>0</v>
      </c>
      <c r="P615" s="115">
        <v>45006</v>
      </c>
      <c r="Q615" s="61">
        <f t="shared" si="32"/>
        <v>45006</v>
      </c>
      <c r="R615" s="68" t="s">
        <v>1250</v>
      </c>
      <c r="S615" s="72" t="s">
        <v>1427</v>
      </c>
      <c r="T615" s="105"/>
      <c r="U615" s="68"/>
      <c r="V615" s="68"/>
      <c r="W615" s="68"/>
      <c r="X615" s="68"/>
    </row>
    <row r="616" s="17" customFormat="1" hidden="1" spans="1:24">
      <c r="A616" s="59">
        <v>614</v>
      </c>
      <c r="B616" s="60" t="s">
        <v>1428</v>
      </c>
      <c r="C616" s="114">
        <f t="shared" si="30"/>
        <v>44992</v>
      </c>
      <c r="D616" s="62" t="str">
        <f ca="1" t="shared" si="31"/>
        <v>一年以上</v>
      </c>
      <c r="E616" s="115">
        <v>44992</v>
      </c>
      <c r="F616" s="115" t="s">
        <v>632</v>
      </c>
      <c r="G616" s="132" t="s">
        <v>450</v>
      </c>
      <c r="H616" s="100" t="s">
        <v>1426</v>
      </c>
      <c r="I616" s="60" t="s">
        <v>1426</v>
      </c>
      <c r="J616" s="116">
        <v>1000</v>
      </c>
      <c r="K616" s="105" t="s">
        <v>28</v>
      </c>
      <c r="L616" s="105" t="s">
        <v>73</v>
      </c>
      <c r="M616" s="89" t="s">
        <v>30</v>
      </c>
      <c r="N616" s="117">
        <v>1000</v>
      </c>
      <c r="O616" s="137">
        <f t="shared" si="33"/>
        <v>0</v>
      </c>
      <c r="P616" s="115">
        <v>45006</v>
      </c>
      <c r="Q616" s="61">
        <f t="shared" si="32"/>
        <v>45006</v>
      </c>
      <c r="R616" s="68"/>
      <c r="S616" s="72" t="s">
        <v>1427</v>
      </c>
      <c r="T616" s="105"/>
      <c r="U616" s="68"/>
      <c r="V616" s="68"/>
      <c r="W616" s="68"/>
      <c r="X616" s="68"/>
    </row>
    <row r="617" s="17" customFormat="1" ht="24" hidden="1" spans="1:24">
      <c r="A617" s="59">
        <v>615</v>
      </c>
      <c r="B617" s="60" t="s">
        <v>1429</v>
      </c>
      <c r="C617" s="114">
        <f t="shared" si="30"/>
        <v>44992</v>
      </c>
      <c r="D617" s="62" t="str">
        <f ca="1" t="shared" si="31"/>
        <v>一年以上</v>
      </c>
      <c r="E617" s="115">
        <v>44992</v>
      </c>
      <c r="F617" s="115" t="s">
        <v>632</v>
      </c>
      <c r="G617" s="132" t="s">
        <v>450</v>
      </c>
      <c r="H617" s="100" t="s">
        <v>1430</v>
      </c>
      <c r="I617" s="60" t="s">
        <v>1430</v>
      </c>
      <c r="J617" s="116">
        <v>5000</v>
      </c>
      <c r="K617" s="105" t="s">
        <v>28</v>
      </c>
      <c r="L617" s="105" t="s">
        <v>73</v>
      </c>
      <c r="M617" s="89" t="s">
        <v>30</v>
      </c>
      <c r="N617" s="117">
        <v>5000</v>
      </c>
      <c r="O617" s="137">
        <f t="shared" si="33"/>
        <v>0</v>
      </c>
      <c r="P617" s="115">
        <v>45275</v>
      </c>
      <c r="Q617" s="61">
        <f t="shared" si="32"/>
        <v>45275</v>
      </c>
      <c r="R617" s="68" t="s">
        <v>1431</v>
      </c>
      <c r="S617" s="72" t="s">
        <v>1432</v>
      </c>
      <c r="T617" s="105" t="s">
        <v>720</v>
      </c>
      <c r="U617" s="59" t="str">
        <f>VLOOKUP(T617,[1]区域划分!$A$1:$C$39,3,0)</f>
        <v>杨春龙</v>
      </c>
      <c r="V617" s="68"/>
      <c r="W617" s="68"/>
      <c r="X617" s="68"/>
    </row>
    <row r="618" s="17" customFormat="1" hidden="1" spans="1:24">
      <c r="A618" s="59">
        <v>616</v>
      </c>
      <c r="B618" s="60" t="s">
        <v>1433</v>
      </c>
      <c r="C618" s="114">
        <f t="shared" si="30"/>
        <v>44994</v>
      </c>
      <c r="D618" s="62" t="str">
        <f ca="1" t="shared" si="31"/>
        <v>一年以上</v>
      </c>
      <c r="E618" s="115">
        <v>44994</v>
      </c>
      <c r="F618" s="115" t="s">
        <v>632</v>
      </c>
      <c r="G618" s="132" t="s">
        <v>450</v>
      </c>
      <c r="H618" s="100" t="s">
        <v>863</v>
      </c>
      <c r="I618" s="60" t="s">
        <v>863</v>
      </c>
      <c r="J618" s="127">
        <v>500</v>
      </c>
      <c r="K618" s="105" t="s">
        <v>28</v>
      </c>
      <c r="L618" s="105" t="s">
        <v>73</v>
      </c>
      <c r="M618" s="89" t="s">
        <v>515</v>
      </c>
      <c r="N618" s="117"/>
      <c r="O618" s="140">
        <f t="shared" si="33"/>
        <v>500</v>
      </c>
      <c r="P618" s="115"/>
      <c r="Q618" s="61">
        <f t="shared" si="32"/>
        <v>0</v>
      </c>
      <c r="R618" s="68"/>
      <c r="S618" s="72" t="s">
        <v>1434</v>
      </c>
      <c r="T618" s="105" t="s">
        <v>972</v>
      </c>
      <c r="U618" s="59" t="str">
        <f>VLOOKUP(T618,[1]区域划分!$A$1:$C$39,3,0)</f>
        <v>曾江利</v>
      </c>
      <c r="V618" s="68"/>
      <c r="W618" s="68"/>
      <c r="X618" s="68"/>
    </row>
    <row r="619" s="17" customFormat="1" hidden="1" spans="1:24">
      <c r="A619" s="59">
        <v>617</v>
      </c>
      <c r="B619" s="60" t="s">
        <v>1435</v>
      </c>
      <c r="C619" s="114">
        <f t="shared" si="30"/>
        <v>44994</v>
      </c>
      <c r="D619" s="62" t="str">
        <f ca="1" t="shared" si="31"/>
        <v>一年以上</v>
      </c>
      <c r="E619" s="115">
        <v>44994</v>
      </c>
      <c r="F619" s="115" t="s">
        <v>632</v>
      </c>
      <c r="G619" s="132" t="s">
        <v>450</v>
      </c>
      <c r="H619" s="100" t="s">
        <v>1436</v>
      </c>
      <c r="I619" s="60" t="s">
        <v>1436</v>
      </c>
      <c r="J619" s="116">
        <v>9000</v>
      </c>
      <c r="K619" s="105" t="s">
        <v>28</v>
      </c>
      <c r="L619" s="105" t="s">
        <v>73</v>
      </c>
      <c r="M619" s="89" t="s">
        <v>968</v>
      </c>
      <c r="N619" s="117">
        <v>9000</v>
      </c>
      <c r="O619" s="137">
        <f t="shared" si="33"/>
        <v>0</v>
      </c>
      <c r="P619" s="115">
        <v>45016</v>
      </c>
      <c r="Q619" s="61">
        <f t="shared" si="32"/>
        <v>45016</v>
      </c>
      <c r="R619" s="68" t="s">
        <v>951</v>
      </c>
      <c r="S619" s="72" t="s">
        <v>1437</v>
      </c>
      <c r="T619" s="105"/>
      <c r="U619" s="68"/>
      <c r="V619" s="68"/>
      <c r="W619" s="68"/>
      <c r="X619" s="68"/>
    </row>
    <row r="620" s="17" customFormat="1" ht="24" hidden="1" spans="1:24">
      <c r="A620" s="59">
        <v>618</v>
      </c>
      <c r="B620" s="60" t="s">
        <v>1438</v>
      </c>
      <c r="C620" s="114">
        <f t="shared" si="30"/>
        <v>44996</v>
      </c>
      <c r="D620" s="62" t="str">
        <f ca="1" t="shared" si="31"/>
        <v>一年以上</v>
      </c>
      <c r="E620" s="115">
        <v>44996</v>
      </c>
      <c r="F620" s="115" t="s">
        <v>632</v>
      </c>
      <c r="G620" s="132" t="s">
        <v>450</v>
      </c>
      <c r="H620" s="100" t="s">
        <v>867</v>
      </c>
      <c r="I620" s="60" t="s">
        <v>867</v>
      </c>
      <c r="J620" s="116">
        <v>5000</v>
      </c>
      <c r="K620" s="105" t="s">
        <v>356</v>
      </c>
      <c r="L620" s="105" t="s">
        <v>73</v>
      </c>
      <c r="M620" s="89" t="s">
        <v>30</v>
      </c>
      <c r="N620" s="117">
        <v>5000</v>
      </c>
      <c r="O620" s="137">
        <f t="shared" si="33"/>
        <v>0</v>
      </c>
      <c r="P620" s="115">
        <v>45030</v>
      </c>
      <c r="Q620" s="61">
        <f t="shared" si="32"/>
        <v>45030</v>
      </c>
      <c r="R620" s="68"/>
      <c r="S620" s="72" t="s">
        <v>1439</v>
      </c>
      <c r="T620" s="105"/>
      <c r="U620" s="68"/>
      <c r="V620" s="68"/>
      <c r="W620" s="68"/>
      <c r="X620" s="68"/>
    </row>
    <row r="621" s="17" customFormat="1" ht="36" hidden="1" spans="1:24">
      <c r="A621" s="59">
        <v>619</v>
      </c>
      <c r="B621" s="60" t="s">
        <v>1440</v>
      </c>
      <c r="C621" s="114">
        <f t="shared" si="30"/>
        <v>44998</v>
      </c>
      <c r="D621" s="62" t="str">
        <f ca="1" t="shared" si="31"/>
        <v>一年以上</v>
      </c>
      <c r="E621" s="115">
        <v>44998</v>
      </c>
      <c r="F621" s="115" t="s">
        <v>632</v>
      </c>
      <c r="G621" s="132" t="s">
        <v>450</v>
      </c>
      <c r="H621" s="100" t="s">
        <v>1413</v>
      </c>
      <c r="I621" s="60" t="s">
        <v>1413</v>
      </c>
      <c r="J621" s="116">
        <v>20000</v>
      </c>
      <c r="K621" s="105" t="s">
        <v>28</v>
      </c>
      <c r="L621" s="105" t="s">
        <v>73</v>
      </c>
      <c r="M621" s="89" t="s">
        <v>30</v>
      </c>
      <c r="N621" s="117">
        <v>20000</v>
      </c>
      <c r="O621" s="137">
        <f t="shared" si="33"/>
        <v>0</v>
      </c>
      <c r="P621" s="115">
        <v>45022</v>
      </c>
      <c r="Q621" s="61">
        <f t="shared" si="32"/>
        <v>45022</v>
      </c>
      <c r="R621" s="68"/>
      <c r="S621" s="72" t="s">
        <v>1414</v>
      </c>
      <c r="T621" s="105"/>
      <c r="U621" s="68"/>
      <c r="V621" s="68"/>
      <c r="W621" s="68"/>
      <c r="X621" s="68"/>
    </row>
    <row r="622" s="17" customFormat="1" ht="36" hidden="1" spans="1:24">
      <c r="A622" s="59">
        <v>620</v>
      </c>
      <c r="B622" s="60" t="s">
        <v>1441</v>
      </c>
      <c r="C622" s="114">
        <f t="shared" ref="C622:C665" si="34">E622</f>
        <v>44998</v>
      </c>
      <c r="D622" s="62" t="str">
        <f ca="1" t="shared" si="31"/>
        <v>一年以上</v>
      </c>
      <c r="E622" s="115">
        <v>44998</v>
      </c>
      <c r="F622" s="115" t="s">
        <v>632</v>
      </c>
      <c r="G622" s="132" t="s">
        <v>450</v>
      </c>
      <c r="H622" s="100" t="s">
        <v>1413</v>
      </c>
      <c r="I622" s="60" t="s">
        <v>1413</v>
      </c>
      <c r="J622" s="116">
        <v>50000</v>
      </c>
      <c r="K622" s="105" t="s">
        <v>28</v>
      </c>
      <c r="L622" s="105" t="s">
        <v>73</v>
      </c>
      <c r="M622" s="89" t="s">
        <v>30</v>
      </c>
      <c r="N622" s="117">
        <v>50000</v>
      </c>
      <c r="O622" s="137">
        <f t="shared" si="33"/>
        <v>0</v>
      </c>
      <c r="P622" s="115">
        <v>45022</v>
      </c>
      <c r="Q622" s="61">
        <f t="shared" si="32"/>
        <v>45022</v>
      </c>
      <c r="R622" s="68"/>
      <c r="S622" s="72" t="s">
        <v>1416</v>
      </c>
      <c r="T622" s="105"/>
      <c r="U622" s="68"/>
      <c r="V622" s="68"/>
      <c r="W622" s="68"/>
      <c r="X622" s="68"/>
    </row>
    <row r="623" s="17" customFormat="1" hidden="1" spans="1:24">
      <c r="A623" s="59">
        <v>621</v>
      </c>
      <c r="B623" s="60" t="s">
        <v>1442</v>
      </c>
      <c r="C623" s="114">
        <f t="shared" si="34"/>
        <v>44999</v>
      </c>
      <c r="D623" s="62" t="str">
        <f ca="1" t="shared" si="31"/>
        <v>一年以上</v>
      </c>
      <c r="E623" s="115">
        <v>44999</v>
      </c>
      <c r="F623" s="115" t="s">
        <v>632</v>
      </c>
      <c r="G623" s="132" t="s">
        <v>450</v>
      </c>
      <c r="H623" s="100" t="s">
        <v>863</v>
      </c>
      <c r="I623" s="60" t="s">
        <v>863</v>
      </c>
      <c r="J623" s="141">
        <v>20000</v>
      </c>
      <c r="K623" s="105" t="s">
        <v>28</v>
      </c>
      <c r="L623" s="105" t="s">
        <v>73</v>
      </c>
      <c r="M623" s="89" t="s">
        <v>30</v>
      </c>
      <c r="N623" s="117">
        <v>20000</v>
      </c>
      <c r="O623" s="137">
        <f t="shared" si="33"/>
        <v>0</v>
      </c>
      <c r="P623" s="115">
        <v>45042</v>
      </c>
      <c r="Q623" s="61">
        <f t="shared" si="32"/>
        <v>45042</v>
      </c>
      <c r="R623" s="68"/>
      <c r="S623" s="72" t="s">
        <v>1434</v>
      </c>
      <c r="T623" s="105"/>
      <c r="U623" s="68"/>
      <c r="V623" s="68"/>
      <c r="W623" s="68"/>
      <c r="X623" s="68"/>
    </row>
    <row r="624" s="17" customFormat="1" ht="24" hidden="1" spans="1:24">
      <c r="A624" s="59">
        <v>622</v>
      </c>
      <c r="B624" s="60" t="s">
        <v>1443</v>
      </c>
      <c r="C624" s="114">
        <f t="shared" si="34"/>
        <v>44999</v>
      </c>
      <c r="D624" s="62" t="str">
        <f ca="1" t="shared" si="31"/>
        <v>一年以上</v>
      </c>
      <c r="E624" s="115">
        <v>44999</v>
      </c>
      <c r="F624" s="115" t="s">
        <v>632</v>
      </c>
      <c r="G624" s="132" t="s">
        <v>450</v>
      </c>
      <c r="H624" s="100" t="s">
        <v>1444</v>
      </c>
      <c r="I624" s="60" t="s">
        <v>1444</v>
      </c>
      <c r="J624" s="116">
        <v>10000</v>
      </c>
      <c r="K624" s="105" t="s">
        <v>28</v>
      </c>
      <c r="L624" s="105" t="s">
        <v>73</v>
      </c>
      <c r="M624" s="89" t="s">
        <v>30</v>
      </c>
      <c r="N624" s="117">
        <v>10000</v>
      </c>
      <c r="O624" s="137">
        <f t="shared" si="33"/>
        <v>0</v>
      </c>
      <c r="P624" s="115">
        <v>45035</v>
      </c>
      <c r="Q624" s="61">
        <f t="shared" si="32"/>
        <v>45035</v>
      </c>
      <c r="R624" s="68"/>
      <c r="S624" s="72" t="s">
        <v>1445</v>
      </c>
      <c r="T624" s="105"/>
      <c r="U624" s="68"/>
      <c r="V624" s="68"/>
      <c r="W624" s="68"/>
      <c r="X624" s="68"/>
    </row>
    <row r="625" s="17" customFormat="1" ht="24" hidden="1" spans="1:24">
      <c r="A625" s="59">
        <v>623</v>
      </c>
      <c r="B625" s="60" t="s">
        <v>1446</v>
      </c>
      <c r="C625" s="114">
        <f t="shared" si="34"/>
        <v>45002</v>
      </c>
      <c r="D625" s="62" t="str">
        <f ca="1" t="shared" si="31"/>
        <v>一年以上</v>
      </c>
      <c r="E625" s="115">
        <v>45002</v>
      </c>
      <c r="F625" s="115" t="s">
        <v>632</v>
      </c>
      <c r="G625" s="132" t="s">
        <v>239</v>
      </c>
      <c r="H625" s="100" t="s">
        <v>996</v>
      </c>
      <c r="I625" s="60" t="s">
        <v>996</v>
      </c>
      <c r="J625" s="116">
        <v>22400</v>
      </c>
      <c r="K625" s="59" t="s">
        <v>356</v>
      </c>
      <c r="L625" s="59" t="s">
        <v>458</v>
      </c>
      <c r="M625" s="89" t="s">
        <v>133</v>
      </c>
      <c r="N625" s="117">
        <v>22400</v>
      </c>
      <c r="O625" s="137">
        <f t="shared" si="33"/>
        <v>0</v>
      </c>
      <c r="P625" s="115">
        <v>45071</v>
      </c>
      <c r="Q625" s="61">
        <f t="shared" si="32"/>
        <v>45071</v>
      </c>
      <c r="R625" s="68"/>
      <c r="S625" s="60" t="s">
        <v>1447</v>
      </c>
      <c r="T625" s="105"/>
      <c r="U625" s="68"/>
      <c r="V625" s="68"/>
      <c r="W625" s="68"/>
      <c r="X625" s="68"/>
    </row>
    <row r="626" s="17" customFormat="1" ht="24" hidden="1" spans="1:24">
      <c r="A626" s="59">
        <v>624</v>
      </c>
      <c r="B626" s="60" t="s">
        <v>1448</v>
      </c>
      <c r="C626" s="114">
        <f t="shared" si="34"/>
        <v>45006</v>
      </c>
      <c r="D626" s="62" t="str">
        <f ca="1" t="shared" si="31"/>
        <v>一年以上</v>
      </c>
      <c r="E626" s="115">
        <v>45006</v>
      </c>
      <c r="F626" s="115" t="s">
        <v>632</v>
      </c>
      <c r="G626" s="132" t="s">
        <v>450</v>
      </c>
      <c r="H626" s="100" t="s">
        <v>495</v>
      </c>
      <c r="I626" s="60" t="s">
        <v>495</v>
      </c>
      <c r="J626" s="116">
        <v>2000</v>
      </c>
      <c r="K626" s="105" t="s">
        <v>356</v>
      </c>
      <c r="L626" s="105" t="s">
        <v>73</v>
      </c>
      <c r="M626" s="89" t="s">
        <v>30</v>
      </c>
      <c r="N626" s="117">
        <v>2000</v>
      </c>
      <c r="O626" s="137">
        <f t="shared" si="33"/>
        <v>0</v>
      </c>
      <c r="P626" s="115">
        <v>45029</v>
      </c>
      <c r="Q626" s="61">
        <f t="shared" si="32"/>
        <v>45029</v>
      </c>
      <c r="R626" s="68"/>
      <c r="S626" s="72" t="s">
        <v>1294</v>
      </c>
      <c r="T626" s="105" t="s">
        <v>182</v>
      </c>
      <c r="U626" s="68"/>
      <c r="V626" s="68"/>
      <c r="W626" s="68"/>
      <c r="X626" s="68"/>
    </row>
    <row r="627" s="17" customFormat="1" hidden="1" spans="1:24">
      <c r="A627" s="59">
        <v>625</v>
      </c>
      <c r="B627" s="60" t="s">
        <v>1449</v>
      </c>
      <c r="C627" s="114">
        <f t="shared" si="34"/>
        <v>45009</v>
      </c>
      <c r="D627" s="62" t="str">
        <f ca="1" t="shared" si="31"/>
        <v>一年以上</v>
      </c>
      <c r="E627" s="115">
        <v>45009</v>
      </c>
      <c r="F627" s="115" t="s">
        <v>632</v>
      </c>
      <c r="G627" s="132" t="s">
        <v>450</v>
      </c>
      <c r="H627" s="100" t="s">
        <v>1450</v>
      </c>
      <c r="I627" s="60" t="s">
        <v>1450</v>
      </c>
      <c r="J627" s="116">
        <v>200</v>
      </c>
      <c r="K627" s="105" t="s">
        <v>28</v>
      </c>
      <c r="L627" s="105" t="s">
        <v>73</v>
      </c>
      <c r="M627" s="89" t="s">
        <v>515</v>
      </c>
      <c r="N627" s="117">
        <v>200</v>
      </c>
      <c r="O627" s="137">
        <f t="shared" si="33"/>
        <v>0</v>
      </c>
      <c r="P627" s="115">
        <v>45012</v>
      </c>
      <c r="Q627" s="61">
        <f t="shared" si="32"/>
        <v>45012</v>
      </c>
      <c r="R627" s="68" t="s">
        <v>1250</v>
      </c>
      <c r="S627" s="72" t="s">
        <v>1451</v>
      </c>
      <c r="T627" s="105"/>
      <c r="U627" s="68"/>
      <c r="V627" s="68"/>
      <c r="W627" s="68"/>
      <c r="X627" s="68"/>
    </row>
    <row r="628" s="17" customFormat="1" hidden="1" spans="1:24">
      <c r="A628" s="59">
        <v>626</v>
      </c>
      <c r="B628" s="60" t="s">
        <v>1452</v>
      </c>
      <c r="C628" s="114">
        <f t="shared" si="34"/>
        <v>45009</v>
      </c>
      <c r="D628" s="62" t="str">
        <f ca="1" t="shared" si="31"/>
        <v>一年以上</v>
      </c>
      <c r="E628" s="115">
        <v>45009</v>
      </c>
      <c r="F628" s="115" t="s">
        <v>632</v>
      </c>
      <c r="G628" s="132" t="s">
        <v>450</v>
      </c>
      <c r="H628" s="100" t="s">
        <v>1450</v>
      </c>
      <c r="I628" s="60" t="s">
        <v>1450</v>
      </c>
      <c r="J628" s="116">
        <v>7500</v>
      </c>
      <c r="K628" s="105" t="s">
        <v>28</v>
      </c>
      <c r="L628" s="105" t="s">
        <v>73</v>
      </c>
      <c r="M628" s="89" t="s">
        <v>30</v>
      </c>
      <c r="N628" s="117">
        <v>7500</v>
      </c>
      <c r="O628" s="137">
        <f t="shared" si="33"/>
        <v>0</v>
      </c>
      <c r="P628" s="115">
        <v>45023</v>
      </c>
      <c r="Q628" s="61">
        <f t="shared" si="32"/>
        <v>45023</v>
      </c>
      <c r="R628" s="68"/>
      <c r="S628" s="72" t="s">
        <v>1451</v>
      </c>
      <c r="T628" s="105"/>
      <c r="U628" s="68"/>
      <c r="V628" s="68"/>
      <c r="W628" s="68"/>
      <c r="X628" s="68"/>
    </row>
    <row r="629" s="17" customFormat="1" hidden="1" spans="1:24">
      <c r="A629" s="59">
        <v>627</v>
      </c>
      <c r="B629" s="60" t="s">
        <v>1453</v>
      </c>
      <c r="C629" s="114">
        <f t="shared" si="34"/>
        <v>45012</v>
      </c>
      <c r="D629" s="62" t="str">
        <f ca="1" t="shared" si="31"/>
        <v>一年以上</v>
      </c>
      <c r="E629" s="115">
        <v>45012</v>
      </c>
      <c r="F629" s="115" t="s">
        <v>632</v>
      </c>
      <c r="G629" s="132" t="s">
        <v>450</v>
      </c>
      <c r="H629" s="100" t="s">
        <v>851</v>
      </c>
      <c r="I629" s="60" t="s">
        <v>851</v>
      </c>
      <c r="J629" s="116">
        <v>10000</v>
      </c>
      <c r="K629" s="105" t="s">
        <v>28</v>
      </c>
      <c r="L629" s="105" t="s">
        <v>73</v>
      </c>
      <c r="M629" s="89" t="s">
        <v>30</v>
      </c>
      <c r="N629" s="117">
        <v>10000</v>
      </c>
      <c r="O629" s="137">
        <f t="shared" si="33"/>
        <v>0</v>
      </c>
      <c r="P629" s="115">
        <v>45120</v>
      </c>
      <c r="Q629" s="61">
        <f t="shared" si="32"/>
        <v>45120</v>
      </c>
      <c r="R629" s="68"/>
      <c r="S629" s="72" t="s">
        <v>1454</v>
      </c>
      <c r="T629" s="105"/>
      <c r="U629" s="68"/>
      <c r="V629" s="68"/>
      <c r="W629" s="68"/>
      <c r="X629" s="68"/>
    </row>
    <row r="630" s="17" customFormat="1" hidden="1" spans="1:24">
      <c r="A630" s="59">
        <v>628</v>
      </c>
      <c r="B630" s="60" t="s">
        <v>1455</v>
      </c>
      <c r="C630" s="114">
        <f t="shared" si="34"/>
        <v>45012</v>
      </c>
      <c r="D630" s="62" t="str">
        <f ca="1" t="shared" si="31"/>
        <v>一年以上</v>
      </c>
      <c r="E630" s="115">
        <v>45012</v>
      </c>
      <c r="F630" s="115" t="s">
        <v>130</v>
      </c>
      <c r="G630" s="132" t="s">
        <v>1372</v>
      </c>
      <c r="H630" s="100" t="s">
        <v>863</v>
      </c>
      <c r="I630" s="60" t="s">
        <v>863</v>
      </c>
      <c r="J630" s="116">
        <v>7550</v>
      </c>
      <c r="K630" s="105" t="s">
        <v>28</v>
      </c>
      <c r="L630" s="105" t="s">
        <v>73</v>
      </c>
      <c r="M630" s="89" t="s">
        <v>133</v>
      </c>
      <c r="N630" s="117">
        <v>7550</v>
      </c>
      <c r="O630" s="137">
        <f t="shared" si="33"/>
        <v>0</v>
      </c>
      <c r="P630" s="115">
        <v>45230</v>
      </c>
      <c r="Q630" s="61">
        <f t="shared" si="32"/>
        <v>45230</v>
      </c>
      <c r="R630" s="68" t="s">
        <v>1077</v>
      </c>
      <c r="S630" s="72" t="s">
        <v>1456</v>
      </c>
      <c r="T630" s="105"/>
      <c r="U630" s="68"/>
      <c r="V630" s="68"/>
      <c r="W630" s="68"/>
      <c r="X630" s="68"/>
    </row>
    <row r="631" s="24" customFormat="1" hidden="1" spans="1:24">
      <c r="A631" s="118">
        <v>629</v>
      </c>
      <c r="B631" s="119" t="s">
        <v>1457</v>
      </c>
      <c r="C631" s="120">
        <f t="shared" si="34"/>
        <v>45012</v>
      </c>
      <c r="D631" s="121" t="str">
        <f ca="1" t="shared" si="31"/>
        <v>一年以上</v>
      </c>
      <c r="E631" s="122">
        <v>45012</v>
      </c>
      <c r="F631" s="122" t="s">
        <v>130</v>
      </c>
      <c r="G631" s="135" t="s">
        <v>1372</v>
      </c>
      <c r="H631" s="100" t="s">
        <v>863</v>
      </c>
      <c r="I631" s="119" t="s">
        <v>863</v>
      </c>
      <c r="J631" s="127">
        <v>31000</v>
      </c>
      <c r="K631" s="131" t="s">
        <v>28</v>
      </c>
      <c r="L631" s="131" t="s">
        <v>73</v>
      </c>
      <c r="M631" s="124" t="s">
        <v>133</v>
      </c>
      <c r="N631" s="128">
        <v>31000</v>
      </c>
      <c r="O631" s="140">
        <f t="shared" si="33"/>
        <v>0</v>
      </c>
      <c r="P631" s="122" t="s">
        <v>2657</v>
      </c>
      <c r="Q631" s="129" t="str">
        <f t="shared" si="32"/>
        <v>2024.7.26</v>
      </c>
      <c r="R631" s="130"/>
      <c r="S631" s="145" t="s">
        <v>1458</v>
      </c>
      <c r="T631" s="131" t="s">
        <v>972</v>
      </c>
      <c r="U631" s="118" t="str">
        <f>VLOOKUP(T631,[1]区域划分!$A$1:$C$39,3,0)</f>
        <v>曾江利</v>
      </c>
      <c r="V631" s="130"/>
      <c r="W631" s="130"/>
      <c r="X631" s="130"/>
    </row>
    <row r="632" s="17" customFormat="1" ht="24" hidden="1" spans="1:24">
      <c r="A632" s="59">
        <v>630</v>
      </c>
      <c r="B632" s="60" t="s">
        <v>1459</v>
      </c>
      <c r="C632" s="114">
        <f t="shared" si="34"/>
        <v>45013</v>
      </c>
      <c r="D632" s="62" t="str">
        <f ca="1" t="shared" si="31"/>
        <v>一年以上</v>
      </c>
      <c r="E632" s="115">
        <v>45013</v>
      </c>
      <c r="F632" s="115" t="s">
        <v>130</v>
      </c>
      <c r="G632" s="132" t="s">
        <v>450</v>
      </c>
      <c r="H632" s="100" t="s">
        <v>1460</v>
      </c>
      <c r="I632" s="60" t="s">
        <v>1460</v>
      </c>
      <c r="J632" s="116">
        <v>10000</v>
      </c>
      <c r="K632" s="105" t="s">
        <v>28</v>
      </c>
      <c r="L632" s="105" t="s">
        <v>73</v>
      </c>
      <c r="M632" s="89" t="s">
        <v>30</v>
      </c>
      <c r="N632" s="117">
        <v>10000</v>
      </c>
      <c r="O632" s="137">
        <f t="shared" si="33"/>
        <v>0</v>
      </c>
      <c r="P632" s="115">
        <v>45085</v>
      </c>
      <c r="Q632" s="61">
        <f t="shared" si="32"/>
        <v>45085</v>
      </c>
      <c r="R632" s="68"/>
      <c r="S632" s="72" t="s">
        <v>1461</v>
      </c>
      <c r="T632" s="105"/>
      <c r="U632" s="68"/>
      <c r="V632" s="68"/>
      <c r="W632" s="68"/>
      <c r="X632" s="68"/>
    </row>
    <row r="633" s="17" customFormat="1" ht="24" hidden="1" spans="1:24">
      <c r="A633" s="59">
        <v>631</v>
      </c>
      <c r="B633" s="60" t="s">
        <v>1462</v>
      </c>
      <c r="C633" s="114">
        <f t="shared" si="34"/>
        <v>45014</v>
      </c>
      <c r="D633" s="62" t="str">
        <f ca="1" t="shared" si="31"/>
        <v>一年以上</v>
      </c>
      <c r="E633" s="115">
        <v>45014</v>
      </c>
      <c r="F633" s="115" t="s">
        <v>632</v>
      </c>
      <c r="G633" s="132" t="s">
        <v>450</v>
      </c>
      <c r="H633" s="100" t="s">
        <v>867</v>
      </c>
      <c r="I633" s="60" t="s">
        <v>867</v>
      </c>
      <c r="J633" s="116">
        <v>5000</v>
      </c>
      <c r="K633" s="105" t="s">
        <v>356</v>
      </c>
      <c r="L633" s="105" t="s">
        <v>73</v>
      </c>
      <c r="M633" s="89" t="s">
        <v>30</v>
      </c>
      <c r="N633" s="117">
        <v>5000</v>
      </c>
      <c r="O633" s="137">
        <f t="shared" si="33"/>
        <v>0</v>
      </c>
      <c r="P633" s="115">
        <v>45059</v>
      </c>
      <c r="Q633" s="61">
        <f t="shared" si="32"/>
        <v>45059</v>
      </c>
      <c r="R633" s="68"/>
      <c r="S633" s="72" t="s">
        <v>1463</v>
      </c>
      <c r="T633" s="105"/>
      <c r="U633" s="68"/>
      <c r="V633" s="68"/>
      <c r="W633" s="68"/>
      <c r="X633" s="68"/>
    </row>
    <row r="634" s="17" customFormat="1" ht="24" hidden="1" spans="1:24">
      <c r="A634" s="59">
        <v>632</v>
      </c>
      <c r="B634" s="60" t="s">
        <v>1464</v>
      </c>
      <c r="C634" s="114">
        <f t="shared" si="34"/>
        <v>45016</v>
      </c>
      <c r="D634" s="62" t="str">
        <f ca="1" t="shared" si="31"/>
        <v>一年以上</v>
      </c>
      <c r="E634" s="115">
        <v>45016</v>
      </c>
      <c r="F634" s="115" t="s">
        <v>130</v>
      </c>
      <c r="G634" s="132" t="s">
        <v>1465</v>
      </c>
      <c r="H634" s="100" t="s">
        <v>1430</v>
      </c>
      <c r="I634" s="60" t="s">
        <v>1430</v>
      </c>
      <c r="J634" s="116">
        <v>27800</v>
      </c>
      <c r="K634" s="105" t="s">
        <v>28</v>
      </c>
      <c r="L634" s="105" t="s">
        <v>73</v>
      </c>
      <c r="M634" s="89" t="s">
        <v>133</v>
      </c>
      <c r="N634" s="134">
        <v>27780</v>
      </c>
      <c r="O634" s="137">
        <f t="shared" si="33"/>
        <v>20</v>
      </c>
      <c r="P634" s="115">
        <v>45288</v>
      </c>
      <c r="Q634" s="61">
        <f t="shared" si="32"/>
        <v>45288</v>
      </c>
      <c r="R634" s="68" t="s">
        <v>1431</v>
      </c>
      <c r="S634" s="72" t="s">
        <v>1432</v>
      </c>
      <c r="T634" s="105" t="s">
        <v>720</v>
      </c>
      <c r="U634" s="59" t="str">
        <f>VLOOKUP(T634,[1]区域划分!$A$1:$C$39,3,0)</f>
        <v>杨春龙</v>
      </c>
      <c r="V634" s="68"/>
      <c r="W634" s="68"/>
      <c r="X634" s="68"/>
    </row>
    <row r="635" s="17" customFormat="1" hidden="1" spans="1:24">
      <c r="A635" s="59">
        <v>633</v>
      </c>
      <c r="B635" s="60" t="s">
        <v>1466</v>
      </c>
      <c r="C635" s="114">
        <f t="shared" si="34"/>
        <v>45019</v>
      </c>
      <c r="D635" s="62" t="str">
        <f ca="1" t="shared" si="31"/>
        <v>一年以上</v>
      </c>
      <c r="E635" s="115">
        <v>45019</v>
      </c>
      <c r="F635" s="115" t="s">
        <v>632</v>
      </c>
      <c r="G635" s="132" t="s">
        <v>450</v>
      </c>
      <c r="H635" s="100" t="s">
        <v>863</v>
      </c>
      <c r="I635" s="60" t="s">
        <v>863</v>
      </c>
      <c r="J635" s="116">
        <v>20000</v>
      </c>
      <c r="K635" s="105" t="s">
        <v>28</v>
      </c>
      <c r="L635" s="105" t="s">
        <v>73</v>
      </c>
      <c r="M635" s="89" t="s">
        <v>30</v>
      </c>
      <c r="N635" s="117">
        <v>20000</v>
      </c>
      <c r="O635" s="137">
        <f t="shared" si="33"/>
        <v>0</v>
      </c>
      <c r="P635" s="115">
        <v>45065</v>
      </c>
      <c r="Q635" s="61">
        <f t="shared" si="32"/>
        <v>45065</v>
      </c>
      <c r="R635" s="68"/>
      <c r="S635" s="72" t="s">
        <v>1467</v>
      </c>
      <c r="T635" s="105"/>
      <c r="U635" s="68"/>
      <c r="V635" s="68"/>
      <c r="W635" s="68"/>
      <c r="X635" s="68"/>
    </row>
    <row r="636" s="24" customFormat="1" hidden="1" spans="1:24">
      <c r="A636" s="118">
        <v>634</v>
      </c>
      <c r="B636" s="119" t="s">
        <v>1468</v>
      </c>
      <c r="C636" s="120">
        <f t="shared" si="34"/>
        <v>45023</v>
      </c>
      <c r="D636" s="121" t="str">
        <f ca="1" t="shared" si="31"/>
        <v>一年以上</v>
      </c>
      <c r="E636" s="122">
        <v>45023</v>
      </c>
      <c r="F636" s="122" t="s">
        <v>130</v>
      </c>
      <c r="G636" s="135" t="s">
        <v>1372</v>
      </c>
      <c r="H636" s="100" t="s">
        <v>863</v>
      </c>
      <c r="I636" s="119" t="s">
        <v>863</v>
      </c>
      <c r="J636" s="127">
        <v>34600</v>
      </c>
      <c r="K636" s="131" t="s">
        <v>28</v>
      </c>
      <c r="L636" s="131" t="s">
        <v>73</v>
      </c>
      <c r="M636" s="124" t="s">
        <v>133</v>
      </c>
      <c r="N636" s="128">
        <v>34600</v>
      </c>
      <c r="O636" s="140">
        <f t="shared" si="33"/>
        <v>0</v>
      </c>
      <c r="P636" s="122" t="s">
        <v>2657</v>
      </c>
      <c r="Q636" s="129" t="str">
        <f t="shared" si="32"/>
        <v>2024.7.26</v>
      </c>
      <c r="R636" s="130"/>
      <c r="S636" s="145" t="s">
        <v>1469</v>
      </c>
      <c r="T636" s="131" t="s">
        <v>972</v>
      </c>
      <c r="U636" s="118" t="str">
        <f>VLOOKUP(T636,[1]区域划分!$A$1:$C$39,3,0)</f>
        <v>曾江利</v>
      </c>
      <c r="V636" s="130"/>
      <c r="W636" s="130"/>
      <c r="X636" s="130"/>
    </row>
    <row r="637" s="24" customFormat="1" hidden="1" spans="1:24">
      <c r="A637" s="118">
        <v>635</v>
      </c>
      <c r="B637" s="119" t="s">
        <v>1470</v>
      </c>
      <c r="C637" s="120">
        <f t="shared" si="34"/>
        <v>45023</v>
      </c>
      <c r="D637" s="121" t="str">
        <f ca="1" t="shared" si="31"/>
        <v>一年以上</v>
      </c>
      <c r="E637" s="122">
        <v>45023</v>
      </c>
      <c r="F637" s="122" t="s">
        <v>130</v>
      </c>
      <c r="G637" s="135" t="s">
        <v>1372</v>
      </c>
      <c r="H637" s="100" t="s">
        <v>863</v>
      </c>
      <c r="I637" s="119" t="s">
        <v>863</v>
      </c>
      <c r="J637" s="127">
        <v>14000</v>
      </c>
      <c r="K637" s="131" t="s">
        <v>28</v>
      </c>
      <c r="L637" s="131" t="s">
        <v>73</v>
      </c>
      <c r="M637" s="124" t="s">
        <v>133</v>
      </c>
      <c r="N637" s="128">
        <v>14000</v>
      </c>
      <c r="O637" s="140">
        <f t="shared" si="33"/>
        <v>0</v>
      </c>
      <c r="P637" s="122" t="s">
        <v>2657</v>
      </c>
      <c r="Q637" s="129" t="str">
        <f t="shared" si="32"/>
        <v>2024.7.26</v>
      </c>
      <c r="R637" s="130"/>
      <c r="S637" s="145" t="s">
        <v>1471</v>
      </c>
      <c r="T637" s="131" t="s">
        <v>972</v>
      </c>
      <c r="U637" s="118" t="str">
        <f>VLOOKUP(T637,[1]区域划分!$A$1:$C$39,3,0)</f>
        <v>曾江利</v>
      </c>
      <c r="V637" s="130"/>
      <c r="W637" s="130"/>
      <c r="X637" s="130"/>
    </row>
    <row r="638" s="17" customFormat="1" ht="24" hidden="1" spans="1:24">
      <c r="A638" s="59">
        <v>636</v>
      </c>
      <c r="B638" s="60" t="s">
        <v>1472</v>
      </c>
      <c r="C638" s="114">
        <f t="shared" si="34"/>
        <v>45028</v>
      </c>
      <c r="D638" s="62" t="str">
        <f ca="1" t="shared" si="31"/>
        <v>一年以上</v>
      </c>
      <c r="E638" s="115">
        <v>45028</v>
      </c>
      <c r="F638" s="115" t="s">
        <v>632</v>
      </c>
      <c r="G638" s="132" t="s">
        <v>450</v>
      </c>
      <c r="H638" s="100" t="s">
        <v>1473</v>
      </c>
      <c r="I638" s="60" t="s">
        <v>1473</v>
      </c>
      <c r="J638" s="116">
        <v>2000</v>
      </c>
      <c r="K638" s="105" t="s">
        <v>356</v>
      </c>
      <c r="L638" s="105" t="s">
        <v>73</v>
      </c>
      <c r="M638" s="89" t="s">
        <v>30</v>
      </c>
      <c r="N638" s="117">
        <v>2000</v>
      </c>
      <c r="O638" s="137">
        <f t="shared" si="33"/>
        <v>0</v>
      </c>
      <c r="P638" s="115">
        <v>45103</v>
      </c>
      <c r="Q638" s="61">
        <f t="shared" si="32"/>
        <v>45103</v>
      </c>
      <c r="R638" s="68"/>
      <c r="S638" s="72" t="s">
        <v>1474</v>
      </c>
      <c r="T638" s="105"/>
      <c r="U638" s="68"/>
      <c r="V638" s="68"/>
      <c r="W638" s="68"/>
      <c r="X638" s="68"/>
    </row>
    <row r="639" s="17" customFormat="1" ht="24" hidden="1" spans="1:24">
      <c r="A639" s="59">
        <v>637</v>
      </c>
      <c r="B639" s="60" t="s">
        <v>1475</v>
      </c>
      <c r="C639" s="114">
        <f t="shared" si="34"/>
        <v>45028</v>
      </c>
      <c r="D639" s="62" t="str">
        <f ca="1" t="shared" si="31"/>
        <v>一年以上</v>
      </c>
      <c r="E639" s="115">
        <v>45028</v>
      </c>
      <c r="F639" s="115" t="s">
        <v>632</v>
      </c>
      <c r="G639" s="132" t="s">
        <v>450</v>
      </c>
      <c r="H639" s="100" t="s">
        <v>315</v>
      </c>
      <c r="I639" s="60" t="s">
        <v>315</v>
      </c>
      <c r="J639" s="116">
        <v>20000</v>
      </c>
      <c r="K639" s="105" t="s">
        <v>28</v>
      </c>
      <c r="L639" s="105" t="s">
        <v>73</v>
      </c>
      <c r="M639" s="89" t="s">
        <v>30</v>
      </c>
      <c r="N639" s="117">
        <v>20000</v>
      </c>
      <c r="O639" s="137">
        <f t="shared" si="33"/>
        <v>0</v>
      </c>
      <c r="P639" s="115">
        <v>45104</v>
      </c>
      <c r="Q639" s="61">
        <f t="shared" si="32"/>
        <v>45104</v>
      </c>
      <c r="R639" s="68"/>
      <c r="S639" s="72" t="s">
        <v>1476</v>
      </c>
      <c r="T639" s="105"/>
      <c r="U639" s="68"/>
      <c r="V639" s="68"/>
      <c r="W639" s="68"/>
      <c r="X639" s="68"/>
    </row>
    <row r="640" s="17" customFormat="1" ht="24" hidden="1" spans="1:24">
      <c r="A640" s="59">
        <v>638</v>
      </c>
      <c r="B640" s="60" t="s">
        <v>1477</v>
      </c>
      <c r="C640" s="114">
        <f t="shared" si="34"/>
        <v>45028</v>
      </c>
      <c r="D640" s="62" t="str">
        <f ca="1" t="shared" si="31"/>
        <v>一年以上</v>
      </c>
      <c r="E640" s="115">
        <v>45028</v>
      </c>
      <c r="F640" s="115" t="s">
        <v>632</v>
      </c>
      <c r="G640" s="132" t="s">
        <v>450</v>
      </c>
      <c r="H640" s="100" t="s">
        <v>967</v>
      </c>
      <c r="I640" s="60" t="s">
        <v>967</v>
      </c>
      <c r="J640" s="116">
        <v>3840</v>
      </c>
      <c r="K640" s="105" t="s">
        <v>28</v>
      </c>
      <c r="L640" s="105" t="s">
        <v>73</v>
      </c>
      <c r="M640" s="89" t="s">
        <v>836</v>
      </c>
      <c r="N640" s="117"/>
      <c r="O640" s="137">
        <f t="shared" si="33"/>
        <v>3840</v>
      </c>
      <c r="P640" s="115"/>
      <c r="Q640" s="61">
        <f t="shared" si="32"/>
        <v>0</v>
      </c>
      <c r="R640" s="68"/>
      <c r="S640" s="72" t="s">
        <v>1478</v>
      </c>
      <c r="T640" s="105" t="s">
        <v>171</v>
      </c>
      <c r="U640" s="59" t="str">
        <f>VLOOKUP(T640,[1]区域划分!$A$1:$C$39,3,0)</f>
        <v>牛国庆</v>
      </c>
      <c r="V640" s="68"/>
      <c r="W640" s="68"/>
      <c r="X640" s="68"/>
    </row>
    <row r="641" s="17" customFormat="1" ht="24" hidden="1" spans="1:24">
      <c r="A641" s="59">
        <v>639</v>
      </c>
      <c r="B641" s="60" t="s">
        <v>1479</v>
      </c>
      <c r="C641" s="114">
        <f t="shared" si="34"/>
        <v>45028</v>
      </c>
      <c r="D641" s="62" t="str">
        <f ca="1" t="shared" si="31"/>
        <v>一年以上</v>
      </c>
      <c r="E641" s="115">
        <v>45028</v>
      </c>
      <c r="F641" s="115" t="s">
        <v>632</v>
      </c>
      <c r="G641" s="132" t="s">
        <v>450</v>
      </c>
      <c r="H641" s="100" t="s">
        <v>967</v>
      </c>
      <c r="I641" s="60" t="s">
        <v>967</v>
      </c>
      <c r="J641" s="116">
        <v>320</v>
      </c>
      <c r="K641" s="105" t="s">
        <v>28</v>
      </c>
      <c r="L641" s="105" t="s">
        <v>73</v>
      </c>
      <c r="M641" s="89" t="s">
        <v>836</v>
      </c>
      <c r="N641" s="117"/>
      <c r="O641" s="137">
        <f t="shared" si="33"/>
        <v>320</v>
      </c>
      <c r="P641" s="115"/>
      <c r="Q641" s="61">
        <f t="shared" si="32"/>
        <v>0</v>
      </c>
      <c r="R641" s="68"/>
      <c r="S641" s="72" t="s">
        <v>1480</v>
      </c>
      <c r="T641" s="105" t="s">
        <v>171</v>
      </c>
      <c r="U641" s="59" t="str">
        <f>VLOOKUP(T641,[1]区域划分!$A$1:$C$39,3,0)</f>
        <v>牛国庆</v>
      </c>
      <c r="V641" s="68"/>
      <c r="W641" s="68"/>
      <c r="X641" s="68"/>
    </row>
    <row r="642" s="17" customFormat="1" ht="24" hidden="1" spans="1:24">
      <c r="A642" s="59">
        <v>640</v>
      </c>
      <c r="B642" s="60" t="s">
        <v>1481</v>
      </c>
      <c r="C642" s="114">
        <f t="shared" si="34"/>
        <v>45030</v>
      </c>
      <c r="D642" s="62" t="str">
        <f ca="1" t="shared" si="31"/>
        <v>一年以上</v>
      </c>
      <c r="E642" s="115">
        <v>45030</v>
      </c>
      <c r="F642" s="115" t="s">
        <v>632</v>
      </c>
      <c r="G642" s="132" t="s">
        <v>450</v>
      </c>
      <c r="H642" s="100" t="s">
        <v>1482</v>
      </c>
      <c r="I642" s="60" t="s">
        <v>1482</v>
      </c>
      <c r="J642" s="116">
        <v>100000</v>
      </c>
      <c r="K642" s="105" t="s">
        <v>28</v>
      </c>
      <c r="L642" s="105" t="s">
        <v>73</v>
      </c>
      <c r="M642" s="89" t="s">
        <v>30</v>
      </c>
      <c r="N642" s="117">
        <v>100000</v>
      </c>
      <c r="O642" s="137">
        <f t="shared" si="33"/>
        <v>0</v>
      </c>
      <c r="P642" s="115">
        <v>45064</v>
      </c>
      <c r="Q642" s="61">
        <f t="shared" si="32"/>
        <v>45064</v>
      </c>
      <c r="R642" s="68"/>
      <c r="S642" s="72" t="s">
        <v>1483</v>
      </c>
      <c r="T642" s="105"/>
      <c r="U642" s="68"/>
      <c r="V642" s="68"/>
      <c r="W642" s="68"/>
      <c r="X642" s="68"/>
    </row>
    <row r="643" s="17" customFormat="1" ht="24" hidden="1" spans="1:24">
      <c r="A643" s="59">
        <v>641</v>
      </c>
      <c r="B643" s="60" t="s">
        <v>1484</v>
      </c>
      <c r="C643" s="114">
        <f t="shared" si="34"/>
        <v>45030</v>
      </c>
      <c r="D643" s="62" t="str">
        <f ca="1" t="shared" ref="D643:D665" si="35">IF(TODAY()-E643&lt;60,"2个月内",IF(TODAY()-E643&lt;180,"3-6个月",IF(TODAY()-E643&lt;360,"6个月-1年","一年以上")))</f>
        <v>一年以上</v>
      </c>
      <c r="E643" s="115">
        <v>45030</v>
      </c>
      <c r="F643" s="115" t="s">
        <v>632</v>
      </c>
      <c r="G643" s="132" t="s">
        <v>450</v>
      </c>
      <c r="H643" s="100" t="s">
        <v>323</v>
      </c>
      <c r="I643" s="60" t="s">
        <v>323</v>
      </c>
      <c r="J643" s="116">
        <v>14000</v>
      </c>
      <c r="K643" s="105" t="s">
        <v>28</v>
      </c>
      <c r="L643" s="105" t="s">
        <v>73</v>
      </c>
      <c r="M643" s="89" t="s">
        <v>30</v>
      </c>
      <c r="N643" s="117">
        <v>14000</v>
      </c>
      <c r="O643" s="137">
        <f t="shared" si="33"/>
        <v>0</v>
      </c>
      <c r="P643" s="115">
        <v>45098</v>
      </c>
      <c r="Q643" s="61">
        <f t="shared" ref="Q643:Q706" si="36">P643</f>
        <v>45098</v>
      </c>
      <c r="R643" s="68"/>
      <c r="S643" s="72" t="s">
        <v>1485</v>
      </c>
      <c r="T643" s="105"/>
      <c r="U643" s="68"/>
      <c r="V643" s="68"/>
      <c r="W643" s="68"/>
      <c r="X643" s="68"/>
    </row>
    <row r="644" s="17" customFormat="1" ht="24" hidden="1" spans="1:24">
      <c r="A644" s="59">
        <v>642</v>
      </c>
      <c r="B644" s="60" t="s">
        <v>1486</v>
      </c>
      <c r="C644" s="114">
        <f t="shared" si="34"/>
        <v>45033</v>
      </c>
      <c r="D644" s="62" t="str">
        <f ca="1" t="shared" si="35"/>
        <v>一年以上</v>
      </c>
      <c r="E644" s="115">
        <v>45033</v>
      </c>
      <c r="F644" s="115" t="s">
        <v>632</v>
      </c>
      <c r="G644" s="132" t="s">
        <v>450</v>
      </c>
      <c r="H644" s="100" t="s">
        <v>1487</v>
      </c>
      <c r="I644" s="60" t="s">
        <v>1487</v>
      </c>
      <c r="J644" s="116">
        <v>3800</v>
      </c>
      <c r="K644" s="105" t="s">
        <v>28</v>
      </c>
      <c r="L644" s="105" t="s">
        <v>73</v>
      </c>
      <c r="M644" s="89" t="s">
        <v>30</v>
      </c>
      <c r="N644" s="117">
        <v>3800</v>
      </c>
      <c r="O644" s="137">
        <f t="shared" si="33"/>
        <v>0</v>
      </c>
      <c r="P644" s="115">
        <v>45057</v>
      </c>
      <c r="Q644" s="61">
        <f t="shared" si="36"/>
        <v>45057</v>
      </c>
      <c r="R644" s="68"/>
      <c r="S644" s="72" t="s">
        <v>1488</v>
      </c>
      <c r="T644" s="105"/>
      <c r="U644" s="68"/>
      <c r="V644" s="68"/>
      <c r="W644" s="68"/>
      <c r="X644" s="68"/>
    </row>
    <row r="645" s="17" customFormat="1" ht="24" hidden="1" spans="1:24">
      <c r="A645" s="59">
        <v>643</v>
      </c>
      <c r="B645" s="60" t="s">
        <v>1489</v>
      </c>
      <c r="C645" s="114">
        <f t="shared" si="34"/>
        <v>45034</v>
      </c>
      <c r="D645" s="62" t="str">
        <f ca="1" t="shared" si="35"/>
        <v>一年以上</v>
      </c>
      <c r="E645" s="115">
        <v>45034</v>
      </c>
      <c r="F645" s="115" t="s">
        <v>632</v>
      </c>
      <c r="G645" s="132" t="s">
        <v>450</v>
      </c>
      <c r="H645" s="100" t="s">
        <v>1490</v>
      </c>
      <c r="I645" s="60" t="s">
        <v>1490</v>
      </c>
      <c r="J645" s="116">
        <v>12000</v>
      </c>
      <c r="K645" s="105" t="s">
        <v>28</v>
      </c>
      <c r="L645" s="105" t="s">
        <v>73</v>
      </c>
      <c r="M645" s="89" t="s">
        <v>30</v>
      </c>
      <c r="N645" s="117">
        <v>12000</v>
      </c>
      <c r="O645" s="137">
        <f t="shared" si="33"/>
        <v>0</v>
      </c>
      <c r="P645" s="115">
        <v>45064</v>
      </c>
      <c r="Q645" s="61">
        <f t="shared" si="36"/>
        <v>45064</v>
      </c>
      <c r="R645" s="68"/>
      <c r="S645" s="72" t="s">
        <v>1491</v>
      </c>
      <c r="T645" s="105"/>
      <c r="U645" s="68"/>
      <c r="V645" s="68"/>
      <c r="W645" s="68"/>
      <c r="X645" s="68"/>
    </row>
    <row r="646" s="17" customFormat="1" ht="24" hidden="1" spans="1:24">
      <c r="A646" s="59">
        <v>644</v>
      </c>
      <c r="B646" s="60" t="s">
        <v>1492</v>
      </c>
      <c r="C646" s="114">
        <f t="shared" si="34"/>
        <v>45035</v>
      </c>
      <c r="D646" s="62" t="str">
        <f ca="1" t="shared" si="35"/>
        <v>一年以上</v>
      </c>
      <c r="E646" s="115">
        <v>45035</v>
      </c>
      <c r="F646" s="115" t="s">
        <v>130</v>
      </c>
      <c r="G646" s="132" t="s">
        <v>456</v>
      </c>
      <c r="H646" s="100" t="s">
        <v>801</v>
      </c>
      <c r="I646" s="60" t="s">
        <v>801</v>
      </c>
      <c r="J646" s="116">
        <v>940</v>
      </c>
      <c r="K646" s="105" t="s">
        <v>28</v>
      </c>
      <c r="L646" s="105" t="s">
        <v>73</v>
      </c>
      <c r="M646" s="89" t="s">
        <v>836</v>
      </c>
      <c r="N646" s="117">
        <v>940</v>
      </c>
      <c r="O646" s="137">
        <f t="shared" si="33"/>
        <v>0</v>
      </c>
      <c r="P646" s="115">
        <v>45076</v>
      </c>
      <c r="Q646" s="61">
        <f t="shared" si="36"/>
        <v>45076</v>
      </c>
      <c r="R646" s="68"/>
      <c r="S646" s="72" t="s">
        <v>1493</v>
      </c>
      <c r="T646" s="105"/>
      <c r="U646" s="68"/>
      <c r="V646" s="68"/>
      <c r="W646" s="68"/>
      <c r="X646" s="68"/>
    </row>
    <row r="647" s="17" customFormat="1" hidden="1" spans="1:24">
      <c r="A647" s="59">
        <v>645</v>
      </c>
      <c r="B647" s="60" t="s">
        <v>1494</v>
      </c>
      <c r="C647" s="114">
        <f t="shared" si="34"/>
        <v>45035</v>
      </c>
      <c r="D647" s="62" t="str">
        <f ca="1" t="shared" si="35"/>
        <v>一年以上</v>
      </c>
      <c r="E647" s="115">
        <v>45035</v>
      </c>
      <c r="F647" s="115" t="s">
        <v>130</v>
      </c>
      <c r="G647" s="132" t="s">
        <v>1372</v>
      </c>
      <c r="H647" s="100" t="s">
        <v>863</v>
      </c>
      <c r="I647" s="60" t="s">
        <v>863</v>
      </c>
      <c r="J647" s="116">
        <v>14900</v>
      </c>
      <c r="K647" s="105" t="s">
        <v>28</v>
      </c>
      <c r="L647" s="105" t="s">
        <v>73</v>
      </c>
      <c r="M647" s="89" t="s">
        <v>133</v>
      </c>
      <c r="N647" s="117">
        <v>14900</v>
      </c>
      <c r="O647" s="137">
        <f t="shared" si="33"/>
        <v>0</v>
      </c>
      <c r="P647" s="115">
        <v>45230</v>
      </c>
      <c r="Q647" s="61">
        <f t="shared" si="36"/>
        <v>45230</v>
      </c>
      <c r="R647" s="68" t="s">
        <v>1077</v>
      </c>
      <c r="S647" s="72" t="s">
        <v>1495</v>
      </c>
      <c r="T647" s="105"/>
      <c r="U647" s="68"/>
      <c r="V647" s="68"/>
      <c r="W647" s="68"/>
      <c r="X647" s="68"/>
    </row>
    <row r="648" s="17" customFormat="1" ht="24" hidden="1" spans="1:24">
      <c r="A648" s="59">
        <v>646</v>
      </c>
      <c r="B648" s="60" t="s">
        <v>1496</v>
      </c>
      <c r="C648" s="114">
        <f t="shared" si="34"/>
        <v>45035</v>
      </c>
      <c r="D648" s="62" t="str">
        <f ca="1" t="shared" si="35"/>
        <v>一年以上</v>
      </c>
      <c r="E648" s="115">
        <v>45035</v>
      </c>
      <c r="F648" s="115" t="s">
        <v>130</v>
      </c>
      <c r="G648" s="132" t="s">
        <v>1372</v>
      </c>
      <c r="H648" s="100" t="s">
        <v>863</v>
      </c>
      <c r="I648" s="60" t="s">
        <v>863</v>
      </c>
      <c r="J648" s="116">
        <v>11500</v>
      </c>
      <c r="K648" s="105" t="s">
        <v>28</v>
      </c>
      <c r="L648" s="105" t="s">
        <v>73</v>
      </c>
      <c r="M648" s="89" t="s">
        <v>133</v>
      </c>
      <c r="N648" s="117">
        <v>11500</v>
      </c>
      <c r="O648" s="137">
        <f t="shared" si="33"/>
        <v>0</v>
      </c>
      <c r="P648" s="115">
        <v>45230</v>
      </c>
      <c r="Q648" s="61">
        <f t="shared" si="36"/>
        <v>45230</v>
      </c>
      <c r="R648" s="68" t="s">
        <v>1077</v>
      </c>
      <c r="S648" s="72" t="s">
        <v>1497</v>
      </c>
      <c r="T648" s="105"/>
      <c r="U648" s="68"/>
      <c r="V648" s="68"/>
      <c r="W648" s="68"/>
      <c r="X648" s="68"/>
    </row>
    <row r="649" s="17" customFormat="1" ht="24" hidden="1" spans="1:24">
      <c r="A649" s="59">
        <v>647</v>
      </c>
      <c r="B649" s="60" t="s">
        <v>1498</v>
      </c>
      <c r="C649" s="114">
        <f t="shared" si="34"/>
        <v>45040</v>
      </c>
      <c r="D649" s="62" t="str">
        <f ca="1" t="shared" si="35"/>
        <v>一年以上</v>
      </c>
      <c r="E649" s="115">
        <v>45040</v>
      </c>
      <c r="F649" s="115" t="s">
        <v>632</v>
      </c>
      <c r="G649" s="132" t="s">
        <v>993</v>
      </c>
      <c r="H649" s="100" t="s">
        <v>1487</v>
      </c>
      <c r="I649" s="60" t="s">
        <v>1487</v>
      </c>
      <c r="J649" s="116">
        <v>3000</v>
      </c>
      <c r="K649" s="105" t="s">
        <v>28</v>
      </c>
      <c r="L649" s="105" t="s">
        <v>73</v>
      </c>
      <c r="M649" s="89" t="s">
        <v>30</v>
      </c>
      <c r="N649" s="117">
        <v>3000</v>
      </c>
      <c r="O649" s="137">
        <f t="shared" si="33"/>
        <v>0</v>
      </c>
      <c r="P649" s="115">
        <v>45057</v>
      </c>
      <c r="Q649" s="61">
        <f t="shared" si="36"/>
        <v>45057</v>
      </c>
      <c r="R649" s="68"/>
      <c r="S649" s="72" t="s">
        <v>1499</v>
      </c>
      <c r="T649" s="105"/>
      <c r="U649" s="68"/>
      <c r="V649" s="68"/>
      <c r="W649" s="68"/>
      <c r="X649" s="68"/>
    </row>
    <row r="650" s="17" customFormat="1" ht="24" hidden="1" spans="1:24">
      <c r="A650" s="59">
        <v>648</v>
      </c>
      <c r="B650" s="60" t="s">
        <v>1500</v>
      </c>
      <c r="C650" s="114">
        <f t="shared" si="34"/>
        <v>45040</v>
      </c>
      <c r="D650" s="62" t="str">
        <f ca="1" t="shared" si="35"/>
        <v>一年以上</v>
      </c>
      <c r="E650" s="115">
        <v>45040</v>
      </c>
      <c r="F650" s="115" t="s">
        <v>632</v>
      </c>
      <c r="G650" s="132" t="s">
        <v>450</v>
      </c>
      <c r="H650" s="100" t="s">
        <v>1501</v>
      </c>
      <c r="I650" s="60" t="s">
        <v>1501</v>
      </c>
      <c r="J650" s="116">
        <v>20000</v>
      </c>
      <c r="K650" s="105" t="s">
        <v>28</v>
      </c>
      <c r="L650" s="105" t="s">
        <v>73</v>
      </c>
      <c r="M650" s="89" t="s">
        <v>30</v>
      </c>
      <c r="N650" s="117">
        <v>20000</v>
      </c>
      <c r="O650" s="137">
        <f t="shared" si="33"/>
        <v>0</v>
      </c>
      <c r="P650" s="115">
        <v>45043</v>
      </c>
      <c r="Q650" s="61">
        <f t="shared" si="36"/>
        <v>45043</v>
      </c>
      <c r="R650" s="68"/>
      <c r="S650" s="72" t="s">
        <v>1502</v>
      </c>
      <c r="T650" s="105"/>
      <c r="U650" s="68"/>
      <c r="V650" s="68"/>
      <c r="W650" s="68"/>
      <c r="X650" s="68"/>
    </row>
    <row r="651" s="17" customFormat="1" ht="24" hidden="1" spans="1:24">
      <c r="A651" s="59">
        <v>649</v>
      </c>
      <c r="B651" s="60" t="s">
        <v>1503</v>
      </c>
      <c r="C651" s="114">
        <f t="shared" si="34"/>
        <v>45040</v>
      </c>
      <c r="D651" s="62" t="str">
        <f ca="1" t="shared" si="35"/>
        <v>一年以上</v>
      </c>
      <c r="E651" s="115">
        <v>45040</v>
      </c>
      <c r="F651" s="115" t="s">
        <v>632</v>
      </c>
      <c r="G651" s="132" t="s">
        <v>450</v>
      </c>
      <c r="H651" s="100" t="s">
        <v>1501</v>
      </c>
      <c r="I651" s="60" t="s">
        <v>1501</v>
      </c>
      <c r="J651" s="116">
        <v>200</v>
      </c>
      <c r="K651" s="105" t="s">
        <v>28</v>
      </c>
      <c r="L651" s="105" t="s">
        <v>73</v>
      </c>
      <c r="M651" s="89" t="s">
        <v>515</v>
      </c>
      <c r="N651" s="117"/>
      <c r="O651" s="137">
        <f t="shared" si="33"/>
        <v>200</v>
      </c>
      <c r="P651" s="115"/>
      <c r="Q651" s="61">
        <f t="shared" si="36"/>
        <v>0</v>
      </c>
      <c r="R651" s="68"/>
      <c r="S651" s="72" t="s">
        <v>1502</v>
      </c>
      <c r="T651" s="105" t="s">
        <v>581</v>
      </c>
      <c r="U651" s="59" t="str">
        <f>VLOOKUP(T651,[1]区域划分!$A$1:$C$39,3,0)</f>
        <v>新疆</v>
      </c>
      <c r="V651" s="68"/>
      <c r="W651" s="68"/>
      <c r="X651" s="68"/>
    </row>
    <row r="652" s="17" customFormat="1" ht="24" hidden="1" spans="1:24">
      <c r="A652" s="59">
        <v>650</v>
      </c>
      <c r="B652" s="60" t="s">
        <v>1504</v>
      </c>
      <c r="C652" s="114">
        <f t="shared" si="34"/>
        <v>45040</v>
      </c>
      <c r="D652" s="62" t="str">
        <f ca="1" t="shared" si="35"/>
        <v>一年以上</v>
      </c>
      <c r="E652" s="115">
        <v>45040</v>
      </c>
      <c r="F652" s="115" t="s">
        <v>632</v>
      </c>
      <c r="G652" s="132" t="s">
        <v>450</v>
      </c>
      <c r="H652" s="100" t="s">
        <v>1505</v>
      </c>
      <c r="I652" s="60" t="s">
        <v>1505</v>
      </c>
      <c r="J652" s="116">
        <v>1000</v>
      </c>
      <c r="K652" s="105" t="s">
        <v>28</v>
      </c>
      <c r="L652" s="105" t="s">
        <v>73</v>
      </c>
      <c r="M652" s="89" t="s">
        <v>30</v>
      </c>
      <c r="N652" s="117">
        <v>1000</v>
      </c>
      <c r="O652" s="137">
        <f t="shared" si="33"/>
        <v>0</v>
      </c>
      <c r="P652" s="115">
        <v>45056</v>
      </c>
      <c r="Q652" s="61">
        <f t="shared" si="36"/>
        <v>45056</v>
      </c>
      <c r="R652" s="68"/>
      <c r="S652" s="72" t="s">
        <v>1506</v>
      </c>
      <c r="T652" s="105"/>
      <c r="U652" s="68"/>
      <c r="V652" s="68"/>
      <c r="W652" s="68"/>
      <c r="X652" s="68"/>
    </row>
    <row r="653" s="17" customFormat="1" hidden="1" spans="1:24">
      <c r="A653" s="59">
        <v>651</v>
      </c>
      <c r="B653" s="60" t="s">
        <v>1507</v>
      </c>
      <c r="C653" s="114">
        <f t="shared" si="34"/>
        <v>45040</v>
      </c>
      <c r="D653" s="62" t="str">
        <f ca="1" t="shared" si="35"/>
        <v>一年以上</v>
      </c>
      <c r="E653" s="115">
        <v>45040</v>
      </c>
      <c r="F653" s="115" t="s">
        <v>632</v>
      </c>
      <c r="G653" s="132" t="s">
        <v>450</v>
      </c>
      <c r="H653" s="100" t="s">
        <v>1508</v>
      </c>
      <c r="I653" s="60" t="s">
        <v>1508</v>
      </c>
      <c r="J653" s="116">
        <v>30</v>
      </c>
      <c r="K653" s="105" t="s">
        <v>28</v>
      </c>
      <c r="L653" s="105" t="s">
        <v>73</v>
      </c>
      <c r="M653" s="89" t="s">
        <v>515</v>
      </c>
      <c r="N653" s="117"/>
      <c r="O653" s="137">
        <f t="shared" si="33"/>
        <v>30</v>
      </c>
      <c r="P653" s="115"/>
      <c r="Q653" s="61">
        <f t="shared" si="36"/>
        <v>0</v>
      </c>
      <c r="R653" s="68"/>
      <c r="S653" s="72" t="s">
        <v>1509</v>
      </c>
      <c r="T653" s="105"/>
      <c r="U653" s="59" t="e">
        <f>VLOOKUP(T653,[1]区域划分!$A$1:$C$39,3,0)</f>
        <v>#N/A</v>
      </c>
      <c r="V653" s="68"/>
      <c r="W653" s="68"/>
      <c r="X653" s="68"/>
    </row>
    <row r="654" s="17" customFormat="1" hidden="1" spans="1:24">
      <c r="A654" s="59">
        <v>652</v>
      </c>
      <c r="B654" s="60" t="s">
        <v>1510</v>
      </c>
      <c r="C654" s="114">
        <f t="shared" si="34"/>
        <v>45040</v>
      </c>
      <c r="D654" s="62" t="str">
        <f ca="1" t="shared" si="35"/>
        <v>一年以上</v>
      </c>
      <c r="E654" s="115">
        <v>45040</v>
      </c>
      <c r="F654" s="115" t="s">
        <v>632</v>
      </c>
      <c r="G654" s="132" t="s">
        <v>450</v>
      </c>
      <c r="H654" s="100" t="s">
        <v>1511</v>
      </c>
      <c r="I654" s="60" t="s">
        <v>1511</v>
      </c>
      <c r="J654" s="116">
        <v>500</v>
      </c>
      <c r="K654" s="105" t="s">
        <v>28</v>
      </c>
      <c r="L654" s="105" t="s">
        <v>73</v>
      </c>
      <c r="M654" s="89" t="s">
        <v>968</v>
      </c>
      <c r="N654" s="117"/>
      <c r="O654" s="137">
        <f t="shared" si="33"/>
        <v>500</v>
      </c>
      <c r="P654" s="115"/>
      <c r="Q654" s="61">
        <f t="shared" si="36"/>
        <v>0</v>
      </c>
      <c r="R654" s="68"/>
      <c r="S654" s="72" t="s">
        <v>1512</v>
      </c>
      <c r="T654" s="105"/>
      <c r="U654" s="59" t="e">
        <f>VLOOKUP(T654,[1]区域划分!$A$1:$C$39,3,0)</f>
        <v>#N/A</v>
      </c>
      <c r="V654" s="68"/>
      <c r="W654" s="68"/>
      <c r="X654" s="68"/>
    </row>
    <row r="655" s="17" customFormat="1" hidden="1" spans="1:24">
      <c r="A655" s="59">
        <v>653</v>
      </c>
      <c r="B655" s="60" t="s">
        <v>1513</v>
      </c>
      <c r="C655" s="114">
        <f t="shared" si="34"/>
        <v>45040</v>
      </c>
      <c r="D655" s="62" t="str">
        <f ca="1" t="shared" si="35"/>
        <v>一年以上</v>
      </c>
      <c r="E655" s="115">
        <v>45040</v>
      </c>
      <c r="F655" s="115" t="s">
        <v>632</v>
      </c>
      <c r="G655" s="132" t="s">
        <v>450</v>
      </c>
      <c r="H655" s="100" t="s">
        <v>1511</v>
      </c>
      <c r="I655" s="60" t="s">
        <v>1511</v>
      </c>
      <c r="J655" s="116">
        <v>3000</v>
      </c>
      <c r="K655" s="105" t="s">
        <v>28</v>
      </c>
      <c r="L655" s="105" t="s">
        <v>73</v>
      </c>
      <c r="M655" s="89" t="s">
        <v>968</v>
      </c>
      <c r="N655" s="117"/>
      <c r="O655" s="137">
        <f t="shared" ref="O655:O665" si="37">J655-N655</f>
        <v>3000</v>
      </c>
      <c r="P655" s="115"/>
      <c r="Q655" s="61">
        <f t="shared" si="36"/>
        <v>0</v>
      </c>
      <c r="R655" s="68"/>
      <c r="S655" s="72" t="s">
        <v>1512</v>
      </c>
      <c r="T655" s="105"/>
      <c r="U655" s="59" t="e">
        <f>VLOOKUP(T655,[1]区域划分!$A$1:$C$39,3,0)</f>
        <v>#N/A</v>
      </c>
      <c r="V655" s="68"/>
      <c r="W655" s="68"/>
      <c r="X655" s="68"/>
    </row>
    <row r="656" s="17" customFormat="1" ht="24" hidden="1" spans="1:24">
      <c r="A656" s="59">
        <v>654</v>
      </c>
      <c r="B656" s="60" t="s">
        <v>1514</v>
      </c>
      <c r="C656" s="114">
        <f t="shared" si="34"/>
        <v>45052</v>
      </c>
      <c r="D656" s="62" t="str">
        <f ca="1" t="shared" si="35"/>
        <v>一年以上</v>
      </c>
      <c r="E656" s="115">
        <v>45052</v>
      </c>
      <c r="F656" s="115" t="s">
        <v>70</v>
      </c>
      <c r="G656" s="132" t="s">
        <v>1515</v>
      </c>
      <c r="H656" s="100" t="s">
        <v>1150</v>
      </c>
      <c r="I656" s="60" t="s">
        <v>1150</v>
      </c>
      <c r="J656" s="116">
        <v>3760</v>
      </c>
      <c r="K656" s="105" t="s">
        <v>28</v>
      </c>
      <c r="L656" s="136" t="s">
        <v>73</v>
      </c>
      <c r="M656" s="89" t="s">
        <v>65</v>
      </c>
      <c r="N656" s="104">
        <v>3760</v>
      </c>
      <c r="O656" s="137">
        <f t="shared" si="37"/>
        <v>0</v>
      </c>
      <c r="P656" s="115">
        <v>45320</v>
      </c>
      <c r="Q656" s="61">
        <f t="shared" si="36"/>
        <v>45320</v>
      </c>
      <c r="R656" s="68"/>
      <c r="S656" s="72"/>
      <c r="T656" s="105" t="s">
        <v>1152</v>
      </c>
      <c r="U656" s="59" t="str">
        <f>VLOOKUP(T656,[1]区域划分!$A$1:$C$39,3,0)</f>
        <v>饶亚龙</v>
      </c>
      <c r="V656" s="68"/>
      <c r="W656" s="68"/>
      <c r="X656" s="68"/>
    </row>
    <row r="657" s="17" customFormat="1" hidden="1" spans="1:24">
      <c r="A657" s="59">
        <v>655</v>
      </c>
      <c r="B657" s="60" t="s">
        <v>1516</v>
      </c>
      <c r="C657" s="114">
        <f t="shared" si="34"/>
        <v>45056</v>
      </c>
      <c r="D657" s="62" t="str">
        <f ca="1" t="shared" si="35"/>
        <v>一年以上</v>
      </c>
      <c r="E657" s="115">
        <v>45056</v>
      </c>
      <c r="F657" s="115" t="s">
        <v>130</v>
      </c>
      <c r="G657" s="132" t="s">
        <v>1372</v>
      </c>
      <c r="H657" s="100" t="s">
        <v>863</v>
      </c>
      <c r="I657" s="60" t="s">
        <v>863</v>
      </c>
      <c r="J657" s="116">
        <v>7800</v>
      </c>
      <c r="K657" s="105" t="s">
        <v>28</v>
      </c>
      <c r="L657" s="105" t="s">
        <v>73</v>
      </c>
      <c r="M657" s="89" t="s">
        <v>133</v>
      </c>
      <c r="N657" s="117">
        <v>7800</v>
      </c>
      <c r="O657" s="137">
        <f t="shared" si="37"/>
        <v>0</v>
      </c>
      <c r="P657" s="115">
        <v>45230</v>
      </c>
      <c r="Q657" s="61">
        <f t="shared" si="36"/>
        <v>45230</v>
      </c>
      <c r="R657" s="68" t="s">
        <v>1077</v>
      </c>
      <c r="S657" s="72" t="s">
        <v>1517</v>
      </c>
      <c r="T657" s="105"/>
      <c r="U657" s="68"/>
      <c r="V657" s="68"/>
      <c r="W657" s="68"/>
      <c r="X657" s="68"/>
    </row>
    <row r="658" s="17" customFormat="1" hidden="1" spans="1:24">
      <c r="A658" s="59">
        <v>656</v>
      </c>
      <c r="B658" s="60" t="s">
        <v>1518</v>
      </c>
      <c r="C658" s="114">
        <f t="shared" si="34"/>
        <v>45057</v>
      </c>
      <c r="D658" s="62" t="str">
        <f ca="1" t="shared" si="35"/>
        <v>一年以上</v>
      </c>
      <c r="E658" s="115">
        <v>45057</v>
      </c>
      <c r="F658" s="115" t="s">
        <v>632</v>
      </c>
      <c r="G658" s="132" t="s">
        <v>450</v>
      </c>
      <c r="H658" s="100" t="s">
        <v>1519</v>
      </c>
      <c r="I658" s="60" t="s">
        <v>1519</v>
      </c>
      <c r="J658" s="116">
        <v>3000</v>
      </c>
      <c r="K658" s="105" t="s">
        <v>28</v>
      </c>
      <c r="L658" s="105" t="s">
        <v>73</v>
      </c>
      <c r="M658" s="89" t="s">
        <v>968</v>
      </c>
      <c r="N658" s="117">
        <v>3000</v>
      </c>
      <c r="O658" s="137">
        <f t="shared" si="37"/>
        <v>0</v>
      </c>
      <c r="P658" s="115">
        <v>45058</v>
      </c>
      <c r="Q658" s="61">
        <f t="shared" si="36"/>
        <v>45058</v>
      </c>
      <c r="R658" s="68" t="s">
        <v>1520</v>
      </c>
      <c r="S658" s="72" t="s">
        <v>1521</v>
      </c>
      <c r="T658" s="105"/>
      <c r="U658" s="68"/>
      <c r="V658" s="68"/>
      <c r="W658" s="68"/>
      <c r="X658" s="68"/>
    </row>
    <row r="659" s="17" customFormat="1" ht="24" hidden="1" spans="1:24">
      <c r="A659" s="59">
        <v>657</v>
      </c>
      <c r="B659" s="60" t="s">
        <v>2658</v>
      </c>
      <c r="C659" s="114">
        <f t="shared" si="34"/>
        <v>45058</v>
      </c>
      <c r="D659" s="62" t="str">
        <f ca="1" t="shared" si="35"/>
        <v>一年以上</v>
      </c>
      <c r="E659" s="115">
        <v>45058</v>
      </c>
      <c r="F659" s="115" t="s">
        <v>70</v>
      </c>
      <c r="G659" s="132" t="s">
        <v>239</v>
      </c>
      <c r="H659" s="100" t="s">
        <v>1522</v>
      </c>
      <c r="I659" s="60" t="s">
        <v>1522</v>
      </c>
      <c r="J659" s="116">
        <v>32300</v>
      </c>
      <c r="K659" s="105" t="s">
        <v>28</v>
      </c>
      <c r="L659" s="105" t="s">
        <v>73</v>
      </c>
      <c r="M659" s="89" t="s">
        <v>941</v>
      </c>
      <c r="N659" s="117"/>
      <c r="O659" s="137">
        <f t="shared" si="37"/>
        <v>32300</v>
      </c>
      <c r="P659" s="115"/>
      <c r="Q659" s="61">
        <f t="shared" si="36"/>
        <v>0</v>
      </c>
      <c r="R659" s="68"/>
      <c r="S659" s="72" t="s">
        <v>1523</v>
      </c>
      <c r="T659" s="105" t="s">
        <v>581</v>
      </c>
      <c r="U659" s="59" t="str">
        <f>VLOOKUP(T659,[1]区域划分!$A$1:$C$39,3,0)</f>
        <v>新疆</v>
      </c>
      <c r="V659" s="68"/>
      <c r="W659" s="68"/>
      <c r="X659" s="68"/>
    </row>
    <row r="660" s="17" customFormat="1" ht="24" hidden="1" spans="1:24">
      <c r="A660" s="59">
        <v>658</v>
      </c>
      <c r="B660" s="60" t="s">
        <v>1524</v>
      </c>
      <c r="C660" s="114">
        <f t="shared" si="34"/>
        <v>45058</v>
      </c>
      <c r="D660" s="62" t="str">
        <f ca="1" t="shared" si="35"/>
        <v>一年以上</v>
      </c>
      <c r="E660" s="115">
        <v>45058</v>
      </c>
      <c r="F660" s="115" t="s">
        <v>70</v>
      </c>
      <c r="G660" s="132" t="s">
        <v>149</v>
      </c>
      <c r="H660" s="100" t="s">
        <v>612</v>
      </c>
      <c r="I660" s="60" t="s">
        <v>612</v>
      </c>
      <c r="J660" s="116">
        <v>2000</v>
      </c>
      <c r="K660" s="105" t="s">
        <v>28</v>
      </c>
      <c r="L660" s="105" t="s">
        <v>73</v>
      </c>
      <c r="M660" s="89" t="s">
        <v>65</v>
      </c>
      <c r="N660" s="117">
        <v>2000</v>
      </c>
      <c r="O660" s="137">
        <f t="shared" si="37"/>
        <v>0</v>
      </c>
      <c r="P660" s="115">
        <v>45128</v>
      </c>
      <c r="Q660" s="61">
        <f t="shared" si="36"/>
        <v>45128</v>
      </c>
      <c r="R660" s="68"/>
      <c r="S660" s="72" t="s">
        <v>1525</v>
      </c>
      <c r="T660" s="105"/>
      <c r="U660" s="68"/>
      <c r="V660" s="68"/>
      <c r="W660" s="68"/>
      <c r="X660" s="68"/>
    </row>
    <row r="661" s="17" customFormat="1" ht="24" hidden="1" spans="1:24">
      <c r="A661" s="59">
        <v>659</v>
      </c>
      <c r="B661" s="60" t="s">
        <v>1526</v>
      </c>
      <c r="C661" s="114">
        <f t="shared" si="34"/>
        <v>45062</v>
      </c>
      <c r="D661" s="62" t="str">
        <f ca="1" t="shared" si="35"/>
        <v>一年以上</v>
      </c>
      <c r="E661" s="115">
        <v>45062</v>
      </c>
      <c r="F661" s="115" t="s">
        <v>632</v>
      </c>
      <c r="G661" s="132" t="s">
        <v>993</v>
      </c>
      <c r="H661" s="100" t="s">
        <v>1527</v>
      </c>
      <c r="I661" s="60" t="s">
        <v>1527</v>
      </c>
      <c r="J661" s="116">
        <v>20000</v>
      </c>
      <c r="K661" s="105" t="s">
        <v>28</v>
      </c>
      <c r="L661" s="105" t="s">
        <v>73</v>
      </c>
      <c r="M661" s="89" t="s">
        <v>30</v>
      </c>
      <c r="N661" s="117">
        <v>20000</v>
      </c>
      <c r="O661" s="137">
        <f t="shared" si="37"/>
        <v>0</v>
      </c>
      <c r="P661" s="115">
        <v>45107</v>
      </c>
      <c r="Q661" s="61">
        <f t="shared" si="36"/>
        <v>45107</v>
      </c>
      <c r="R661" s="68"/>
      <c r="S661" s="72" t="s">
        <v>1528</v>
      </c>
      <c r="T661" s="105"/>
      <c r="U661" s="68"/>
      <c r="V661" s="68"/>
      <c r="W661" s="68"/>
      <c r="X661" s="68"/>
    </row>
    <row r="662" s="17" customFormat="1" ht="24" hidden="1" spans="1:24">
      <c r="A662" s="59">
        <v>660</v>
      </c>
      <c r="B662" s="60" t="s">
        <v>1529</v>
      </c>
      <c r="C662" s="114">
        <f t="shared" si="34"/>
        <v>45065</v>
      </c>
      <c r="D662" s="62" t="str">
        <f ca="1" t="shared" si="35"/>
        <v>一年以上</v>
      </c>
      <c r="E662" s="115">
        <v>45065</v>
      </c>
      <c r="F662" s="115" t="s">
        <v>632</v>
      </c>
      <c r="G662" s="132" t="s">
        <v>450</v>
      </c>
      <c r="H662" s="146" t="s">
        <v>215</v>
      </c>
      <c r="I662" s="60" t="s">
        <v>215</v>
      </c>
      <c r="J662" s="116">
        <v>10000</v>
      </c>
      <c r="K662" s="105" t="s">
        <v>28</v>
      </c>
      <c r="L662" s="105" t="s">
        <v>73</v>
      </c>
      <c r="M662" s="89" t="s">
        <v>30</v>
      </c>
      <c r="N662" s="117">
        <v>10000</v>
      </c>
      <c r="O662" s="137">
        <f t="shared" si="37"/>
        <v>0</v>
      </c>
      <c r="P662" s="115">
        <v>45259</v>
      </c>
      <c r="Q662" s="61">
        <f t="shared" si="36"/>
        <v>45259</v>
      </c>
      <c r="R662" s="68"/>
      <c r="S662" s="72" t="s">
        <v>1530</v>
      </c>
      <c r="T662" s="105" t="s">
        <v>49</v>
      </c>
      <c r="U662" s="59" t="str">
        <f>VLOOKUP(T662,[1]区域划分!$A$1:$C$39,3,0)</f>
        <v>龚运谱</v>
      </c>
      <c r="V662" s="68"/>
      <c r="W662" s="68"/>
      <c r="X662" s="68"/>
    </row>
    <row r="663" s="17" customFormat="1" ht="24" hidden="1" spans="1:24">
      <c r="A663" s="59">
        <v>661</v>
      </c>
      <c r="B663" s="60" t="s">
        <v>1531</v>
      </c>
      <c r="C663" s="114">
        <f t="shared" si="34"/>
        <v>45068</v>
      </c>
      <c r="D663" s="62" t="str">
        <f ca="1" t="shared" si="35"/>
        <v>一年以上</v>
      </c>
      <c r="E663" s="115">
        <v>45068</v>
      </c>
      <c r="F663" s="115" t="s">
        <v>632</v>
      </c>
      <c r="G663" s="132" t="s">
        <v>993</v>
      </c>
      <c r="H663" s="100" t="s">
        <v>115</v>
      </c>
      <c r="I663" s="60" t="s">
        <v>115</v>
      </c>
      <c r="J663" s="116">
        <v>20000</v>
      </c>
      <c r="K663" s="105" t="s">
        <v>356</v>
      </c>
      <c r="L663" s="105" t="s">
        <v>73</v>
      </c>
      <c r="M663" s="89" t="s">
        <v>30</v>
      </c>
      <c r="N663" s="117">
        <v>20000</v>
      </c>
      <c r="O663" s="137">
        <f t="shared" si="37"/>
        <v>0</v>
      </c>
      <c r="P663" s="115">
        <v>45084</v>
      </c>
      <c r="Q663" s="61">
        <f t="shared" si="36"/>
        <v>45084</v>
      </c>
      <c r="R663" s="68"/>
      <c r="S663" s="72" t="s">
        <v>1532</v>
      </c>
      <c r="T663" s="105"/>
      <c r="U663" s="68"/>
      <c r="V663" s="68" t="s">
        <v>1533</v>
      </c>
      <c r="W663" s="68"/>
      <c r="X663" s="68"/>
    </row>
    <row r="664" s="17" customFormat="1" ht="24" hidden="1" spans="1:24">
      <c r="A664" s="59">
        <v>662</v>
      </c>
      <c r="B664" s="60" t="s">
        <v>1534</v>
      </c>
      <c r="C664" s="114">
        <f t="shared" si="34"/>
        <v>45068</v>
      </c>
      <c r="D664" s="62" t="str">
        <f ca="1" t="shared" si="35"/>
        <v>一年以上</v>
      </c>
      <c r="E664" s="115">
        <v>45068</v>
      </c>
      <c r="F664" s="115" t="s">
        <v>632</v>
      </c>
      <c r="G664" s="132" t="s">
        <v>993</v>
      </c>
      <c r="H664" s="100" t="s">
        <v>1005</v>
      </c>
      <c r="I664" s="60" t="s">
        <v>1005</v>
      </c>
      <c r="J664" s="116">
        <v>20000</v>
      </c>
      <c r="K664" s="105" t="s">
        <v>356</v>
      </c>
      <c r="L664" s="105" t="s">
        <v>73</v>
      </c>
      <c r="M664" s="89" t="s">
        <v>30</v>
      </c>
      <c r="N664" s="117">
        <v>20000</v>
      </c>
      <c r="O664" s="137">
        <f t="shared" si="37"/>
        <v>0</v>
      </c>
      <c r="P664" s="115">
        <v>45133</v>
      </c>
      <c r="Q664" s="61">
        <f t="shared" si="36"/>
        <v>45133</v>
      </c>
      <c r="R664" s="68"/>
      <c r="S664" s="72" t="s">
        <v>1535</v>
      </c>
      <c r="T664" s="105"/>
      <c r="U664" s="68"/>
      <c r="V664" s="68"/>
      <c r="W664" s="68"/>
      <c r="X664" s="68"/>
    </row>
    <row r="665" s="17" customFormat="1" ht="24" hidden="1" spans="1:24">
      <c r="A665" s="59">
        <v>663</v>
      </c>
      <c r="B665" s="60" t="s">
        <v>1536</v>
      </c>
      <c r="C665" s="114">
        <f t="shared" si="34"/>
        <v>45070</v>
      </c>
      <c r="D665" s="62" t="str">
        <f ca="1" t="shared" si="35"/>
        <v>一年以上</v>
      </c>
      <c r="E665" s="115">
        <v>45070</v>
      </c>
      <c r="F665" s="115" t="s">
        <v>632</v>
      </c>
      <c r="G665" s="132" t="s">
        <v>450</v>
      </c>
      <c r="H665" s="100" t="s">
        <v>1537</v>
      </c>
      <c r="I665" s="60" t="s">
        <v>1537</v>
      </c>
      <c r="J665" s="116">
        <v>20000</v>
      </c>
      <c r="K665" s="105" t="s">
        <v>28</v>
      </c>
      <c r="L665" s="105" t="s">
        <v>73</v>
      </c>
      <c r="M665" s="89" t="s">
        <v>30</v>
      </c>
      <c r="N665" s="117">
        <v>20000</v>
      </c>
      <c r="O665" s="137">
        <f t="shared" si="37"/>
        <v>0</v>
      </c>
      <c r="P665" s="115">
        <v>45085</v>
      </c>
      <c r="Q665" s="61">
        <f t="shared" si="36"/>
        <v>45085</v>
      </c>
      <c r="R665" s="68"/>
      <c r="S665" s="72" t="s">
        <v>1538</v>
      </c>
      <c r="T665" s="105"/>
      <c r="U665" s="68"/>
      <c r="V665" s="68"/>
      <c r="W665" s="68"/>
      <c r="X665" s="68"/>
    </row>
    <row r="666" s="17" customFormat="1" hidden="1" spans="1:24">
      <c r="A666" s="59">
        <v>664</v>
      </c>
      <c r="B666" s="60" t="s">
        <v>1539</v>
      </c>
      <c r="C666" s="114">
        <v>45047</v>
      </c>
      <c r="D666" s="62" t="s">
        <v>1540</v>
      </c>
      <c r="E666" s="115">
        <v>45077</v>
      </c>
      <c r="F666" s="115" t="s">
        <v>632</v>
      </c>
      <c r="G666" s="132" t="s">
        <v>993</v>
      </c>
      <c r="H666" s="100" t="s">
        <v>1541</v>
      </c>
      <c r="I666" s="60" t="s">
        <v>1541</v>
      </c>
      <c r="J666" s="116">
        <v>12000</v>
      </c>
      <c r="K666" s="105" t="s">
        <v>28</v>
      </c>
      <c r="L666" s="105" t="s">
        <v>73</v>
      </c>
      <c r="M666" s="89" t="s">
        <v>30</v>
      </c>
      <c r="N666" s="117">
        <v>12000</v>
      </c>
      <c r="O666" s="137">
        <v>0</v>
      </c>
      <c r="P666" s="115">
        <v>45077</v>
      </c>
      <c r="Q666" s="61">
        <f t="shared" si="36"/>
        <v>45077</v>
      </c>
      <c r="R666" s="68"/>
      <c r="S666" s="72" t="s">
        <v>1542</v>
      </c>
      <c r="T666" s="105"/>
      <c r="U666" s="68"/>
      <c r="V666" s="68"/>
      <c r="W666" s="68"/>
      <c r="X666" s="68"/>
    </row>
    <row r="667" s="17" customFormat="1" ht="24" hidden="1" spans="1:24">
      <c r="A667" s="59">
        <v>665</v>
      </c>
      <c r="B667" s="60" t="s">
        <v>1543</v>
      </c>
      <c r="C667" s="114">
        <f t="shared" ref="C667:C677" si="38">E667</f>
        <v>45086</v>
      </c>
      <c r="D667" s="62" t="str">
        <f ca="1" t="shared" ref="D667:D730" si="39">IF(TODAY()-E667&lt;60,"2个月内",IF(TODAY()-E667&lt;180,"3-6个月",IF(TODAY()-E667&lt;360,"6个月-1年","一年以上")))</f>
        <v>一年以上</v>
      </c>
      <c r="E667" s="115">
        <v>45086</v>
      </c>
      <c r="F667" s="115" t="s">
        <v>632</v>
      </c>
      <c r="G667" s="132" t="s">
        <v>450</v>
      </c>
      <c r="H667" s="100" t="s">
        <v>1505</v>
      </c>
      <c r="I667" s="60" t="s">
        <v>1505</v>
      </c>
      <c r="J667" s="116">
        <v>1000</v>
      </c>
      <c r="K667" s="105" t="s">
        <v>28</v>
      </c>
      <c r="L667" s="105" t="s">
        <v>73</v>
      </c>
      <c r="M667" s="89" t="s">
        <v>30</v>
      </c>
      <c r="N667" s="117">
        <v>1000</v>
      </c>
      <c r="O667" s="137">
        <f t="shared" ref="O667:O730" si="40">J667-N667</f>
        <v>0</v>
      </c>
      <c r="P667" s="115">
        <v>45268</v>
      </c>
      <c r="Q667" s="61">
        <f t="shared" si="36"/>
        <v>45268</v>
      </c>
      <c r="R667" s="68" t="s">
        <v>1544</v>
      </c>
      <c r="S667" s="72" t="s">
        <v>1545</v>
      </c>
      <c r="T667" s="105" t="s">
        <v>720</v>
      </c>
      <c r="U667" s="59" t="str">
        <f>VLOOKUP(T667,[1]区域划分!$A$1:$C$39,3,0)</f>
        <v>杨春龙</v>
      </c>
      <c r="V667" s="68"/>
      <c r="W667" s="68"/>
      <c r="X667" s="68"/>
    </row>
    <row r="668" s="17" customFormat="1" ht="24" hidden="1" spans="1:24">
      <c r="A668" s="59">
        <v>666</v>
      </c>
      <c r="B668" s="60" t="s">
        <v>1546</v>
      </c>
      <c r="C668" s="114">
        <f t="shared" si="38"/>
        <v>45087</v>
      </c>
      <c r="D668" s="62" t="str">
        <f ca="1" t="shared" si="39"/>
        <v>一年以上</v>
      </c>
      <c r="E668" s="115">
        <v>45087</v>
      </c>
      <c r="F668" s="115" t="s">
        <v>632</v>
      </c>
      <c r="G668" s="132" t="s">
        <v>450</v>
      </c>
      <c r="H668" s="100" t="s">
        <v>1547</v>
      </c>
      <c r="I668" s="60" t="s">
        <v>1547</v>
      </c>
      <c r="J668" s="116">
        <v>20000</v>
      </c>
      <c r="K668" s="105" t="s">
        <v>28</v>
      </c>
      <c r="L668" s="136" t="s">
        <v>73</v>
      </c>
      <c r="M668" s="89" t="s">
        <v>30</v>
      </c>
      <c r="N668" s="104">
        <v>20000</v>
      </c>
      <c r="O668" s="137">
        <f t="shared" si="40"/>
        <v>0</v>
      </c>
      <c r="P668" s="115">
        <v>45316</v>
      </c>
      <c r="Q668" s="61">
        <f t="shared" si="36"/>
        <v>45316</v>
      </c>
      <c r="R668" s="68"/>
      <c r="S668" s="72" t="s">
        <v>1548</v>
      </c>
      <c r="T668" s="105" t="s">
        <v>581</v>
      </c>
      <c r="U668" s="59" t="str">
        <f>VLOOKUP(T668,[1]区域划分!$A$1:$C$39,3,0)</f>
        <v>新疆</v>
      </c>
      <c r="V668" s="68"/>
      <c r="W668" s="68"/>
      <c r="X668" s="68"/>
    </row>
    <row r="669" s="17" customFormat="1" ht="24" hidden="1" spans="1:24">
      <c r="A669" s="59">
        <v>667</v>
      </c>
      <c r="B669" s="60" t="s">
        <v>1549</v>
      </c>
      <c r="C669" s="114">
        <f t="shared" si="38"/>
        <v>45087</v>
      </c>
      <c r="D669" s="62" t="str">
        <f ca="1" t="shared" si="39"/>
        <v>一年以上</v>
      </c>
      <c r="E669" s="115">
        <v>45087</v>
      </c>
      <c r="F669" s="115" t="s">
        <v>632</v>
      </c>
      <c r="G669" s="132" t="s">
        <v>450</v>
      </c>
      <c r="H669" s="100" t="s">
        <v>1547</v>
      </c>
      <c r="I669" s="60" t="s">
        <v>1547</v>
      </c>
      <c r="J669" s="116">
        <v>200</v>
      </c>
      <c r="K669" s="105" t="s">
        <v>28</v>
      </c>
      <c r="L669" s="105" t="s">
        <v>73</v>
      </c>
      <c r="M669" s="89" t="s">
        <v>515</v>
      </c>
      <c r="N669" s="117"/>
      <c r="O669" s="137">
        <f t="shared" si="40"/>
        <v>200</v>
      </c>
      <c r="P669" s="115"/>
      <c r="Q669" s="61">
        <f t="shared" si="36"/>
        <v>0</v>
      </c>
      <c r="R669" s="68"/>
      <c r="S669" s="72" t="s">
        <v>1548</v>
      </c>
      <c r="T669" s="105" t="s">
        <v>581</v>
      </c>
      <c r="U669" s="59" t="str">
        <f>VLOOKUP(T669,[1]区域划分!$A$1:$C$39,3,0)</f>
        <v>新疆</v>
      </c>
      <c r="V669" s="68"/>
      <c r="W669" s="68"/>
      <c r="X669" s="68"/>
    </row>
    <row r="670" s="17" customFormat="1" ht="24" hidden="1" spans="1:24">
      <c r="A670" s="59">
        <v>668</v>
      </c>
      <c r="B670" s="60" t="s">
        <v>1550</v>
      </c>
      <c r="C670" s="114">
        <f t="shared" si="38"/>
        <v>45090</v>
      </c>
      <c r="D670" s="62" t="str">
        <f ca="1" t="shared" si="39"/>
        <v>一年以上</v>
      </c>
      <c r="E670" s="115">
        <v>45090</v>
      </c>
      <c r="F670" s="115" t="s">
        <v>632</v>
      </c>
      <c r="G670" s="132" t="s">
        <v>450</v>
      </c>
      <c r="H670" s="100" t="s">
        <v>1551</v>
      </c>
      <c r="I670" s="60" t="s">
        <v>1551</v>
      </c>
      <c r="J670" s="116">
        <v>5000</v>
      </c>
      <c r="K670" s="105" t="s">
        <v>356</v>
      </c>
      <c r="L670" s="105" t="s">
        <v>73</v>
      </c>
      <c r="M670" s="89" t="s">
        <v>30</v>
      </c>
      <c r="N670" s="117">
        <v>5000</v>
      </c>
      <c r="O670" s="137">
        <f t="shared" si="40"/>
        <v>0</v>
      </c>
      <c r="P670" s="115">
        <v>45105</v>
      </c>
      <c r="Q670" s="61">
        <f t="shared" si="36"/>
        <v>45105</v>
      </c>
      <c r="R670" s="68"/>
      <c r="S670" s="72" t="s">
        <v>1552</v>
      </c>
      <c r="T670" s="105"/>
      <c r="U670" s="68"/>
      <c r="V670" s="68"/>
      <c r="W670" s="68"/>
      <c r="X670" s="68"/>
    </row>
    <row r="671" s="17" customFormat="1" ht="24" hidden="1" spans="1:24">
      <c r="A671" s="59">
        <v>669</v>
      </c>
      <c r="B671" s="60" t="s">
        <v>1553</v>
      </c>
      <c r="C671" s="114">
        <f t="shared" si="38"/>
        <v>45092</v>
      </c>
      <c r="D671" s="62" t="str">
        <f ca="1" t="shared" si="39"/>
        <v>一年以上</v>
      </c>
      <c r="E671" s="115">
        <v>45092</v>
      </c>
      <c r="F671" s="115" t="s">
        <v>632</v>
      </c>
      <c r="G671" s="132" t="s">
        <v>450</v>
      </c>
      <c r="H671" s="100" t="s">
        <v>325</v>
      </c>
      <c r="I671" s="60" t="s">
        <v>325</v>
      </c>
      <c r="J671" s="116">
        <v>1000</v>
      </c>
      <c r="K671" s="105" t="s">
        <v>356</v>
      </c>
      <c r="L671" s="105" t="s">
        <v>73</v>
      </c>
      <c r="M671" s="89" t="s">
        <v>30</v>
      </c>
      <c r="N671" s="117"/>
      <c r="O671" s="138">
        <f t="shared" si="40"/>
        <v>1000</v>
      </c>
      <c r="P671" s="115"/>
      <c r="Q671" s="61">
        <f t="shared" si="36"/>
        <v>0</v>
      </c>
      <c r="R671" s="68"/>
      <c r="S671" s="72" t="s">
        <v>1554</v>
      </c>
      <c r="T671" s="105" t="s">
        <v>80</v>
      </c>
      <c r="U671" s="59" t="str">
        <f>VLOOKUP(T671,[1]区域划分!$A$1:$C$39,3,0)</f>
        <v>殷坤鹏</v>
      </c>
      <c r="V671" s="68"/>
      <c r="W671" s="68"/>
      <c r="X671" s="68"/>
    </row>
    <row r="672" s="17" customFormat="1" ht="36" hidden="1" spans="1:24">
      <c r="A672" s="59">
        <v>670</v>
      </c>
      <c r="B672" s="60" t="s">
        <v>1555</v>
      </c>
      <c r="C672" s="114">
        <f t="shared" si="38"/>
        <v>45092</v>
      </c>
      <c r="D672" s="62" t="str">
        <f ca="1" t="shared" si="39"/>
        <v>一年以上</v>
      </c>
      <c r="E672" s="115">
        <v>45092</v>
      </c>
      <c r="F672" s="115" t="s">
        <v>632</v>
      </c>
      <c r="G672" s="132" t="s">
        <v>450</v>
      </c>
      <c r="H672" s="100" t="s">
        <v>1556</v>
      </c>
      <c r="I672" s="60" t="s">
        <v>1556</v>
      </c>
      <c r="J672" s="116">
        <v>10000</v>
      </c>
      <c r="K672" s="105" t="s">
        <v>28</v>
      </c>
      <c r="L672" s="105" t="s">
        <v>73</v>
      </c>
      <c r="M672" s="89" t="s">
        <v>30</v>
      </c>
      <c r="N672" s="117">
        <v>10000</v>
      </c>
      <c r="O672" s="137">
        <f t="shared" si="40"/>
        <v>0</v>
      </c>
      <c r="P672" s="115">
        <v>45114</v>
      </c>
      <c r="Q672" s="61">
        <f t="shared" si="36"/>
        <v>45114</v>
      </c>
      <c r="R672" s="68"/>
      <c r="S672" s="72" t="s">
        <v>1557</v>
      </c>
      <c r="T672" s="105"/>
      <c r="U672" s="68"/>
      <c r="V672" s="68"/>
      <c r="W672" s="68"/>
      <c r="X672" s="68"/>
    </row>
    <row r="673" s="17" customFormat="1" ht="36" hidden="1" spans="1:24">
      <c r="A673" s="59">
        <v>671</v>
      </c>
      <c r="B673" s="60" t="s">
        <v>1558</v>
      </c>
      <c r="C673" s="114">
        <f t="shared" si="38"/>
        <v>45092</v>
      </c>
      <c r="D673" s="62" t="str">
        <f ca="1" t="shared" si="39"/>
        <v>一年以上</v>
      </c>
      <c r="E673" s="115">
        <v>45092</v>
      </c>
      <c r="F673" s="115" t="s">
        <v>632</v>
      </c>
      <c r="G673" s="132" t="s">
        <v>450</v>
      </c>
      <c r="H673" s="100" t="s">
        <v>1556</v>
      </c>
      <c r="I673" s="60" t="s">
        <v>1556</v>
      </c>
      <c r="J673" s="116">
        <v>220</v>
      </c>
      <c r="K673" s="105" t="s">
        <v>28</v>
      </c>
      <c r="L673" s="105" t="s">
        <v>73</v>
      </c>
      <c r="M673" s="89" t="s">
        <v>515</v>
      </c>
      <c r="N673" s="117"/>
      <c r="O673" s="137">
        <f t="shared" si="40"/>
        <v>220</v>
      </c>
      <c r="P673" s="115"/>
      <c r="Q673" s="61">
        <f t="shared" si="36"/>
        <v>0</v>
      </c>
      <c r="R673" s="68"/>
      <c r="S673" s="72" t="s">
        <v>1557</v>
      </c>
      <c r="T673" s="105" t="s">
        <v>720</v>
      </c>
      <c r="U673" s="59" t="str">
        <f>VLOOKUP(T673,[1]区域划分!$A$1:$C$39,3,0)</f>
        <v>杨春龙</v>
      </c>
      <c r="V673" s="68"/>
      <c r="W673" s="68"/>
      <c r="X673" s="68"/>
    </row>
    <row r="674" s="17" customFormat="1" ht="24" hidden="1" spans="1:24">
      <c r="A674" s="59">
        <v>672</v>
      </c>
      <c r="B674" s="60" t="s">
        <v>1559</v>
      </c>
      <c r="C674" s="114">
        <f t="shared" si="38"/>
        <v>45098</v>
      </c>
      <c r="D674" s="62" t="str">
        <f ca="1" t="shared" si="39"/>
        <v>一年以上</v>
      </c>
      <c r="E674" s="115">
        <v>45098</v>
      </c>
      <c r="F674" s="115" t="s">
        <v>632</v>
      </c>
      <c r="G674" s="132" t="s">
        <v>450</v>
      </c>
      <c r="H674" s="100" t="s">
        <v>912</v>
      </c>
      <c r="I674" s="60" t="s">
        <v>912</v>
      </c>
      <c r="J674" s="116">
        <v>6000</v>
      </c>
      <c r="K674" s="105" t="s">
        <v>28</v>
      </c>
      <c r="L674" s="105" t="s">
        <v>73</v>
      </c>
      <c r="M674" s="89" t="s">
        <v>30</v>
      </c>
      <c r="N674" s="117">
        <v>6000</v>
      </c>
      <c r="O674" s="137">
        <f t="shared" si="40"/>
        <v>0</v>
      </c>
      <c r="P674" s="115">
        <v>45106</v>
      </c>
      <c r="Q674" s="61">
        <f t="shared" si="36"/>
        <v>45106</v>
      </c>
      <c r="R674" s="68"/>
      <c r="S674" s="72" t="s">
        <v>1560</v>
      </c>
      <c r="T674" s="105"/>
      <c r="U674" s="68"/>
      <c r="V674" s="68"/>
      <c r="W674" s="68"/>
      <c r="X674" s="68"/>
    </row>
    <row r="675" s="17" customFormat="1" ht="24" hidden="1" spans="1:24">
      <c r="A675" s="59">
        <v>673</v>
      </c>
      <c r="B675" s="60" t="s">
        <v>1561</v>
      </c>
      <c r="C675" s="114">
        <f t="shared" si="38"/>
        <v>45098</v>
      </c>
      <c r="D675" s="62" t="str">
        <f ca="1" t="shared" si="39"/>
        <v>一年以上</v>
      </c>
      <c r="E675" s="115">
        <v>45098</v>
      </c>
      <c r="F675" s="115" t="s">
        <v>632</v>
      </c>
      <c r="G675" s="132" t="s">
        <v>450</v>
      </c>
      <c r="H675" s="100" t="s">
        <v>912</v>
      </c>
      <c r="I675" s="60" t="s">
        <v>912</v>
      </c>
      <c r="J675" s="116">
        <v>200</v>
      </c>
      <c r="K675" s="105" t="s">
        <v>28</v>
      </c>
      <c r="L675" s="105" t="s">
        <v>73</v>
      </c>
      <c r="M675" s="89" t="s">
        <v>515</v>
      </c>
      <c r="N675" s="117"/>
      <c r="O675" s="137">
        <f t="shared" si="40"/>
        <v>200</v>
      </c>
      <c r="P675" s="115"/>
      <c r="Q675" s="61">
        <f t="shared" si="36"/>
        <v>0</v>
      </c>
      <c r="R675" s="68"/>
      <c r="S675" s="72" t="s">
        <v>1560</v>
      </c>
      <c r="T675" s="105" t="s">
        <v>581</v>
      </c>
      <c r="U675" s="59" t="str">
        <f>VLOOKUP(T675,[1]区域划分!$A$1:$C$39,3,0)</f>
        <v>新疆</v>
      </c>
      <c r="V675" s="68"/>
      <c r="W675" s="68"/>
      <c r="X675" s="68"/>
    </row>
    <row r="676" s="17" customFormat="1" ht="24" hidden="1" spans="1:24">
      <c r="A676" s="59">
        <v>674</v>
      </c>
      <c r="B676" s="60" t="s">
        <v>1562</v>
      </c>
      <c r="C676" s="114">
        <f t="shared" si="38"/>
        <v>45098</v>
      </c>
      <c r="D676" s="62" t="str">
        <f ca="1" t="shared" si="39"/>
        <v>一年以上</v>
      </c>
      <c r="E676" s="115">
        <v>45098</v>
      </c>
      <c r="F676" s="115" t="s">
        <v>70</v>
      </c>
      <c r="G676" s="132" t="s">
        <v>1563</v>
      </c>
      <c r="H676" s="100" t="s">
        <v>578</v>
      </c>
      <c r="I676" s="60" t="s">
        <v>578</v>
      </c>
      <c r="J676" s="116">
        <v>10000</v>
      </c>
      <c r="K676" s="105" t="s">
        <v>28</v>
      </c>
      <c r="L676" s="105" t="s">
        <v>73</v>
      </c>
      <c r="M676" s="89" t="s">
        <v>65</v>
      </c>
      <c r="N676" s="117"/>
      <c r="O676" s="138">
        <f t="shared" si="40"/>
        <v>10000</v>
      </c>
      <c r="P676" s="115"/>
      <c r="Q676" s="61">
        <f t="shared" si="36"/>
        <v>0</v>
      </c>
      <c r="R676" s="68"/>
      <c r="S676" s="72" t="s">
        <v>1564</v>
      </c>
      <c r="T676" s="105" t="s">
        <v>581</v>
      </c>
      <c r="U676" s="59" t="str">
        <f>VLOOKUP(T676,[1]区域划分!$A$1:$C$39,3,0)</f>
        <v>新疆</v>
      </c>
      <c r="V676" s="68"/>
      <c r="W676" s="68"/>
      <c r="X676" s="68"/>
    </row>
    <row r="677" s="17" customFormat="1" ht="24" hidden="1" spans="1:24">
      <c r="A677" s="59">
        <v>675</v>
      </c>
      <c r="B677" s="60" t="s">
        <v>1565</v>
      </c>
      <c r="C677" s="114">
        <f t="shared" si="38"/>
        <v>45103</v>
      </c>
      <c r="D677" s="62" t="str">
        <f ca="1" t="shared" si="39"/>
        <v>一年以上</v>
      </c>
      <c r="E677" s="115">
        <v>45103</v>
      </c>
      <c r="F677" s="115" t="s">
        <v>632</v>
      </c>
      <c r="G677" s="132" t="s">
        <v>450</v>
      </c>
      <c r="H677" s="100" t="s">
        <v>1505</v>
      </c>
      <c r="I677" s="60" t="s">
        <v>1505</v>
      </c>
      <c r="J677" s="116">
        <v>2000</v>
      </c>
      <c r="K677" s="105" t="s">
        <v>28</v>
      </c>
      <c r="L677" s="105" t="s">
        <v>73</v>
      </c>
      <c r="M677" s="89" t="s">
        <v>30</v>
      </c>
      <c r="N677" s="117">
        <v>2000</v>
      </c>
      <c r="O677" s="137">
        <f t="shared" si="40"/>
        <v>0</v>
      </c>
      <c r="P677" s="115">
        <v>45268</v>
      </c>
      <c r="Q677" s="61">
        <f t="shared" si="36"/>
        <v>45268</v>
      </c>
      <c r="R677" s="68" t="s">
        <v>1544</v>
      </c>
      <c r="S677" s="72" t="s">
        <v>1566</v>
      </c>
      <c r="T677" s="105" t="s">
        <v>720</v>
      </c>
      <c r="U677" s="59" t="str">
        <f>VLOOKUP(T677,[1]区域划分!$A$1:$C$39,3,0)</f>
        <v>杨春龙</v>
      </c>
      <c r="V677" s="68"/>
      <c r="W677" s="68"/>
      <c r="X677" s="68"/>
    </row>
    <row r="678" s="17" customFormat="1" ht="36" hidden="1" spans="1:24">
      <c r="A678" s="59">
        <v>676</v>
      </c>
      <c r="B678" s="60" t="s">
        <v>1567</v>
      </c>
      <c r="C678" s="114">
        <v>45078</v>
      </c>
      <c r="D678" s="62" t="str">
        <f ca="1" t="shared" si="39"/>
        <v>一年以上</v>
      </c>
      <c r="E678" s="115">
        <v>45103</v>
      </c>
      <c r="F678" s="115" t="s">
        <v>632</v>
      </c>
      <c r="G678" s="132" t="s">
        <v>450</v>
      </c>
      <c r="H678" s="100" t="s">
        <v>1568</v>
      </c>
      <c r="I678" s="60" t="s">
        <v>1569</v>
      </c>
      <c r="J678" s="116">
        <v>20000</v>
      </c>
      <c r="K678" s="105" t="s">
        <v>28</v>
      </c>
      <c r="L678" s="105" t="s">
        <v>73</v>
      </c>
      <c r="M678" s="89" t="s">
        <v>30</v>
      </c>
      <c r="N678" s="117">
        <v>20000</v>
      </c>
      <c r="O678" s="137">
        <f t="shared" si="40"/>
        <v>0</v>
      </c>
      <c r="P678" s="115">
        <v>45119</v>
      </c>
      <c r="Q678" s="61">
        <f t="shared" si="36"/>
        <v>45119</v>
      </c>
      <c r="R678" s="68"/>
      <c r="S678" s="72" t="s">
        <v>1570</v>
      </c>
      <c r="T678" s="105"/>
      <c r="U678" s="68"/>
      <c r="V678" s="68"/>
      <c r="W678" s="68"/>
      <c r="X678" s="68"/>
    </row>
    <row r="679" s="17" customFormat="1" ht="24" hidden="1" spans="1:24">
      <c r="A679" s="59">
        <v>677</v>
      </c>
      <c r="B679" s="60" t="s">
        <v>1571</v>
      </c>
      <c r="C679" s="114">
        <f>E679</f>
        <v>45105</v>
      </c>
      <c r="D679" s="62" t="str">
        <f ca="1" t="shared" si="39"/>
        <v>一年以上</v>
      </c>
      <c r="E679" s="115">
        <v>45105</v>
      </c>
      <c r="F679" s="115" t="s">
        <v>70</v>
      </c>
      <c r="G679" s="132" t="s">
        <v>434</v>
      </c>
      <c r="H679" s="100" t="s">
        <v>605</v>
      </c>
      <c r="I679" s="60" t="s">
        <v>605</v>
      </c>
      <c r="J679" s="116">
        <v>2750</v>
      </c>
      <c r="K679" s="105" t="s">
        <v>28</v>
      </c>
      <c r="L679" s="105" t="s">
        <v>73</v>
      </c>
      <c r="M679" s="89" t="s">
        <v>65</v>
      </c>
      <c r="N679" s="117">
        <v>2750</v>
      </c>
      <c r="O679" s="137">
        <f t="shared" si="40"/>
        <v>0</v>
      </c>
      <c r="P679" s="115">
        <v>45176</v>
      </c>
      <c r="Q679" s="61">
        <f t="shared" si="36"/>
        <v>45176</v>
      </c>
      <c r="R679" s="68"/>
      <c r="S679" s="72" t="s">
        <v>1000</v>
      </c>
      <c r="T679" s="105"/>
      <c r="U679" s="68"/>
      <c r="V679" s="68"/>
      <c r="W679" s="68"/>
      <c r="X679" s="68"/>
    </row>
    <row r="680" s="17" customFormat="1" ht="24" hidden="1" spans="1:24">
      <c r="A680" s="59">
        <v>678</v>
      </c>
      <c r="B680" s="60" t="s">
        <v>1572</v>
      </c>
      <c r="C680" s="114">
        <v>45078</v>
      </c>
      <c r="D680" s="62" t="str">
        <f ca="1" t="shared" si="39"/>
        <v>一年以上</v>
      </c>
      <c r="E680" s="115">
        <v>45109</v>
      </c>
      <c r="F680" s="115" t="s">
        <v>632</v>
      </c>
      <c r="G680" s="132" t="s">
        <v>450</v>
      </c>
      <c r="H680" s="100" t="s">
        <v>188</v>
      </c>
      <c r="I680" s="60" t="s">
        <v>188</v>
      </c>
      <c r="J680" s="116">
        <v>10000</v>
      </c>
      <c r="K680" s="105" t="s">
        <v>28</v>
      </c>
      <c r="L680" s="105" t="s">
        <v>73</v>
      </c>
      <c r="M680" s="89" t="s">
        <v>30</v>
      </c>
      <c r="N680" s="117">
        <v>10000</v>
      </c>
      <c r="O680" s="137">
        <f t="shared" si="40"/>
        <v>0</v>
      </c>
      <c r="P680" s="115">
        <v>45156</v>
      </c>
      <c r="Q680" s="61">
        <f t="shared" si="36"/>
        <v>45156</v>
      </c>
      <c r="R680" s="68"/>
      <c r="S680" s="72" t="s">
        <v>1573</v>
      </c>
      <c r="T680" s="105"/>
      <c r="U680" s="68"/>
      <c r="V680" s="68"/>
      <c r="W680" s="68"/>
      <c r="X680" s="68"/>
    </row>
    <row r="681" s="17" customFormat="1" ht="24" hidden="1" spans="1:24">
      <c r="A681" s="59">
        <v>679</v>
      </c>
      <c r="B681" s="60" t="s">
        <v>1574</v>
      </c>
      <c r="C681" s="114">
        <f t="shared" ref="C681:C743" si="41">E681</f>
        <v>45112</v>
      </c>
      <c r="D681" s="62" t="str">
        <f ca="1" t="shared" si="39"/>
        <v>一年以上</v>
      </c>
      <c r="E681" s="115">
        <v>45112</v>
      </c>
      <c r="F681" s="115" t="s">
        <v>632</v>
      </c>
      <c r="G681" s="132" t="s">
        <v>993</v>
      </c>
      <c r="H681" s="100" t="s">
        <v>1290</v>
      </c>
      <c r="I681" s="60" t="s">
        <v>1290</v>
      </c>
      <c r="J681" s="116">
        <v>500</v>
      </c>
      <c r="K681" s="105" t="s">
        <v>28</v>
      </c>
      <c r="L681" s="105" t="s">
        <v>73</v>
      </c>
      <c r="M681" s="89" t="s">
        <v>515</v>
      </c>
      <c r="N681" s="117"/>
      <c r="O681" s="137">
        <f t="shared" si="40"/>
        <v>500</v>
      </c>
      <c r="P681" s="115"/>
      <c r="Q681" s="61">
        <f t="shared" si="36"/>
        <v>0</v>
      </c>
      <c r="R681" s="68"/>
      <c r="S681" s="72" t="s">
        <v>1575</v>
      </c>
      <c r="T681" s="105" t="s">
        <v>311</v>
      </c>
      <c r="U681" s="59" t="str">
        <f>VLOOKUP(T681,[1]区域划分!$A$1:$C$39,3,0)</f>
        <v>牛国庆</v>
      </c>
      <c r="V681" s="68"/>
      <c r="W681" s="68"/>
      <c r="X681" s="68"/>
    </row>
    <row r="682" s="17" customFormat="1" hidden="1" spans="1:24">
      <c r="A682" s="59">
        <v>680</v>
      </c>
      <c r="B682" s="60" t="s">
        <v>1576</v>
      </c>
      <c r="C682" s="114">
        <f t="shared" si="41"/>
        <v>45112</v>
      </c>
      <c r="D682" s="62" t="str">
        <f ca="1" t="shared" si="39"/>
        <v>一年以上</v>
      </c>
      <c r="E682" s="115">
        <v>45112</v>
      </c>
      <c r="F682" s="115" t="s">
        <v>632</v>
      </c>
      <c r="G682" s="132" t="s">
        <v>993</v>
      </c>
      <c r="H682" s="100" t="s">
        <v>665</v>
      </c>
      <c r="I682" s="60" t="s">
        <v>665</v>
      </c>
      <c r="J682" s="116">
        <v>5000</v>
      </c>
      <c r="K682" s="105" t="s">
        <v>356</v>
      </c>
      <c r="L682" s="105" t="s">
        <v>73</v>
      </c>
      <c r="M682" s="89" t="s">
        <v>30</v>
      </c>
      <c r="N682" s="117">
        <v>5000</v>
      </c>
      <c r="O682" s="137">
        <f t="shared" si="40"/>
        <v>0</v>
      </c>
      <c r="P682" s="115">
        <v>45259</v>
      </c>
      <c r="Q682" s="61">
        <f t="shared" si="36"/>
        <v>45259</v>
      </c>
      <c r="R682" s="68"/>
      <c r="S682" s="72" t="s">
        <v>1577</v>
      </c>
      <c r="T682" s="105" t="s">
        <v>182</v>
      </c>
      <c r="U682" s="59" t="str">
        <f>VLOOKUP(T682,[1]区域划分!$A$1:$C$39,3,0)</f>
        <v>汪瑞青</v>
      </c>
      <c r="V682" s="68"/>
      <c r="W682" s="68"/>
      <c r="X682" s="68"/>
    </row>
    <row r="683" s="17" customFormat="1" ht="24" hidden="1" spans="1:24">
      <c r="A683" s="59">
        <v>681</v>
      </c>
      <c r="B683" s="60" t="s">
        <v>1578</v>
      </c>
      <c r="C683" s="114">
        <f t="shared" si="41"/>
        <v>45114</v>
      </c>
      <c r="D683" s="62" t="str">
        <f ca="1" t="shared" si="39"/>
        <v>一年以上</v>
      </c>
      <c r="E683" s="115">
        <v>45114</v>
      </c>
      <c r="F683" s="115" t="s">
        <v>632</v>
      </c>
      <c r="G683" s="132" t="s">
        <v>450</v>
      </c>
      <c r="H683" s="100" t="s">
        <v>325</v>
      </c>
      <c r="I683" s="60" t="s">
        <v>325</v>
      </c>
      <c r="J683" s="116">
        <v>2000</v>
      </c>
      <c r="K683" s="105" t="s">
        <v>356</v>
      </c>
      <c r="L683" s="105" t="s">
        <v>73</v>
      </c>
      <c r="M683" s="89" t="s">
        <v>30</v>
      </c>
      <c r="N683" s="117">
        <v>2000</v>
      </c>
      <c r="O683" s="137">
        <f t="shared" si="40"/>
        <v>0</v>
      </c>
      <c r="P683" s="115">
        <v>45169</v>
      </c>
      <c r="Q683" s="61">
        <f t="shared" si="36"/>
        <v>45169</v>
      </c>
      <c r="R683" s="68"/>
      <c r="S683" s="72" t="s">
        <v>1579</v>
      </c>
      <c r="T683" s="105"/>
      <c r="U683" s="68"/>
      <c r="V683" s="68"/>
      <c r="W683" s="68"/>
      <c r="X683" s="68"/>
    </row>
    <row r="684" s="17" customFormat="1" ht="24" hidden="1" spans="1:24">
      <c r="A684" s="59">
        <v>682</v>
      </c>
      <c r="B684" s="60" t="s">
        <v>1580</v>
      </c>
      <c r="C684" s="114">
        <f t="shared" si="41"/>
        <v>45114</v>
      </c>
      <c r="D684" s="62" t="str">
        <f ca="1" t="shared" si="39"/>
        <v>一年以上</v>
      </c>
      <c r="E684" s="115">
        <v>45114</v>
      </c>
      <c r="F684" s="115" t="s">
        <v>632</v>
      </c>
      <c r="G684" s="132" t="s">
        <v>450</v>
      </c>
      <c r="H684" s="100" t="s">
        <v>1259</v>
      </c>
      <c r="I684" s="60" t="s">
        <v>1259</v>
      </c>
      <c r="J684" s="116">
        <v>5000</v>
      </c>
      <c r="K684" s="105" t="s">
        <v>28</v>
      </c>
      <c r="L684" s="105" t="s">
        <v>73</v>
      </c>
      <c r="M684" s="89" t="s">
        <v>30</v>
      </c>
      <c r="N684" s="117">
        <v>3000</v>
      </c>
      <c r="O684" s="137">
        <f t="shared" si="40"/>
        <v>2000</v>
      </c>
      <c r="P684" s="115">
        <v>45138</v>
      </c>
      <c r="Q684" s="61">
        <f t="shared" si="36"/>
        <v>45138</v>
      </c>
      <c r="R684" s="68" t="s">
        <v>1581</v>
      </c>
      <c r="S684" s="147" t="s">
        <v>2659</v>
      </c>
      <c r="T684" s="105" t="s">
        <v>32</v>
      </c>
      <c r="U684" s="59" t="str">
        <f>VLOOKUP(T684,[1]区域划分!$A$1:$C$39,3,0)</f>
        <v>方渊</v>
      </c>
      <c r="V684" s="68"/>
      <c r="W684" s="68"/>
      <c r="X684" s="68"/>
    </row>
    <row r="685" s="17" customFormat="1" ht="24" hidden="1" spans="1:24">
      <c r="A685" s="59">
        <v>685</v>
      </c>
      <c r="B685" s="60" t="s">
        <v>1583</v>
      </c>
      <c r="C685" s="114">
        <f t="shared" si="41"/>
        <v>45124</v>
      </c>
      <c r="D685" s="62" t="str">
        <f ca="1" t="shared" si="39"/>
        <v>一年以上</v>
      </c>
      <c r="E685" s="115">
        <v>45124</v>
      </c>
      <c r="F685" s="115" t="s">
        <v>70</v>
      </c>
      <c r="G685" s="132" t="s">
        <v>146</v>
      </c>
      <c r="H685" s="100" t="s">
        <v>517</v>
      </c>
      <c r="I685" s="60" t="s">
        <v>517</v>
      </c>
      <c r="J685" s="116">
        <v>2000</v>
      </c>
      <c r="K685" s="105" t="s">
        <v>28</v>
      </c>
      <c r="L685" s="105" t="s">
        <v>73</v>
      </c>
      <c r="M685" s="89" t="s">
        <v>65</v>
      </c>
      <c r="N685" s="117">
        <v>2000</v>
      </c>
      <c r="O685" s="137">
        <f t="shared" si="40"/>
        <v>0</v>
      </c>
      <c r="P685" s="115">
        <v>45138</v>
      </c>
      <c r="Q685" s="61">
        <f t="shared" si="36"/>
        <v>45138</v>
      </c>
      <c r="R685" s="68"/>
      <c r="S685" s="68" t="s">
        <v>1584</v>
      </c>
      <c r="T685" s="105"/>
      <c r="U685" s="68"/>
      <c r="V685" s="68"/>
      <c r="W685" s="68"/>
      <c r="X685" s="68"/>
    </row>
    <row r="686" s="17" customFormat="1" ht="24" hidden="1" spans="1:24">
      <c r="A686" s="59">
        <v>686</v>
      </c>
      <c r="B686" s="60" t="s">
        <v>1585</v>
      </c>
      <c r="C686" s="114">
        <f t="shared" si="41"/>
        <v>45124</v>
      </c>
      <c r="D686" s="62" t="str">
        <f ca="1" t="shared" si="39"/>
        <v>一年以上</v>
      </c>
      <c r="E686" s="115">
        <v>45124</v>
      </c>
      <c r="F686" s="115" t="s">
        <v>632</v>
      </c>
      <c r="G686" s="132" t="s">
        <v>450</v>
      </c>
      <c r="H686" s="100" t="s">
        <v>1586</v>
      </c>
      <c r="I686" s="60" t="s">
        <v>1586</v>
      </c>
      <c r="J686" s="116">
        <v>5000</v>
      </c>
      <c r="K686" s="105" t="s">
        <v>28</v>
      </c>
      <c r="L686" s="105" t="s">
        <v>73</v>
      </c>
      <c r="M686" s="89" t="s">
        <v>30</v>
      </c>
      <c r="N686" s="117">
        <v>5000</v>
      </c>
      <c r="O686" s="137">
        <f t="shared" si="40"/>
        <v>0</v>
      </c>
      <c r="P686" s="115">
        <v>45238</v>
      </c>
      <c r="Q686" s="61">
        <f t="shared" si="36"/>
        <v>45238</v>
      </c>
      <c r="R686" s="68"/>
      <c r="S686" s="148" t="s">
        <v>1587</v>
      </c>
      <c r="T686" s="105"/>
      <c r="U686" s="68"/>
      <c r="V686" s="68"/>
      <c r="W686" s="68"/>
      <c r="X686" s="68"/>
    </row>
    <row r="687" s="17" customFormat="1" hidden="1" spans="1:24">
      <c r="A687" s="59">
        <v>683</v>
      </c>
      <c r="B687" s="60" t="s">
        <v>1588</v>
      </c>
      <c r="C687" s="114">
        <f t="shared" si="41"/>
        <v>45126</v>
      </c>
      <c r="D687" s="62" t="str">
        <f ca="1" t="shared" si="39"/>
        <v>一年以上</v>
      </c>
      <c r="E687" s="115">
        <v>45126</v>
      </c>
      <c r="F687" s="115" t="s">
        <v>70</v>
      </c>
      <c r="G687" s="132" t="s">
        <v>1515</v>
      </c>
      <c r="H687" s="100" t="s">
        <v>341</v>
      </c>
      <c r="I687" s="60" t="s">
        <v>341</v>
      </c>
      <c r="J687" s="116">
        <v>1000</v>
      </c>
      <c r="K687" s="105" t="s">
        <v>28</v>
      </c>
      <c r="L687" s="105" t="s">
        <v>73</v>
      </c>
      <c r="M687" s="89" t="s">
        <v>65</v>
      </c>
      <c r="N687" s="117">
        <v>1000</v>
      </c>
      <c r="O687" s="138">
        <f t="shared" si="40"/>
        <v>0</v>
      </c>
      <c r="P687" s="144">
        <v>45405</v>
      </c>
      <c r="Q687" s="61">
        <f t="shared" si="36"/>
        <v>45405</v>
      </c>
      <c r="R687" s="68"/>
      <c r="S687" s="68" t="s">
        <v>1589</v>
      </c>
      <c r="T687" s="105" t="s">
        <v>86</v>
      </c>
      <c r="U687" s="59" t="str">
        <f>VLOOKUP(T687,[1]区域划分!$A$1:$C$39,3,0)</f>
        <v>朱利勇</v>
      </c>
      <c r="V687" s="68"/>
      <c r="W687" s="68"/>
      <c r="X687" s="68"/>
    </row>
    <row r="688" s="17" customFormat="1" ht="24" hidden="1" spans="1:24">
      <c r="A688" s="59">
        <v>684</v>
      </c>
      <c r="B688" s="60" t="s">
        <v>1590</v>
      </c>
      <c r="C688" s="114">
        <f t="shared" si="41"/>
        <v>45126</v>
      </c>
      <c r="D688" s="62" t="str">
        <f ca="1" t="shared" si="39"/>
        <v>一年以上</v>
      </c>
      <c r="E688" s="115">
        <v>45126</v>
      </c>
      <c r="F688" s="115" t="s">
        <v>70</v>
      </c>
      <c r="G688" s="132" t="s">
        <v>1591</v>
      </c>
      <c r="H688" s="100" t="s">
        <v>115</v>
      </c>
      <c r="I688" s="60" t="s">
        <v>115</v>
      </c>
      <c r="J688" s="116">
        <v>2000</v>
      </c>
      <c r="K688" s="105" t="s">
        <v>356</v>
      </c>
      <c r="L688" s="105" t="s">
        <v>73</v>
      </c>
      <c r="M688" s="89" t="s">
        <v>65</v>
      </c>
      <c r="N688" s="117">
        <v>2000</v>
      </c>
      <c r="O688" s="137">
        <f t="shared" si="40"/>
        <v>0</v>
      </c>
      <c r="P688" s="115">
        <v>45222</v>
      </c>
      <c r="Q688" s="61">
        <f t="shared" si="36"/>
        <v>45222</v>
      </c>
      <c r="R688" s="68"/>
      <c r="S688" s="68" t="s">
        <v>1592</v>
      </c>
      <c r="T688" s="105"/>
      <c r="U688" s="68"/>
      <c r="V688" s="68"/>
      <c r="W688" s="68"/>
      <c r="X688" s="68"/>
    </row>
    <row r="689" s="17" customFormat="1" hidden="1" spans="1:24">
      <c r="A689" s="59">
        <v>687</v>
      </c>
      <c r="B689" s="60" t="s">
        <v>1593</v>
      </c>
      <c r="C689" s="114">
        <f t="shared" si="41"/>
        <v>45134</v>
      </c>
      <c r="D689" s="62" t="str">
        <f ca="1" t="shared" si="39"/>
        <v>一年以上</v>
      </c>
      <c r="E689" s="115">
        <v>45134</v>
      </c>
      <c r="F689" s="115" t="s">
        <v>70</v>
      </c>
      <c r="G689" s="132" t="s">
        <v>1515</v>
      </c>
      <c r="H689" s="100" t="s">
        <v>863</v>
      </c>
      <c r="I689" s="60" t="s">
        <v>863</v>
      </c>
      <c r="J689" s="116">
        <f>7550+450</f>
        <v>8000</v>
      </c>
      <c r="K689" s="105" t="s">
        <v>28</v>
      </c>
      <c r="L689" s="105" t="s">
        <v>73</v>
      </c>
      <c r="M689" s="89" t="s">
        <v>65</v>
      </c>
      <c r="N689" s="117">
        <v>8000</v>
      </c>
      <c r="O689" s="137">
        <f t="shared" si="40"/>
        <v>0</v>
      </c>
      <c r="P689" s="115">
        <v>45286</v>
      </c>
      <c r="Q689" s="61">
        <f t="shared" si="36"/>
        <v>45286</v>
      </c>
      <c r="R689" s="68"/>
      <c r="S689" s="60" t="s">
        <v>1594</v>
      </c>
      <c r="T689" s="105" t="s">
        <v>972</v>
      </c>
      <c r="U689" s="59" t="str">
        <f>VLOOKUP(T689,[1]区域划分!$A$1:$C$39,3,0)</f>
        <v>曾江利</v>
      </c>
      <c r="V689" s="68"/>
      <c r="W689" s="68"/>
      <c r="X689" s="68"/>
    </row>
    <row r="690" s="17" customFormat="1" ht="48" hidden="1" spans="1:24">
      <c r="A690" s="59">
        <v>688</v>
      </c>
      <c r="B690" s="60" t="s">
        <v>1595</v>
      </c>
      <c r="C690" s="114">
        <f t="shared" si="41"/>
        <v>45142</v>
      </c>
      <c r="D690" s="62" t="str">
        <f ca="1" t="shared" si="39"/>
        <v>一年以上</v>
      </c>
      <c r="E690" s="115">
        <v>45142</v>
      </c>
      <c r="F690" s="115" t="s">
        <v>130</v>
      </c>
      <c r="G690" s="132" t="s">
        <v>1596</v>
      </c>
      <c r="H690" s="100" t="s">
        <v>863</v>
      </c>
      <c r="I690" s="60" t="s">
        <v>863</v>
      </c>
      <c r="J690" s="116">
        <v>15490</v>
      </c>
      <c r="K690" s="105" t="s">
        <v>28</v>
      </c>
      <c r="L690" s="105" t="s">
        <v>73</v>
      </c>
      <c r="M690" s="89" t="s">
        <v>133</v>
      </c>
      <c r="N690" s="117">
        <v>15490</v>
      </c>
      <c r="O690" s="137">
        <f t="shared" si="40"/>
        <v>0</v>
      </c>
      <c r="P690" s="115">
        <v>45230</v>
      </c>
      <c r="Q690" s="61">
        <f t="shared" si="36"/>
        <v>45230</v>
      </c>
      <c r="R690" s="72" t="s">
        <v>1077</v>
      </c>
      <c r="S690" s="72" t="s">
        <v>1597</v>
      </c>
      <c r="T690" s="105"/>
      <c r="U690" s="68"/>
      <c r="V690" s="68"/>
      <c r="W690" s="68"/>
      <c r="X690" s="68"/>
    </row>
    <row r="691" s="17" customFormat="1" ht="48" hidden="1" spans="1:24">
      <c r="A691" s="59">
        <v>689</v>
      </c>
      <c r="B691" s="60" t="s">
        <v>1598</v>
      </c>
      <c r="C691" s="114">
        <f t="shared" si="41"/>
        <v>45142</v>
      </c>
      <c r="D691" s="62" t="str">
        <f ca="1" t="shared" si="39"/>
        <v>一年以上</v>
      </c>
      <c r="E691" s="115">
        <v>45142</v>
      </c>
      <c r="F691" s="115" t="s">
        <v>130</v>
      </c>
      <c r="G691" s="132" t="s">
        <v>1596</v>
      </c>
      <c r="H691" s="100" t="s">
        <v>863</v>
      </c>
      <c r="I691" s="60" t="s">
        <v>863</v>
      </c>
      <c r="J691" s="116">
        <v>6000</v>
      </c>
      <c r="K691" s="105" t="s">
        <v>28</v>
      </c>
      <c r="L691" s="105" t="s">
        <v>73</v>
      </c>
      <c r="M691" s="89" t="s">
        <v>133</v>
      </c>
      <c r="N691" s="117">
        <v>6000</v>
      </c>
      <c r="O691" s="137">
        <f t="shared" si="40"/>
        <v>0</v>
      </c>
      <c r="P691" s="115">
        <v>45230</v>
      </c>
      <c r="Q691" s="61">
        <f t="shared" si="36"/>
        <v>45230</v>
      </c>
      <c r="R691" s="72" t="s">
        <v>1077</v>
      </c>
      <c r="S691" s="72" t="s">
        <v>1599</v>
      </c>
      <c r="T691" s="105"/>
      <c r="U691" s="68"/>
      <c r="V691" s="68"/>
      <c r="W691" s="68"/>
      <c r="X691" s="68"/>
    </row>
    <row r="692" s="17" customFormat="1" ht="98" hidden="1" customHeight="1" spans="1:24">
      <c r="A692" s="59">
        <v>690</v>
      </c>
      <c r="B692" s="60" t="s">
        <v>1600</v>
      </c>
      <c r="C692" s="114">
        <f t="shared" si="41"/>
        <v>45145</v>
      </c>
      <c r="D692" s="62" t="str">
        <f ca="1" t="shared" si="39"/>
        <v>一年以上</v>
      </c>
      <c r="E692" s="115">
        <v>45145</v>
      </c>
      <c r="F692" s="115" t="s">
        <v>70</v>
      </c>
      <c r="G692" s="132" t="s">
        <v>1591</v>
      </c>
      <c r="H692" s="100" t="s">
        <v>863</v>
      </c>
      <c r="I692" s="60" t="s">
        <v>863</v>
      </c>
      <c r="J692" s="116">
        <v>46000</v>
      </c>
      <c r="K692" s="105" t="s">
        <v>28</v>
      </c>
      <c r="L692" s="136" t="s">
        <v>73</v>
      </c>
      <c r="M692" s="89" t="s">
        <v>65</v>
      </c>
      <c r="N692" s="104">
        <v>46000</v>
      </c>
      <c r="O692" s="137">
        <f t="shared" si="40"/>
        <v>0</v>
      </c>
      <c r="P692" s="115">
        <v>45315</v>
      </c>
      <c r="Q692" s="61">
        <f t="shared" si="36"/>
        <v>45315</v>
      </c>
      <c r="R692" s="68"/>
      <c r="S692" s="60" t="s">
        <v>1601</v>
      </c>
      <c r="T692" s="105" t="s">
        <v>972</v>
      </c>
      <c r="U692" s="59" t="str">
        <f>VLOOKUP(T692,[1]区域划分!$A$1:$C$39,3,0)</f>
        <v>曾江利</v>
      </c>
      <c r="V692" s="68"/>
      <c r="W692" s="68"/>
      <c r="X692" s="68"/>
    </row>
    <row r="693" s="17" customFormat="1" ht="15" hidden="1" customHeight="1" spans="1:24">
      <c r="A693" s="59">
        <v>691</v>
      </c>
      <c r="B693" s="60" t="s">
        <v>1602</v>
      </c>
      <c r="C693" s="114">
        <f t="shared" si="41"/>
        <v>45145</v>
      </c>
      <c r="D693" s="62" t="str">
        <f ca="1" t="shared" si="39"/>
        <v>一年以上</v>
      </c>
      <c r="E693" s="115">
        <v>45145</v>
      </c>
      <c r="F693" s="115" t="s">
        <v>632</v>
      </c>
      <c r="G693" s="132" t="s">
        <v>993</v>
      </c>
      <c r="H693" s="100" t="s">
        <v>1101</v>
      </c>
      <c r="I693" s="60" t="s">
        <v>1101</v>
      </c>
      <c r="J693" s="116">
        <v>4000</v>
      </c>
      <c r="K693" s="105" t="s">
        <v>356</v>
      </c>
      <c r="L693" s="105" t="s">
        <v>73</v>
      </c>
      <c r="M693" s="89" t="s">
        <v>30</v>
      </c>
      <c r="N693" s="117"/>
      <c r="O693" s="138">
        <f t="shared" si="40"/>
        <v>4000</v>
      </c>
      <c r="P693" s="115"/>
      <c r="Q693" s="61">
        <f t="shared" si="36"/>
        <v>0</v>
      </c>
      <c r="R693" s="68"/>
      <c r="S693" s="68" t="s">
        <v>1604</v>
      </c>
      <c r="T693" s="105" t="s">
        <v>388</v>
      </c>
      <c r="U693" s="59" t="str">
        <f>VLOOKUP(T693,[1]区域划分!$A$1:$C$39,3,0)</f>
        <v>林维</v>
      </c>
      <c r="V693" s="68"/>
      <c r="W693" s="68"/>
      <c r="X693" s="68"/>
    </row>
    <row r="694" s="17" customFormat="1" ht="60" hidden="1" spans="1:24">
      <c r="A694" s="59">
        <v>693</v>
      </c>
      <c r="B694" s="60" t="s">
        <v>1605</v>
      </c>
      <c r="C694" s="114">
        <f t="shared" si="41"/>
        <v>45148</v>
      </c>
      <c r="D694" s="62" t="str">
        <f ca="1" t="shared" si="39"/>
        <v>一年以上</v>
      </c>
      <c r="E694" s="115">
        <v>45148</v>
      </c>
      <c r="F694" s="115" t="s">
        <v>70</v>
      </c>
      <c r="G694" s="132" t="s">
        <v>1591</v>
      </c>
      <c r="H694" s="100" t="s">
        <v>863</v>
      </c>
      <c r="I694" s="60" t="s">
        <v>863</v>
      </c>
      <c r="J694" s="116">
        <v>26000</v>
      </c>
      <c r="K694" s="105" t="s">
        <v>28</v>
      </c>
      <c r="L694" s="105" t="s">
        <v>73</v>
      </c>
      <c r="M694" s="89" t="s">
        <v>65</v>
      </c>
      <c r="N694" s="117">
        <v>26000</v>
      </c>
      <c r="O694" s="137">
        <f t="shared" si="40"/>
        <v>0</v>
      </c>
      <c r="P694" s="115">
        <v>45286</v>
      </c>
      <c r="Q694" s="61">
        <f t="shared" si="36"/>
        <v>45286</v>
      </c>
      <c r="R694" s="68"/>
      <c r="S694" s="72" t="s">
        <v>1606</v>
      </c>
      <c r="T694" s="105" t="s">
        <v>972</v>
      </c>
      <c r="U694" s="59" t="str">
        <f>VLOOKUP(T694,[1]区域划分!$A$1:$C$39,3,0)</f>
        <v>曾江利</v>
      </c>
      <c r="V694" s="68"/>
      <c r="W694" s="68"/>
      <c r="X694" s="68"/>
    </row>
    <row r="695" s="17" customFormat="1" ht="24" hidden="1" spans="1:24">
      <c r="A695" s="59">
        <v>694</v>
      </c>
      <c r="B695" s="60" t="s">
        <v>1607</v>
      </c>
      <c r="C695" s="114">
        <f t="shared" si="41"/>
        <v>45153</v>
      </c>
      <c r="D695" s="62" t="str">
        <f ca="1" t="shared" si="39"/>
        <v>一年以上</v>
      </c>
      <c r="E695" s="115">
        <v>45153</v>
      </c>
      <c r="F695" s="115" t="s">
        <v>70</v>
      </c>
      <c r="G695" s="132" t="s">
        <v>1591</v>
      </c>
      <c r="H695" s="100" t="s">
        <v>863</v>
      </c>
      <c r="I695" s="60" t="s">
        <v>863</v>
      </c>
      <c r="J695" s="141">
        <v>14000</v>
      </c>
      <c r="K695" s="105" t="s">
        <v>28</v>
      </c>
      <c r="L695" s="136" t="s">
        <v>73</v>
      </c>
      <c r="M695" s="89" t="s">
        <v>65</v>
      </c>
      <c r="N695" s="104">
        <v>14000</v>
      </c>
      <c r="O695" s="137">
        <f t="shared" si="40"/>
        <v>0</v>
      </c>
      <c r="P695" s="115">
        <v>45345</v>
      </c>
      <c r="Q695" s="61">
        <f t="shared" si="36"/>
        <v>45345</v>
      </c>
      <c r="R695" s="68"/>
      <c r="S695" s="72" t="s">
        <v>1608</v>
      </c>
      <c r="T695" s="105" t="s">
        <v>972</v>
      </c>
      <c r="U695" s="59" t="str">
        <f>VLOOKUP(T695,[1]区域划分!$A$1:$C$39,3,0)</f>
        <v>曾江利</v>
      </c>
      <c r="V695" s="68"/>
      <c r="W695" s="68"/>
      <c r="X695" s="68"/>
    </row>
    <row r="696" s="17" customFormat="1" ht="24" hidden="1" spans="1:24">
      <c r="A696" s="59">
        <v>695</v>
      </c>
      <c r="B696" s="60" t="s">
        <v>1609</v>
      </c>
      <c r="C696" s="114">
        <f t="shared" si="41"/>
        <v>45153</v>
      </c>
      <c r="D696" s="62" t="str">
        <f ca="1" t="shared" si="39"/>
        <v>一年以上</v>
      </c>
      <c r="E696" s="115">
        <v>45153</v>
      </c>
      <c r="F696" s="115" t="s">
        <v>70</v>
      </c>
      <c r="G696" s="132" t="s">
        <v>1591</v>
      </c>
      <c r="H696" s="100" t="s">
        <v>1610</v>
      </c>
      <c r="I696" s="60" t="s">
        <v>1610</v>
      </c>
      <c r="J696" s="116">
        <v>5000</v>
      </c>
      <c r="K696" s="105" t="s">
        <v>28</v>
      </c>
      <c r="L696" s="105" t="s">
        <v>73</v>
      </c>
      <c r="M696" s="89" t="s">
        <v>65</v>
      </c>
      <c r="N696" s="117">
        <v>5000</v>
      </c>
      <c r="O696" s="137">
        <f t="shared" si="40"/>
        <v>0</v>
      </c>
      <c r="P696" s="115">
        <v>45217</v>
      </c>
      <c r="Q696" s="61">
        <f t="shared" si="36"/>
        <v>45217</v>
      </c>
      <c r="R696" s="68"/>
      <c r="S696" s="72" t="s">
        <v>1611</v>
      </c>
      <c r="T696" s="105"/>
      <c r="U696" s="68"/>
      <c r="V696" s="68"/>
      <c r="W696" s="68"/>
      <c r="X696" s="68"/>
    </row>
    <row r="697" s="17" customFormat="1" hidden="1" spans="1:24">
      <c r="A697" s="59">
        <v>696</v>
      </c>
      <c r="B697" s="60" t="s">
        <v>1612</v>
      </c>
      <c r="C697" s="114">
        <f t="shared" si="41"/>
        <v>45166</v>
      </c>
      <c r="D697" s="62" t="str">
        <f ca="1" t="shared" si="39"/>
        <v>一年以上</v>
      </c>
      <c r="E697" s="115">
        <v>45166</v>
      </c>
      <c r="F697" s="115" t="s">
        <v>632</v>
      </c>
      <c r="G697" s="132" t="s">
        <v>450</v>
      </c>
      <c r="H697" s="100" t="s">
        <v>863</v>
      </c>
      <c r="I697" s="60" t="s">
        <v>863</v>
      </c>
      <c r="J697" s="116">
        <v>500</v>
      </c>
      <c r="K697" s="105" t="s">
        <v>28</v>
      </c>
      <c r="L697" s="105" t="s">
        <v>73</v>
      </c>
      <c r="M697" s="89" t="s">
        <v>515</v>
      </c>
      <c r="N697" s="117"/>
      <c r="O697" s="140">
        <f t="shared" si="40"/>
        <v>500</v>
      </c>
      <c r="P697" s="115"/>
      <c r="Q697" s="61">
        <f t="shared" si="36"/>
        <v>0</v>
      </c>
      <c r="R697" s="68"/>
      <c r="S697" s="72" t="s">
        <v>1613</v>
      </c>
      <c r="T697" s="105" t="s">
        <v>972</v>
      </c>
      <c r="U697" s="59" t="str">
        <f>VLOOKUP(T697,[1]区域划分!$A$1:$C$39,3,0)</f>
        <v>曾江利</v>
      </c>
      <c r="V697" s="68"/>
      <c r="W697" s="68"/>
      <c r="X697" s="68"/>
    </row>
    <row r="698" s="17" customFormat="1" hidden="1" spans="1:24">
      <c r="A698" s="59">
        <v>697</v>
      </c>
      <c r="B698" s="60" t="s">
        <v>1614</v>
      </c>
      <c r="C698" s="114">
        <f t="shared" si="41"/>
        <v>45166</v>
      </c>
      <c r="D698" s="62" t="str">
        <f ca="1" t="shared" si="39"/>
        <v>一年以上</v>
      </c>
      <c r="E698" s="115">
        <v>45166</v>
      </c>
      <c r="F698" s="115" t="s">
        <v>632</v>
      </c>
      <c r="G698" s="132" t="s">
        <v>450</v>
      </c>
      <c r="H698" s="100" t="s">
        <v>1615</v>
      </c>
      <c r="I698" s="60" t="s">
        <v>1615</v>
      </c>
      <c r="J698" s="116">
        <v>500</v>
      </c>
      <c r="K698" s="105" t="s">
        <v>28</v>
      </c>
      <c r="L698" s="105" t="s">
        <v>73</v>
      </c>
      <c r="M698" s="89" t="s">
        <v>515</v>
      </c>
      <c r="N698" s="117"/>
      <c r="O698" s="137">
        <f t="shared" si="40"/>
        <v>500</v>
      </c>
      <c r="P698" s="115"/>
      <c r="Q698" s="61">
        <f t="shared" si="36"/>
        <v>0</v>
      </c>
      <c r="R698" s="68"/>
      <c r="S698" s="72" t="s">
        <v>1616</v>
      </c>
      <c r="T698" s="105" t="s">
        <v>32</v>
      </c>
      <c r="U698" s="59" t="str">
        <f>VLOOKUP(T698,[1]区域划分!$A$1:$C$39,3,0)</f>
        <v>方渊</v>
      </c>
      <c r="V698" s="68"/>
      <c r="W698" s="68"/>
      <c r="X698" s="68"/>
    </row>
    <row r="699" s="17" customFormat="1" hidden="1" spans="1:24">
      <c r="A699" s="59">
        <v>698</v>
      </c>
      <c r="B699" s="60" t="s">
        <v>1617</v>
      </c>
      <c r="C699" s="114">
        <f t="shared" si="41"/>
        <v>45167</v>
      </c>
      <c r="D699" s="62" t="str">
        <f ca="1" t="shared" si="39"/>
        <v>一年以上</v>
      </c>
      <c r="E699" s="115">
        <v>45167</v>
      </c>
      <c r="F699" s="115" t="s">
        <v>632</v>
      </c>
      <c r="G699" s="132" t="s">
        <v>1372</v>
      </c>
      <c r="H699" s="100" t="s">
        <v>863</v>
      </c>
      <c r="I699" s="60" t="s">
        <v>863</v>
      </c>
      <c r="J699" s="116">
        <v>3340</v>
      </c>
      <c r="K699" s="105" t="s">
        <v>28</v>
      </c>
      <c r="L699" s="105" t="s">
        <v>73</v>
      </c>
      <c r="M699" s="89" t="s">
        <v>133</v>
      </c>
      <c r="N699" s="117">
        <v>3340</v>
      </c>
      <c r="O699" s="137">
        <f t="shared" si="40"/>
        <v>0</v>
      </c>
      <c r="P699" s="115">
        <v>45230</v>
      </c>
      <c r="Q699" s="61">
        <f t="shared" si="36"/>
        <v>45230</v>
      </c>
      <c r="R699" s="68" t="s">
        <v>1077</v>
      </c>
      <c r="S699" s="72" t="s">
        <v>1618</v>
      </c>
      <c r="T699" s="105"/>
      <c r="U699" s="68"/>
      <c r="V699" s="68"/>
      <c r="W699" s="68"/>
      <c r="X699" s="68"/>
    </row>
    <row r="700" s="17" customFormat="1" ht="24" hidden="1" spans="1:24">
      <c r="A700" s="59">
        <v>699</v>
      </c>
      <c r="B700" s="60" t="s">
        <v>1619</v>
      </c>
      <c r="C700" s="114">
        <f t="shared" si="41"/>
        <v>45172</v>
      </c>
      <c r="D700" s="62" t="str">
        <f ca="1" t="shared" si="39"/>
        <v>一年以上</v>
      </c>
      <c r="E700" s="115">
        <v>45172</v>
      </c>
      <c r="F700" s="115" t="s">
        <v>632</v>
      </c>
      <c r="G700" s="132" t="s">
        <v>1372</v>
      </c>
      <c r="H700" s="100" t="s">
        <v>863</v>
      </c>
      <c r="I700" s="60" t="s">
        <v>863</v>
      </c>
      <c r="J700" s="116">
        <v>500</v>
      </c>
      <c r="K700" s="105" t="s">
        <v>28</v>
      </c>
      <c r="L700" s="105" t="s">
        <v>73</v>
      </c>
      <c r="M700" s="89" t="s">
        <v>515</v>
      </c>
      <c r="N700" s="117"/>
      <c r="O700" s="140">
        <f t="shared" si="40"/>
        <v>500</v>
      </c>
      <c r="P700" s="115"/>
      <c r="Q700" s="61">
        <f t="shared" si="36"/>
        <v>0</v>
      </c>
      <c r="R700" s="68"/>
      <c r="S700" s="72" t="s">
        <v>1620</v>
      </c>
      <c r="T700" s="105" t="s">
        <v>972</v>
      </c>
      <c r="U700" s="59" t="str">
        <f>VLOOKUP(T700,[1]区域划分!$A$1:$C$39,3,0)</f>
        <v>曾江利</v>
      </c>
      <c r="V700" s="68"/>
      <c r="W700" s="68"/>
      <c r="X700" s="68"/>
    </row>
    <row r="701" s="17" customFormat="1" ht="14.25" hidden="1" spans="1:24">
      <c r="A701" s="59">
        <v>700</v>
      </c>
      <c r="B701" s="60" t="s">
        <v>1621</v>
      </c>
      <c r="C701" s="114">
        <f t="shared" si="41"/>
        <v>45173</v>
      </c>
      <c r="D701" s="62" t="str">
        <f ca="1" t="shared" si="39"/>
        <v>一年以上</v>
      </c>
      <c r="E701" s="115">
        <v>45173</v>
      </c>
      <c r="F701" s="61" t="s">
        <v>632</v>
      </c>
      <c r="G701" s="132" t="s">
        <v>450</v>
      </c>
      <c r="H701" s="142" t="s">
        <v>863</v>
      </c>
      <c r="I701" s="60" t="s">
        <v>863</v>
      </c>
      <c r="J701" s="116">
        <v>10000</v>
      </c>
      <c r="K701" s="105" t="s">
        <v>28</v>
      </c>
      <c r="L701" s="105" t="s">
        <v>73</v>
      </c>
      <c r="M701" s="89" t="s">
        <v>30</v>
      </c>
      <c r="N701" s="117">
        <v>10000</v>
      </c>
      <c r="O701" s="137">
        <f t="shared" si="40"/>
        <v>0</v>
      </c>
      <c r="P701" s="115">
        <v>45194</v>
      </c>
      <c r="Q701" s="61">
        <f t="shared" si="36"/>
        <v>45194</v>
      </c>
      <c r="R701" s="68"/>
      <c r="S701" s="148" t="s">
        <v>1622</v>
      </c>
      <c r="T701" s="105"/>
      <c r="U701" s="68"/>
      <c r="V701" s="68"/>
      <c r="W701" s="68"/>
      <c r="X701" s="68"/>
    </row>
    <row r="702" s="17" customFormat="1" hidden="1" spans="1:24">
      <c r="A702" s="59">
        <v>706</v>
      </c>
      <c r="B702" s="60" t="s">
        <v>1623</v>
      </c>
      <c r="C702" s="114">
        <f t="shared" si="41"/>
        <v>45174</v>
      </c>
      <c r="D702" s="62" t="str">
        <f ca="1" t="shared" si="39"/>
        <v>一年以上</v>
      </c>
      <c r="E702" s="115">
        <v>45174</v>
      </c>
      <c r="F702" s="115" t="s">
        <v>632</v>
      </c>
      <c r="G702" s="132" t="s">
        <v>450</v>
      </c>
      <c r="H702" s="100" t="s">
        <v>851</v>
      </c>
      <c r="I702" s="60" t="s">
        <v>851</v>
      </c>
      <c r="J702" s="116">
        <v>100000</v>
      </c>
      <c r="K702" s="105" t="s">
        <v>28</v>
      </c>
      <c r="L702" s="105" t="s">
        <v>73</v>
      </c>
      <c r="M702" s="89" t="s">
        <v>30</v>
      </c>
      <c r="N702" s="117">
        <v>100000</v>
      </c>
      <c r="O702" s="137">
        <f t="shared" si="40"/>
        <v>0</v>
      </c>
      <c r="P702" s="115">
        <v>45184</v>
      </c>
      <c r="Q702" s="61">
        <f t="shared" si="36"/>
        <v>45184</v>
      </c>
      <c r="R702" s="68"/>
      <c r="S702" s="72" t="s">
        <v>1624</v>
      </c>
      <c r="T702" s="105"/>
      <c r="U702" s="68"/>
      <c r="V702" s="68"/>
      <c r="W702" s="68"/>
      <c r="X702" s="68"/>
    </row>
    <row r="703" s="17" customFormat="1" ht="24" hidden="1" spans="1:24">
      <c r="A703" s="59">
        <v>701</v>
      </c>
      <c r="B703" s="60" t="s">
        <v>1625</v>
      </c>
      <c r="C703" s="114">
        <f t="shared" si="41"/>
        <v>45177</v>
      </c>
      <c r="D703" s="62" t="str">
        <f ca="1" t="shared" si="39"/>
        <v>一年以上</v>
      </c>
      <c r="E703" s="115">
        <v>45177</v>
      </c>
      <c r="F703" s="115" t="s">
        <v>70</v>
      </c>
      <c r="G703" s="132" t="s">
        <v>1591</v>
      </c>
      <c r="H703" s="100" t="s">
        <v>291</v>
      </c>
      <c r="I703" s="60" t="s">
        <v>291</v>
      </c>
      <c r="J703" s="116">
        <v>2000</v>
      </c>
      <c r="K703" s="105" t="s">
        <v>356</v>
      </c>
      <c r="L703" s="105" t="s">
        <v>73</v>
      </c>
      <c r="M703" s="89" t="s">
        <v>65</v>
      </c>
      <c r="N703" s="117">
        <v>2000</v>
      </c>
      <c r="O703" s="137">
        <f t="shared" si="40"/>
        <v>0</v>
      </c>
      <c r="P703" s="115">
        <v>45226</v>
      </c>
      <c r="Q703" s="61">
        <f t="shared" si="36"/>
        <v>45226</v>
      </c>
      <c r="R703" s="68"/>
      <c r="S703" s="72" t="s">
        <v>1626</v>
      </c>
      <c r="T703" s="105"/>
      <c r="U703" s="68"/>
      <c r="V703" s="68"/>
      <c r="W703" s="68"/>
      <c r="X703" s="68"/>
    </row>
    <row r="704" s="17" customFormat="1" ht="24" hidden="1" spans="1:24">
      <c r="A704" s="59">
        <v>702</v>
      </c>
      <c r="B704" s="60" t="s">
        <v>1627</v>
      </c>
      <c r="C704" s="114">
        <f t="shared" si="41"/>
        <v>45181</v>
      </c>
      <c r="D704" s="62" t="str">
        <f ca="1" t="shared" si="39"/>
        <v>一年以上</v>
      </c>
      <c r="E704" s="115">
        <v>45181</v>
      </c>
      <c r="F704" s="115" t="s">
        <v>130</v>
      </c>
      <c r="G704" s="132" t="s">
        <v>1372</v>
      </c>
      <c r="H704" s="100" t="s">
        <v>863</v>
      </c>
      <c r="I704" s="60" t="s">
        <v>863</v>
      </c>
      <c r="J704" s="116">
        <v>6300</v>
      </c>
      <c r="K704" s="105" t="s">
        <v>28</v>
      </c>
      <c r="L704" s="105" t="s">
        <v>73</v>
      </c>
      <c r="M704" s="89" t="s">
        <v>133</v>
      </c>
      <c r="N704" s="117">
        <v>6300</v>
      </c>
      <c r="O704" s="137">
        <f t="shared" si="40"/>
        <v>0</v>
      </c>
      <c r="P704" s="115">
        <v>45230</v>
      </c>
      <c r="Q704" s="61">
        <f t="shared" si="36"/>
        <v>45230</v>
      </c>
      <c r="R704" s="68" t="s">
        <v>1077</v>
      </c>
      <c r="S704" s="72" t="s">
        <v>1628</v>
      </c>
      <c r="T704" s="105"/>
      <c r="U704" s="68"/>
      <c r="V704" s="68"/>
      <c r="W704" s="68"/>
      <c r="X704" s="68"/>
    </row>
    <row r="705" s="17" customFormat="1" ht="24" hidden="1" spans="1:24">
      <c r="A705" s="59">
        <v>703</v>
      </c>
      <c r="B705" s="60" t="s">
        <v>1629</v>
      </c>
      <c r="C705" s="114">
        <f t="shared" si="41"/>
        <v>45182</v>
      </c>
      <c r="D705" s="62" t="str">
        <f ca="1" t="shared" si="39"/>
        <v>一年以上</v>
      </c>
      <c r="E705" s="115">
        <v>45182</v>
      </c>
      <c r="F705" s="115" t="s">
        <v>130</v>
      </c>
      <c r="G705" s="132" t="s">
        <v>1372</v>
      </c>
      <c r="H705" s="100" t="s">
        <v>863</v>
      </c>
      <c r="I705" s="60" t="s">
        <v>863</v>
      </c>
      <c r="J705" s="116">
        <v>30000</v>
      </c>
      <c r="K705" s="105" t="s">
        <v>28</v>
      </c>
      <c r="L705" s="105" t="s">
        <v>73</v>
      </c>
      <c r="M705" s="89" t="s">
        <v>30</v>
      </c>
      <c r="N705" s="117">
        <v>30000</v>
      </c>
      <c r="O705" s="137">
        <f t="shared" si="40"/>
        <v>0</v>
      </c>
      <c r="P705" s="115">
        <v>45225</v>
      </c>
      <c r="Q705" s="61">
        <f t="shared" si="36"/>
        <v>45225</v>
      </c>
      <c r="R705" s="68"/>
      <c r="S705" s="72" t="s">
        <v>1620</v>
      </c>
      <c r="T705" s="105"/>
      <c r="U705" s="68"/>
      <c r="V705" s="68"/>
      <c r="W705" s="68"/>
      <c r="X705" s="68"/>
    </row>
    <row r="706" s="17" customFormat="1" ht="24" hidden="1" spans="1:24">
      <c r="A706" s="59">
        <v>704</v>
      </c>
      <c r="B706" s="60" t="s">
        <v>1630</v>
      </c>
      <c r="C706" s="114">
        <f t="shared" si="41"/>
        <v>45186</v>
      </c>
      <c r="D706" s="62" t="str">
        <f ca="1" t="shared" si="39"/>
        <v>一年以上</v>
      </c>
      <c r="E706" s="115">
        <v>45186</v>
      </c>
      <c r="F706" s="115" t="s">
        <v>632</v>
      </c>
      <c r="G706" s="132" t="s">
        <v>450</v>
      </c>
      <c r="H706" s="100" t="s">
        <v>1631</v>
      </c>
      <c r="I706" s="60" t="s">
        <v>1631</v>
      </c>
      <c r="J706" s="116">
        <v>4000</v>
      </c>
      <c r="K706" s="105" t="s">
        <v>356</v>
      </c>
      <c r="L706" s="105" t="s">
        <v>73</v>
      </c>
      <c r="M706" s="89" t="s">
        <v>30</v>
      </c>
      <c r="N706" s="117"/>
      <c r="O706" s="149">
        <f t="shared" si="40"/>
        <v>4000</v>
      </c>
      <c r="P706" s="115"/>
      <c r="Q706" s="61">
        <f t="shared" si="36"/>
        <v>0</v>
      </c>
      <c r="R706" s="150" t="s">
        <v>1632</v>
      </c>
      <c r="S706" s="72" t="s">
        <v>1633</v>
      </c>
      <c r="T706" s="105" t="s">
        <v>388</v>
      </c>
      <c r="U706" s="59" t="str">
        <f>VLOOKUP(T706,[1]区域划分!$A$1:$C$39,3,0)</f>
        <v>林维</v>
      </c>
      <c r="V706" s="68"/>
      <c r="W706" s="68"/>
      <c r="X706" s="68"/>
    </row>
    <row r="707" s="17" customFormat="1" ht="24" hidden="1" spans="1:24">
      <c r="A707" s="59">
        <v>705</v>
      </c>
      <c r="B707" s="60" t="s">
        <v>1635</v>
      </c>
      <c r="C707" s="114">
        <f t="shared" si="41"/>
        <v>45186</v>
      </c>
      <c r="D707" s="62" t="str">
        <f ca="1" t="shared" si="39"/>
        <v>一年以上</v>
      </c>
      <c r="E707" s="115">
        <v>45186</v>
      </c>
      <c r="F707" s="115" t="s">
        <v>632</v>
      </c>
      <c r="G707" s="132" t="s">
        <v>450</v>
      </c>
      <c r="H707" s="100" t="s">
        <v>1636</v>
      </c>
      <c r="I707" s="60" t="s">
        <v>1636</v>
      </c>
      <c r="J707" s="116">
        <v>4000</v>
      </c>
      <c r="K707" s="105" t="s">
        <v>356</v>
      </c>
      <c r="L707" s="105" t="s">
        <v>73</v>
      </c>
      <c r="M707" s="89" t="s">
        <v>30</v>
      </c>
      <c r="N707" s="117">
        <v>4000</v>
      </c>
      <c r="O707" s="137">
        <f t="shared" si="40"/>
        <v>0</v>
      </c>
      <c r="P707" s="115">
        <v>45230</v>
      </c>
      <c r="Q707" s="61">
        <f t="shared" ref="Q707:Q770" si="42">P707</f>
        <v>45230</v>
      </c>
      <c r="R707" s="68" t="s">
        <v>1637</v>
      </c>
      <c r="S707" s="72"/>
      <c r="T707" s="105"/>
      <c r="U707" s="68"/>
      <c r="V707" s="68"/>
      <c r="W707" s="68"/>
      <c r="X707" s="68"/>
    </row>
    <row r="708" s="17" customFormat="1" ht="24" hidden="1" spans="1:24">
      <c r="A708" s="59">
        <v>692</v>
      </c>
      <c r="B708" s="60" t="s">
        <v>1638</v>
      </c>
      <c r="C708" s="114">
        <f t="shared" si="41"/>
        <v>45189</v>
      </c>
      <c r="D708" s="62" t="str">
        <f ca="1" t="shared" si="39"/>
        <v>一年以上</v>
      </c>
      <c r="E708" s="115">
        <v>45189</v>
      </c>
      <c r="F708" s="115" t="s">
        <v>70</v>
      </c>
      <c r="G708" s="132" t="s">
        <v>1591</v>
      </c>
      <c r="H708" s="100" t="s">
        <v>1639</v>
      </c>
      <c r="I708" s="60" t="s">
        <v>1639</v>
      </c>
      <c r="J708" s="116">
        <v>10000</v>
      </c>
      <c r="K708" s="105" t="s">
        <v>28</v>
      </c>
      <c r="L708" s="105" t="s">
        <v>73</v>
      </c>
      <c r="M708" s="89" t="s">
        <v>65</v>
      </c>
      <c r="N708" s="117"/>
      <c r="O708" s="138">
        <f t="shared" si="40"/>
        <v>10000</v>
      </c>
      <c r="P708" s="115"/>
      <c r="Q708" s="61">
        <f t="shared" si="42"/>
        <v>0</v>
      </c>
      <c r="R708" s="68"/>
      <c r="S708" s="72" t="s">
        <v>1640</v>
      </c>
      <c r="T708" s="105" t="s">
        <v>330</v>
      </c>
      <c r="U708" s="59" t="str">
        <f>VLOOKUP(T708,[1]区域划分!$A$1:$C$39,3,0)</f>
        <v>伍平</v>
      </c>
      <c r="V708" s="68"/>
      <c r="W708" s="68"/>
      <c r="X708" s="68"/>
    </row>
    <row r="709" s="17" customFormat="1" hidden="1" spans="1:24">
      <c r="A709" s="59">
        <v>707</v>
      </c>
      <c r="B709" s="60" t="s">
        <v>1641</v>
      </c>
      <c r="C709" s="114">
        <f t="shared" si="41"/>
        <v>45190</v>
      </c>
      <c r="D709" s="62" t="str">
        <f ca="1" t="shared" si="39"/>
        <v>一年以上</v>
      </c>
      <c r="E709" s="115">
        <v>45190</v>
      </c>
      <c r="F709" s="115" t="s">
        <v>632</v>
      </c>
      <c r="G709" s="132" t="s">
        <v>450</v>
      </c>
      <c r="H709" s="100" t="s">
        <v>34</v>
      </c>
      <c r="I709" s="60" t="s">
        <v>34</v>
      </c>
      <c r="J709" s="116">
        <v>50000</v>
      </c>
      <c r="K709" s="105" t="s">
        <v>28</v>
      </c>
      <c r="L709" s="105" t="s">
        <v>73</v>
      </c>
      <c r="M709" s="89" t="s">
        <v>30</v>
      </c>
      <c r="N709" s="117">
        <v>50000</v>
      </c>
      <c r="O709" s="137">
        <f t="shared" si="40"/>
        <v>0</v>
      </c>
      <c r="P709" s="66">
        <v>45257</v>
      </c>
      <c r="Q709" s="61">
        <f t="shared" si="42"/>
        <v>45257</v>
      </c>
      <c r="R709" s="68"/>
      <c r="S709" s="72" t="s">
        <v>1642</v>
      </c>
      <c r="T709" s="105" t="s">
        <v>311</v>
      </c>
      <c r="U709" s="59" t="str">
        <f>VLOOKUP(T709,[1]区域划分!$A$1:$C$39,3,0)</f>
        <v>牛国庆</v>
      </c>
      <c r="V709" s="68"/>
      <c r="W709" s="68"/>
      <c r="X709" s="68"/>
    </row>
    <row r="710" s="17" customFormat="1" ht="36" hidden="1" spans="1:24">
      <c r="A710" s="59">
        <v>708</v>
      </c>
      <c r="B710" s="60" t="s">
        <v>1643</v>
      </c>
      <c r="C710" s="114">
        <f t="shared" si="41"/>
        <v>45194</v>
      </c>
      <c r="D710" s="62" t="str">
        <f ca="1" t="shared" si="39"/>
        <v>一年以上</v>
      </c>
      <c r="E710" s="115">
        <v>45194</v>
      </c>
      <c r="F710" s="115" t="s">
        <v>632</v>
      </c>
      <c r="G710" s="132" t="s">
        <v>450</v>
      </c>
      <c r="H710" s="100" t="s">
        <v>1315</v>
      </c>
      <c r="I710" s="60" t="s">
        <v>1315</v>
      </c>
      <c r="J710" s="116">
        <v>2000</v>
      </c>
      <c r="K710" s="105" t="s">
        <v>28</v>
      </c>
      <c r="L710" s="105" t="s">
        <v>73</v>
      </c>
      <c r="M710" s="89" t="s">
        <v>30</v>
      </c>
      <c r="N710" s="117">
        <v>2000</v>
      </c>
      <c r="O710" s="137">
        <f t="shared" si="40"/>
        <v>0</v>
      </c>
      <c r="P710" s="115">
        <v>45231</v>
      </c>
      <c r="Q710" s="61">
        <f t="shared" si="42"/>
        <v>45231</v>
      </c>
      <c r="R710" s="68" t="s">
        <v>481</v>
      </c>
      <c r="S710" s="72" t="s">
        <v>1644</v>
      </c>
      <c r="T710" s="105" t="s">
        <v>38</v>
      </c>
      <c r="U710" s="59" t="str">
        <f>VLOOKUP(T710,[1]区域划分!$A$1:$C$39,3,0)</f>
        <v>方渊</v>
      </c>
      <c r="V710" s="68"/>
      <c r="W710" s="68"/>
      <c r="X710" s="68"/>
    </row>
    <row r="711" s="24" customFormat="1" ht="24" hidden="1" spans="1:24">
      <c r="A711" s="118">
        <v>709</v>
      </c>
      <c r="B711" s="119" t="s">
        <v>1645</v>
      </c>
      <c r="C711" s="120">
        <f t="shared" si="41"/>
        <v>45194</v>
      </c>
      <c r="D711" s="121" t="str">
        <f ca="1" t="shared" si="39"/>
        <v>一年以上</v>
      </c>
      <c r="E711" s="122">
        <v>45194</v>
      </c>
      <c r="F711" s="122" t="s">
        <v>130</v>
      </c>
      <c r="G711" s="135" t="s">
        <v>1372</v>
      </c>
      <c r="H711" s="100" t="s">
        <v>863</v>
      </c>
      <c r="I711" s="119" t="s">
        <v>863</v>
      </c>
      <c r="J711" s="127">
        <v>70000</v>
      </c>
      <c r="K711" s="131" t="s">
        <v>28</v>
      </c>
      <c r="L711" s="131" t="s">
        <v>73</v>
      </c>
      <c r="M711" s="124" t="s">
        <v>133</v>
      </c>
      <c r="N711" s="128">
        <v>70000</v>
      </c>
      <c r="O711" s="140">
        <f t="shared" si="40"/>
        <v>0</v>
      </c>
      <c r="P711" s="122" t="s">
        <v>2657</v>
      </c>
      <c r="Q711" s="129" t="str">
        <f t="shared" si="42"/>
        <v>2024.7.26</v>
      </c>
      <c r="R711" s="130"/>
      <c r="S711" s="145" t="s">
        <v>1646</v>
      </c>
      <c r="T711" s="131" t="s">
        <v>972</v>
      </c>
      <c r="U711" s="118" t="str">
        <f>VLOOKUP(T711,[1]区域划分!$A$1:$C$39,3,0)</f>
        <v>曾江利</v>
      </c>
      <c r="V711" s="130"/>
      <c r="W711" s="130"/>
      <c r="X711" s="130"/>
    </row>
    <row r="712" s="17" customFormat="1" ht="24" hidden="1" spans="1:24">
      <c r="A712" s="59">
        <v>710</v>
      </c>
      <c r="B712" s="60" t="s">
        <v>1647</v>
      </c>
      <c r="C712" s="114">
        <f t="shared" si="41"/>
        <v>45195</v>
      </c>
      <c r="D712" s="62" t="str">
        <f ca="1" t="shared" si="39"/>
        <v>一年以上</v>
      </c>
      <c r="E712" s="115">
        <v>45195</v>
      </c>
      <c r="F712" s="115" t="s">
        <v>70</v>
      </c>
      <c r="G712" s="132" t="s">
        <v>1591</v>
      </c>
      <c r="H712" s="100" t="s">
        <v>332</v>
      </c>
      <c r="I712" s="60" t="s">
        <v>332</v>
      </c>
      <c r="J712" s="116">
        <v>13300</v>
      </c>
      <c r="K712" s="105" t="s">
        <v>28</v>
      </c>
      <c r="L712" s="105" t="s">
        <v>73</v>
      </c>
      <c r="M712" s="89" t="s">
        <v>65</v>
      </c>
      <c r="N712" s="117">
        <v>13300</v>
      </c>
      <c r="O712" s="137">
        <f t="shared" si="40"/>
        <v>0</v>
      </c>
      <c r="P712" s="115">
        <v>45252</v>
      </c>
      <c r="Q712" s="61">
        <f t="shared" si="42"/>
        <v>45252</v>
      </c>
      <c r="R712" s="68"/>
      <c r="S712" s="72" t="s">
        <v>1648</v>
      </c>
      <c r="T712" s="105" t="s">
        <v>311</v>
      </c>
      <c r="U712" s="59" t="str">
        <f>VLOOKUP(T712,[1]区域划分!$A$1:$C$39,3,0)</f>
        <v>牛国庆</v>
      </c>
      <c r="V712" s="68"/>
      <c r="W712" s="68"/>
      <c r="X712" s="68"/>
    </row>
    <row r="713" s="17" customFormat="1" ht="14" hidden="1" customHeight="1" spans="1:24">
      <c r="A713" s="59">
        <v>711</v>
      </c>
      <c r="B713" s="60" t="s">
        <v>1649</v>
      </c>
      <c r="C713" s="114">
        <f t="shared" si="41"/>
        <v>45196</v>
      </c>
      <c r="D713" s="62" t="str">
        <f ca="1" t="shared" si="39"/>
        <v>一年以上</v>
      </c>
      <c r="E713" s="115">
        <v>45196</v>
      </c>
      <c r="F713" s="115" t="s">
        <v>632</v>
      </c>
      <c r="G713" s="132" t="s">
        <v>450</v>
      </c>
      <c r="H713" s="100" t="s">
        <v>1101</v>
      </c>
      <c r="I713" s="60" t="s">
        <v>1101</v>
      </c>
      <c r="J713" s="116">
        <v>2500</v>
      </c>
      <c r="K713" s="105" t="s">
        <v>356</v>
      </c>
      <c r="L713" s="105" t="s">
        <v>73</v>
      </c>
      <c r="M713" s="89" t="s">
        <v>30</v>
      </c>
      <c r="N713" s="117">
        <v>2500</v>
      </c>
      <c r="O713" s="137">
        <f t="shared" si="40"/>
        <v>0</v>
      </c>
      <c r="P713" s="115">
        <v>45271</v>
      </c>
      <c r="Q713" s="61">
        <f t="shared" si="42"/>
        <v>45271</v>
      </c>
      <c r="R713" s="68"/>
      <c r="S713" s="72" t="s">
        <v>1650</v>
      </c>
      <c r="T713" s="105" t="s">
        <v>388</v>
      </c>
      <c r="U713" s="59" t="str">
        <f>VLOOKUP(T713,[1]区域划分!$A$1:$C$39,3,0)</f>
        <v>林维</v>
      </c>
      <c r="V713" s="68"/>
      <c r="W713" s="68"/>
      <c r="X713" s="68"/>
    </row>
    <row r="714" s="17" customFormat="1" ht="17" hidden="1" customHeight="1" spans="1:24">
      <c r="A714" s="59">
        <v>712</v>
      </c>
      <c r="B714" s="60" t="s">
        <v>1651</v>
      </c>
      <c r="C714" s="114">
        <f t="shared" si="41"/>
        <v>45211</v>
      </c>
      <c r="D714" s="62" t="str">
        <f ca="1" t="shared" si="39"/>
        <v>一年以上</v>
      </c>
      <c r="E714" s="115">
        <v>45211</v>
      </c>
      <c r="F714" s="115" t="s">
        <v>632</v>
      </c>
      <c r="G714" s="132" t="s">
        <v>450</v>
      </c>
      <c r="H714" s="100" t="s">
        <v>215</v>
      </c>
      <c r="I714" s="60" t="s">
        <v>215</v>
      </c>
      <c r="J714" s="116">
        <v>10000</v>
      </c>
      <c r="K714" s="105" t="s">
        <v>28</v>
      </c>
      <c r="L714" s="105" t="s">
        <v>73</v>
      </c>
      <c r="M714" s="89" t="s">
        <v>30</v>
      </c>
      <c r="N714" s="117">
        <v>10000</v>
      </c>
      <c r="O714" s="137">
        <f t="shared" si="40"/>
        <v>0</v>
      </c>
      <c r="P714" s="115">
        <v>45259</v>
      </c>
      <c r="Q714" s="61">
        <f t="shared" si="42"/>
        <v>45259</v>
      </c>
      <c r="R714" s="68"/>
      <c r="S714" s="72" t="s">
        <v>1652</v>
      </c>
      <c r="T714" s="105" t="s">
        <v>49</v>
      </c>
      <c r="U714" s="59" t="str">
        <f>VLOOKUP(T714,[1]区域划分!$A$1:$C$39,3,0)</f>
        <v>龚运谱</v>
      </c>
      <c r="V714" s="68"/>
      <c r="W714" s="68"/>
      <c r="X714" s="68"/>
    </row>
    <row r="715" s="17" customFormat="1" ht="17" hidden="1" customHeight="1" spans="1:24">
      <c r="A715" s="59">
        <v>713</v>
      </c>
      <c r="B715" s="60" t="s">
        <v>1653</v>
      </c>
      <c r="C715" s="114">
        <f t="shared" si="41"/>
        <v>45211</v>
      </c>
      <c r="D715" s="62" t="str">
        <f ca="1" t="shared" si="39"/>
        <v>一年以上</v>
      </c>
      <c r="E715" s="115">
        <v>45211</v>
      </c>
      <c r="F715" s="115" t="s">
        <v>70</v>
      </c>
      <c r="G715" s="132" t="s">
        <v>1591</v>
      </c>
      <c r="H715" s="100" t="s">
        <v>398</v>
      </c>
      <c r="I715" s="60" t="s">
        <v>399</v>
      </c>
      <c r="J715" s="116">
        <v>10000</v>
      </c>
      <c r="K715" s="105" t="s">
        <v>28</v>
      </c>
      <c r="L715" s="105" t="s">
        <v>73</v>
      </c>
      <c r="M715" s="89" t="s">
        <v>65</v>
      </c>
      <c r="N715" s="117"/>
      <c r="O715" s="138">
        <f t="shared" si="40"/>
        <v>10000</v>
      </c>
      <c r="P715" s="115"/>
      <c r="Q715" s="61">
        <f t="shared" si="42"/>
        <v>0</v>
      </c>
      <c r="R715" s="68"/>
      <c r="S715" s="72" t="s">
        <v>1654</v>
      </c>
      <c r="T715" s="101" t="s">
        <v>49</v>
      </c>
      <c r="U715" s="59" t="str">
        <f>VLOOKUP(T715,[1]区域划分!$A$1:$C$39,3,0)</f>
        <v>龚运谱</v>
      </c>
      <c r="V715" s="68" t="s">
        <v>1655</v>
      </c>
      <c r="W715" s="68"/>
      <c r="X715" s="68"/>
    </row>
    <row r="716" s="17" customFormat="1" ht="39" hidden="1" customHeight="1" spans="1:24">
      <c r="A716" s="59">
        <v>714</v>
      </c>
      <c r="B716" s="60" t="s">
        <v>1656</v>
      </c>
      <c r="C716" s="114">
        <f t="shared" si="41"/>
        <v>45217</v>
      </c>
      <c r="D716" s="62" t="str">
        <f ca="1" t="shared" si="39"/>
        <v>一年以上</v>
      </c>
      <c r="E716" s="115">
        <v>45217</v>
      </c>
      <c r="F716" s="115" t="s">
        <v>632</v>
      </c>
      <c r="G716" s="132" t="s">
        <v>450</v>
      </c>
      <c r="H716" s="100" t="s">
        <v>1657</v>
      </c>
      <c r="I716" s="60" t="s">
        <v>1657</v>
      </c>
      <c r="J716" s="116">
        <v>100</v>
      </c>
      <c r="K716" s="105" t="s">
        <v>28</v>
      </c>
      <c r="L716" s="105" t="s">
        <v>73</v>
      </c>
      <c r="M716" s="151" t="s">
        <v>515</v>
      </c>
      <c r="N716" s="117"/>
      <c r="O716" s="137">
        <f t="shared" si="40"/>
        <v>100</v>
      </c>
      <c r="P716" s="115"/>
      <c r="Q716" s="61">
        <f t="shared" si="42"/>
        <v>0</v>
      </c>
      <c r="R716" s="68"/>
      <c r="S716" s="72"/>
      <c r="T716" s="101" t="s">
        <v>49</v>
      </c>
      <c r="U716" s="59" t="str">
        <f>VLOOKUP(T716,[1]区域划分!$A$1:$C$39,3,0)</f>
        <v>龚运谱</v>
      </c>
      <c r="V716" s="68"/>
      <c r="W716" s="68"/>
      <c r="X716" s="68"/>
    </row>
    <row r="717" s="17" customFormat="1" ht="14" hidden="1" customHeight="1" spans="1:24">
      <c r="A717" s="59">
        <v>715</v>
      </c>
      <c r="B717" s="60" t="s">
        <v>1658</v>
      </c>
      <c r="C717" s="114">
        <f t="shared" si="41"/>
        <v>45217</v>
      </c>
      <c r="D717" s="62" t="str">
        <f ca="1" t="shared" si="39"/>
        <v>一年以上</v>
      </c>
      <c r="E717" s="115">
        <v>45217</v>
      </c>
      <c r="F717" s="115" t="s">
        <v>632</v>
      </c>
      <c r="G717" s="132" t="s">
        <v>450</v>
      </c>
      <c r="H717" s="100" t="s">
        <v>398</v>
      </c>
      <c r="I717" s="60" t="s">
        <v>398</v>
      </c>
      <c r="J717" s="116">
        <v>10000</v>
      </c>
      <c r="K717" s="105" t="s">
        <v>28</v>
      </c>
      <c r="L717" s="105" t="s">
        <v>73</v>
      </c>
      <c r="M717" s="89" t="s">
        <v>30</v>
      </c>
      <c r="N717" s="117"/>
      <c r="O717" s="138">
        <f t="shared" si="40"/>
        <v>10000</v>
      </c>
      <c r="P717" s="115"/>
      <c r="Q717" s="61">
        <f t="shared" si="42"/>
        <v>0</v>
      </c>
      <c r="R717" s="68"/>
      <c r="S717" s="72" t="s">
        <v>1660</v>
      </c>
      <c r="T717" s="101" t="s">
        <v>49</v>
      </c>
      <c r="U717" s="59" t="str">
        <f>VLOOKUP(T717,[1]区域划分!$A$1:$C$39,3,0)</f>
        <v>龚运谱</v>
      </c>
      <c r="V717" s="68"/>
      <c r="W717" s="68"/>
      <c r="X717" s="68"/>
    </row>
    <row r="718" s="17" customFormat="1" ht="24" hidden="1" spans="1:24">
      <c r="A718" s="59">
        <v>716</v>
      </c>
      <c r="B718" s="60" t="s">
        <v>1661</v>
      </c>
      <c r="C718" s="114">
        <f t="shared" si="41"/>
        <v>45226</v>
      </c>
      <c r="D718" s="62" t="str">
        <f ca="1" t="shared" si="39"/>
        <v>一年以上</v>
      </c>
      <c r="E718" s="115">
        <v>45226</v>
      </c>
      <c r="F718" s="115" t="s">
        <v>632</v>
      </c>
      <c r="G718" s="132" t="s">
        <v>450</v>
      </c>
      <c r="H718" s="100" t="s">
        <v>1662</v>
      </c>
      <c r="I718" s="63" t="s">
        <v>1662</v>
      </c>
      <c r="J718" s="116">
        <v>4000</v>
      </c>
      <c r="K718" s="105" t="s">
        <v>28</v>
      </c>
      <c r="L718" s="136" t="s">
        <v>73</v>
      </c>
      <c r="M718" s="89" t="s">
        <v>30</v>
      </c>
      <c r="N718" s="104">
        <v>4000</v>
      </c>
      <c r="O718" s="137">
        <f t="shared" si="40"/>
        <v>0</v>
      </c>
      <c r="P718" s="115">
        <v>45316</v>
      </c>
      <c r="Q718" s="61">
        <f t="shared" si="42"/>
        <v>45316</v>
      </c>
      <c r="R718" s="68"/>
      <c r="S718" s="72" t="s">
        <v>1663</v>
      </c>
      <c r="T718" s="105" t="s">
        <v>267</v>
      </c>
      <c r="U718" s="59" t="str">
        <f>VLOOKUP(T718,[1]区域划分!$A$1:$C$39,3,0)</f>
        <v>牛国庆</v>
      </c>
      <c r="V718" s="68"/>
      <c r="W718" s="68"/>
      <c r="X718" s="68"/>
    </row>
    <row r="719" s="17" customFormat="1" ht="24" hidden="1" spans="1:24">
      <c r="A719" s="59">
        <v>717</v>
      </c>
      <c r="B719" s="60" t="s">
        <v>1664</v>
      </c>
      <c r="C719" s="114">
        <f t="shared" si="41"/>
        <v>45226</v>
      </c>
      <c r="D719" s="62" t="str">
        <f ca="1" t="shared" si="39"/>
        <v>一年以上</v>
      </c>
      <c r="E719" s="115">
        <v>45226</v>
      </c>
      <c r="F719" s="115" t="s">
        <v>632</v>
      </c>
      <c r="G719" s="132" t="s">
        <v>450</v>
      </c>
      <c r="H719" s="100" t="s">
        <v>1665</v>
      </c>
      <c r="I719" s="63" t="s">
        <v>1665</v>
      </c>
      <c r="J719" s="116">
        <v>500</v>
      </c>
      <c r="K719" s="105" t="s">
        <v>28</v>
      </c>
      <c r="L719" s="105" t="s">
        <v>73</v>
      </c>
      <c r="M719" s="89" t="s">
        <v>515</v>
      </c>
      <c r="N719" s="117"/>
      <c r="O719" s="137">
        <f t="shared" si="40"/>
        <v>500</v>
      </c>
      <c r="P719" s="115"/>
      <c r="Q719" s="61">
        <f t="shared" si="42"/>
        <v>0</v>
      </c>
      <c r="R719" s="68"/>
      <c r="S719" s="72" t="s">
        <v>1666</v>
      </c>
      <c r="T719" s="105" t="s">
        <v>44</v>
      </c>
      <c r="U719" s="59" t="str">
        <f>VLOOKUP(T719,[1]区域划分!$A$1:$C$39,3,0)</f>
        <v>殷坤鹏</v>
      </c>
      <c r="V719" s="68" t="s">
        <v>1667</v>
      </c>
      <c r="W719" s="68"/>
      <c r="X719" s="68"/>
    </row>
    <row r="720" s="17" customFormat="1" ht="24" hidden="1" customHeight="1" spans="1:24">
      <c r="A720" s="59">
        <v>718</v>
      </c>
      <c r="B720" s="60" t="s">
        <v>1668</v>
      </c>
      <c r="C720" s="114">
        <f t="shared" si="41"/>
        <v>45235</v>
      </c>
      <c r="D720" s="62" t="str">
        <f ca="1" t="shared" si="39"/>
        <v>一年以上</v>
      </c>
      <c r="E720" s="115">
        <v>45235</v>
      </c>
      <c r="F720" s="115" t="s">
        <v>632</v>
      </c>
      <c r="G720" s="132" t="s">
        <v>450</v>
      </c>
      <c r="H720" s="100" t="s">
        <v>1669</v>
      </c>
      <c r="I720" s="63" t="s">
        <v>1669</v>
      </c>
      <c r="J720" s="116">
        <v>2000</v>
      </c>
      <c r="K720" s="105" t="s">
        <v>356</v>
      </c>
      <c r="L720" s="105" t="s">
        <v>73</v>
      </c>
      <c r="M720" s="89" t="s">
        <v>30</v>
      </c>
      <c r="N720" s="117">
        <v>2000</v>
      </c>
      <c r="O720" s="137">
        <f t="shared" si="40"/>
        <v>0</v>
      </c>
      <c r="P720" s="115">
        <v>45271</v>
      </c>
      <c r="Q720" s="61">
        <f t="shared" si="42"/>
        <v>45271</v>
      </c>
      <c r="R720" s="68"/>
      <c r="S720" s="72" t="s">
        <v>1670</v>
      </c>
      <c r="T720" s="105" t="s">
        <v>32</v>
      </c>
      <c r="U720" s="59" t="str">
        <f>VLOOKUP(T720,[1]区域划分!$A$1:$C$39,3,0)</f>
        <v>方渊</v>
      </c>
      <c r="V720" s="68"/>
      <c r="W720" s="68"/>
      <c r="X720" s="68"/>
    </row>
    <row r="721" s="17" customFormat="1" ht="15" hidden="1" customHeight="1" spans="1:24">
      <c r="A721" s="59">
        <v>719</v>
      </c>
      <c r="B721" s="60" t="s">
        <v>1671</v>
      </c>
      <c r="C721" s="114">
        <f t="shared" si="41"/>
        <v>45238</v>
      </c>
      <c r="D721" s="62" t="str">
        <f ca="1" t="shared" si="39"/>
        <v>一年以上</v>
      </c>
      <c r="E721" s="115">
        <v>45238</v>
      </c>
      <c r="F721" s="115" t="s">
        <v>70</v>
      </c>
      <c r="G721" s="132" t="s">
        <v>1672</v>
      </c>
      <c r="H721" s="100" t="s">
        <v>1673</v>
      </c>
      <c r="I721" s="63" t="s">
        <v>1673</v>
      </c>
      <c r="J721" s="116">
        <v>5000</v>
      </c>
      <c r="K721" s="105" t="s">
        <v>28</v>
      </c>
      <c r="L721" s="105" t="s">
        <v>73</v>
      </c>
      <c r="M721" s="89" t="s">
        <v>65</v>
      </c>
      <c r="N721" s="117"/>
      <c r="O721" s="137">
        <f t="shared" si="40"/>
        <v>5000</v>
      </c>
      <c r="P721" s="115"/>
      <c r="Q721" s="61">
        <f t="shared" si="42"/>
        <v>0</v>
      </c>
      <c r="R721" s="68"/>
      <c r="S721" s="72" t="s">
        <v>1674</v>
      </c>
      <c r="T721" s="105" t="s">
        <v>381</v>
      </c>
      <c r="U721" s="59" t="str">
        <f>VLOOKUP(T721,[1]区域划分!$A$1:$C$39,3,0)</f>
        <v>林维</v>
      </c>
      <c r="V721" s="68"/>
      <c r="W721" s="68"/>
      <c r="X721" s="68"/>
    </row>
    <row r="722" s="17" customFormat="1" ht="26" hidden="1" customHeight="1" spans="1:24">
      <c r="A722" s="59">
        <v>720</v>
      </c>
      <c r="B722" s="60" t="s">
        <v>1675</v>
      </c>
      <c r="C722" s="114">
        <f t="shared" si="41"/>
        <v>45238</v>
      </c>
      <c r="D722" s="62" t="str">
        <f ca="1" t="shared" si="39"/>
        <v>一年以上</v>
      </c>
      <c r="E722" s="115">
        <v>45238</v>
      </c>
      <c r="F722" s="115" t="s">
        <v>632</v>
      </c>
      <c r="G722" s="132" t="s">
        <v>450</v>
      </c>
      <c r="H722" s="100" t="s">
        <v>1676</v>
      </c>
      <c r="I722" s="63" t="s">
        <v>1676</v>
      </c>
      <c r="J722" s="116">
        <v>218</v>
      </c>
      <c r="K722" s="105" t="s">
        <v>28</v>
      </c>
      <c r="L722" s="105" t="s">
        <v>73</v>
      </c>
      <c r="M722" s="89" t="s">
        <v>515</v>
      </c>
      <c r="N722" s="117"/>
      <c r="O722" s="137">
        <f t="shared" si="40"/>
        <v>218</v>
      </c>
      <c r="P722" s="115"/>
      <c r="Q722" s="61">
        <f t="shared" si="42"/>
        <v>0</v>
      </c>
      <c r="R722" s="68"/>
      <c r="S722" s="72" t="s">
        <v>1677</v>
      </c>
      <c r="T722" s="105" t="s">
        <v>720</v>
      </c>
      <c r="U722" s="59" t="str">
        <f>VLOOKUP(T722,[1]区域划分!$A$1:$C$39,3,0)</f>
        <v>杨春龙</v>
      </c>
      <c r="V722" s="68"/>
      <c r="W722" s="68"/>
      <c r="X722" s="68"/>
    </row>
    <row r="723" s="17" customFormat="1" ht="26" hidden="1" customHeight="1" spans="1:24">
      <c r="A723" s="59">
        <v>721</v>
      </c>
      <c r="B723" s="60" t="s">
        <v>1678</v>
      </c>
      <c r="C723" s="114">
        <f t="shared" si="41"/>
        <v>45241</v>
      </c>
      <c r="D723" s="62" t="str">
        <f ca="1" t="shared" si="39"/>
        <v>一年以上</v>
      </c>
      <c r="E723" s="115">
        <v>45241</v>
      </c>
      <c r="F723" s="115" t="s">
        <v>632</v>
      </c>
      <c r="G723" s="132" t="s">
        <v>450</v>
      </c>
      <c r="H723" s="100" t="s">
        <v>1679</v>
      </c>
      <c r="I723" s="63" t="s">
        <v>1679</v>
      </c>
      <c r="J723" s="116">
        <v>500</v>
      </c>
      <c r="K723" s="105" t="s">
        <v>28</v>
      </c>
      <c r="L723" s="105" t="s">
        <v>73</v>
      </c>
      <c r="M723" s="89" t="s">
        <v>515</v>
      </c>
      <c r="N723" s="117">
        <v>500</v>
      </c>
      <c r="O723" s="137">
        <f t="shared" si="40"/>
        <v>0</v>
      </c>
      <c r="P723" s="115">
        <v>45252</v>
      </c>
      <c r="Q723" s="61">
        <f t="shared" si="42"/>
        <v>45252</v>
      </c>
      <c r="R723" s="68" t="s">
        <v>951</v>
      </c>
      <c r="S723" s="72" t="s">
        <v>1680</v>
      </c>
      <c r="T723" s="105" t="s">
        <v>581</v>
      </c>
      <c r="U723" s="59" t="str">
        <f>VLOOKUP(T723,[1]区域划分!$A$1:$C$39,3,0)</f>
        <v>新疆</v>
      </c>
      <c r="V723" s="68"/>
      <c r="W723" s="68"/>
      <c r="X723" s="68"/>
    </row>
    <row r="724" s="17" customFormat="1" ht="24" hidden="1" spans="1:24">
      <c r="A724" s="59">
        <v>721</v>
      </c>
      <c r="B724" s="60" t="s">
        <v>1678</v>
      </c>
      <c r="C724" s="114">
        <f t="shared" si="41"/>
        <v>45243</v>
      </c>
      <c r="D724" s="62" t="str">
        <f ca="1" t="shared" si="39"/>
        <v>一年以上</v>
      </c>
      <c r="E724" s="115">
        <v>45243</v>
      </c>
      <c r="F724" s="115" t="s">
        <v>632</v>
      </c>
      <c r="G724" s="132" t="s">
        <v>450</v>
      </c>
      <c r="H724" s="100" t="s">
        <v>1679</v>
      </c>
      <c r="I724" s="63" t="s">
        <v>1679</v>
      </c>
      <c r="J724" s="116">
        <v>25000</v>
      </c>
      <c r="K724" s="105" t="s">
        <v>28</v>
      </c>
      <c r="L724" s="105" t="s">
        <v>73</v>
      </c>
      <c r="M724" s="89" t="s">
        <v>30</v>
      </c>
      <c r="N724" s="117">
        <v>25000</v>
      </c>
      <c r="O724" s="137">
        <f t="shared" si="40"/>
        <v>0</v>
      </c>
      <c r="P724" s="115">
        <v>45268</v>
      </c>
      <c r="Q724" s="61">
        <f t="shared" si="42"/>
        <v>45268</v>
      </c>
      <c r="R724" s="68"/>
      <c r="S724" s="72" t="s">
        <v>1680</v>
      </c>
      <c r="T724" s="105" t="s">
        <v>581</v>
      </c>
      <c r="U724" s="59" t="str">
        <f>VLOOKUP(T724,[1]区域划分!$A$1:$C$39,3,0)</f>
        <v>新疆</v>
      </c>
      <c r="V724" s="68"/>
      <c r="W724" s="68"/>
      <c r="X724" s="68"/>
    </row>
    <row r="725" s="17" customFormat="1" ht="24" hidden="1" spans="1:24">
      <c r="A725" s="59">
        <v>722</v>
      </c>
      <c r="B725" s="60" t="s">
        <v>1681</v>
      </c>
      <c r="C725" s="114">
        <f t="shared" si="41"/>
        <v>45243</v>
      </c>
      <c r="D725" s="62" t="str">
        <f ca="1" t="shared" si="39"/>
        <v>一年以上</v>
      </c>
      <c r="E725" s="115">
        <v>45243</v>
      </c>
      <c r="F725" s="115" t="s">
        <v>632</v>
      </c>
      <c r="G725" s="132" t="s">
        <v>450</v>
      </c>
      <c r="H725" s="100" t="s">
        <v>657</v>
      </c>
      <c r="I725" s="63" t="s">
        <v>657</v>
      </c>
      <c r="J725" s="116">
        <v>4000</v>
      </c>
      <c r="K725" s="105" t="s">
        <v>356</v>
      </c>
      <c r="L725" s="136" t="s">
        <v>73</v>
      </c>
      <c r="M725" s="89" t="s">
        <v>30</v>
      </c>
      <c r="N725" s="104">
        <v>4000</v>
      </c>
      <c r="O725" s="137">
        <f t="shared" si="40"/>
        <v>0</v>
      </c>
      <c r="P725" s="115">
        <v>45320</v>
      </c>
      <c r="Q725" s="61">
        <f t="shared" si="42"/>
        <v>45320</v>
      </c>
      <c r="R725" s="68"/>
      <c r="S725" s="72" t="s">
        <v>1682</v>
      </c>
      <c r="T725" s="105" t="s">
        <v>300</v>
      </c>
      <c r="U725" s="59" t="str">
        <f>VLOOKUP(T725,[1]区域划分!$A$1:$C$39,3,0)</f>
        <v>林维</v>
      </c>
      <c r="V725" s="68"/>
      <c r="W725" s="68"/>
      <c r="X725" s="68"/>
    </row>
    <row r="726" s="17" customFormat="1" ht="27" hidden="1" customHeight="1" spans="1:24">
      <c r="A726" s="59">
        <v>723</v>
      </c>
      <c r="B726" s="60" t="s">
        <v>1683</v>
      </c>
      <c r="C726" s="114">
        <f t="shared" si="41"/>
        <v>45245</v>
      </c>
      <c r="D726" s="62" t="str">
        <f ca="1" t="shared" si="39"/>
        <v>一年以上</v>
      </c>
      <c r="E726" s="115">
        <v>45245</v>
      </c>
      <c r="F726" s="115" t="s">
        <v>632</v>
      </c>
      <c r="G726" s="132" t="s">
        <v>450</v>
      </c>
      <c r="H726" s="100" t="s">
        <v>1684</v>
      </c>
      <c r="I726" s="63" t="s">
        <v>1684</v>
      </c>
      <c r="J726" s="116">
        <v>1300</v>
      </c>
      <c r="K726" s="105" t="s">
        <v>28</v>
      </c>
      <c r="L726" s="105" t="s">
        <v>73</v>
      </c>
      <c r="M726" s="89" t="s">
        <v>30</v>
      </c>
      <c r="N726" s="117">
        <v>1300</v>
      </c>
      <c r="O726" s="137">
        <f t="shared" si="40"/>
        <v>0</v>
      </c>
      <c r="P726" s="115">
        <v>45246</v>
      </c>
      <c r="Q726" s="61">
        <f t="shared" si="42"/>
        <v>45246</v>
      </c>
      <c r="R726" s="68"/>
      <c r="S726" s="72"/>
      <c r="T726" s="105" t="s">
        <v>581</v>
      </c>
      <c r="U726" s="59" t="str">
        <f>VLOOKUP(T726,[1]区域划分!$A$1:$C$39,3,0)</f>
        <v>新疆</v>
      </c>
      <c r="V726" s="68"/>
      <c r="W726" s="68"/>
      <c r="X726" s="68"/>
    </row>
    <row r="727" s="17" customFormat="1" ht="24" spans="1:24">
      <c r="A727" s="59">
        <v>724</v>
      </c>
      <c r="B727" s="60" t="s">
        <v>1685</v>
      </c>
      <c r="C727" s="114">
        <f t="shared" si="41"/>
        <v>45246</v>
      </c>
      <c r="D727" s="62" t="str">
        <f ca="1" t="shared" si="39"/>
        <v>一年以上</v>
      </c>
      <c r="E727" s="115">
        <v>45246</v>
      </c>
      <c r="F727" s="115" t="s">
        <v>632</v>
      </c>
      <c r="G727" s="132" t="s">
        <v>450</v>
      </c>
      <c r="H727" s="100" t="s">
        <v>592</v>
      </c>
      <c r="I727" s="63" t="s">
        <v>592</v>
      </c>
      <c r="J727" s="116">
        <v>600</v>
      </c>
      <c r="K727" s="105" t="s">
        <v>28</v>
      </c>
      <c r="L727" s="105" t="s">
        <v>96</v>
      </c>
      <c r="M727" s="89" t="s">
        <v>515</v>
      </c>
      <c r="N727" s="117"/>
      <c r="O727" s="137">
        <f t="shared" si="40"/>
        <v>600</v>
      </c>
      <c r="P727" s="115"/>
      <c r="Q727" s="61">
        <f t="shared" si="42"/>
        <v>0</v>
      </c>
      <c r="R727" s="68" t="s">
        <v>1686</v>
      </c>
      <c r="S727" s="72" t="s">
        <v>1687</v>
      </c>
      <c r="T727" s="105" t="s">
        <v>38</v>
      </c>
      <c r="U727" s="59" t="str">
        <f>VLOOKUP(T727,[1]区域划分!$A$1:$C$39,3,0)</f>
        <v>方渊</v>
      </c>
      <c r="V727" s="68"/>
      <c r="W727" s="68"/>
      <c r="X727" s="68"/>
    </row>
    <row r="728" s="17" customFormat="1" ht="24" hidden="1" spans="1:24">
      <c r="A728" s="59">
        <v>725</v>
      </c>
      <c r="B728" s="60" t="s">
        <v>1688</v>
      </c>
      <c r="C728" s="114">
        <f t="shared" si="41"/>
        <v>45247</v>
      </c>
      <c r="D728" s="62" t="str">
        <f ca="1" t="shared" si="39"/>
        <v>一年以上</v>
      </c>
      <c r="E728" s="115">
        <v>45247</v>
      </c>
      <c r="F728" s="115" t="s">
        <v>632</v>
      </c>
      <c r="G728" s="132" t="s">
        <v>450</v>
      </c>
      <c r="H728" s="100" t="s">
        <v>1689</v>
      </c>
      <c r="I728" s="63" t="s">
        <v>1689</v>
      </c>
      <c r="J728" s="116">
        <v>3600</v>
      </c>
      <c r="K728" s="105" t="s">
        <v>28</v>
      </c>
      <c r="L728" s="105" t="s">
        <v>73</v>
      </c>
      <c r="M728" s="89" t="s">
        <v>968</v>
      </c>
      <c r="N728" s="117"/>
      <c r="O728" s="137">
        <f t="shared" si="40"/>
        <v>3600</v>
      </c>
      <c r="P728" s="115"/>
      <c r="Q728" s="61">
        <f t="shared" si="42"/>
        <v>0</v>
      </c>
      <c r="R728" s="68"/>
      <c r="S728" s="72" t="s">
        <v>1690</v>
      </c>
      <c r="T728" s="105"/>
      <c r="U728" s="59"/>
      <c r="V728" s="68"/>
      <c r="W728" s="68"/>
      <c r="X728" s="68"/>
    </row>
    <row r="729" s="17" customFormat="1" ht="24" hidden="1" spans="1:24">
      <c r="A729" s="59">
        <v>726</v>
      </c>
      <c r="B729" s="60" t="s">
        <v>1691</v>
      </c>
      <c r="C729" s="114">
        <f t="shared" si="41"/>
        <v>45247</v>
      </c>
      <c r="D729" s="62" t="str">
        <f ca="1" t="shared" si="39"/>
        <v>一年以上</v>
      </c>
      <c r="E729" s="115">
        <v>45247</v>
      </c>
      <c r="F729" s="115" t="s">
        <v>632</v>
      </c>
      <c r="G729" s="132" t="s">
        <v>450</v>
      </c>
      <c r="H729" s="100" t="s">
        <v>1692</v>
      </c>
      <c r="I729" s="63" t="s">
        <v>708</v>
      </c>
      <c r="J729" s="116">
        <v>5000</v>
      </c>
      <c r="K729" s="105" t="s">
        <v>28</v>
      </c>
      <c r="L729" s="136" t="s">
        <v>73</v>
      </c>
      <c r="M729" s="89" t="s">
        <v>30</v>
      </c>
      <c r="N729" s="104">
        <v>5000</v>
      </c>
      <c r="O729" s="137">
        <f t="shared" si="40"/>
        <v>0</v>
      </c>
      <c r="P729" s="115">
        <v>45315</v>
      </c>
      <c r="Q729" s="61">
        <f t="shared" si="42"/>
        <v>45315</v>
      </c>
      <c r="R729" s="68"/>
      <c r="S729" s="72" t="s">
        <v>1693</v>
      </c>
      <c r="T729" s="105" t="s">
        <v>267</v>
      </c>
      <c r="U729" s="59" t="str">
        <f>VLOOKUP(T729,[1]区域划分!$A$1:$C$39,3,0)</f>
        <v>牛国庆</v>
      </c>
      <c r="V729" s="68"/>
      <c r="W729" s="68"/>
      <c r="X729" s="68"/>
    </row>
    <row r="730" s="17" customFormat="1" ht="15" hidden="1" customHeight="1" spans="1:24">
      <c r="A730" s="59">
        <v>727</v>
      </c>
      <c r="B730" s="60" t="s">
        <v>1694</v>
      </c>
      <c r="C730" s="114">
        <f t="shared" si="41"/>
        <v>45250</v>
      </c>
      <c r="D730" s="62" t="str">
        <f ca="1" t="shared" si="39"/>
        <v>一年以上</v>
      </c>
      <c r="E730" s="115">
        <v>45250</v>
      </c>
      <c r="F730" s="115" t="s">
        <v>130</v>
      </c>
      <c r="G730" s="132" t="s">
        <v>1465</v>
      </c>
      <c r="H730" s="100" t="s">
        <v>863</v>
      </c>
      <c r="I730" s="63" t="s">
        <v>863</v>
      </c>
      <c r="J730" s="116">
        <v>6000</v>
      </c>
      <c r="K730" s="105" t="s">
        <v>28</v>
      </c>
      <c r="L730" s="105" t="s">
        <v>73</v>
      </c>
      <c r="M730" s="89" t="s">
        <v>133</v>
      </c>
      <c r="N730" s="117"/>
      <c r="O730" s="140">
        <f t="shared" si="40"/>
        <v>6000</v>
      </c>
      <c r="P730" s="115"/>
      <c r="Q730" s="61">
        <f t="shared" si="42"/>
        <v>0</v>
      </c>
      <c r="R730" s="68"/>
      <c r="S730" s="72" t="s">
        <v>1695</v>
      </c>
      <c r="T730" s="105" t="s">
        <v>972</v>
      </c>
      <c r="U730" s="59" t="str">
        <f>VLOOKUP(T730,[1]区域划分!$A$1:$C$39,3,0)</f>
        <v>曾江利</v>
      </c>
      <c r="V730" s="68"/>
      <c r="W730" s="68"/>
      <c r="X730" s="68"/>
    </row>
    <row r="731" s="17" customFormat="1" ht="36" hidden="1" spans="1:24">
      <c r="A731" s="59">
        <v>728</v>
      </c>
      <c r="B731" s="60" t="s">
        <v>1696</v>
      </c>
      <c r="C731" s="114">
        <f t="shared" si="41"/>
        <v>45251</v>
      </c>
      <c r="D731" s="62" t="str">
        <f ca="1" t="shared" ref="D731:D780" si="43">IF(TODAY()-E731&lt;60,"2个月内",IF(TODAY()-E731&lt;180,"3-6个月",IF(TODAY()-E731&lt;360,"6个月-1年","一年以上")))</f>
        <v>一年以上</v>
      </c>
      <c r="E731" s="115">
        <v>45251</v>
      </c>
      <c r="F731" s="115" t="s">
        <v>632</v>
      </c>
      <c r="G731" s="132" t="s">
        <v>450</v>
      </c>
      <c r="H731" s="100" t="s">
        <v>1676</v>
      </c>
      <c r="I731" s="63" t="s">
        <v>1676</v>
      </c>
      <c r="J731" s="116">
        <v>20000</v>
      </c>
      <c r="K731" s="105" t="s">
        <v>28</v>
      </c>
      <c r="L731" s="105" t="s">
        <v>73</v>
      </c>
      <c r="M731" s="89" t="s">
        <v>30</v>
      </c>
      <c r="N731" s="117">
        <v>20000</v>
      </c>
      <c r="O731" s="137">
        <f t="shared" ref="O731:O794" si="44">J731-N731</f>
        <v>0</v>
      </c>
      <c r="P731" s="115">
        <v>45265</v>
      </c>
      <c r="Q731" s="61">
        <f t="shared" si="42"/>
        <v>45265</v>
      </c>
      <c r="R731" s="68"/>
      <c r="S731" s="72" t="s">
        <v>1677</v>
      </c>
      <c r="T731" s="105" t="s">
        <v>720</v>
      </c>
      <c r="U731" s="59" t="str">
        <f>VLOOKUP(T731,[1]区域划分!$A$1:$C$39,3,0)</f>
        <v>杨春龙</v>
      </c>
      <c r="V731" s="68"/>
      <c r="W731" s="68"/>
      <c r="X731" s="68"/>
    </row>
    <row r="732" s="17" customFormat="1" ht="24" hidden="1" spans="1:24">
      <c r="A732" s="59">
        <v>729</v>
      </c>
      <c r="B732" s="60" t="s">
        <v>1697</v>
      </c>
      <c r="C732" s="114">
        <f t="shared" si="41"/>
        <v>45252</v>
      </c>
      <c r="D732" s="62" t="str">
        <f ca="1" t="shared" si="43"/>
        <v>一年以上</v>
      </c>
      <c r="E732" s="115">
        <v>45252</v>
      </c>
      <c r="F732" s="115" t="s">
        <v>632</v>
      </c>
      <c r="G732" s="132" t="s">
        <v>450</v>
      </c>
      <c r="H732" s="100" t="s">
        <v>1698</v>
      </c>
      <c r="I732" s="63" t="s">
        <v>1698</v>
      </c>
      <c r="J732" s="116">
        <v>200</v>
      </c>
      <c r="K732" s="105" t="s">
        <v>28</v>
      </c>
      <c r="L732" s="105" t="s">
        <v>73</v>
      </c>
      <c r="M732" s="89" t="s">
        <v>515</v>
      </c>
      <c r="N732" s="117"/>
      <c r="O732" s="137">
        <f t="shared" si="44"/>
        <v>200</v>
      </c>
      <c r="P732" s="115"/>
      <c r="Q732" s="61">
        <f t="shared" si="42"/>
        <v>0</v>
      </c>
      <c r="R732" s="68"/>
      <c r="S732" s="72" t="s">
        <v>1699</v>
      </c>
      <c r="T732" s="105" t="s">
        <v>581</v>
      </c>
      <c r="U732" s="59" t="str">
        <f>VLOOKUP(T732,[1]区域划分!$A$1:$C$39,3,0)</f>
        <v>新疆</v>
      </c>
      <c r="V732" s="68"/>
      <c r="W732" s="68"/>
      <c r="X732" s="68"/>
    </row>
    <row r="733" s="17" customFormat="1" ht="24" hidden="1" spans="1:24">
      <c r="A733" s="59">
        <v>730</v>
      </c>
      <c r="B733" s="60" t="s">
        <v>1700</v>
      </c>
      <c r="C733" s="114">
        <f t="shared" si="41"/>
        <v>45252</v>
      </c>
      <c r="D733" s="62" t="str">
        <f ca="1" t="shared" si="43"/>
        <v>一年以上</v>
      </c>
      <c r="E733" s="115">
        <v>45252</v>
      </c>
      <c r="F733" s="115" t="s">
        <v>632</v>
      </c>
      <c r="G733" s="132" t="s">
        <v>450</v>
      </c>
      <c r="H733" s="100" t="s">
        <v>1698</v>
      </c>
      <c r="I733" s="63" t="s">
        <v>1698</v>
      </c>
      <c r="J733" s="116">
        <v>200</v>
      </c>
      <c r="K733" s="105" t="s">
        <v>28</v>
      </c>
      <c r="L733" s="105" t="s">
        <v>73</v>
      </c>
      <c r="M733" s="89" t="s">
        <v>515</v>
      </c>
      <c r="N733" s="117"/>
      <c r="O733" s="137">
        <f t="shared" si="44"/>
        <v>200</v>
      </c>
      <c r="P733" s="115"/>
      <c r="Q733" s="61">
        <f t="shared" si="42"/>
        <v>0</v>
      </c>
      <c r="R733" s="68"/>
      <c r="S733" s="72" t="s">
        <v>1701</v>
      </c>
      <c r="T733" s="105" t="s">
        <v>581</v>
      </c>
      <c r="U733" s="59" t="str">
        <f>VLOOKUP(T733,[1]区域划分!$A$1:$C$39,3,0)</f>
        <v>新疆</v>
      </c>
      <c r="V733" s="68"/>
      <c r="W733" s="68"/>
      <c r="X733" s="68"/>
    </row>
    <row r="734" s="17" customFormat="1" ht="24" hidden="1" spans="1:24">
      <c r="A734" s="59">
        <v>731</v>
      </c>
      <c r="B734" s="60" t="s">
        <v>1702</v>
      </c>
      <c r="C734" s="114">
        <f t="shared" si="41"/>
        <v>45252</v>
      </c>
      <c r="D734" s="62" t="str">
        <f ca="1" t="shared" si="43"/>
        <v>一年以上</v>
      </c>
      <c r="E734" s="115">
        <v>45252</v>
      </c>
      <c r="F734" s="115" t="s">
        <v>632</v>
      </c>
      <c r="G734" s="132" t="s">
        <v>450</v>
      </c>
      <c r="H734" s="100" t="s">
        <v>1703</v>
      </c>
      <c r="I734" s="63" t="s">
        <v>1703</v>
      </c>
      <c r="J734" s="116">
        <v>200</v>
      </c>
      <c r="K734" s="105" t="s">
        <v>28</v>
      </c>
      <c r="L734" s="105" t="s">
        <v>73</v>
      </c>
      <c r="M734" s="89" t="s">
        <v>515</v>
      </c>
      <c r="N734" s="117"/>
      <c r="O734" s="137">
        <f t="shared" si="44"/>
        <v>200</v>
      </c>
      <c r="P734" s="115"/>
      <c r="Q734" s="61">
        <f t="shared" si="42"/>
        <v>0</v>
      </c>
      <c r="R734" s="68"/>
      <c r="S734" s="148" t="s">
        <v>1704</v>
      </c>
      <c r="T734" s="105" t="s">
        <v>86</v>
      </c>
      <c r="U734" s="59" t="str">
        <f>VLOOKUP(T734,[1]区域划分!$A$1:$C$39,3,0)</f>
        <v>朱利勇</v>
      </c>
      <c r="V734" s="68"/>
      <c r="W734" s="68"/>
      <c r="X734" s="68"/>
    </row>
    <row r="735" s="17" customFormat="1" ht="24" hidden="1" spans="1:24">
      <c r="A735" s="59">
        <v>732</v>
      </c>
      <c r="B735" s="60" t="s">
        <v>1705</v>
      </c>
      <c r="C735" s="114">
        <f t="shared" si="41"/>
        <v>45254</v>
      </c>
      <c r="D735" s="62" t="str">
        <f ca="1" t="shared" si="43"/>
        <v>一年以上</v>
      </c>
      <c r="E735" s="115">
        <v>45254</v>
      </c>
      <c r="F735" s="115" t="s">
        <v>632</v>
      </c>
      <c r="G735" s="132" t="s">
        <v>450</v>
      </c>
      <c r="H735" s="100" t="s">
        <v>863</v>
      </c>
      <c r="I735" s="63" t="s">
        <v>863</v>
      </c>
      <c r="J735" s="116">
        <v>20000</v>
      </c>
      <c r="K735" s="105" t="s">
        <v>1706</v>
      </c>
      <c r="L735" s="136" t="s">
        <v>73</v>
      </c>
      <c r="M735" s="89" t="s">
        <v>30</v>
      </c>
      <c r="N735" s="104">
        <v>20000</v>
      </c>
      <c r="O735" s="137">
        <f t="shared" si="44"/>
        <v>0</v>
      </c>
      <c r="P735" s="115">
        <v>45317</v>
      </c>
      <c r="Q735" s="61">
        <f t="shared" si="42"/>
        <v>45317</v>
      </c>
      <c r="R735" s="68"/>
      <c r="S735" s="72" t="s">
        <v>1707</v>
      </c>
      <c r="T735" s="105" t="s">
        <v>972</v>
      </c>
      <c r="U735" s="59" t="str">
        <f>VLOOKUP(T735,[1]区域划分!$A$1:$C$39,3,0)</f>
        <v>曾江利</v>
      </c>
      <c r="V735" s="68"/>
      <c r="W735" s="68"/>
      <c r="X735" s="68"/>
    </row>
    <row r="736" s="17" customFormat="1" ht="24" hidden="1" spans="1:24">
      <c r="A736" s="59">
        <v>733</v>
      </c>
      <c r="B736" s="60" t="s">
        <v>1708</v>
      </c>
      <c r="C736" s="114">
        <f t="shared" si="41"/>
        <v>45254</v>
      </c>
      <c r="D736" s="62" t="str">
        <f ca="1" t="shared" si="43"/>
        <v>一年以上</v>
      </c>
      <c r="E736" s="115">
        <v>45254</v>
      </c>
      <c r="F736" s="115" t="s">
        <v>632</v>
      </c>
      <c r="G736" s="132" t="s">
        <v>450</v>
      </c>
      <c r="H736" s="100" t="s">
        <v>1689</v>
      </c>
      <c r="I736" s="63" t="s">
        <v>1689</v>
      </c>
      <c r="J736" s="116">
        <v>300</v>
      </c>
      <c r="K736" s="105" t="s">
        <v>28</v>
      </c>
      <c r="L736" s="105" t="s">
        <v>73</v>
      </c>
      <c r="M736" s="89" t="s">
        <v>968</v>
      </c>
      <c r="N736" s="117">
        <v>300</v>
      </c>
      <c r="O736" s="137">
        <f t="shared" si="44"/>
        <v>0</v>
      </c>
      <c r="P736" s="115">
        <v>45254</v>
      </c>
      <c r="Q736" s="61">
        <f t="shared" si="42"/>
        <v>45254</v>
      </c>
      <c r="R736" s="68"/>
      <c r="S736" s="72" t="s">
        <v>1709</v>
      </c>
      <c r="T736" s="105"/>
      <c r="U736" s="59"/>
      <c r="V736" s="68"/>
      <c r="W736" s="68"/>
      <c r="X736" s="68"/>
    </row>
    <row r="737" s="17" customFormat="1" ht="15" hidden="1" customHeight="1" spans="1:24">
      <c r="A737" s="59">
        <v>734</v>
      </c>
      <c r="B737" s="60" t="s">
        <v>1710</v>
      </c>
      <c r="C737" s="114">
        <f t="shared" si="41"/>
        <v>45254</v>
      </c>
      <c r="D737" s="62" t="str">
        <f ca="1" t="shared" si="43"/>
        <v>一年以上</v>
      </c>
      <c r="E737" s="115">
        <v>45254</v>
      </c>
      <c r="F737" s="115" t="s">
        <v>632</v>
      </c>
      <c r="G737" s="132" t="s">
        <v>450</v>
      </c>
      <c r="H737" s="100" t="s">
        <v>1711</v>
      </c>
      <c r="I737" s="63" t="s">
        <v>1711</v>
      </c>
      <c r="J737" s="116">
        <v>200</v>
      </c>
      <c r="K737" s="105" t="s">
        <v>28</v>
      </c>
      <c r="L737" s="105" t="s">
        <v>73</v>
      </c>
      <c r="M737" s="89" t="s">
        <v>968</v>
      </c>
      <c r="N737" s="117">
        <v>200</v>
      </c>
      <c r="O737" s="137">
        <f t="shared" si="44"/>
        <v>0</v>
      </c>
      <c r="P737" s="115">
        <v>45254</v>
      </c>
      <c r="Q737" s="61">
        <f t="shared" si="42"/>
        <v>45254</v>
      </c>
      <c r="R737" s="68"/>
      <c r="S737" s="72" t="s">
        <v>1712</v>
      </c>
      <c r="T737" s="105"/>
      <c r="U737" s="59"/>
      <c r="V737" s="68"/>
      <c r="W737" s="68"/>
      <c r="X737" s="68"/>
    </row>
    <row r="738" s="17" customFormat="1" ht="24" hidden="1" spans="1:24">
      <c r="A738" s="59">
        <v>735</v>
      </c>
      <c r="B738" s="60" t="s">
        <v>1713</v>
      </c>
      <c r="C738" s="114">
        <f t="shared" si="41"/>
        <v>45258</v>
      </c>
      <c r="D738" s="62" t="str">
        <f ca="1" t="shared" si="43"/>
        <v>一年以上</v>
      </c>
      <c r="E738" s="115">
        <v>45258</v>
      </c>
      <c r="F738" s="115" t="s">
        <v>632</v>
      </c>
      <c r="G738" s="132" t="s">
        <v>450</v>
      </c>
      <c r="H738" s="100" t="s">
        <v>1703</v>
      </c>
      <c r="I738" s="63" t="s">
        <v>1703</v>
      </c>
      <c r="J738" s="116">
        <v>3000</v>
      </c>
      <c r="K738" s="105" t="s">
        <v>28</v>
      </c>
      <c r="L738" s="105" t="s">
        <v>73</v>
      </c>
      <c r="M738" s="89" t="s">
        <v>30</v>
      </c>
      <c r="N738" s="117">
        <v>3000</v>
      </c>
      <c r="O738" s="137">
        <f t="shared" si="44"/>
        <v>0</v>
      </c>
      <c r="P738" s="115">
        <v>45267</v>
      </c>
      <c r="Q738" s="61">
        <f t="shared" si="42"/>
        <v>45267</v>
      </c>
      <c r="R738" s="68"/>
      <c r="S738" s="148" t="s">
        <v>1704</v>
      </c>
      <c r="T738" s="105" t="s">
        <v>86</v>
      </c>
      <c r="U738" s="59" t="str">
        <f>VLOOKUP(T738,[1]区域划分!$A$1:$C$39,3,0)</f>
        <v>朱利勇</v>
      </c>
      <c r="V738" s="68"/>
      <c r="W738" s="68"/>
      <c r="X738" s="68"/>
    </row>
    <row r="739" s="17" customFormat="1" ht="24" hidden="1" spans="1:24">
      <c r="A739" s="59">
        <v>736</v>
      </c>
      <c r="B739" s="60" t="s">
        <v>1714</v>
      </c>
      <c r="C739" s="114">
        <f t="shared" si="41"/>
        <v>45238</v>
      </c>
      <c r="D739" s="62" t="str">
        <f ca="1" t="shared" si="43"/>
        <v>一年以上</v>
      </c>
      <c r="E739" s="115">
        <v>45238</v>
      </c>
      <c r="F739" s="115" t="s">
        <v>632</v>
      </c>
      <c r="G739" s="132" t="s">
        <v>993</v>
      </c>
      <c r="H739" s="100" t="s">
        <v>1715</v>
      </c>
      <c r="I739" s="63" t="s">
        <v>1715</v>
      </c>
      <c r="J739" s="116">
        <v>12800</v>
      </c>
      <c r="K739" s="105" t="s">
        <v>28</v>
      </c>
      <c r="L739" s="105" t="s">
        <v>73</v>
      </c>
      <c r="M739" s="89" t="s">
        <v>968</v>
      </c>
      <c r="N739" s="117"/>
      <c r="O739" s="137">
        <f t="shared" si="44"/>
        <v>12800</v>
      </c>
      <c r="P739" s="115"/>
      <c r="Q739" s="61">
        <f t="shared" si="42"/>
        <v>0</v>
      </c>
      <c r="R739" s="68"/>
      <c r="S739" s="72"/>
      <c r="T739" s="105"/>
      <c r="U739" s="59"/>
      <c r="V739" s="68"/>
      <c r="W739" s="68"/>
      <c r="X739" s="68"/>
    </row>
    <row r="740" s="17" customFormat="1" ht="15" hidden="1" customHeight="1" spans="1:24">
      <c r="A740" s="59">
        <v>737</v>
      </c>
      <c r="B740" s="60" t="s">
        <v>1716</v>
      </c>
      <c r="C740" s="114">
        <f t="shared" si="41"/>
        <v>45258</v>
      </c>
      <c r="D740" s="62" t="str">
        <f ca="1" t="shared" si="43"/>
        <v>一年以上</v>
      </c>
      <c r="E740" s="115">
        <v>45258</v>
      </c>
      <c r="F740" s="115" t="s">
        <v>70</v>
      </c>
      <c r="G740" s="132" t="s">
        <v>1672</v>
      </c>
      <c r="H740" s="100" t="s">
        <v>863</v>
      </c>
      <c r="I740" s="63" t="s">
        <v>863</v>
      </c>
      <c r="J740" s="116">
        <v>6000</v>
      </c>
      <c r="K740" s="105" t="s">
        <v>28</v>
      </c>
      <c r="L740" s="136" t="s">
        <v>73</v>
      </c>
      <c r="M740" s="89" t="s">
        <v>65</v>
      </c>
      <c r="N740" s="104">
        <v>6000</v>
      </c>
      <c r="O740" s="137">
        <f t="shared" si="44"/>
        <v>0</v>
      </c>
      <c r="P740" s="115">
        <v>45345</v>
      </c>
      <c r="Q740" s="61">
        <f t="shared" si="42"/>
        <v>45345</v>
      </c>
      <c r="R740" s="68"/>
      <c r="S740" s="72" t="s">
        <v>1695</v>
      </c>
      <c r="T740" s="105" t="s">
        <v>972</v>
      </c>
      <c r="U740" s="59" t="str">
        <f>VLOOKUP(T740,[1]区域划分!$A$1:$C$39,3,0)</f>
        <v>曾江利</v>
      </c>
      <c r="V740" s="68"/>
      <c r="W740" s="68"/>
      <c r="X740" s="68"/>
    </row>
    <row r="741" s="17" customFormat="1" ht="15" hidden="1" customHeight="1" spans="1:24">
      <c r="A741" s="59">
        <v>738</v>
      </c>
      <c r="B741" s="60" t="s">
        <v>1717</v>
      </c>
      <c r="C741" s="114">
        <f t="shared" si="41"/>
        <v>45258</v>
      </c>
      <c r="D741" s="62" t="str">
        <f ca="1" t="shared" si="43"/>
        <v>一年以上</v>
      </c>
      <c r="E741" s="115">
        <v>45258</v>
      </c>
      <c r="F741" s="115" t="s">
        <v>70</v>
      </c>
      <c r="G741" s="132" t="s">
        <v>1672</v>
      </c>
      <c r="H741" s="100" t="s">
        <v>863</v>
      </c>
      <c r="I741" s="63" t="s">
        <v>863</v>
      </c>
      <c r="J741" s="116">
        <v>9000</v>
      </c>
      <c r="K741" s="105" t="s">
        <v>28</v>
      </c>
      <c r="L741" s="105" t="s">
        <v>73</v>
      </c>
      <c r="M741" s="89" t="s">
        <v>65</v>
      </c>
      <c r="N741" s="117"/>
      <c r="O741" s="140">
        <f t="shared" si="44"/>
        <v>9000</v>
      </c>
      <c r="P741" s="115"/>
      <c r="Q741" s="61">
        <f t="shared" si="42"/>
        <v>0</v>
      </c>
      <c r="R741" s="68"/>
      <c r="S741" s="72" t="s">
        <v>1718</v>
      </c>
      <c r="T741" s="105" t="s">
        <v>972</v>
      </c>
      <c r="U741" s="59" t="str">
        <f>VLOOKUP(T741,[1]区域划分!$A$1:$C$39,3,0)</f>
        <v>曾江利</v>
      </c>
      <c r="V741" s="68"/>
      <c r="W741" s="68"/>
      <c r="X741" s="68"/>
    </row>
    <row r="742" s="17" customFormat="1" ht="15" hidden="1" customHeight="1" spans="1:24">
      <c r="A742" s="59">
        <v>739</v>
      </c>
      <c r="B742" s="60" t="s">
        <v>1719</v>
      </c>
      <c r="C742" s="114">
        <f t="shared" si="41"/>
        <v>45258</v>
      </c>
      <c r="D742" s="62" t="str">
        <f ca="1" t="shared" si="43"/>
        <v>一年以上</v>
      </c>
      <c r="E742" s="115">
        <v>45258</v>
      </c>
      <c r="F742" s="115" t="s">
        <v>130</v>
      </c>
      <c r="G742" s="132" t="s">
        <v>1465</v>
      </c>
      <c r="H742" s="100" t="s">
        <v>863</v>
      </c>
      <c r="I742" s="63" t="s">
        <v>863</v>
      </c>
      <c r="J742" s="116">
        <v>9000</v>
      </c>
      <c r="K742" s="105" t="s">
        <v>28</v>
      </c>
      <c r="L742" s="105" t="s">
        <v>73</v>
      </c>
      <c r="M742" s="89" t="s">
        <v>133</v>
      </c>
      <c r="N742" s="117"/>
      <c r="O742" s="140">
        <f t="shared" si="44"/>
        <v>9000</v>
      </c>
      <c r="P742" s="115"/>
      <c r="Q742" s="61">
        <f t="shared" si="42"/>
        <v>0</v>
      </c>
      <c r="R742" s="68"/>
      <c r="S742" s="72" t="s">
        <v>1718</v>
      </c>
      <c r="T742" s="105" t="s">
        <v>972</v>
      </c>
      <c r="U742" s="59" t="str">
        <f>VLOOKUP(T742,[1]区域划分!$A$1:$C$39,3,0)</f>
        <v>曾江利</v>
      </c>
      <c r="V742" s="68"/>
      <c r="W742" s="68"/>
      <c r="X742" s="68"/>
    </row>
    <row r="743" s="17" customFormat="1" ht="24" hidden="1" spans="1:24">
      <c r="A743" s="59">
        <v>740</v>
      </c>
      <c r="B743" s="60" t="s">
        <v>1720</v>
      </c>
      <c r="C743" s="114">
        <f t="shared" si="41"/>
        <v>45258</v>
      </c>
      <c r="D743" s="62" t="str">
        <f ca="1" t="shared" si="43"/>
        <v>一年以上</v>
      </c>
      <c r="E743" s="115">
        <v>45258</v>
      </c>
      <c r="F743" s="115" t="s">
        <v>70</v>
      </c>
      <c r="G743" s="132" t="s">
        <v>1672</v>
      </c>
      <c r="H743" s="100" t="s">
        <v>663</v>
      </c>
      <c r="I743" s="63" t="s">
        <v>663</v>
      </c>
      <c r="J743" s="116">
        <v>59000</v>
      </c>
      <c r="K743" s="105" t="s">
        <v>28</v>
      </c>
      <c r="L743" s="105" t="s">
        <v>73</v>
      </c>
      <c r="M743" s="89" t="s">
        <v>941</v>
      </c>
      <c r="N743" s="117"/>
      <c r="O743" s="137">
        <f t="shared" si="44"/>
        <v>59000</v>
      </c>
      <c r="P743" s="115"/>
      <c r="Q743" s="61">
        <f t="shared" si="42"/>
        <v>0</v>
      </c>
      <c r="R743" s="68"/>
      <c r="S743" s="148" t="s">
        <v>1721</v>
      </c>
      <c r="T743" s="105" t="s">
        <v>581</v>
      </c>
      <c r="U743" s="59" t="str">
        <f>VLOOKUP(T743,[1]区域划分!$A$1:$C$39,3,0)</f>
        <v>新疆</v>
      </c>
      <c r="V743" s="68" t="s">
        <v>1722</v>
      </c>
      <c r="W743" s="68"/>
      <c r="X743" s="68"/>
    </row>
    <row r="744" s="17" customFormat="1" ht="24" hidden="1" spans="1:24">
      <c r="A744" s="59">
        <v>741</v>
      </c>
      <c r="B744" s="60" t="s">
        <v>1723</v>
      </c>
      <c r="C744" s="114">
        <v>45261</v>
      </c>
      <c r="D744" s="62" t="str">
        <f ca="1" t="shared" si="43"/>
        <v>一年以上</v>
      </c>
      <c r="E744" s="115">
        <v>45258</v>
      </c>
      <c r="F744" s="115" t="s">
        <v>70</v>
      </c>
      <c r="G744" s="132" t="s">
        <v>1672</v>
      </c>
      <c r="H744" s="100" t="s">
        <v>663</v>
      </c>
      <c r="I744" s="63" t="s">
        <v>663</v>
      </c>
      <c r="J744" s="116">
        <v>44802</v>
      </c>
      <c r="K744" s="105" t="s">
        <v>28</v>
      </c>
      <c r="L744" s="105" t="s">
        <v>73</v>
      </c>
      <c r="M744" s="89" t="s">
        <v>941</v>
      </c>
      <c r="N744" s="117"/>
      <c r="O744" s="137">
        <f t="shared" si="44"/>
        <v>44802</v>
      </c>
      <c r="P744" s="115"/>
      <c r="Q744" s="61">
        <f t="shared" si="42"/>
        <v>0</v>
      </c>
      <c r="R744" s="68"/>
      <c r="S744" s="72" t="s">
        <v>1724</v>
      </c>
      <c r="T744" s="105" t="s">
        <v>581</v>
      </c>
      <c r="U744" s="59" t="str">
        <f>VLOOKUP(T744,[1]区域划分!$A$1:$C$39,3,0)</f>
        <v>新疆</v>
      </c>
      <c r="V744" s="68" t="s">
        <v>1722</v>
      </c>
      <c r="W744" s="68"/>
      <c r="X744" s="68"/>
    </row>
    <row r="745" s="17" customFormat="1" ht="24" hidden="1" spans="1:24">
      <c r="A745" s="59">
        <v>742</v>
      </c>
      <c r="B745" s="60" t="s">
        <v>1725</v>
      </c>
      <c r="C745" s="114">
        <v>45261</v>
      </c>
      <c r="D745" s="62" t="str">
        <f ca="1" t="shared" si="43"/>
        <v>一年以上</v>
      </c>
      <c r="E745" s="115">
        <v>45258</v>
      </c>
      <c r="F745" s="115" t="s">
        <v>70</v>
      </c>
      <c r="G745" s="132" t="s">
        <v>1672</v>
      </c>
      <c r="H745" s="100" t="s">
        <v>663</v>
      </c>
      <c r="I745" s="63" t="s">
        <v>663</v>
      </c>
      <c r="J745" s="116">
        <v>32400</v>
      </c>
      <c r="K745" s="105" t="s">
        <v>28</v>
      </c>
      <c r="L745" s="105" t="s">
        <v>73</v>
      </c>
      <c r="M745" s="89" t="s">
        <v>941</v>
      </c>
      <c r="N745" s="117"/>
      <c r="O745" s="137">
        <f t="shared" si="44"/>
        <v>32400</v>
      </c>
      <c r="P745" s="115"/>
      <c r="Q745" s="61">
        <f t="shared" si="42"/>
        <v>0</v>
      </c>
      <c r="R745" s="68"/>
      <c r="S745" s="72" t="s">
        <v>1726</v>
      </c>
      <c r="T745" s="105" t="s">
        <v>581</v>
      </c>
      <c r="U745" s="59" t="str">
        <f>VLOOKUP(T745,[1]区域划分!$A$1:$C$39,3,0)</f>
        <v>新疆</v>
      </c>
      <c r="V745" s="68" t="s">
        <v>1722</v>
      </c>
      <c r="W745" s="68"/>
      <c r="X745" s="68"/>
    </row>
    <row r="746" s="17" customFormat="1" ht="24" hidden="1" spans="1:24">
      <c r="A746" s="59">
        <v>743</v>
      </c>
      <c r="B746" s="60" t="s">
        <v>1727</v>
      </c>
      <c r="C746" s="114">
        <f t="shared" ref="C746:C780" si="45">E746</f>
        <v>45258</v>
      </c>
      <c r="D746" s="62" t="str">
        <f ca="1" t="shared" si="43"/>
        <v>一年以上</v>
      </c>
      <c r="E746" s="115">
        <v>45258</v>
      </c>
      <c r="F746" s="115" t="s">
        <v>70</v>
      </c>
      <c r="G746" s="132" t="s">
        <v>1672</v>
      </c>
      <c r="H746" s="100" t="s">
        <v>663</v>
      </c>
      <c r="I746" s="63" t="s">
        <v>663</v>
      </c>
      <c r="J746" s="116">
        <v>20000</v>
      </c>
      <c r="K746" s="105" t="s">
        <v>28</v>
      </c>
      <c r="L746" s="105" t="s">
        <v>73</v>
      </c>
      <c r="M746" s="89" t="s">
        <v>65</v>
      </c>
      <c r="N746" s="117"/>
      <c r="O746" s="137">
        <f t="shared" si="44"/>
        <v>20000</v>
      </c>
      <c r="P746" s="115"/>
      <c r="Q746" s="61">
        <f t="shared" si="42"/>
        <v>0</v>
      </c>
      <c r="R746" s="68"/>
      <c r="S746" s="72" t="s">
        <v>1724</v>
      </c>
      <c r="T746" s="105" t="s">
        <v>581</v>
      </c>
      <c r="U746" s="59" t="str">
        <f>VLOOKUP(T746,[1]区域划分!$A$1:$C$39,3,0)</f>
        <v>新疆</v>
      </c>
      <c r="V746" s="68" t="s">
        <v>1722</v>
      </c>
      <c r="W746" s="68"/>
      <c r="X746" s="68"/>
    </row>
    <row r="747" s="17" customFormat="1" ht="24" hidden="1" spans="1:24">
      <c r="A747" s="59">
        <v>744</v>
      </c>
      <c r="B747" s="60" t="s">
        <v>1728</v>
      </c>
      <c r="C747" s="114">
        <f t="shared" si="45"/>
        <v>45260</v>
      </c>
      <c r="D747" s="62" t="str">
        <f ca="1" t="shared" si="43"/>
        <v>一年以上</v>
      </c>
      <c r="E747" s="115">
        <v>45260</v>
      </c>
      <c r="F747" s="115" t="s">
        <v>632</v>
      </c>
      <c r="G747" s="132" t="s">
        <v>450</v>
      </c>
      <c r="H747" s="100" t="s">
        <v>1729</v>
      </c>
      <c r="I747" s="100" t="s">
        <v>1729</v>
      </c>
      <c r="J747" s="116">
        <v>200</v>
      </c>
      <c r="K747" s="105" t="s">
        <v>28</v>
      </c>
      <c r="L747" s="105" t="s">
        <v>73</v>
      </c>
      <c r="M747" s="89" t="s">
        <v>515</v>
      </c>
      <c r="N747" s="117"/>
      <c r="O747" s="137">
        <f t="shared" si="44"/>
        <v>200</v>
      </c>
      <c r="P747" s="115"/>
      <c r="Q747" s="61">
        <f t="shared" si="42"/>
        <v>0</v>
      </c>
      <c r="R747" s="68"/>
      <c r="S747" s="72" t="s">
        <v>1730</v>
      </c>
      <c r="T747" s="105" t="s">
        <v>581</v>
      </c>
      <c r="U747" s="59" t="str">
        <f>VLOOKUP(T747,[1]区域划分!$A$1:$C$39,3,0)</f>
        <v>新疆</v>
      </c>
      <c r="V747" s="68"/>
      <c r="W747" s="68"/>
      <c r="X747" s="68"/>
    </row>
    <row r="748" s="17" customFormat="1" ht="24" hidden="1" spans="1:24">
      <c r="A748" s="59">
        <v>745</v>
      </c>
      <c r="B748" s="60" t="s">
        <v>1731</v>
      </c>
      <c r="C748" s="114">
        <f t="shared" si="45"/>
        <v>45260</v>
      </c>
      <c r="D748" s="62" t="str">
        <f ca="1" t="shared" si="43"/>
        <v>一年以上</v>
      </c>
      <c r="E748" s="115">
        <v>45260</v>
      </c>
      <c r="F748" s="115" t="s">
        <v>632</v>
      </c>
      <c r="G748" s="132" t="s">
        <v>450</v>
      </c>
      <c r="H748" s="100" t="s">
        <v>1729</v>
      </c>
      <c r="I748" s="100" t="s">
        <v>1729</v>
      </c>
      <c r="J748" s="116">
        <v>12000</v>
      </c>
      <c r="K748" s="105" t="s">
        <v>28</v>
      </c>
      <c r="L748" s="105" t="s">
        <v>73</v>
      </c>
      <c r="M748" s="89" t="s">
        <v>30</v>
      </c>
      <c r="N748" s="117"/>
      <c r="O748" s="137">
        <f t="shared" si="44"/>
        <v>12000</v>
      </c>
      <c r="P748" s="115"/>
      <c r="Q748" s="61">
        <f t="shared" si="42"/>
        <v>0</v>
      </c>
      <c r="R748" s="68"/>
      <c r="S748" s="72" t="s">
        <v>1730</v>
      </c>
      <c r="T748" s="105" t="s">
        <v>581</v>
      </c>
      <c r="U748" s="59" t="str">
        <f>VLOOKUP(T748,[1]区域划分!$A$1:$C$39,3,0)</f>
        <v>新疆</v>
      </c>
      <c r="V748" s="68"/>
      <c r="W748" s="68"/>
      <c r="X748" s="68"/>
    </row>
    <row r="749" s="17" customFormat="1" ht="24" hidden="1" spans="1:24">
      <c r="A749" s="59">
        <v>746</v>
      </c>
      <c r="B749" s="60" t="s">
        <v>1733</v>
      </c>
      <c r="C749" s="114">
        <f t="shared" si="45"/>
        <v>45260</v>
      </c>
      <c r="D749" s="62" t="str">
        <f ca="1" t="shared" si="43"/>
        <v>一年以上</v>
      </c>
      <c r="E749" s="115">
        <v>45260</v>
      </c>
      <c r="F749" s="115" t="s">
        <v>632</v>
      </c>
      <c r="G749" s="132" t="s">
        <v>993</v>
      </c>
      <c r="H749" s="100" t="s">
        <v>1734</v>
      </c>
      <c r="I749" s="63" t="s">
        <v>1734</v>
      </c>
      <c r="J749" s="116">
        <v>400</v>
      </c>
      <c r="K749" s="105" t="s">
        <v>28</v>
      </c>
      <c r="L749" s="105" t="s">
        <v>73</v>
      </c>
      <c r="M749" s="89" t="s">
        <v>968</v>
      </c>
      <c r="N749" s="117">
        <v>400</v>
      </c>
      <c r="O749" s="137">
        <f t="shared" si="44"/>
        <v>0</v>
      </c>
      <c r="P749" s="115">
        <v>45265</v>
      </c>
      <c r="Q749" s="61">
        <f t="shared" si="42"/>
        <v>45265</v>
      </c>
      <c r="R749" s="68"/>
      <c r="S749" s="72" t="s">
        <v>1735</v>
      </c>
      <c r="T749" s="105" t="s">
        <v>581</v>
      </c>
      <c r="U749" s="59" t="str">
        <f>VLOOKUP(T749,[1]区域划分!$A$1:$C$39,3,0)</f>
        <v>新疆</v>
      </c>
      <c r="V749" s="68"/>
      <c r="W749" s="68"/>
      <c r="X749" s="68"/>
    </row>
    <row r="750" s="17" customFormat="1" ht="26.25" hidden="1" spans="1:24">
      <c r="A750" s="59">
        <v>747</v>
      </c>
      <c r="B750" s="60" t="s">
        <v>1736</v>
      </c>
      <c r="C750" s="114">
        <f t="shared" si="45"/>
        <v>45260</v>
      </c>
      <c r="D750" s="62" t="str">
        <f ca="1" t="shared" si="43"/>
        <v>一年以上</v>
      </c>
      <c r="E750" s="115">
        <v>45260</v>
      </c>
      <c r="F750" s="115" t="s">
        <v>632</v>
      </c>
      <c r="G750" s="132" t="s">
        <v>993</v>
      </c>
      <c r="H750" s="100" t="s">
        <v>1734</v>
      </c>
      <c r="I750" s="63" t="s">
        <v>1734</v>
      </c>
      <c r="J750" s="116">
        <v>650</v>
      </c>
      <c r="K750" s="105" t="s">
        <v>28</v>
      </c>
      <c r="L750" s="105" t="s">
        <v>73</v>
      </c>
      <c r="M750" s="89" t="s">
        <v>968</v>
      </c>
      <c r="N750" s="117">
        <v>650</v>
      </c>
      <c r="O750" s="137">
        <f t="shared" si="44"/>
        <v>0</v>
      </c>
      <c r="P750" s="115">
        <v>45260</v>
      </c>
      <c r="Q750" s="61">
        <f t="shared" si="42"/>
        <v>45260</v>
      </c>
      <c r="R750" s="68"/>
      <c r="S750" s="152" t="s">
        <v>1737</v>
      </c>
      <c r="T750" s="105" t="s">
        <v>972</v>
      </c>
      <c r="U750" s="59" t="str">
        <f>VLOOKUP(T750,[1]区域划分!$A$1:$C$39,3,0)</f>
        <v>曾江利</v>
      </c>
      <c r="V750" s="68"/>
      <c r="W750" s="68"/>
      <c r="X750" s="68"/>
    </row>
    <row r="751" s="17" customFormat="1" ht="24" hidden="1" spans="1:24">
      <c r="A751" s="59">
        <v>748</v>
      </c>
      <c r="B751" s="60" t="s">
        <v>1738</v>
      </c>
      <c r="C751" s="114">
        <f t="shared" si="45"/>
        <v>45260</v>
      </c>
      <c r="D751" s="62" t="str">
        <f ca="1" t="shared" si="43"/>
        <v>一年以上</v>
      </c>
      <c r="E751" s="115">
        <v>45260</v>
      </c>
      <c r="F751" s="115" t="s">
        <v>632</v>
      </c>
      <c r="G751" s="132" t="s">
        <v>450</v>
      </c>
      <c r="H751" s="100" t="s">
        <v>1739</v>
      </c>
      <c r="I751" s="63" t="s">
        <v>406</v>
      </c>
      <c r="J751" s="116">
        <v>30000</v>
      </c>
      <c r="K751" s="105" t="s">
        <v>28</v>
      </c>
      <c r="L751" s="136" t="s">
        <v>73</v>
      </c>
      <c r="M751" s="89" t="s">
        <v>30</v>
      </c>
      <c r="N751" s="104">
        <v>30000</v>
      </c>
      <c r="O751" s="137">
        <f t="shared" si="44"/>
        <v>0</v>
      </c>
      <c r="P751" s="115">
        <v>45295</v>
      </c>
      <c r="Q751" s="153">
        <f t="shared" si="42"/>
        <v>45295</v>
      </c>
      <c r="R751" s="68"/>
      <c r="S751" s="72" t="s">
        <v>1687</v>
      </c>
      <c r="T751" s="105" t="s">
        <v>38</v>
      </c>
      <c r="U751" s="59" t="str">
        <f>VLOOKUP(T751,[1]区域划分!$A$1:$C$39,3,0)</f>
        <v>方渊</v>
      </c>
      <c r="V751" s="68"/>
      <c r="W751" s="68"/>
      <c r="X751" s="68"/>
    </row>
    <row r="752" s="17" customFormat="1" ht="24" hidden="1" spans="1:24">
      <c r="A752" s="59">
        <v>749</v>
      </c>
      <c r="B752" s="60" t="s">
        <v>1740</v>
      </c>
      <c r="C752" s="114">
        <f t="shared" si="45"/>
        <v>45260</v>
      </c>
      <c r="D752" s="62" t="str">
        <f ca="1" t="shared" si="43"/>
        <v>一年以上</v>
      </c>
      <c r="E752" s="115">
        <v>45260</v>
      </c>
      <c r="F752" s="115" t="s">
        <v>632</v>
      </c>
      <c r="G752" s="132" t="s">
        <v>450</v>
      </c>
      <c r="H752" s="100" t="s">
        <v>663</v>
      </c>
      <c r="I752" s="63" t="s">
        <v>663</v>
      </c>
      <c r="J752" s="116">
        <v>10000</v>
      </c>
      <c r="K752" s="105" t="s">
        <v>28</v>
      </c>
      <c r="L752" s="105" t="s">
        <v>73</v>
      </c>
      <c r="M752" s="89" t="s">
        <v>30</v>
      </c>
      <c r="N752" s="154">
        <v>10000</v>
      </c>
      <c r="O752" s="137">
        <f t="shared" si="44"/>
        <v>0</v>
      </c>
      <c r="P752" s="144">
        <v>45446</v>
      </c>
      <c r="Q752" s="61">
        <f t="shared" si="42"/>
        <v>45446</v>
      </c>
      <c r="R752" s="68"/>
      <c r="S752" s="72" t="s">
        <v>1741</v>
      </c>
      <c r="T752" s="105" t="s">
        <v>581</v>
      </c>
      <c r="U752" s="59" t="str">
        <f>VLOOKUP(T752,[1]区域划分!$A$1:$C$39,3,0)</f>
        <v>新疆</v>
      </c>
      <c r="V752" s="68"/>
      <c r="W752" s="68"/>
      <c r="X752" s="68"/>
    </row>
    <row r="753" s="17" customFormat="1" ht="24" hidden="1" spans="1:24">
      <c r="A753" s="59">
        <v>750</v>
      </c>
      <c r="B753" s="60" t="s">
        <v>1742</v>
      </c>
      <c r="C753" s="114">
        <f t="shared" si="45"/>
        <v>45260</v>
      </c>
      <c r="D753" s="62" t="str">
        <f ca="1" t="shared" si="43"/>
        <v>一年以上</v>
      </c>
      <c r="E753" s="115">
        <v>45260</v>
      </c>
      <c r="F753" s="115" t="s">
        <v>632</v>
      </c>
      <c r="G753" s="132" t="s">
        <v>450</v>
      </c>
      <c r="H753" s="100" t="s">
        <v>663</v>
      </c>
      <c r="I753" s="63" t="s">
        <v>663</v>
      </c>
      <c r="J753" s="116">
        <v>20000</v>
      </c>
      <c r="K753" s="105" t="s">
        <v>28</v>
      </c>
      <c r="L753" s="105" t="s">
        <v>73</v>
      </c>
      <c r="M753" s="89" t="s">
        <v>30</v>
      </c>
      <c r="N753" s="154">
        <v>20000</v>
      </c>
      <c r="O753" s="137">
        <f t="shared" si="44"/>
        <v>0</v>
      </c>
      <c r="P753" s="144">
        <v>45446</v>
      </c>
      <c r="Q753" s="61">
        <f t="shared" si="42"/>
        <v>45446</v>
      </c>
      <c r="R753" s="68"/>
      <c r="S753" s="72" t="s">
        <v>1735</v>
      </c>
      <c r="T753" s="105" t="s">
        <v>581</v>
      </c>
      <c r="U753" s="59" t="str">
        <f>VLOOKUP(T753,[1]区域划分!$A$1:$C$39,3,0)</f>
        <v>新疆</v>
      </c>
      <c r="V753" s="148" t="s">
        <v>1743</v>
      </c>
      <c r="W753" s="68"/>
      <c r="X753" s="68"/>
    </row>
    <row r="754" s="17" customFormat="1" ht="24" hidden="1" spans="1:24">
      <c r="A754" s="59">
        <v>751</v>
      </c>
      <c r="B754" s="60" t="s">
        <v>1744</v>
      </c>
      <c r="C754" s="114">
        <f t="shared" si="45"/>
        <v>45261</v>
      </c>
      <c r="D754" s="62" t="str">
        <f ca="1" t="shared" si="43"/>
        <v>一年以上</v>
      </c>
      <c r="E754" s="115">
        <v>45261</v>
      </c>
      <c r="F754" s="115" t="s">
        <v>70</v>
      </c>
      <c r="G754" s="132" t="s">
        <v>1672</v>
      </c>
      <c r="H754" s="100" t="s">
        <v>863</v>
      </c>
      <c r="I754" s="63" t="s">
        <v>863</v>
      </c>
      <c r="J754" s="116">
        <v>9000</v>
      </c>
      <c r="K754" s="105" t="s">
        <v>28</v>
      </c>
      <c r="L754" s="105" t="s">
        <v>73</v>
      </c>
      <c r="M754" s="89" t="s">
        <v>941</v>
      </c>
      <c r="N754" s="117"/>
      <c r="O754" s="140">
        <f t="shared" si="44"/>
        <v>9000</v>
      </c>
      <c r="P754" s="115"/>
      <c r="Q754" s="61">
        <f t="shared" si="42"/>
        <v>0</v>
      </c>
      <c r="R754" s="68"/>
      <c r="S754" s="72" t="s">
        <v>1718</v>
      </c>
      <c r="T754" s="105" t="s">
        <v>972</v>
      </c>
      <c r="U754" s="59" t="str">
        <f>VLOOKUP(T754,[1]区域划分!$A$1:$C$39,3,0)</f>
        <v>曾江利</v>
      </c>
      <c r="V754" s="68"/>
      <c r="W754" s="68"/>
      <c r="X754" s="68"/>
    </row>
    <row r="755" s="17" customFormat="1" ht="24" hidden="1" spans="1:24">
      <c r="A755" s="59">
        <v>752</v>
      </c>
      <c r="B755" s="60" t="s">
        <v>1745</v>
      </c>
      <c r="C755" s="114">
        <f t="shared" si="45"/>
        <v>45261</v>
      </c>
      <c r="D755" s="62" t="str">
        <f ca="1" t="shared" si="43"/>
        <v>一年以上</v>
      </c>
      <c r="E755" s="115">
        <v>45261</v>
      </c>
      <c r="F755" s="115" t="s">
        <v>130</v>
      </c>
      <c r="G755" s="132" t="s">
        <v>1596</v>
      </c>
      <c r="H755" s="100" t="s">
        <v>1746</v>
      </c>
      <c r="I755" s="63" t="s">
        <v>1746</v>
      </c>
      <c r="J755" s="116">
        <v>50000</v>
      </c>
      <c r="K755" s="105" t="s">
        <v>28</v>
      </c>
      <c r="L755" s="105" t="s">
        <v>73</v>
      </c>
      <c r="M755" s="89" t="s">
        <v>133</v>
      </c>
      <c r="N755" s="117"/>
      <c r="O755" s="137">
        <f t="shared" si="44"/>
        <v>50000</v>
      </c>
      <c r="P755" s="115"/>
      <c r="Q755" s="61">
        <f t="shared" si="42"/>
        <v>0</v>
      </c>
      <c r="R755" s="68"/>
      <c r="S755" s="72" t="s">
        <v>1747</v>
      </c>
      <c r="T755" s="105" t="s">
        <v>720</v>
      </c>
      <c r="U755" s="59" t="str">
        <f>VLOOKUP(T755,[1]区域划分!$A$1:$C$39,3,0)</f>
        <v>杨春龙</v>
      </c>
      <c r="V755" s="68" t="s">
        <v>1748</v>
      </c>
      <c r="W755" s="68"/>
      <c r="X755" s="68"/>
    </row>
    <row r="756" s="17" customFormat="1" ht="36" hidden="1" spans="1:24">
      <c r="A756" s="59">
        <v>753</v>
      </c>
      <c r="B756" s="60" t="s">
        <v>1749</v>
      </c>
      <c r="C756" s="114">
        <f t="shared" si="45"/>
        <v>45264</v>
      </c>
      <c r="D756" s="62" t="str">
        <f ca="1" t="shared" si="43"/>
        <v>一年以上</v>
      </c>
      <c r="E756" s="115">
        <v>45264</v>
      </c>
      <c r="F756" s="115" t="s">
        <v>632</v>
      </c>
      <c r="G756" s="132" t="s">
        <v>450</v>
      </c>
      <c r="H756" s="100" t="s">
        <v>1676</v>
      </c>
      <c r="I756" s="63" t="s">
        <v>1676</v>
      </c>
      <c r="J756" s="116">
        <v>1000</v>
      </c>
      <c r="K756" s="105" t="s">
        <v>28</v>
      </c>
      <c r="L756" s="105" t="s">
        <v>73</v>
      </c>
      <c r="M756" s="89" t="s">
        <v>968</v>
      </c>
      <c r="N756" s="117"/>
      <c r="O756" s="137">
        <f t="shared" si="44"/>
        <v>1000</v>
      </c>
      <c r="P756" s="115"/>
      <c r="Q756" s="61">
        <f t="shared" si="42"/>
        <v>0</v>
      </c>
      <c r="R756" s="68"/>
      <c r="S756" s="152" t="s">
        <v>1750</v>
      </c>
      <c r="T756" s="105" t="s">
        <v>720</v>
      </c>
      <c r="U756" s="59" t="str">
        <f>VLOOKUP(T756,[1]区域划分!$A$1:$C$39,3,0)</f>
        <v>杨春龙</v>
      </c>
      <c r="V756" s="68"/>
      <c r="W756" s="68"/>
      <c r="X756" s="68"/>
    </row>
    <row r="757" s="17" customFormat="1" ht="24" hidden="1" spans="1:24">
      <c r="A757" s="59">
        <v>754</v>
      </c>
      <c r="B757" s="60" t="s">
        <v>1751</v>
      </c>
      <c r="C757" s="114">
        <f t="shared" si="45"/>
        <v>45266</v>
      </c>
      <c r="D757" s="62" t="str">
        <f ca="1" t="shared" si="43"/>
        <v>一年以上</v>
      </c>
      <c r="E757" s="115">
        <v>45266</v>
      </c>
      <c r="F757" s="115" t="s">
        <v>70</v>
      </c>
      <c r="G757" s="132" t="s">
        <v>1672</v>
      </c>
      <c r="H757" s="100" t="s">
        <v>1746</v>
      </c>
      <c r="I757" s="63" t="s">
        <v>1746</v>
      </c>
      <c r="J757" s="116">
        <v>1000</v>
      </c>
      <c r="K757" s="105" t="s">
        <v>28</v>
      </c>
      <c r="L757" s="105" t="s">
        <v>73</v>
      </c>
      <c r="M757" s="89" t="s">
        <v>65</v>
      </c>
      <c r="N757" s="117"/>
      <c r="O757" s="137">
        <f t="shared" si="44"/>
        <v>1000</v>
      </c>
      <c r="P757" s="115"/>
      <c r="Q757" s="61">
        <f t="shared" si="42"/>
        <v>0</v>
      </c>
      <c r="R757" s="68"/>
      <c r="S757" s="72" t="s">
        <v>1747</v>
      </c>
      <c r="T757" s="105" t="s">
        <v>720</v>
      </c>
      <c r="U757" s="59" t="str">
        <f>VLOOKUP(T757,[1]区域划分!$A$1:$C$39,3,0)</f>
        <v>杨春龙</v>
      </c>
      <c r="V757" s="68" t="s">
        <v>1752</v>
      </c>
      <c r="W757" s="68"/>
      <c r="X757" s="68"/>
    </row>
    <row r="758" s="17" customFormat="1" ht="24" hidden="1" spans="1:24">
      <c r="A758" s="59">
        <v>755</v>
      </c>
      <c r="B758" s="60" t="s">
        <v>1753</v>
      </c>
      <c r="C758" s="114">
        <f t="shared" si="45"/>
        <v>45266</v>
      </c>
      <c r="D758" s="62" t="str">
        <f ca="1" t="shared" si="43"/>
        <v>一年以上</v>
      </c>
      <c r="E758" s="115">
        <v>45266</v>
      </c>
      <c r="F758" s="115" t="s">
        <v>632</v>
      </c>
      <c r="G758" s="132" t="s">
        <v>993</v>
      </c>
      <c r="H758" s="100" t="s">
        <v>1754</v>
      </c>
      <c r="I758" s="63" t="s">
        <v>1754</v>
      </c>
      <c r="J758" s="116">
        <v>200</v>
      </c>
      <c r="K758" s="105" t="s">
        <v>28</v>
      </c>
      <c r="L758" s="105" t="s">
        <v>73</v>
      </c>
      <c r="M758" s="89" t="s">
        <v>515</v>
      </c>
      <c r="N758" s="117">
        <v>200</v>
      </c>
      <c r="O758" s="137">
        <f t="shared" si="44"/>
        <v>0</v>
      </c>
      <c r="P758" s="115">
        <v>45266</v>
      </c>
      <c r="Q758" s="61">
        <f t="shared" si="42"/>
        <v>45266</v>
      </c>
      <c r="R758" s="68" t="s">
        <v>951</v>
      </c>
      <c r="S758" s="72" t="s">
        <v>1755</v>
      </c>
      <c r="T758" s="105"/>
      <c r="U758" s="59"/>
      <c r="V758" s="68"/>
      <c r="W758" s="68"/>
      <c r="X758" s="68"/>
    </row>
    <row r="759" s="17" customFormat="1" ht="24" hidden="1" spans="1:24">
      <c r="A759" s="59">
        <v>756</v>
      </c>
      <c r="B759" s="60" t="s">
        <v>1756</v>
      </c>
      <c r="C759" s="114">
        <f t="shared" si="45"/>
        <v>45266</v>
      </c>
      <c r="D759" s="62" t="str">
        <f ca="1" t="shared" si="43"/>
        <v>一年以上</v>
      </c>
      <c r="E759" s="115">
        <v>45266</v>
      </c>
      <c r="F759" s="115" t="s">
        <v>632</v>
      </c>
      <c r="G759" s="132" t="s">
        <v>993</v>
      </c>
      <c r="H759" s="100" t="s">
        <v>1754</v>
      </c>
      <c r="I759" s="63" t="s">
        <v>1754</v>
      </c>
      <c r="J759" s="116">
        <v>10000</v>
      </c>
      <c r="K759" s="105" t="s">
        <v>28</v>
      </c>
      <c r="L759" s="105" t="s">
        <v>73</v>
      </c>
      <c r="M759" s="89" t="s">
        <v>30</v>
      </c>
      <c r="N759" s="155">
        <v>10000</v>
      </c>
      <c r="O759" s="137">
        <f t="shared" si="44"/>
        <v>0</v>
      </c>
      <c r="P759" s="115">
        <v>45394</v>
      </c>
      <c r="Q759" s="61">
        <f t="shared" si="42"/>
        <v>45394</v>
      </c>
      <c r="R759" s="68"/>
      <c r="S759" s="72" t="s">
        <v>1755</v>
      </c>
      <c r="T759" s="105"/>
      <c r="U759" s="59"/>
      <c r="V759" s="68" t="s">
        <v>1757</v>
      </c>
      <c r="W759" s="68"/>
      <c r="X759" s="68"/>
    </row>
    <row r="760" s="17" customFormat="1" ht="24" hidden="1" spans="1:24">
      <c r="A760" s="59">
        <v>757</v>
      </c>
      <c r="B760" s="60" t="s">
        <v>1758</v>
      </c>
      <c r="C760" s="114">
        <f t="shared" si="45"/>
        <v>45266</v>
      </c>
      <c r="D760" s="62" t="str">
        <f ca="1" t="shared" si="43"/>
        <v>一年以上</v>
      </c>
      <c r="E760" s="115">
        <v>45266</v>
      </c>
      <c r="F760" s="115" t="s">
        <v>632</v>
      </c>
      <c r="G760" s="132" t="s">
        <v>450</v>
      </c>
      <c r="H760" s="100" t="s">
        <v>1759</v>
      </c>
      <c r="I760" s="63" t="s">
        <v>1759</v>
      </c>
      <c r="J760" s="116">
        <v>3900</v>
      </c>
      <c r="K760" s="105" t="s">
        <v>28</v>
      </c>
      <c r="L760" s="105" t="s">
        <v>73</v>
      </c>
      <c r="M760" s="89" t="s">
        <v>30</v>
      </c>
      <c r="N760" s="117">
        <v>3900</v>
      </c>
      <c r="O760" s="137">
        <f t="shared" si="44"/>
        <v>0</v>
      </c>
      <c r="P760" s="115">
        <v>45274</v>
      </c>
      <c r="Q760" s="61">
        <f t="shared" si="42"/>
        <v>45274</v>
      </c>
      <c r="R760" s="68"/>
      <c r="S760" s="72" t="s">
        <v>1760</v>
      </c>
      <c r="T760" s="105"/>
      <c r="U760" s="59"/>
      <c r="V760" s="68"/>
      <c r="W760" s="68"/>
      <c r="X760" s="68"/>
    </row>
    <row r="761" s="17" customFormat="1" ht="24" hidden="1" spans="1:24">
      <c r="A761" s="59">
        <v>758</v>
      </c>
      <c r="B761" s="60" t="s">
        <v>1761</v>
      </c>
      <c r="C761" s="114">
        <f t="shared" si="45"/>
        <v>45266</v>
      </c>
      <c r="D761" s="62" t="str">
        <f ca="1" t="shared" si="43"/>
        <v>一年以上</v>
      </c>
      <c r="E761" s="115">
        <v>45266</v>
      </c>
      <c r="F761" s="115" t="s">
        <v>632</v>
      </c>
      <c r="G761" s="132" t="s">
        <v>450</v>
      </c>
      <c r="H761" s="100" t="s">
        <v>1759</v>
      </c>
      <c r="I761" s="63" t="s">
        <v>1759</v>
      </c>
      <c r="J761" s="116">
        <v>3900</v>
      </c>
      <c r="K761" s="105" t="s">
        <v>28</v>
      </c>
      <c r="L761" s="105" t="s">
        <v>73</v>
      </c>
      <c r="M761" s="89" t="s">
        <v>30</v>
      </c>
      <c r="N761" s="117">
        <v>3900</v>
      </c>
      <c r="O761" s="137">
        <f t="shared" si="44"/>
        <v>0</v>
      </c>
      <c r="P761" s="115">
        <v>45271</v>
      </c>
      <c r="Q761" s="61">
        <f t="shared" si="42"/>
        <v>45271</v>
      </c>
      <c r="R761" s="68"/>
      <c r="S761" s="72" t="s">
        <v>1762</v>
      </c>
      <c r="T761" s="105"/>
      <c r="U761" s="59"/>
      <c r="V761" s="68"/>
      <c r="W761" s="68"/>
      <c r="X761" s="68"/>
    </row>
    <row r="762" s="17" customFormat="1" ht="24" hidden="1" spans="1:24">
      <c r="A762" s="59">
        <v>759</v>
      </c>
      <c r="B762" s="60" t="s">
        <v>1763</v>
      </c>
      <c r="C762" s="114">
        <f t="shared" si="45"/>
        <v>45266</v>
      </c>
      <c r="D762" s="62" t="str">
        <f ca="1" t="shared" si="43"/>
        <v>一年以上</v>
      </c>
      <c r="E762" s="115">
        <v>45266</v>
      </c>
      <c r="F762" s="115" t="s">
        <v>632</v>
      </c>
      <c r="G762" s="132" t="s">
        <v>450</v>
      </c>
      <c r="H762" s="100" t="s">
        <v>1759</v>
      </c>
      <c r="I762" s="63" t="s">
        <v>1759</v>
      </c>
      <c r="J762" s="116">
        <v>9000</v>
      </c>
      <c r="K762" s="105" t="s">
        <v>28</v>
      </c>
      <c r="L762" s="105" t="s">
        <v>73</v>
      </c>
      <c r="M762" s="89" t="s">
        <v>30</v>
      </c>
      <c r="N762" s="117">
        <v>9000</v>
      </c>
      <c r="O762" s="137">
        <f t="shared" si="44"/>
        <v>0</v>
      </c>
      <c r="P762" s="115">
        <v>45271</v>
      </c>
      <c r="Q762" s="61">
        <f t="shared" si="42"/>
        <v>45271</v>
      </c>
      <c r="R762" s="68"/>
      <c r="S762" s="72" t="s">
        <v>1764</v>
      </c>
      <c r="T762" s="105"/>
      <c r="U762" s="59"/>
      <c r="V762" s="68"/>
      <c r="W762" s="68"/>
      <c r="X762" s="68"/>
    </row>
    <row r="763" s="17" customFormat="1" ht="24" hidden="1" spans="1:24">
      <c r="A763" s="59">
        <v>760</v>
      </c>
      <c r="B763" s="60" t="s">
        <v>1765</v>
      </c>
      <c r="C763" s="114">
        <f t="shared" si="45"/>
        <v>45266</v>
      </c>
      <c r="D763" s="62" t="str">
        <f ca="1" t="shared" si="43"/>
        <v>一年以上</v>
      </c>
      <c r="E763" s="115">
        <v>45266</v>
      </c>
      <c r="F763" s="115" t="s">
        <v>632</v>
      </c>
      <c r="G763" s="132" t="s">
        <v>450</v>
      </c>
      <c r="H763" s="100" t="s">
        <v>1759</v>
      </c>
      <c r="I763" s="63" t="s">
        <v>1759</v>
      </c>
      <c r="J763" s="116">
        <v>200</v>
      </c>
      <c r="K763" s="105" t="s">
        <v>28</v>
      </c>
      <c r="L763" s="105" t="s">
        <v>73</v>
      </c>
      <c r="M763" s="89" t="s">
        <v>515</v>
      </c>
      <c r="N763" s="117">
        <v>200</v>
      </c>
      <c r="O763" s="137">
        <f t="shared" si="44"/>
        <v>0</v>
      </c>
      <c r="P763" s="115">
        <v>45266</v>
      </c>
      <c r="Q763" s="61">
        <f t="shared" si="42"/>
        <v>45266</v>
      </c>
      <c r="R763" s="68" t="s">
        <v>951</v>
      </c>
      <c r="S763" s="72" t="s">
        <v>1760</v>
      </c>
      <c r="T763" s="105"/>
      <c r="U763" s="59"/>
      <c r="V763" s="68"/>
      <c r="W763" s="68"/>
      <c r="X763" s="68"/>
    </row>
    <row r="764" s="17" customFormat="1" ht="24" hidden="1" spans="1:24">
      <c r="A764" s="59">
        <v>761</v>
      </c>
      <c r="B764" s="60" t="s">
        <v>1766</v>
      </c>
      <c r="C764" s="114">
        <f t="shared" si="45"/>
        <v>45266</v>
      </c>
      <c r="D764" s="62" t="str">
        <f ca="1" t="shared" si="43"/>
        <v>一年以上</v>
      </c>
      <c r="E764" s="115">
        <v>45266</v>
      </c>
      <c r="F764" s="115" t="s">
        <v>632</v>
      </c>
      <c r="G764" s="132" t="s">
        <v>450</v>
      </c>
      <c r="H764" s="100" t="s">
        <v>1759</v>
      </c>
      <c r="I764" s="63" t="s">
        <v>1759</v>
      </c>
      <c r="J764" s="116">
        <v>200</v>
      </c>
      <c r="K764" s="105" t="s">
        <v>28</v>
      </c>
      <c r="L764" s="105" t="s">
        <v>73</v>
      </c>
      <c r="M764" s="89" t="s">
        <v>515</v>
      </c>
      <c r="N764" s="117">
        <v>200</v>
      </c>
      <c r="O764" s="137">
        <f t="shared" si="44"/>
        <v>0</v>
      </c>
      <c r="P764" s="115">
        <v>45266</v>
      </c>
      <c r="Q764" s="61">
        <f t="shared" si="42"/>
        <v>45266</v>
      </c>
      <c r="R764" s="68" t="s">
        <v>951</v>
      </c>
      <c r="S764" s="72" t="s">
        <v>1762</v>
      </c>
      <c r="T764" s="105"/>
      <c r="U764" s="59"/>
      <c r="V764" s="68"/>
      <c r="W764" s="68"/>
      <c r="X764" s="68"/>
    </row>
    <row r="765" s="17" customFormat="1" ht="24" hidden="1" spans="1:24">
      <c r="A765" s="59">
        <v>762</v>
      </c>
      <c r="B765" s="60" t="s">
        <v>1767</v>
      </c>
      <c r="C765" s="114">
        <f t="shared" si="45"/>
        <v>45266</v>
      </c>
      <c r="D765" s="62" t="str">
        <f ca="1" t="shared" si="43"/>
        <v>一年以上</v>
      </c>
      <c r="E765" s="115">
        <v>45266</v>
      </c>
      <c r="F765" s="115" t="s">
        <v>632</v>
      </c>
      <c r="G765" s="132" t="s">
        <v>450</v>
      </c>
      <c r="H765" s="100" t="s">
        <v>1759</v>
      </c>
      <c r="I765" s="63" t="s">
        <v>1759</v>
      </c>
      <c r="J765" s="116">
        <v>200</v>
      </c>
      <c r="K765" s="105" t="s">
        <v>28</v>
      </c>
      <c r="L765" s="105" t="s">
        <v>73</v>
      </c>
      <c r="M765" s="89" t="s">
        <v>515</v>
      </c>
      <c r="N765" s="117">
        <v>200</v>
      </c>
      <c r="O765" s="137">
        <f t="shared" si="44"/>
        <v>0</v>
      </c>
      <c r="P765" s="115">
        <v>45266</v>
      </c>
      <c r="Q765" s="61">
        <f t="shared" si="42"/>
        <v>45266</v>
      </c>
      <c r="R765" s="68" t="s">
        <v>951</v>
      </c>
      <c r="S765" s="72" t="s">
        <v>1764</v>
      </c>
      <c r="T765" s="105"/>
      <c r="U765" s="59"/>
      <c r="V765" s="68"/>
      <c r="W765" s="68"/>
      <c r="X765" s="68"/>
    </row>
    <row r="766" s="17" customFormat="1" ht="14" hidden="1" customHeight="1" spans="1:24">
      <c r="A766" s="59">
        <v>763</v>
      </c>
      <c r="B766" s="60" t="s">
        <v>2660</v>
      </c>
      <c r="C766" s="114">
        <f t="shared" si="45"/>
        <v>45268</v>
      </c>
      <c r="D766" s="62" t="str">
        <f ca="1" t="shared" si="43"/>
        <v>一年以上</v>
      </c>
      <c r="E766" s="115">
        <v>45268</v>
      </c>
      <c r="F766" s="115" t="s">
        <v>130</v>
      </c>
      <c r="G766" s="132" t="s">
        <v>1596</v>
      </c>
      <c r="H766" s="100" t="s">
        <v>863</v>
      </c>
      <c r="I766" s="63" t="s">
        <v>863</v>
      </c>
      <c r="J766" s="116">
        <v>11500</v>
      </c>
      <c r="K766" s="105" t="s">
        <v>28</v>
      </c>
      <c r="L766" s="105" t="s">
        <v>73</v>
      </c>
      <c r="M766" s="89" t="s">
        <v>133</v>
      </c>
      <c r="N766" s="117"/>
      <c r="O766" s="140">
        <f t="shared" si="44"/>
        <v>11500</v>
      </c>
      <c r="P766" s="115"/>
      <c r="Q766" s="61">
        <f t="shared" si="42"/>
        <v>0</v>
      </c>
      <c r="R766" s="68"/>
      <c r="S766" s="72" t="s">
        <v>1769</v>
      </c>
      <c r="T766" s="105" t="s">
        <v>972</v>
      </c>
      <c r="U766" s="59" t="str">
        <f>VLOOKUP(T766,[1]区域划分!$A$1:$C$39,3,0)</f>
        <v>曾江利</v>
      </c>
      <c r="V766" s="72" t="s">
        <v>1770</v>
      </c>
      <c r="W766" s="68"/>
      <c r="X766" s="68"/>
    </row>
    <row r="767" s="17" customFormat="1" ht="24" hidden="1" spans="1:24">
      <c r="A767" s="59">
        <v>764</v>
      </c>
      <c r="B767" s="60" t="s">
        <v>1771</v>
      </c>
      <c r="C767" s="114">
        <f t="shared" si="45"/>
        <v>45272</v>
      </c>
      <c r="D767" s="62" t="str">
        <f ca="1" t="shared" si="43"/>
        <v>一年以上</v>
      </c>
      <c r="E767" s="115">
        <v>45272</v>
      </c>
      <c r="F767" s="115" t="s">
        <v>70</v>
      </c>
      <c r="G767" s="132" t="s">
        <v>1672</v>
      </c>
      <c r="H767" s="100" t="s">
        <v>863</v>
      </c>
      <c r="I767" s="63" t="s">
        <v>863</v>
      </c>
      <c r="J767" s="116">
        <v>12000</v>
      </c>
      <c r="K767" s="105" t="s">
        <v>28</v>
      </c>
      <c r="L767" s="105" t="s">
        <v>73</v>
      </c>
      <c r="M767" s="89" t="s">
        <v>65</v>
      </c>
      <c r="N767" s="117"/>
      <c r="O767" s="140">
        <f t="shared" si="44"/>
        <v>12000</v>
      </c>
      <c r="P767" s="115"/>
      <c r="Q767" s="61">
        <f t="shared" si="42"/>
        <v>0</v>
      </c>
      <c r="R767" s="68"/>
      <c r="S767" s="72" t="s">
        <v>1772</v>
      </c>
      <c r="T767" s="105" t="s">
        <v>972</v>
      </c>
      <c r="U767" s="59" t="str">
        <f>VLOOKUP(T767,[1]区域划分!$A$1:$C$39,3,0)</f>
        <v>曾江利</v>
      </c>
      <c r="V767" s="72" t="s">
        <v>1773</v>
      </c>
      <c r="W767" s="68"/>
      <c r="X767" s="68"/>
    </row>
    <row r="768" s="17" customFormat="1" ht="24" hidden="1" spans="1:24">
      <c r="A768" s="59">
        <v>765</v>
      </c>
      <c r="B768" s="60" t="s">
        <v>1774</v>
      </c>
      <c r="C768" s="114">
        <f t="shared" si="45"/>
        <v>45274</v>
      </c>
      <c r="D768" s="62" t="str">
        <f ca="1" t="shared" si="43"/>
        <v>一年以上</v>
      </c>
      <c r="E768" s="115">
        <v>45274</v>
      </c>
      <c r="F768" s="115" t="s">
        <v>70</v>
      </c>
      <c r="G768" s="132" t="s">
        <v>1672</v>
      </c>
      <c r="H768" s="100" t="s">
        <v>863</v>
      </c>
      <c r="I768" s="63" t="s">
        <v>863</v>
      </c>
      <c r="J768" s="116">
        <v>70000</v>
      </c>
      <c r="K768" s="105" t="s">
        <v>28</v>
      </c>
      <c r="L768" s="136" t="s">
        <v>73</v>
      </c>
      <c r="M768" s="89" t="s">
        <v>65</v>
      </c>
      <c r="N768" s="104">
        <v>70000</v>
      </c>
      <c r="O768" s="137">
        <f t="shared" si="44"/>
        <v>0</v>
      </c>
      <c r="P768" s="115">
        <v>45345</v>
      </c>
      <c r="Q768" s="61">
        <f t="shared" si="42"/>
        <v>45345</v>
      </c>
      <c r="R768" s="68"/>
      <c r="S768" s="72" t="s">
        <v>1646</v>
      </c>
      <c r="T768" s="105" t="s">
        <v>972</v>
      </c>
      <c r="U768" s="59" t="str">
        <f>VLOOKUP(T768,[1]区域划分!$A$1:$C$39,3,0)</f>
        <v>曾江利</v>
      </c>
      <c r="V768" s="72" t="s">
        <v>1773</v>
      </c>
      <c r="W768" s="68"/>
      <c r="X768" s="68"/>
    </row>
    <row r="769" s="17" customFormat="1" ht="24" hidden="1" spans="1:24">
      <c r="A769" s="59">
        <v>766</v>
      </c>
      <c r="B769" s="60" t="s">
        <v>1775</v>
      </c>
      <c r="C769" s="114">
        <f t="shared" si="45"/>
        <v>45274</v>
      </c>
      <c r="D769" s="62" t="str">
        <f ca="1" t="shared" si="43"/>
        <v>一年以上</v>
      </c>
      <c r="E769" s="115">
        <v>45274</v>
      </c>
      <c r="F769" s="115" t="s">
        <v>130</v>
      </c>
      <c r="G769" s="132" t="s">
        <v>1596</v>
      </c>
      <c r="H769" s="100" t="s">
        <v>1729</v>
      </c>
      <c r="I769" s="63" t="s">
        <v>1729</v>
      </c>
      <c r="J769" s="116">
        <v>17100</v>
      </c>
      <c r="K769" s="105" t="s">
        <v>28</v>
      </c>
      <c r="L769" s="105" t="s">
        <v>73</v>
      </c>
      <c r="M769" s="89" t="s">
        <v>133</v>
      </c>
      <c r="N769" s="117"/>
      <c r="O769" s="137">
        <f t="shared" si="44"/>
        <v>17100</v>
      </c>
      <c r="P769" s="115"/>
      <c r="Q769" s="61">
        <f t="shared" si="42"/>
        <v>0</v>
      </c>
      <c r="R769" s="68"/>
      <c r="S769" s="72" t="s">
        <v>1730</v>
      </c>
      <c r="T769" s="105"/>
      <c r="U769" s="59"/>
      <c r="V769" s="72"/>
      <c r="W769" s="68"/>
      <c r="X769" s="68"/>
    </row>
    <row r="770" s="17" customFormat="1" ht="36" hidden="1" spans="1:24">
      <c r="A770" s="59">
        <v>767</v>
      </c>
      <c r="B770" s="60" t="s">
        <v>1776</v>
      </c>
      <c r="C770" s="114">
        <f t="shared" si="45"/>
        <v>45282</v>
      </c>
      <c r="D770" s="62" t="str">
        <f ca="1" t="shared" si="43"/>
        <v>一年以上</v>
      </c>
      <c r="E770" s="115">
        <v>45282</v>
      </c>
      <c r="F770" s="115" t="s">
        <v>70</v>
      </c>
      <c r="G770" s="132" t="s">
        <v>1777</v>
      </c>
      <c r="H770" s="100" t="s">
        <v>663</v>
      </c>
      <c r="I770" s="63" t="str">
        <f t="shared" ref="I770:I801" si="46">H770</f>
        <v>新疆伊犁钢铁有限责任公司</v>
      </c>
      <c r="J770" s="116">
        <v>39390</v>
      </c>
      <c r="K770" s="105" t="s">
        <v>28</v>
      </c>
      <c r="L770" s="105" t="s">
        <v>73</v>
      </c>
      <c r="M770" s="89" t="s">
        <v>941</v>
      </c>
      <c r="N770" s="117"/>
      <c r="O770" s="137">
        <f t="shared" si="44"/>
        <v>39390</v>
      </c>
      <c r="P770" s="115"/>
      <c r="Q770" s="61">
        <f t="shared" si="42"/>
        <v>0</v>
      </c>
      <c r="R770" s="68"/>
      <c r="S770" s="72" t="s">
        <v>1778</v>
      </c>
      <c r="T770" s="105"/>
      <c r="U770" s="59"/>
      <c r="V770" s="72" t="s">
        <v>1722</v>
      </c>
      <c r="W770" s="68"/>
      <c r="X770" s="68"/>
    </row>
    <row r="771" s="17" customFormat="1" ht="14" hidden="1" customHeight="1" spans="1:24">
      <c r="A771" s="59">
        <v>768</v>
      </c>
      <c r="B771" s="60" t="s">
        <v>1779</v>
      </c>
      <c r="C771" s="114">
        <f t="shared" si="45"/>
        <v>45282</v>
      </c>
      <c r="D771" s="62" t="str">
        <f ca="1" t="shared" si="43"/>
        <v>一年以上</v>
      </c>
      <c r="E771" s="115">
        <v>45282</v>
      </c>
      <c r="F771" s="115" t="s">
        <v>632</v>
      </c>
      <c r="G771" s="132" t="s">
        <v>993</v>
      </c>
      <c r="H771" s="100" t="s">
        <v>863</v>
      </c>
      <c r="I771" s="63" t="str">
        <f t="shared" si="46"/>
        <v>青海发投碱业有限公司</v>
      </c>
      <c r="J771" s="116">
        <v>10000</v>
      </c>
      <c r="K771" s="105" t="s">
        <v>1706</v>
      </c>
      <c r="L771" s="136" t="s">
        <v>73</v>
      </c>
      <c r="M771" s="89" t="s">
        <v>30</v>
      </c>
      <c r="N771" s="104">
        <v>10000</v>
      </c>
      <c r="O771" s="137">
        <f t="shared" si="44"/>
        <v>0</v>
      </c>
      <c r="P771" s="115">
        <v>45317</v>
      </c>
      <c r="Q771" s="61">
        <f t="shared" ref="Q771:Q834" si="47">P771</f>
        <v>45317</v>
      </c>
      <c r="R771" s="68"/>
      <c r="S771" s="72" t="s">
        <v>1780</v>
      </c>
      <c r="T771" s="105" t="s">
        <v>972</v>
      </c>
      <c r="U771" s="59" t="str">
        <f>VLOOKUP(T771,[1]区域划分!$A$1:$C$39,3,0)</f>
        <v>曾江利</v>
      </c>
      <c r="V771" s="72" t="s">
        <v>1781</v>
      </c>
      <c r="W771" s="68"/>
      <c r="X771" s="68"/>
    </row>
    <row r="772" s="17" customFormat="1" ht="14" hidden="1" customHeight="1" spans="1:24">
      <c r="A772" s="59">
        <v>769</v>
      </c>
      <c r="B772" s="60" t="s">
        <v>1782</v>
      </c>
      <c r="C772" s="153">
        <f t="shared" si="45"/>
        <v>45282</v>
      </c>
      <c r="D772" s="62" t="str">
        <f ca="1" t="shared" si="43"/>
        <v>一年以上</v>
      </c>
      <c r="E772" s="115">
        <v>45282</v>
      </c>
      <c r="F772" s="115" t="s">
        <v>632</v>
      </c>
      <c r="G772" s="132" t="s">
        <v>993</v>
      </c>
      <c r="H772" s="100" t="s">
        <v>863</v>
      </c>
      <c r="I772" s="63" t="str">
        <f t="shared" si="46"/>
        <v>青海发投碱业有限公司</v>
      </c>
      <c r="J772" s="116">
        <v>10000</v>
      </c>
      <c r="K772" s="105" t="s">
        <v>28</v>
      </c>
      <c r="L772" s="136" t="s">
        <v>73</v>
      </c>
      <c r="M772" s="89" t="s">
        <v>30</v>
      </c>
      <c r="N772" s="104">
        <v>10000</v>
      </c>
      <c r="O772" s="137">
        <f t="shared" si="44"/>
        <v>0</v>
      </c>
      <c r="P772" s="156">
        <v>45317</v>
      </c>
      <c r="Q772" s="61">
        <f t="shared" si="47"/>
        <v>45317</v>
      </c>
      <c r="R772" s="68" t="s">
        <v>1783</v>
      </c>
      <c r="S772" s="72" t="s">
        <v>1784</v>
      </c>
      <c r="T772" s="105" t="s">
        <v>972</v>
      </c>
      <c r="U772" s="59" t="str">
        <f>VLOOKUP(T772,[1]区域划分!$A$1:$C$39,3,0)</f>
        <v>曾江利</v>
      </c>
      <c r="V772" s="72" t="s">
        <v>1781</v>
      </c>
      <c r="W772" s="68"/>
      <c r="X772" s="68"/>
    </row>
    <row r="773" s="17" customFormat="1" ht="14" hidden="1" customHeight="1" spans="1:24">
      <c r="A773" s="59">
        <v>770</v>
      </c>
      <c r="B773" s="60" t="s">
        <v>1785</v>
      </c>
      <c r="C773" s="153">
        <f t="shared" si="45"/>
        <v>45282</v>
      </c>
      <c r="D773" s="62" t="str">
        <f ca="1" t="shared" si="43"/>
        <v>一年以上</v>
      </c>
      <c r="E773" s="115">
        <v>45282</v>
      </c>
      <c r="F773" s="115" t="s">
        <v>632</v>
      </c>
      <c r="G773" s="132" t="s">
        <v>993</v>
      </c>
      <c r="H773" s="100" t="s">
        <v>863</v>
      </c>
      <c r="I773" s="63" t="str">
        <f t="shared" si="46"/>
        <v>青海发投碱业有限公司</v>
      </c>
      <c r="J773" s="116">
        <v>10000</v>
      </c>
      <c r="K773" s="105" t="s">
        <v>28</v>
      </c>
      <c r="L773" s="136" t="s">
        <v>73</v>
      </c>
      <c r="M773" s="89" t="s">
        <v>30</v>
      </c>
      <c r="N773" s="104">
        <v>10000</v>
      </c>
      <c r="O773" s="137">
        <f t="shared" si="44"/>
        <v>0</v>
      </c>
      <c r="P773" s="156">
        <v>45317</v>
      </c>
      <c r="Q773" s="61">
        <f t="shared" si="47"/>
        <v>45317</v>
      </c>
      <c r="R773" s="68" t="s">
        <v>1783</v>
      </c>
      <c r="S773" s="72" t="s">
        <v>1786</v>
      </c>
      <c r="T773" s="105" t="s">
        <v>972</v>
      </c>
      <c r="U773" s="59" t="str">
        <f>VLOOKUP(T773,[1]区域划分!$A$1:$C$39,3,0)</f>
        <v>曾江利</v>
      </c>
      <c r="V773" s="72" t="s">
        <v>1781</v>
      </c>
      <c r="W773" s="68"/>
      <c r="X773" s="68"/>
    </row>
    <row r="774" s="17" customFormat="1" ht="24" hidden="1" spans="1:24">
      <c r="A774" s="59">
        <v>771</v>
      </c>
      <c r="B774" s="60" t="s">
        <v>1787</v>
      </c>
      <c r="C774" s="153">
        <f t="shared" si="45"/>
        <v>45282</v>
      </c>
      <c r="D774" s="62" t="str">
        <f ca="1" t="shared" si="43"/>
        <v>一年以上</v>
      </c>
      <c r="E774" s="115">
        <v>45282</v>
      </c>
      <c r="F774" s="115" t="s">
        <v>632</v>
      </c>
      <c r="G774" s="132" t="s">
        <v>993</v>
      </c>
      <c r="H774" s="100" t="s">
        <v>1734</v>
      </c>
      <c r="I774" s="63" t="str">
        <f t="shared" si="46"/>
        <v>徐州小俏网络科技服务有限公司</v>
      </c>
      <c r="J774" s="116">
        <v>1500</v>
      </c>
      <c r="K774" s="105" t="s">
        <v>28</v>
      </c>
      <c r="L774" s="105" t="s">
        <v>73</v>
      </c>
      <c r="M774" s="89" t="s">
        <v>968</v>
      </c>
      <c r="N774" s="117"/>
      <c r="O774" s="137">
        <f t="shared" si="44"/>
        <v>1500</v>
      </c>
      <c r="P774" s="156"/>
      <c r="Q774" s="61">
        <f t="shared" si="47"/>
        <v>0</v>
      </c>
      <c r="R774" s="68"/>
      <c r="S774" s="72"/>
      <c r="T774" s="68"/>
      <c r="U774" s="72"/>
      <c r="V774" s="72"/>
      <c r="W774" s="68"/>
      <c r="X774" s="68"/>
    </row>
    <row r="775" s="17" customFormat="1" ht="24" hidden="1" spans="1:24">
      <c r="A775" s="59">
        <v>772</v>
      </c>
      <c r="B775" s="60" t="s">
        <v>1788</v>
      </c>
      <c r="C775" s="153">
        <f t="shared" si="45"/>
        <v>45282</v>
      </c>
      <c r="D775" s="62" t="str">
        <f ca="1" t="shared" si="43"/>
        <v>一年以上</v>
      </c>
      <c r="E775" s="115">
        <v>45282</v>
      </c>
      <c r="F775" s="115" t="s">
        <v>632</v>
      </c>
      <c r="G775" s="132" t="s">
        <v>993</v>
      </c>
      <c r="H775" s="100" t="s">
        <v>863</v>
      </c>
      <c r="I775" s="63" t="str">
        <f t="shared" si="46"/>
        <v>青海发投碱业有限公司</v>
      </c>
      <c r="J775" s="116">
        <v>500</v>
      </c>
      <c r="K775" s="105" t="s">
        <v>28</v>
      </c>
      <c r="L775" s="105" t="s">
        <v>73</v>
      </c>
      <c r="M775" s="89" t="s">
        <v>515</v>
      </c>
      <c r="N775" s="117"/>
      <c r="O775" s="140">
        <f t="shared" si="44"/>
        <v>500</v>
      </c>
      <c r="P775" s="156"/>
      <c r="Q775" s="61">
        <f t="shared" si="47"/>
        <v>0</v>
      </c>
      <c r="R775" s="68"/>
      <c r="S775" s="72" t="s">
        <v>1789</v>
      </c>
      <c r="T775" s="105" t="s">
        <v>972</v>
      </c>
      <c r="U775" s="59" t="str">
        <f>VLOOKUP(T775,[1]区域划分!$A$1:$C$39,3,0)</f>
        <v>曾江利</v>
      </c>
      <c r="V775" s="72"/>
      <c r="W775" s="68"/>
      <c r="X775" s="68"/>
    </row>
    <row r="776" s="17" customFormat="1" ht="36" hidden="1" spans="1:24">
      <c r="A776" s="59">
        <v>773</v>
      </c>
      <c r="B776" s="60" t="s">
        <v>1790</v>
      </c>
      <c r="C776" s="153">
        <f t="shared" si="45"/>
        <v>45285</v>
      </c>
      <c r="D776" s="62" t="str">
        <f ca="1" t="shared" si="43"/>
        <v>一年以上</v>
      </c>
      <c r="E776" s="115">
        <v>45285</v>
      </c>
      <c r="F776" s="115" t="s">
        <v>632</v>
      </c>
      <c r="G776" s="132" t="s">
        <v>993</v>
      </c>
      <c r="H776" s="100" t="s">
        <v>863</v>
      </c>
      <c r="I776" s="63" t="str">
        <f t="shared" si="46"/>
        <v>青海发投碱业有限公司</v>
      </c>
      <c r="J776" s="116">
        <v>10000</v>
      </c>
      <c r="K776" s="105" t="s">
        <v>28</v>
      </c>
      <c r="L776" s="136" t="s">
        <v>73</v>
      </c>
      <c r="M776" s="89" t="s">
        <v>30</v>
      </c>
      <c r="N776" s="104">
        <v>10000</v>
      </c>
      <c r="O776" s="137">
        <f t="shared" si="44"/>
        <v>0</v>
      </c>
      <c r="P776" s="115">
        <v>45345</v>
      </c>
      <c r="Q776" s="61">
        <f t="shared" si="47"/>
        <v>45345</v>
      </c>
      <c r="R776" s="68"/>
      <c r="S776" s="72" t="s">
        <v>1791</v>
      </c>
      <c r="T776" s="105" t="s">
        <v>972</v>
      </c>
      <c r="U776" s="59" t="str">
        <f>VLOOKUP(T776,[1]区域划分!$A$1:$C$39,3,0)</f>
        <v>曾江利</v>
      </c>
      <c r="V776" s="72"/>
      <c r="W776" s="68"/>
      <c r="X776" s="68"/>
    </row>
    <row r="777" s="17" customFormat="1" ht="36" hidden="1" spans="1:24">
      <c r="A777" s="59">
        <v>774</v>
      </c>
      <c r="B777" s="60" t="s">
        <v>1792</v>
      </c>
      <c r="C777" s="153">
        <f t="shared" si="45"/>
        <v>45300</v>
      </c>
      <c r="D777" s="62" t="str">
        <f ca="1" t="shared" si="43"/>
        <v>一年以上</v>
      </c>
      <c r="E777" s="115">
        <v>45300</v>
      </c>
      <c r="F777" s="115" t="s">
        <v>632</v>
      </c>
      <c r="G777" s="132" t="s">
        <v>450</v>
      </c>
      <c r="H777" s="100" t="s">
        <v>863</v>
      </c>
      <c r="I777" s="63" t="str">
        <f t="shared" si="46"/>
        <v>青海发投碱业有限公司</v>
      </c>
      <c r="J777" s="157">
        <v>20000</v>
      </c>
      <c r="K777" s="136" t="s">
        <v>28</v>
      </c>
      <c r="L777" s="136" t="s">
        <v>73</v>
      </c>
      <c r="M777" s="89" t="s">
        <v>30</v>
      </c>
      <c r="N777" s="104">
        <v>20000</v>
      </c>
      <c r="O777" s="137">
        <f t="shared" si="44"/>
        <v>0</v>
      </c>
      <c r="P777" s="115">
        <v>45344</v>
      </c>
      <c r="Q777" s="61">
        <f t="shared" si="47"/>
        <v>45344</v>
      </c>
      <c r="R777" s="68"/>
      <c r="S777" s="72" t="s">
        <v>1793</v>
      </c>
      <c r="T777" s="105" t="s">
        <v>972</v>
      </c>
      <c r="U777" s="59" t="str">
        <f>VLOOKUP(T777,[1]区域划分!$A$1:$C$39,3,0)</f>
        <v>曾江利</v>
      </c>
      <c r="V777" s="72"/>
      <c r="W777" s="68"/>
      <c r="X777" s="68"/>
    </row>
    <row r="778" s="17" customFormat="1" ht="36" hidden="1" spans="1:24">
      <c r="A778" s="59">
        <v>775</v>
      </c>
      <c r="B778" s="60" t="s">
        <v>1794</v>
      </c>
      <c r="C778" s="153">
        <f t="shared" si="45"/>
        <v>45295</v>
      </c>
      <c r="D778" s="62" t="str">
        <f ca="1" t="shared" si="43"/>
        <v>一年以上</v>
      </c>
      <c r="E778" s="115">
        <v>45295</v>
      </c>
      <c r="F778" s="115" t="s">
        <v>130</v>
      </c>
      <c r="G778" s="132" t="s">
        <v>1596</v>
      </c>
      <c r="H778" s="100" t="s">
        <v>863</v>
      </c>
      <c r="I778" s="63" t="str">
        <f t="shared" si="46"/>
        <v>青海发投碱业有限公司</v>
      </c>
      <c r="J778" s="157">
        <v>27999</v>
      </c>
      <c r="K778" s="136" t="s">
        <v>28</v>
      </c>
      <c r="L778" s="105" t="s">
        <v>73</v>
      </c>
      <c r="M778" s="89" t="s">
        <v>133</v>
      </c>
      <c r="N778" s="117"/>
      <c r="O778" s="140">
        <f t="shared" si="44"/>
        <v>27999</v>
      </c>
      <c r="P778" s="115"/>
      <c r="Q778" s="61">
        <f t="shared" si="47"/>
        <v>0</v>
      </c>
      <c r="R778" s="68"/>
      <c r="S778" s="72" t="s">
        <v>1786</v>
      </c>
      <c r="T778" s="105" t="s">
        <v>972</v>
      </c>
      <c r="U778" s="59" t="str">
        <f>VLOOKUP(T778,[1]区域划分!$A$1:$C$39,3,0)</f>
        <v>曾江利</v>
      </c>
      <c r="V778" s="72"/>
      <c r="W778" s="68"/>
      <c r="X778" s="68"/>
    </row>
    <row r="779" s="17" customFormat="1" ht="36" hidden="1" spans="1:24">
      <c r="A779" s="59">
        <v>776</v>
      </c>
      <c r="B779" s="60" t="s">
        <v>1795</v>
      </c>
      <c r="C779" s="153">
        <f t="shared" si="45"/>
        <v>45296</v>
      </c>
      <c r="D779" s="62" t="str">
        <f ca="1" t="shared" si="43"/>
        <v>一年以上</v>
      </c>
      <c r="E779" s="115">
        <v>45296</v>
      </c>
      <c r="F779" s="115" t="s">
        <v>70</v>
      </c>
      <c r="G779" s="132" t="s">
        <v>1777</v>
      </c>
      <c r="H779" s="100" t="s">
        <v>863</v>
      </c>
      <c r="I779" s="63" t="str">
        <f t="shared" si="46"/>
        <v>青海发投碱业有限公司</v>
      </c>
      <c r="J779" s="157">
        <v>27999</v>
      </c>
      <c r="K779" s="136" t="s">
        <v>28</v>
      </c>
      <c r="L779" s="105" t="s">
        <v>73</v>
      </c>
      <c r="M779" s="89" t="s">
        <v>941</v>
      </c>
      <c r="N779" s="117"/>
      <c r="O779" s="140">
        <f t="shared" si="44"/>
        <v>27999</v>
      </c>
      <c r="P779" s="115"/>
      <c r="Q779" s="61">
        <f t="shared" si="47"/>
        <v>0</v>
      </c>
      <c r="R779" s="68"/>
      <c r="S779" s="72" t="s">
        <v>1786</v>
      </c>
      <c r="T779" s="105" t="s">
        <v>972</v>
      </c>
      <c r="U779" s="59" t="str">
        <f>VLOOKUP(T779,[1]区域划分!$A$1:$C$39,3,0)</f>
        <v>曾江利</v>
      </c>
      <c r="V779" s="72"/>
      <c r="W779" s="68"/>
      <c r="X779" s="68"/>
    </row>
    <row r="780" s="17" customFormat="1" ht="36" hidden="1" spans="1:24">
      <c r="A780" s="59">
        <v>777</v>
      </c>
      <c r="B780" s="60" t="s">
        <v>1796</v>
      </c>
      <c r="C780" s="153">
        <f t="shared" si="45"/>
        <v>45299</v>
      </c>
      <c r="D780" s="62" t="str">
        <f ca="1" t="shared" si="43"/>
        <v>一年以上</v>
      </c>
      <c r="E780" s="115">
        <v>45299</v>
      </c>
      <c r="F780" s="115" t="s">
        <v>70</v>
      </c>
      <c r="G780" s="132" t="s">
        <v>1777</v>
      </c>
      <c r="H780" s="100" t="s">
        <v>863</v>
      </c>
      <c r="I780" s="63" t="str">
        <f t="shared" si="46"/>
        <v>青海发投碱业有限公司</v>
      </c>
      <c r="J780" s="157">
        <v>28000</v>
      </c>
      <c r="K780" s="136" t="s">
        <v>28</v>
      </c>
      <c r="L780" s="105" t="s">
        <v>73</v>
      </c>
      <c r="M780" s="89" t="s">
        <v>65</v>
      </c>
      <c r="N780" s="117"/>
      <c r="O780" s="140">
        <f t="shared" si="44"/>
        <v>28000</v>
      </c>
      <c r="P780" s="115"/>
      <c r="Q780" s="61">
        <f t="shared" si="47"/>
        <v>0</v>
      </c>
      <c r="R780" s="68"/>
      <c r="S780" s="72" t="s">
        <v>1786</v>
      </c>
      <c r="T780" s="105" t="s">
        <v>972</v>
      </c>
      <c r="U780" s="59" t="str">
        <f>VLOOKUP(T780,[1]区域划分!$A$1:$C$39,3,0)</f>
        <v>曾江利</v>
      </c>
      <c r="V780" s="72"/>
      <c r="W780" s="68"/>
      <c r="X780" s="68"/>
    </row>
    <row r="781" s="17" customFormat="1" ht="36" hidden="1" spans="1:24">
      <c r="A781" s="59">
        <v>778</v>
      </c>
      <c r="B781" s="60" t="s">
        <v>1797</v>
      </c>
      <c r="C781" s="153"/>
      <c r="D781" s="62"/>
      <c r="E781" s="115"/>
      <c r="F781" s="115" t="s">
        <v>632</v>
      </c>
      <c r="G781" s="158" t="s">
        <v>450</v>
      </c>
      <c r="H781" s="100" t="s">
        <v>1169</v>
      </c>
      <c r="I781" s="159" t="str">
        <f t="shared" si="46"/>
        <v>东方希望重庆水泥有限公司</v>
      </c>
      <c r="J781" s="160">
        <f>10000-10000</f>
        <v>0</v>
      </c>
      <c r="K781" s="105" t="s">
        <v>28</v>
      </c>
      <c r="L781" s="105" t="s">
        <v>1798</v>
      </c>
      <c r="M781" s="109" t="s">
        <v>30</v>
      </c>
      <c r="N781" s="161"/>
      <c r="O781" s="162">
        <f t="shared" si="44"/>
        <v>0</v>
      </c>
      <c r="P781" s="115"/>
      <c r="Q781" s="61">
        <f t="shared" si="47"/>
        <v>0</v>
      </c>
      <c r="R781" s="68"/>
      <c r="S781" s="72" t="s">
        <v>1799</v>
      </c>
      <c r="T781" s="105"/>
      <c r="U781" s="59"/>
      <c r="V781" s="72"/>
      <c r="W781" s="68"/>
      <c r="X781" s="68"/>
    </row>
    <row r="782" s="17" customFormat="1" ht="36" hidden="1" spans="1:24">
      <c r="A782" s="59">
        <v>779</v>
      </c>
      <c r="B782" s="60" t="s">
        <v>1800</v>
      </c>
      <c r="C782" s="153">
        <f t="shared" ref="C782:C845" si="48">E782</f>
        <v>45302</v>
      </c>
      <c r="D782" s="62" t="str">
        <f ca="1" t="shared" ref="D782:D787" si="49">IF(TODAY()-E782&lt;60,"2个月内",IF(TODAY()-E782&lt;180,"3-6个月",IF(TODAY()-E782&lt;360,"6个月-1年","一年以上")))</f>
        <v>一年以上</v>
      </c>
      <c r="E782" s="115">
        <v>45302</v>
      </c>
      <c r="F782" s="115" t="s">
        <v>632</v>
      </c>
      <c r="G782" s="132" t="s">
        <v>450</v>
      </c>
      <c r="H782" s="100" t="s">
        <v>1801</v>
      </c>
      <c r="I782" s="63" t="str">
        <f t="shared" si="46"/>
        <v>日钢营口中板有限公司</v>
      </c>
      <c r="J782" s="157">
        <v>30000</v>
      </c>
      <c r="K782" s="136" t="s">
        <v>28</v>
      </c>
      <c r="L782" s="105" t="s">
        <v>73</v>
      </c>
      <c r="M782" s="89" t="s">
        <v>30</v>
      </c>
      <c r="N782" s="117"/>
      <c r="O782" s="137">
        <f t="shared" si="44"/>
        <v>30000</v>
      </c>
      <c r="P782" s="115"/>
      <c r="Q782" s="61">
        <f t="shared" si="47"/>
        <v>0</v>
      </c>
      <c r="R782" s="68"/>
      <c r="S782" s="72" t="s">
        <v>1802</v>
      </c>
      <c r="T782" s="105"/>
      <c r="U782" s="59"/>
      <c r="V782" s="72"/>
      <c r="W782" s="68"/>
      <c r="X782" s="68"/>
    </row>
    <row r="783" s="17" customFormat="1" ht="36" hidden="1" spans="1:24">
      <c r="A783" s="59">
        <v>780</v>
      </c>
      <c r="B783" s="60" t="s">
        <v>1803</v>
      </c>
      <c r="C783" s="153">
        <f t="shared" si="48"/>
        <v>45300</v>
      </c>
      <c r="D783" s="62" t="str">
        <f ca="1" t="shared" si="49"/>
        <v>一年以上</v>
      </c>
      <c r="E783" s="115">
        <v>45300</v>
      </c>
      <c r="F783" s="115" t="s">
        <v>70</v>
      </c>
      <c r="G783" s="132" t="s">
        <v>1777</v>
      </c>
      <c r="H783" s="100" t="s">
        <v>863</v>
      </c>
      <c r="I783" s="63" t="str">
        <f t="shared" si="46"/>
        <v>青海发投碱业有限公司</v>
      </c>
      <c r="J783" s="163">
        <v>47850</v>
      </c>
      <c r="K783" s="136" t="s">
        <v>1706</v>
      </c>
      <c r="L783" s="136" t="s">
        <v>73</v>
      </c>
      <c r="M783" s="89" t="s">
        <v>941</v>
      </c>
      <c r="N783" s="104">
        <v>47850</v>
      </c>
      <c r="O783" s="137">
        <f t="shared" si="44"/>
        <v>0</v>
      </c>
      <c r="P783" s="115">
        <v>45345</v>
      </c>
      <c r="Q783" s="61">
        <f t="shared" si="47"/>
        <v>45345</v>
      </c>
      <c r="R783" s="68" t="s">
        <v>1804</v>
      </c>
      <c r="S783" s="72" t="s">
        <v>1805</v>
      </c>
      <c r="T783" s="105" t="s">
        <v>972</v>
      </c>
      <c r="U783" s="59" t="str">
        <f>VLOOKUP(T783,[1]区域划分!$A$1:$C$39,3,0)</f>
        <v>曾江利</v>
      </c>
      <c r="V783" s="72"/>
      <c r="W783" s="68"/>
      <c r="X783" s="68"/>
    </row>
    <row r="784" s="17" customFormat="1" ht="36" hidden="1" spans="1:24">
      <c r="A784" s="59">
        <v>781</v>
      </c>
      <c r="B784" s="60" t="s">
        <v>1806</v>
      </c>
      <c r="C784" s="153">
        <f t="shared" si="48"/>
        <v>45300</v>
      </c>
      <c r="D784" s="62" t="str">
        <f ca="1" t="shared" si="49"/>
        <v>一年以上</v>
      </c>
      <c r="E784" s="115">
        <v>45300</v>
      </c>
      <c r="F784" s="115" t="s">
        <v>130</v>
      </c>
      <c r="G784" s="132" t="s">
        <v>1596</v>
      </c>
      <c r="H784" s="100" t="s">
        <v>863</v>
      </c>
      <c r="I784" s="63" t="str">
        <f t="shared" si="46"/>
        <v>青海发投碱业有限公司</v>
      </c>
      <c r="J784" s="157">
        <v>47850</v>
      </c>
      <c r="K784" s="136" t="s">
        <v>1706</v>
      </c>
      <c r="L784" s="105" t="s">
        <v>73</v>
      </c>
      <c r="M784" s="89" t="s">
        <v>133</v>
      </c>
      <c r="N784" s="117"/>
      <c r="O784" s="140">
        <f t="shared" si="44"/>
        <v>47850</v>
      </c>
      <c r="P784" s="115"/>
      <c r="Q784" s="61">
        <f t="shared" si="47"/>
        <v>0</v>
      </c>
      <c r="R784" s="68"/>
      <c r="S784" s="72" t="s">
        <v>1805</v>
      </c>
      <c r="T784" s="105" t="s">
        <v>972</v>
      </c>
      <c r="U784" s="59" t="str">
        <f>VLOOKUP(T784,[1]区域划分!$A$1:$C$39,3,0)</f>
        <v>曾江利</v>
      </c>
      <c r="V784" s="72"/>
      <c r="W784" s="68"/>
      <c r="X784" s="68"/>
    </row>
    <row r="785" s="17" customFormat="1" ht="36" hidden="1" spans="1:24">
      <c r="A785" s="59">
        <v>782</v>
      </c>
      <c r="B785" s="60" t="s">
        <v>1807</v>
      </c>
      <c r="C785" s="153">
        <f t="shared" si="48"/>
        <v>45306</v>
      </c>
      <c r="D785" s="62" t="str">
        <f ca="1" t="shared" si="49"/>
        <v>一年以上</v>
      </c>
      <c r="E785" s="115">
        <v>45306</v>
      </c>
      <c r="F785" s="115" t="s">
        <v>632</v>
      </c>
      <c r="G785" s="132" t="s">
        <v>450</v>
      </c>
      <c r="H785" s="100" t="s">
        <v>1343</v>
      </c>
      <c r="I785" s="63" t="str">
        <f t="shared" si="46"/>
        <v>内蒙古冀东水泥有限责任公司</v>
      </c>
      <c r="J785" s="157">
        <v>20000</v>
      </c>
      <c r="K785" s="136" t="s">
        <v>356</v>
      </c>
      <c r="L785" s="136" t="s">
        <v>73</v>
      </c>
      <c r="M785" s="89" t="s">
        <v>30</v>
      </c>
      <c r="N785" s="104">
        <v>20000</v>
      </c>
      <c r="O785" s="137">
        <f t="shared" si="44"/>
        <v>0</v>
      </c>
      <c r="P785" s="115">
        <v>45316</v>
      </c>
      <c r="Q785" s="61">
        <f t="shared" si="47"/>
        <v>45316</v>
      </c>
      <c r="R785" s="68"/>
      <c r="S785" s="72" t="s">
        <v>1808</v>
      </c>
      <c r="T785" s="105"/>
      <c r="U785" s="59"/>
      <c r="V785" s="72"/>
      <c r="W785" s="68"/>
      <c r="X785" s="68"/>
    </row>
    <row r="786" s="17" customFormat="1" ht="36" hidden="1" spans="1:24">
      <c r="A786" s="59">
        <v>783</v>
      </c>
      <c r="B786" s="60" t="s">
        <v>1809</v>
      </c>
      <c r="C786" s="153">
        <f t="shared" si="48"/>
        <v>45306</v>
      </c>
      <c r="D786" s="62" t="str">
        <f ca="1" t="shared" si="49"/>
        <v>一年以上</v>
      </c>
      <c r="E786" s="115">
        <v>45306</v>
      </c>
      <c r="F786" s="115" t="s">
        <v>632</v>
      </c>
      <c r="G786" s="132" t="s">
        <v>450</v>
      </c>
      <c r="H786" s="100" t="s">
        <v>863</v>
      </c>
      <c r="I786" s="63" t="str">
        <f t="shared" si="46"/>
        <v>青海发投碱业有限公司</v>
      </c>
      <c r="J786" s="157">
        <v>10000</v>
      </c>
      <c r="K786" s="136" t="s">
        <v>28</v>
      </c>
      <c r="L786" s="143" t="s">
        <v>73</v>
      </c>
      <c r="M786" s="89" t="s">
        <v>30</v>
      </c>
      <c r="N786" s="104">
        <v>10000</v>
      </c>
      <c r="O786" s="137">
        <f t="shared" si="44"/>
        <v>0</v>
      </c>
      <c r="P786" s="115">
        <v>45377</v>
      </c>
      <c r="Q786" s="61">
        <f t="shared" si="47"/>
        <v>45377</v>
      </c>
      <c r="R786" s="68"/>
      <c r="S786" s="72" t="s">
        <v>1810</v>
      </c>
      <c r="T786" s="105" t="s">
        <v>972</v>
      </c>
      <c r="U786" s="59" t="s">
        <v>1465</v>
      </c>
      <c r="V786" s="68"/>
      <c r="W786" s="68"/>
      <c r="X786" s="68"/>
    </row>
    <row r="787" s="17" customFormat="1" ht="36" hidden="1" spans="1:24">
      <c r="A787" s="59">
        <v>784</v>
      </c>
      <c r="B787" s="60" t="s">
        <v>1811</v>
      </c>
      <c r="C787" s="153">
        <f t="shared" si="48"/>
        <v>45306</v>
      </c>
      <c r="D787" s="62" t="str">
        <f ca="1" t="shared" si="49"/>
        <v>一年以上</v>
      </c>
      <c r="E787" s="115">
        <v>45306</v>
      </c>
      <c r="F787" s="115" t="s">
        <v>130</v>
      </c>
      <c r="G787" s="132" t="s">
        <v>1596</v>
      </c>
      <c r="H787" s="100" t="s">
        <v>863</v>
      </c>
      <c r="I787" s="63" t="str">
        <f t="shared" si="46"/>
        <v>青海发投碱业有限公司</v>
      </c>
      <c r="J787" s="157">
        <v>3050</v>
      </c>
      <c r="K787" s="136" t="s">
        <v>28</v>
      </c>
      <c r="L787" s="105" t="s">
        <v>73</v>
      </c>
      <c r="M787" s="89" t="s">
        <v>133</v>
      </c>
      <c r="N787" s="104"/>
      <c r="O787" s="140">
        <f t="shared" si="44"/>
        <v>3050</v>
      </c>
      <c r="P787" s="115"/>
      <c r="Q787" s="61">
        <f t="shared" si="47"/>
        <v>0</v>
      </c>
      <c r="R787" s="68"/>
      <c r="S787" s="72" t="s">
        <v>1812</v>
      </c>
      <c r="T787" s="105" t="s">
        <v>972</v>
      </c>
      <c r="U787" s="59" t="s">
        <v>1465</v>
      </c>
      <c r="V787" s="68"/>
      <c r="W787" s="68"/>
      <c r="X787" s="68"/>
    </row>
    <row r="788" s="17" customFormat="1" ht="36" hidden="1" spans="1:24">
      <c r="A788" s="59">
        <v>785</v>
      </c>
      <c r="B788" s="60" t="s">
        <v>1813</v>
      </c>
      <c r="C788" s="153">
        <f t="shared" si="48"/>
        <v>0</v>
      </c>
      <c r="D788" s="62"/>
      <c r="E788" s="115"/>
      <c r="F788" s="115" t="s">
        <v>632</v>
      </c>
      <c r="G788" s="158" t="s">
        <v>450</v>
      </c>
      <c r="H788" s="100" t="s">
        <v>1814</v>
      </c>
      <c r="I788" s="159" t="str">
        <f t="shared" si="46"/>
        <v>新疆宜化化工有限公司</v>
      </c>
      <c r="J788" s="160"/>
      <c r="K788" s="105" t="s">
        <v>28</v>
      </c>
      <c r="L788" s="105" t="s">
        <v>1798</v>
      </c>
      <c r="M788" s="109" t="s">
        <v>30</v>
      </c>
      <c r="N788" s="161"/>
      <c r="O788" s="162">
        <f t="shared" si="44"/>
        <v>0</v>
      </c>
      <c r="P788" s="115"/>
      <c r="Q788" s="61">
        <f t="shared" si="47"/>
        <v>0</v>
      </c>
      <c r="R788" s="68"/>
      <c r="S788" s="72" t="s">
        <v>1815</v>
      </c>
      <c r="T788" s="105"/>
      <c r="U788" s="59"/>
      <c r="V788" s="72"/>
      <c r="W788" s="68"/>
      <c r="X788" s="68"/>
    </row>
    <row r="789" s="17" customFormat="1" ht="36" hidden="1" spans="1:24">
      <c r="A789" s="59">
        <v>786</v>
      </c>
      <c r="B789" s="60" t="s">
        <v>1816</v>
      </c>
      <c r="C789" s="153">
        <f t="shared" si="48"/>
        <v>45307</v>
      </c>
      <c r="D789" s="62" t="str">
        <f ca="1" t="shared" ref="D789:D852" si="50">IF(TODAY()-E789&lt;60,"2个月内",IF(TODAY()-E789&lt;180,"3-6个月",IF(TODAY()-E789&lt;360,"6个月-1年","一年以上")))</f>
        <v>一年以上</v>
      </c>
      <c r="E789" s="115">
        <v>45307</v>
      </c>
      <c r="F789" s="115" t="s">
        <v>70</v>
      </c>
      <c r="G789" s="132" t="s">
        <v>1817</v>
      </c>
      <c r="H789" s="100" t="s">
        <v>863</v>
      </c>
      <c r="I789" s="63" t="str">
        <f t="shared" si="46"/>
        <v>青海发投碱业有限公司</v>
      </c>
      <c r="J789" s="157">
        <v>3050</v>
      </c>
      <c r="K789" s="136" t="s">
        <v>28</v>
      </c>
      <c r="L789" s="105" t="s">
        <v>73</v>
      </c>
      <c r="M789" s="89" t="s">
        <v>65</v>
      </c>
      <c r="N789" s="104"/>
      <c r="O789" s="140">
        <f t="shared" si="44"/>
        <v>3050</v>
      </c>
      <c r="P789" s="115"/>
      <c r="Q789" s="61">
        <f t="shared" si="47"/>
        <v>0</v>
      </c>
      <c r="R789" s="68"/>
      <c r="S789" s="72" t="s">
        <v>1818</v>
      </c>
      <c r="T789" s="105" t="s">
        <v>972</v>
      </c>
      <c r="U789" s="59" t="s">
        <v>1465</v>
      </c>
      <c r="V789" s="72"/>
      <c r="W789" s="68"/>
      <c r="X789" s="68"/>
    </row>
    <row r="790" s="17" customFormat="1" ht="36" hidden="1" spans="1:24">
      <c r="A790" s="59">
        <v>787</v>
      </c>
      <c r="B790" s="60" t="s">
        <v>1819</v>
      </c>
      <c r="C790" s="153">
        <f t="shared" si="48"/>
        <v>45307</v>
      </c>
      <c r="D790" s="62" t="str">
        <f ca="1" t="shared" si="50"/>
        <v>一年以上</v>
      </c>
      <c r="E790" s="115">
        <v>45307</v>
      </c>
      <c r="F790" s="115" t="s">
        <v>70</v>
      </c>
      <c r="G790" s="132" t="s">
        <v>1817</v>
      </c>
      <c r="H790" s="100" t="s">
        <v>863</v>
      </c>
      <c r="I790" s="63" t="str">
        <f t="shared" si="46"/>
        <v>青海发投碱业有限公司</v>
      </c>
      <c r="J790" s="157">
        <v>3050</v>
      </c>
      <c r="K790" s="136" t="s">
        <v>28</v>
      </c>
      <c r="L790" s="105" t="s">
        <v>73</v>
      </c>
      <c r="M790" s="89" t="s">
        <v>941</v>
      </c>
      <c r="N790" s="104"/>
      <c r="O790" s="140">
        <f t="shared" si="44"/>
        <v>3050</v>
      </c>
      <c r="P790" s="115"/>
      <c r="Q790" s="61">
        <f t="shared" si="47"/>
        <v>0</v>
      </c>
      <c r="R790" s="68"/>
      <c r="S790" s="72" t="s">
        <v>1818</v>
      </c>
      <c r="T790" s="105" t="s">
        <v>972</v>
      </c>
      <c r="U790" s="59" t="s">
        <v>1465</v>
      </c>
      <c r="V790" s="68"/>
      <c r="W790" s="68"/>
      <c r="X790" s="68"/>
    </row>
    <row r="791" s="17" customFormat="1" ht="36" hidden="1" spans="1:24">
      <c r="A791" s="59">
        <v>788</v>
      </c>
      <c r="B791" s="60" t="s">
        <v>1820</v>
      </c>
      <c r="C791" s="153">
        <f t="shared" si="48"/>
        <v>45307</v>
      </c>
      <c r="D791" s="62" t="str">
        <f ca="1" t="shared" si="50"/>
        <v>一年以上</v>
      </c>
      <c r="E791" s="115">
        <v>45307</v>
      </c>
      <c r="F791" s="115" t="s">
        <v>70</v>
      </c>
      <c r="G791" s="132" t="s">
        <v>1817</v>
      </c>
      <c r="H791" s="100" t="s">
        <v>863</v>
      </c>
      <c r="I791" s="63" t="str">
        <f t="shared" si="46"/>
        <v>青海发投碱业有限公司</v>
      </c>
      <c r="J791" s="157">
        <v>89000</v>
      </c>
      <c r="K791" s="136" t="s">
        <v>28</v>
      </c>
      <c r="L791" s="105" t="s">
        <v>73</v>
      </c>
      <c r="M791" s="89" t="s">
        <v>65</v>
      </c>
      <c r="N791" s="104"/>
      <c r="O791" s="140">
        <f t="shared" si="44"/>
        <v>89000</v>
      </c>
      <c r="P791" s="115"/>
      <c r="Q791" s="61">
        <f t="shared" si="47"/>
        <v>0</v>
      </c>
      <c r="R791" s="68"/>
      <c r="S791" s="72" t="s">
        <v>1821</v>
      </c>
      <c r="T791" s="105" t="s">
        <v>972</v>
      </c>
      <c r="U791" s="59" t="s">
        <v>1465</v>
      </c>
      <c r="V791" s="68"/>
      <c r="W791" s="68"/>
      <c r="X791" s="68"/>
    </row>
    <row r="792" s="17" customFormat="1" ht="36" hidden="1" spans="1:24">
      <c r="A792" s="59">
        <v>789</v>
      </c>
      <c r="B792" s="60" t="s">
        <v>1822</v>
      </c>
      <c r="C792" s="153">
        <f t="shared" si="48"/>
        <v>45308</v>
      </c>
      <c r="D792" s="62" t="str">
        <f ca="1" t="shared" si="50"/>
        <v>一年以上</v>
      </c>
      <c r="E792" s="115">
        <v>45308</v>
      </c>
      <c r="F792" s="115" t="s">
        <v>130</v>
      </c>
      <c r="G792" s="132" t="s">
        <v>1596</v>
      </c>
      <c r="H792" s="100" t="s">
        <v>1801</v>
      </c>
      <c r="I792" s="63" t="str">
        <f t="shared" si="46"/>
        <v>日钢营口中板有限公司</v>
      </c>
      <c r="J792" s="164">
        <v>32000</v>
      </c>
      <c r="K792" s="136" t="s">
        <v>28</v>
      </c>
      <c r="L792" s="105" t="s">
        <v>73</v>
      </c>
      <c r="M792" s="137" t="s">
        <v>133</v>
      </c>
      <c r="N792" s="104"/>
      <c r="O792" s="137">
        <f t="shared" si="44"/>
        <v>32000</v>
      </c>
      <c r="P792" s="115"/>
      <c r="Q792" s="61">
        <f t="shared" si="47"/>
        <v>0</v>
      </c>
      <c r="R792" s="68"/>
      <c r="S792" s="72" t="s">
        <v>1802</v>
      </c>
      <c r="T792" s="105"/>
      <c r="U792" s="68"/>
      <c r="V792" s="68"/>
      <c r="W792" s="68"/>
      <c r="X792" s="68"/>
    </row>
    <row r="793" s="17" customFormat="1" ht="36" hidden="1" spans="1:24">
      <c r="A793" s="59">
        <v>790</v>
      </c>
      <c r="B793" s="60" t="s">
        <v>1823</v>
      </c>
      <c r="C793" s="153">
        <f t="shared" si="48"/>
        <v>45309</v>
      </c>
      <c r="D793" s="62" t="str">
        <f ca="1" t="shared" si="50"/>
        <v>一年以上</v>
      </c>
      <c r="E793" s="115">
        <v>45309</v>
      </c>
      <c r="F793" s="115" t="s">
        <v>130</v>
      </c>
      <c r="G793" s="132" t="s">
        <v>1596</v>
      </c>
      <c r="H793" s="100" t="s">
        <v>863</v>
      </c>
      <c r="I793" s="63" t="str">
        <f t="shared" si="46"/>
        <v>青海发投碱业有限公司</v>
      </c>
      <c r="J793" s="157">
        <v>4450</v>
      </c>
      <c r="K793" s="136" t="s">
        <v>28</v>
      </c>
      <c r="L793" s="105" t="s">
        <v>73</v>
      </c>
      <c r="M793" s="89" t="s">
        <v>133</v>
      </c>
      <c r="N793" s="104"/>
      <c r="O793" s="140">
        <f t="shared" si="44"/>
        <v>4450</v>
      </c>
      <c r="P793" s="115"/>
      <c r="Q793" s="61">
        <f t="shared" si="47"/>
        <v>0</v>
      </c>
      <c r="R793" s="68"/>
      <c r="S793" s="72" t="s">
        <v>1824</v>
      </c>
      <c r="T793" s="105" t="s">
        <v>972</v>
      </c>
      <c r="U793" s="59" t="s">
        <v>1465</v>
      </c>
      <c r="V793" s="68"/>
      <c r="W793" s="68"/>
      <c r="X793" s="68"/>
    </row>
    <row r="794" s="17" customFormat="1" ht="36" hidden="1" spans="1:24">
      <c r="A794" s="59">
        <v>791</v>
      </c>
      <c r="B794" s="60" t="s">
        <v>1825</v>
      </c>
      <c r="C794" s="153">
        <f t="shared" si="48"/>
        <v>45310</v>
      </c>
      <c r="D794" s="62" t="str">
        <f ca="1" t="shared" si="50"/>
        <v>一年以上</v>
      </c>
      <c r="E794" s="115">
        <v>45310</v>
      </c>
      <c r="F794" s="115" t="s">
        <v>632</v>
      </c>
      <c r="G794" s="132" t="s">
        <v>993</v>
      </c>
      <c r="H794" s="100" t="s">
        <v>863</v>
      </c>
      <c r="I794" s="63" t="str">
        <f t="shared" si="46"/>
        <v>青海发投碱业有限公司</v>
      </c>
      <c r="J794" s="157">
        <v>10000</v>
      </c>
      <c r="K794" s="136" t="s">
        <v>28</v>
      </c>
      <c r="L794" s="143" t="s">
        <v>73</v>
      </c>
      <c r="M794" s="89" t="s">
        <v>30</v>
      </c>
      <c r="N794" s="104">
        <v>10000</v>
      </c>
      <c r="O794" s="137">
        <f t="shared" si="44"/>
        <v>0</v>
      </c>
      <c r="P794" s="115">
        <v>45380</v>
      </c>
      <c r="Q794" s="61">
        <f t="shared" si="47"/>
        <v>45380</v>
      </c>
      <c r="R794" s="68"/>
      <c r="S794" s="72" t="s">
        <v>1826</v>
      </c>
      <c r="T794" s="105" t="s">
        <v>972</v>
      </c>
      <c r="U794" s="59" t="s">
        <v>1465</v>
      </c>
      <c r="V794" s="68"/>
      <c r="W794" s="68"/>
      <c r="X794" s="68"/>
    </row>
    <row r="795" s="17" customFormat="1" ht="36" hidden="1" spans="1:24">
      <c r="A795" s="59">
        <v>792</v>
      </c>
      <c r="B795" s="60" t="s">
        <v>1827</v>
      </c>
      <c r="C795" s="153">
        <f t="shared" si="48"/>
        <v>45314</v>
      </c>
      <c r="D795" s="62" t="str">
        <f ca="1" t="shared" si="50"/>
        <v>一年以上</v>
      </c>
      <c r="E795" s="115">
        <v>45314</v>
      </c>
      <c r="F795" s="115" t="s">
        <v>632</v>
      </c>
      <c r="G795" s="132" t="s">
        <v>450</v>
      </c>
      <c r="H795" s="100" t="s">
        <v>863</v>
      </c>
      <c r="I795" s="63" t="str">
        <f t="shared" si="46"/>
        <v>青海发投碱业有限公司</v>
      </c>
      <c r="J795" s="163">
        <v>30000</v>
      </c>
      <c r="K795" s="136" t="s">
        <v>1706</v>
      </c>
      <c r="L795" s="105" t="s">
        <v>73</v>
      </c>
      <c r="M795" s="89" t="s">
        <v>30</v>
      </c>
      <c r="N795" s="104">
        <v>30000</v>
      </c>
      <c r="O795" s="137">
        <f t="shared" ref="O795:O858" si="51">J795-N795</f>
        <v>0</v>
      </c>
      <c r="P795" s="115">
        <v>45365</v>
      </c>
      <c r="Q795" s="61">
        <f t="shared" si="47"/>
        <v>45365</v>
      </c>
      <c r="R795" s="68"/>
      <c r="S795" s="72"/>
      <c r="T795" s="105" t="s">
        <v>972</v>
      </c>
      <c r="U795" s="59" t="s">
        <v>1465</v>
      </c>
      <c r="V795" s="68"/>
      <c r="W795" s="68"/>
      <c r="X795" s="68"/>
    </row>
    <row r="796" s="17" customFormat="1" ht="36" hidden="1" spans="1:24">
      <c r="A796" s="59">
        <v>793</v>
      </c>
      <c r="B796" s="60" t="s">
        <v>1828</v>
      </c>
      <c r="C796" s="153">
        <f t="shared" si="48"/>
        <v>45320</v>
      </c>
      <c r="D796" s="62" t="str">
        <f ca="1" t="shared" si="50"/>
        <v>一年以上</v>
      </c>
      <c r="E796" s="115">
        <v>45320</v>
      </c>
      <c r="F796" s="115" t="s">
        <v>130</v>
      </c>
      <c r="G796" s="132" t="s">
        <v>1596</v>
      </c>
      <c r="H796" s="100" t="s">
        <v>863</v>
      </c>
      <c r="I796" s="63" t="str">
        <f t="shared" si="46"/>
        <v>青海发投碱业有限公司</v>
      </c>
      <c r="J796" s="157">
        <v>15975</v>
      </c>
      <c r="K796" s="136" t="s">
        <v>28</v>
      </c>
      <c r="L796" s="105" t="s">
        <v>73</v>
      </c>
      <c r="M796" s="89" t="s">
        <v>133</v>
      </c>
      <c r="N796" s="104"/>
      <c r="O796" s="140">
        <f t="shared" si="51"/>
        <v>15975</v>
      </c>
      <c r="P796" s="115"/>
      <c r="Q796" s="61">
        <f t="shared" si="47"/>
        <v>0</v>
      </c>
      <c r="R796" s="68"/>
      <c r="S796" s="72" t="s">
        <v>1829</v>
      </c>
      <c r="T796" s="105" t="s">
        <v>972</v>
      </c>
      <c r="U796" s="59" t="s">
        <v>1465</v>
      </c>
      <c r="V796" s="68"/>
      <c r="W796" s="68"/>
      <c r="X796" s="68"/>
    </row>
    <row r="797" s="17" customFormat="1" ht="36" hidden="1" spans="1:24">
      <c r="A797" s="59">
        <v>794</v>
      </c>
      <c r="B797" s="60" t="s">
        <v>1830</v>
      </c>
      <c r="C797" s="153">
        <f t="shared" si="48"/>
        <v>45321</v>
      </c>
      <c r="D797" s="62" t="str">
        <f ca="1" t="shared" si="50"/>
        <v>一年以上</v>
      </c>
      <c r="E797" s="115">
        <v>45321</v>
      </c>
      <c r="F797" s="115" t="s">
        <v>70</v>
      </c>
      <c r="G797" s="132" t="s">
        <v>1817</v>
      </c>
      <c r="H797" s="100" t="s">
        <v>863</v>
      </c>
      <c r="I797" s="63" t="str">
        <f t="shared" si="46"/>
        <v>青海发投碱业有限公司</v>
      </c>
      <c r="J797" s="157">
        <v>17000</v>
      </c>
      <c r="K797" s="136" t="s">
        <v>28</v>
      </c>
      <c r="L797" s="105" t="s">
        <v>73</v>
      </c>
      <c r="M797" s="89" t="s">
        <v>941</v>
      </c>
      <c r="N797" s="104"/>
      <c r="O797" s="140">
        <f t="shared" si="51"/>
        <v>17000</v>
      </c>
      <c r="P797" s="115"/>
      <c r="Q797" s="61">
        <f t="shared" si="47"/>
        <v>0</v>
      </c>
      <c r="R797" s="68"/>
      <c r="S797" s="72" t="s">
        <v>1831</v>
      </c>
      <c r="T797" s="105" t="s">
        <v>972</v>
      </c>
      <c r="U797" s="59" t="s">
        <v>1465</v>
      </c>
      <c r="V797" s="68"/>
      <c r="W797" s="68"/>
      <c r="X797" s="68"/>
    </row>
    <row r="798" s="17" customFormat="1" ht="14" hidden="1" customHeight="1" spans="1:24">
      <c r="A798" s="59">
        <v>795</v>
      </c>
      <c r="B798" s="60" t="s">
        <v>1832</v>
      </c>
      <c r="C798" s="153">
        <f t="shared" si="48"/>
        <v>45320</v>
      </c>
      <c r="D798" s="62" t="str">
        <f ca="1" t="shared" si="50"/>
        <v>一年以上</v>
      </c>
      <c r="E798" s="115">
        <v>45320</v>
      </c>
      <c r="F798" s="115" t="s">
        <v>130</v>
      </c>
      <c r="G798" s="132" t="s">
        <v>1596</v>
      </c>
      <c r="H798" s="100" t="s">
        <v>863</v>
      </c>
      <c r="I798" s="63" t="str">
        <f t="shared" si="46"/>
        <v>青海发投碱业有限公司</v>
      </c>
      <c r="J798" s="157">
        <v>88500</v>
      </c>
      <c r="K798" s="136" t="s">
        <v>28</v>
      </c>
      <c r="L798" s="105" t="s">
        <v>73</v>
      </c>
      <c r="M798" s="89" t="s">
        <v>133</v>
      </c>
      <c r="N798" s="104"/>
      <c r="O798" s="140">
        <f t="shared" si="51"/>
        <v>88500</v>
      </c>
      <c r="P798" s="115"/>
      <c r="Q798" s="61">
        <f t="shared" si="47"/>
        <v>0</v>
      </c>
      <c r="R798" s="68"/>
      <c r="S798" s="72" t="s">
        <v>1833</v>
      </c>
      <c r="T798" s="105" t="s">
        <v>972</v>
      </c>
      <c r="U798" s="59" t="s">
        <v>1465</v>
      </c>
      <c r="V798" s="68"/>
      <c r="W798" s="68"/>
      <c r="X798" s="68"/>
    </row>
    <row r="799" s="17" customFormat="1" ht="14" hidden="1" customHeight="1" spans="1:24">
      <c r="A799" s="59">
        <v>796</v>
      </c>
      <c r="B799" s="60" t="s">
        <v>1834</v>
      </c>
      <c r="C799" s="153">
        <f t="shared" si="48"/>
        <v>45320</v>
      </c>
      <c r="D799" s="62" t="str">
        <f ca="1" t="shared" si="50"/>
        <v>一年以上</v>
      </c>
      <c r="E799" s="115">
        <v>45320</v>
      </c>
      <c r="F799" s="115" t="s">
        <v>130</v>
      </c>
      <c r="G799" s="132" t="s">
        <v>1596</v>
      </c>
      <c r="H799" s="100" t="s">
        <v>863</v>
      </c>
      <c r="I799" s="63" t="str">
        <f t="shared" si="46"/>
        <v>青海发投碱业有限公司</v>
      </c>
      <c r="J799" s="157">
        <v>17000</v>
      </c>
      <c r="K799" s="136" t="s">
        <v>28</v>
      </c>
      <c r="L799" s="105" t="s">
        <v>73</v>
      </c>
      <c r="M799" s="89" t="s">
        <v>133</v>
      </c>
      <c r="N799" s="104"/>
      <c r="O799" s="140">
        <f t="shared" si="51"/>
        <v>17000</v>
      </c>
      <c r="P799" s="115"/>
      <c r="Q799" s="61">
        <f t="shared" si="47"/>
        <v>0</v>
      </c>
      <c r="R799" s="68"/>
      <c r="S799" s="72" t="s">
        <v>1831</v>
      </c>
      <c r="T799" s="105" t="s">
        <v>972</v>
      </c>
      <c r="U799" s="59" t="s">
        <v>1465</v>
      </c>
      <c r="V799" s="68"/>
      <c r="W799" s="68"/>
      <c r="X799" s="68"/>
    </row>
    <row r="800" s="17" customFormat="1" ht="14" hidden="1" customHeight="1" spans="1:24">
      <c r="A800" s="59">
        <v>797</v>
      </c>
      <c r="B800" s="60" t="s">
        <v>1835</v>
      </c>
      <c r="C800" s="153">
        <f t="shared" si="48"/>
        <v>45321</v>
      </c>
      <c r="D800" s="62" t="str">
        <f ca="1" t="shared" si="50"/>
        <v>一年以上</v>
      </c>
      <c r="E800" s="115">
        <v>45321</v>
      </c>
      <c r="F800" s="115" t="s">
        <v>130</v>
      </c>
      <c r="G800" s="132" t="s">
        <v>1596</v>
      </c>
      <c r="H800" s="100" t="s">
        <v>863</v>
      </c>
      <c r="I800" s="63" t="str">
        <f t="shared" si="46"/>
        <v>青海发投碱业有限公司</v>
      </c>
      <c r="J800" s="157">
        <v>29000</v>
      </c>
      <c r="K800" s="136" t="s">
        <v>28</v>
      </c>
      <c r="L800" s="105" t="s">
        <v>73</v>
      </c>
      <c r="M800" s="89" t="s">
        <v>133</v>
      </c>
      <c r="N800" s="104"/>
      <c r="O800" s="140">
        <f t="shared" si="51"/>
        <v>29000</v>
      </c>
      <c r="P800" s="115"/>
      <c r="Q800" s="61">
        <f t="shared" si="47"/>
        <v>0</v>
      </c>
      <c r="R800" s="68"/>
      <c r="S800" s="72" t="s">
        <v>1836</v>
      </c>
      <c r="T800" s="105" t="s">
        <v>972</v>
      </c>
      <c r="U800" s="59" t="s">
        <v>1465</v>
      </c>
      <c r="V800" s="68"/>
      <c r="W800" s="68"/>
      <c r="X800" s="68"/>
    </row>
    <row r="801" s="17" customFormat="1" ht="36" hidden="1" spans="1:24">
      <c r="A801" s="59">
        <v>798</v>
      </c>
      <c r="B801" s="60" t="s">
        <v>1837</v>
      </c>
      <c r="C801" s="153">
        <f t="shared" si="48"/>
        <v>45321</v>
      </c>
      <c r="D801" s="62" t="str">
        <f ca="1" t="shared" si="50"/>
        <v>一年以上</v>
      </c>
      <c r="E801" s="115">
        <v>45321</v>
      </c>
      <c r="F801" s="115" t="s">
        <v>70</v>
      </c>
      <c r="G801" s="132" t="s">
        <v>1817</v>
      </c>
      <c r="H801" s="100" t="s">
        <v>863</v>
      </c>
      <c r="I801" s="63" t="str">
        <f t="shared" si="46"/>
        <v>青海发投碱业有限公司</v>
      </c>
      <c r="J801" s="157">
        <v>4450</v>
      </c>
      <c r="K801" s="136" t="s">
        <v>28</v>
      </c>
      <c r="L801" s="105" t="s">
        <v>73</v>
      </c>
      <c r="M801" s="89" t="s">
        <v>941</v>
      </c>
      <c r="N801" s="104"/>
      <c r="O801" s="140">
        <f t="shared" si="51"/>
        <v>4450</v>
      </c>
      <c r="P801" s="115"/>
      <c r="Q801" s="61">
        <f t="shared" si="47"/>
        <v>0</v>
      </c>
      <c r="R801" s="68"/>
      <c r="S801" s="72" t="s">
        <v>1838</v>
      </c>
      <c r="T801" s="105" t="s">
        <v>972</v>
      </c>
      <c r="U801" s="59" t="s">
        <v>1465</v>
      </c>
      <c r="V801" s="68"/>
      <c r="W801" s="68"/>
      <c r="X801" s="68"/>
    </row>
    <row r="802" s="17" customFormat="1" ht="15" hidden="1" customHeight="1" spans="1:24">
      <c r="A802" s="59">
        <v>799</v>
      </c>
      <c r="B802" s="165" t="s">
        <v>1839</v>
      </c>
      <c r="C802" s="153">
        <f t="shared" si="48"/>
        <v>45299</v>
      </c>
      <c r="D802" s="62" t="str">
        <f ca="1" t="shared" si="50"/>
        <v>一年以上</v>
      </c>
      <c r="E802" s="115">
        <v>45299</v>
      </c>
      <c r="F802" s="115" t="s">
        <v>632</v>
      </c>
      <c r="G802" s="132" t="s">
        <v>450</v>
      </c>
      <c r="H802" s="100" t="s">
        <v>863</v>
      </c>
      <c r="I802" s="63"/>
      <c r="J802" s="157">
        <v>500</v>
      </c>
      <c r="K802" s="105" t="s">
        <v>28</v>
      </c>
      <c r="L802" s="105" t="s">
        <v>73</v>
      </c>
      <c r="M802" s="89" t="s">
        <v>515</v>
      </c>
      <c r="N802" s="117"/>
      <c r="O802" s="137">
        <f t="shared" si="51"/>
        <v>500</v>
      </c>
      <c r="P802" s="115"/>
      <c r="Q802" s="61">
        <f t="shared" si="47"/>
        <v>0</v>
      </c>
      <c r="R802" s="68"/>
      <c r="S802" s="68" t="s">
        <v>1810</v>
      </c>
      <c r="T802" s="105" t="s">
        <v>972</v>
      </c>
      <c r="U802" s="59" t="s">
        <v>1465</v>
      </c>
      <c r="V802" s="68"/>
      <c r="W802" s="68"/>
      <c r="X802" s="68"/>
    </row>
    <row r="803" s="17" customFormat="1" ht="15" hidden="1" customHeight="1" spans="1:24">
      <c r="A803" s="59">
        <v>800</v>
      </c>
      <c r="B803" s="165" t="s">
        <v>1840</v>
      </c>
      <c r="C803" s="153">
        <f t="shared" si="48"/>
        <v>45309</v>
      </c>
      <c r="D803" s="62" t="str">
        <f ca="1" t="shared" si="50"/>
        <v>一年以上</v>
      </c>
      <c r="E803" s="115">
        <v>45309</v>
      </c>
      <c r="F803" s="115" t="s">
        <v>632</v>
      </c>
      <c r="G803" s="132" t="s">
        <v>450</v>
      </c>
      <c r="H803" s="100" t="s">
        <v>863</v>
      </c>
      <c r="I803" s="63"/>
      <c r="J803" s="157">
        <v>500</v>
      </c>
      <c r="K803" s="105" t="s">
        <v>28</v>
      </c>
      <c r="L803" s="105" t="s">
        <v>73</v>
      </c>
      <c r="M803" s="89" t="s">
        <v>515</v>
      </c>
      <c r="N803" s="117"/>
      <c r="O803" s="137">
        <f t="shared" si="51"/>
        <v>500</v>
      </c>
      <c r="P803" s="115"/>
      <c r="Q803" s="61">
        <f t="shared" si="47"/>
        <v>0</v>
      </c>
      <c r="R803" s="68"/>
      <c r="S803" s="68" t="s">
        <v>1826</v>
      </c>
      <c r="T803" s="105" t="s">
        <v>972</v>
      </c>
      <c r="U803" s="59" t="s">
        <v>1465</v>
      </c>
      <c r="V803" s="68"/>
      <c r="W803" s="68"/>
      <c r="X803" s="68"/>
    </row>
    <row r="804" s="17" customFormat="1" ht="15" hidden="1" customHeight="1" spans="1:24">
      <c r="A804" s="59">
        <v>801</v>
      </c>
      <c r="B804" s="165" t="s">
        <v>1841</v>
      </c>
      <c r="C804" s="153">
        <f t="shared" si="48"/>
        <v>45313</v>
      </c>
      <c r="D804" s="62" t="str">
        <f ca="1" t="shared" si="50"/>
        <v>一年以上</v>
      </c>
      <c r="E804" s="115">
        <v>45313</v>
      </c>
      <c r="F804" s="115" t="s">
        <v>632</v>
      </c>
      <c r="G804" s="132" t="s">
        <v>450</v>
      </c>
      <c r="H804" s="100" t="s">
        <v>863</v>
      </c>
      <c r="I804" s="63"/>
      <c r="J804" s="157">
        <v>500</v>
      </c>
      <c r="K804" s="105" t="s">
        <v>28</v>
      </c>
      <c r="L804" s="105" t="s">
        <v>73</v>
      </c>
      <c r="M804" s="89" t="s">
        <v>515</v>
      </c>
      <c r="N804" s="117"/>
      <c r="O804" s="137">
        <f t="shared" si="51"/>
        <v>500</v>
      </c>
      <c r="P804" s="115"/>
      <c r="Q804" s="61">
        <f t="shared" si="47"/>
        <v>0</v>
      </c>
      <c r="R804" s="68"/>
      <c r="S804" s="68" t="s">
        <v>1842</v>
      </c>
      <c r="T804" s="105" t="s">
        <v>972</v>
      </c>
      <c r="U804" s="59" t="s">
        <v>1465</v>
      </c>
      <c r="V804" s="68"/>
      <c r="W804" s="68"/>
      <c r="X804" s="68"/>
    </row>
    <row r="805" s="17" customFormat="1" ht="15" hidden="1" customHeight="1" spans="1:24">
      <c r="A805" s="59">
        <v>802</v>
      </c>
      <c r="B805" s="165" t="s">
        <v>1843</v>
      </c>
      <c r="C805" s="153">
        <f t="shared" si="48"/>
        <v>45322</v>
      </c>
      <c r="D805" s="62" t="str">
        <f ca="1" t="shared" si="50"/>
        <v>一年以上</v>
      </c>
      <c r="E805" s="115">
        <v>45322</v>
      </c>
      <c r="F805" s="115" t="s">
        <v>632</v>
      </c>
      <c r="G805" s="132" t="s">
        <v>450</v>
      </c>
      <c r="H805" s="100" t="s">
        <v>863</v>
      </c>
      <c r="I805" s="63"/>
      <c r="J805" s="157">
        <v>500</v>
      </c>
      <c r="K805" s="105" t="s">
        <v>28</v>
      </c>
      <c r="L805" s="105" t="s">
        <v>73</v>
      </c>
      <c r="M805" s="89" t="s">
        <v>515</v>
      </c>
      <c r="N805" s="117"/>
      <c r="O805" s="137">
        <f t="shared" si="51"/>
        <v>500</v>
      </c>
      <c r="P805" s="115"/>
      <c r="Q805" s="61">
        <f t="shared" si="47"/>
        <v>0</v>
      </c>
      <c r="R805" s="68"/>
      <c r="S805" s="68" t="s">
        <v>1844</v>
      </c>
      <c r="T805" s="105" t="s">
        <v>972</v>
      </c>
      <c r="U805" s="59" t="s">
        <v>1465</v>
      </c>
      <c r="V805" s="68"/>
      <c r="W805" s="68"/>
      <c r="X805" s="68"/>
    </row>
    <row r="806" s="17" customFormat="1" ht="15" hidden="1" customHeight="1" spans="1:24">
      <c r="A806" s="59">
        <v>803</v>
      </c>
      <c r="B806" s="165" t="s">
        <v>1845</v>
      </c>
      <c r="C806" s="153">
        <f t="shared" si="48"/>
        <v>45327</v>
      </c>
      <c r="D806" s="62" t="str">
        <f ca="1" t="shared" si="50"/>
        <v>一年以上</v>
      </c>
      <c r="E806" s="115">
        <v>45327</v>
      </c>
      <c r="F806" s="115" t="s">
        <v>632</v>
      </c>
      <c r="G806" s="132" t="s">
        <v>450</v>
      </c>
      <c r="H806" s="100" t="s">
        <v>863</v>
      </c>
      <c r="I806" s="63"/>
      <c r="J806" s="157">
        <v>500</v>
      </c>
      <c r="K806" s="105" t="s">
        <v>28</v>
      </c>
      <c r="L806" s="105" t="s">
        <v>73</v>
      </c>
      <c r="M806" s="89" t="s">
        <v>515</v>
      </c>
      <c r="N806" s="117"/>
      <c r="O806" s="137">
        <f t="shared" si="51"/>
        <v>500</v>
      </c>
      <c r="P806" s="115"/>
      <c r="Q806" s="61">
        <f t="shared" si="47"/>
        <v>0</v>
      </c>
      <c r="R806" s="68"/>
      <c r="S806" s="68" t="s">
        <v>1844</v>
      </c>
      <c r="T806" s="105" t="s">
        <v>972</v>
      </c>
      <c r="U806" s="59" t="s">
        <v>1465</v>
      </c>
      <c r="V806" s="68"/>
      <c r="W806" s="68"/>
      <c r="X806" s="68"/>
    </row>
    <row r="807" s="17" customFormat="1" ht="15" hidden="1" customHeight="1" spans="1:24">
      <c r="A807" s="59">
        <v>804</v>
      </c>
      <c r="B807" s="60" t="s">
        <v>2661</v>
      </c>
      <c r="C807" s="153">
        <f t="shared" si="48"/>
        <v>45340</v>
      </c>
      <c r="D807" s="62" t="str">
        <f ca="1" t="shared" si="50"/>
        <v>一年以上</v>
      </c>
      <c r="E807" s="115">
        <v>45340</v>
      </c>
      <c r="F807" s="115" t="s">
        <v>632</v>
      </c>
      <c r="G807" s="132" t="s">
        <v>450</v>
      </c>
      <c r="H807" s="100" t="s">
        <v>863</v>
      </c>
      <c r="I807" s="63" t="str">
        <f t="shared" ref="I807:I862" si="52">H807</f>
        <v>青海发投碱业有限公司</v>
      </c>
      <c r="J807" s="157">
        <v>20000</v>
      </c>
      <c r="K807" s="136" t="s">
        <v>28</v>
      </c>
      <c r="L807" s="105" t="s">
        <v>73</v>
      </c>
      <c r="M807" s="89" t="s">
        <v>30</v>
      </c>
      <c r="N807" s="117">
        <v>20000</v>
      </c>
      <c r="O807" s="137">
        <f t="shared" si="51"/>
        <v>0</v>
      </c>
      <c r="P807" s="144">
        <v>45405</v>
      </c>
      <c r="Q807" s="61">
        <f t="shared" si="47"/>
        <v>45405</v>
      </c>
      <c r="R807" s="68"/>
      <c r="S807" s="72" t="s">
        <v>1844</v>
      </c>
      <c r="T807" s="105" t="s">
        <v>972</v>
      </c>
      <c r="U807" s="59" t="s">
        <v>1465</v>
      </c>
      <c r="V807" s="68"/>
      <c r="W807" s="68"/>
      <c r="X807" s="68"/>
    </row>
    <row r="808" s="17" customFormat="1" ht="84" hidden="1" spans="1:24">
      <c r="A808" s="59">
        <v>805</v>
      </c>
      <c r="B808" s="60" t="s">
        <v>1847</v>
      </c>
      <c r="C808" s="153">
        <f t="shared" si="48"/>
        <v>45327</v>
      </c>
      <c r="D808" s="62" t="str">
        <f ca="1" t="shared" si="50"/>
        <v>一年以上</v>
      </c>
      <c r="E808" s="115">
        <v>45327</v>
      </c>
      <c r="F808" s="115" t="s">
        <v>632</v>
      </c>
      <c r="G808" s="132" t="s">
        <v>450</v>
      </c>
      <c r="H808" s="100" t="s">
        <v>863</v>
      </c>
      <c r="I808" s="63" t="str">
        <f t="shared" si="52"/>
        <v>青海发投碱业有限公司</v>
      </c>
      <c r="J808" s="157">
        <v>20000</v>
      </c>
      <c r="K808" s="136" t="s">
        <v>28</v>
      </c>
      <c r="L808" s="105" t="s">
        <v>73</v>
      </c>
      <c r="M808" s="89" t="s">
        <v>30</v>
      </c>
      <c r="N808" s="104"/>
      <c r="O808" s="166">
        <f t="shared" si="51"/>
        <v>20000</v>
      </c>
      <c r="P808" s="115"/>
      <c r="Q808" s="61">
        <f t="shared" si="47"/>
        <v>0</v>
      </c>
      <c r="R808" s="72" t="s">
        <v>2662</v>
      </c>
      <c r="S808" s="72" t="s">
        <v>1844</v>
      </c>
      <c r="T808" s="105" t="s">
        <v>972</v>
      </c>
      <c r="U808" s="59" t="s">
        <v>1465</v>
      </c>
      <c r="V808" s="68"/>
      <c r="W808" s="68"/>
      <c r="X808" s="68"/>
    </row>
    <row r="809" s="17" customFormat="1" ht="36" hidden="1" spans="1:24">
      <c r="A809" s="59">
        <v>806</v>
      </c>
      <c r="B809" s="60" t="s">
        <v>1851</v>
      </c>
      <c r="C809" s="153">
        <f t="shared" si="48"/>
        <v>45340</v>
      </c>
      <c r="D809" s="62" t="str">
        <f ca="1" t="shared" si="50"/>
        <v>一年以上</v>
      </c>
      <c r="E809" s="115">
        <v>45340</v>
      </c>
      <c r="F809" s="115" t="s">
        <v>70</v>
      </c>
      <c r="G809" s="132" t="s">
        <v>1817</v>
      </c>
      <c r="H809" s="100" t="s">
        <v>1852</v>
      </c>
      <c r="I809" s="63" t="str">
        <f t="shared" si="52"/>
        <v>蕉岭县龙腾旋窑水泥有限公司</v>
      </c>
      <c r="J809" s="157">
        <v>1000</v>
      </c>
      <c r="K809" s="143" t="s">
        <v>28</v>
      </c>
      <c r="L809" s="143" t="s">
        <v>73</v>
      </c>
      <c r="M809" s="89" t="s">
        <v>65</v>
      </c>
      <c r="N809" s="104">
        <v>1000</v>
      </c>
      <c r="O809" s="137">
        <f t="shared" si="51"/>
        <v>0</v>
      </c>
      <c r="P809" s="115">
        <v>45343</v>
      </c>
      <c r="Q809" s="61">
        <f t="shared" si="47"/>
        <v>45343</v>
      </c>
      <c r="R809" s="72" t="s">
        <v>1853</v>
      </c>
      <c r="S809" s="72" t="s">
        <v>1854</v>
      </c>
      <c r="T809" s="105"/>
      <c r="U809" s="68"/>
      <c r="V809" s="68"/>
      <c r="W809" s="68"/>
      <c r="X809" s="68"/>
    </row>
    <row r="810" s="17" customFormat="1" ht="36" hidden="1" spans="1:24">
      <c r="A810" s="59">
        <v>807</v>
      </c>
      <c r="B810" s="60" t="s">
        <v>1855</v>
      </c>
      <c r="C810" s="153">
        <f t="shared" si="48"/>
        <v>45341</v>
      </c>
      <c r="D810" s="62" t="str">
        <f ca="1" t="shared" si="50"/>
        <v>一年以上</v>
      </c>
      <c r="E810" s="115">
        <v>45341</v>
      </c>
      <c r="F810" s="115" t="s">
        <v>70</v>
      </c>
      <c r="G810" s="132" t="s">
        <v>1817</v>
      </c>
      <c r="H810" s="100" t="s">
        <v>863</v>
      </c>
      <c r="I810" s="63" t="str">
        <f t="shared" si="52"/>
        <v>青海发投碱业有限公司</v>
      </c>
      <c r="J810" s="167">
        <v>13500</v>
      </c>
      <c r="K810" s="136" t="s">
        <v>28</v>
      </c>
      <c r="L810" s="105" t="s">
        <v>73</v>
      </c>
      <c r="M810" s="89" t="s">
        <v>941</v>
      </c>
      <c r="N810" s="104"/>
      <c r="O810" s="140">
        <f t="shared" si="51"/>
        <v>13500</v>
      </c>
      <c r="P810" s="115"/>
      <c r="Q810" s="61">
        <f t="shared" si="47"/>
        <v>0</v>
      </c>
      <c r="R810" s="72"/>
      <c r="S810" s="72" t="s">
        <v>1471</v>
      </c>
      <c r="T810" s="105" t="s">
        <v>972</v>
      </c>
      <c r="U810" s="59" t="s">
        <v>1465</v>
      </c>
      <c r="V810" s="68"/>
      <c r="W810" s="68"/>
      <c r="X810" s="68"/>
    </row>
    <row r="811" s="17" customFormat="1" ht="36" hidden="1" spans="1:24">
      <c r="A811" s="59">
        <v>808</v>
      </c>
      <c r="B811" s="60" t="s">
        <v>1856</v>
      </c>
      <c r="C811" s="153">
        <f t="shared" si="48"/>
        <v>45355</v>
      </c>
      <c r="D811" s="62" t="str">
        <f ca="1" t="shared" si="50"/>
        <v>一年以上</v>
      </c>
      <c r="E811" s="115">
        <v>45355</v>
      </c>
      <c r="F811" s="115" t="s">
        <v>70</v>
      </c>
      <c r="G811" s="132" t="s">
        <v>1817</v>
      </c>
      <c r="H811" s="100" t="s">
        <v>863</v>
      </c>
      <c r="I811" s="63" t="str">
        <f t="shared" si="52"/>
        <v>青海发投碱业有限公司</v>
      </c>
      <c r="J811" s="157">
        <v>8000</v>
      </c>
      <c r="K811" s="136" t="s">
        <v>28</v>
      </c>
      <c r="L811" s="105" t="s">
        <v>73</v>
      </c>
      <c r="M811" s="89" t="s">
        <v>941</v>
      </c>
      <c r="N811" s="104"/>
      <c r="O811" s="140">
        <f t="shared" si="51"/>
        <v>8000</v>
      </c>
      <c r="P811" s="115"/>
      <c r="Q811" s="61">
        <f t="shared" si="47"/>
        <v>0</v>
      </c>
      <c r="R811" s="72"/>
      <c r="S811" s="72" t="s">
        <v>1517</v>
      </c>
      <c r="T811" s="105" t="s">
        <v>972</v>
      </c>
      <c r="U811" s="59" t="s">
        <v>1465</v>
      </c>
      <c r="V811" s="68"/>
      <c r="W811" s="68"/>
      <c r="X811" s="68"/>
    </row>
    <row r="812" s="17" customFormat="1" ht="36" hidden="1" spans="1:24">
      <c r="A812" s="59">
        <v>809</v>
      </c>
      <c r="B812" s="60" t="s">
        <v>1857</v>
      </c>
      <c r="C812" s="153">
        <f t="shared" si="48"/>
        <v>45355</v>
      </c>
      <c r="D812" s="62" t="str">
        <f ca="1" t="shared" si="50"/>
        <v>一年以上</v>
      </c>
      <c r="E812" s="115">
        <v>45355</v>
      </c>
      <c r="F812" s="115" t="s">
        <v>70</v>
      </c>
      <c r="G812" s="132" t="s">
        <v>1817</v>
      </c>
      <c r="H812" s="100" t="s">
        <v>863</v>
      </c>
      <c r="I812" s="63" t="str">
        <f t="shared" si="52"/>
        <v>青海发投碱业有限公司</v>
      </c>
      <c r="J812" s="157">
        <v>9250</v>
      </c>
      <c r="K812" s="136" t="s">
        <v>28</v>
      </c>
      <c r="L812" s="105" t="s">
        <v>73</v>
      </c>
      <c r="M812" s="89" t="s">
        <v>941</v>
      </c>
      <c r="N812" s="104"/>
      <c r="O812" s="140">
        <f t="shared" si="51"/>
        <v>9250</v>
      </c>
      <c r="P812" s="115"/>
      <c r="Q812" s="61">
        <f t="shared" si="47"/>
        <v>0</v>
      </c>
      <c r="R812" s="72"/>
      <c r="S812" s="168" t="s">
        <v>1858</v>
      </c>
      <c r="T812" s="105" t="s">
        <v>972</v>
      </c>
      <c r="U812" s="59" t="s">
        <v>1465</v>
      </c>
      <c r="V812" s="68"/>
      <c r="W812" s="68"/>
      <c r="X812" s="68"/>
    </row>
    <row r="813" s="25" customFormat="1" ht="36" hidden="1" spans="1:24">
      <c r="A813" s="67">
        <v>810</v>
      </c>
      <c r="B813" s="169" t="s">
        <v>1859</v>
      </c>
      <c r="C813" s="170">
        <f t="shared" si="48"/>
        <v>45342</v>
      </c>
      <c r="D813" s="171" t="str">
        <f ca="1" t="shared" si="50"/>
        <v>一年以上</v>
      </c>
      <c r="E813" s="172">
        <v>45342</v>
      </c>
      <c r="F813" s="172" t="s">
        <v>130</v>
      </c>
      <c r="G813" s="173" t="s">
        <v>1596</v>
      </c>
      <c r="H813" s="100" t="s">
        <v>863</v>
      </c>
      <c r="I813" s="159" t="str">
        <f t="shared" si="52"/>
        <v>青海发投碱业有限公司</v>
      </c>
      <c r="J813" s="167">
        <v>13500</v>
      </c>
      <c r="K813" s="174" t="s">
        <v>28</v>
      </c>
      <c r="L813" s="174" t="s">
        <v>73</v>
      </c>
      <c r="M813" s="175" t="s">
        <v>133</v>
      </c>
      <c r="N813" s="104"/>
      <c r="O813" s="140">
        <f t="shared" si="51"/>
        <v>13500</v>
      </c>
      <c r="P813" s="115"/>
      <c r="Q813" s="61">
        <f t="shared" si="47"/>
        <v>0</v>
      </c>
      <c r="R813" s="72"/>
      <c r="S813" s="176" t="s">
        <v>1471</v>
      </c>
      <c r="T813" s="174" t="s">
        <v>972</v>
      </c>
      <c r="U813" s="67" t="s">
        <v>1465</v>
      </c>
      <c r="V813" s="177"/>
      <c r="W813" s="177"/>
      <c r="X813" s="177"/>
    </row>
    <row r="814" s="17" customFormat="1" ht="36" hidden="1" spans="1:24">
      <c r="A814" s="59">
        <v>811</v>
      </c>
      <c r="B814" s="60" t="s">
        <v>1860</v>
      </c>
      <c r="C814" s="153">
        <f t="shared" si="48"/>
        <v>45343</v>
      </c>
      <c r="D814" s="62" t="str">
        <f ca="1" t="shared" si="50"/>
        <v>一年以上</v>
      </c>
      <c r="E814" s="115">
        <v>45343</v>
      </c>
      <c r="F814" s="115" t="s">
        <v>70</v>
      </c>
      <c r="G814" s="132" t="s">
        <v>1817</v>
      </c>
      <c r="H814" s="100" t="s">
        <v>863</v>
      </c>
      <c r="I814" s="63" t="str">
        <f t="shared" si="52"/>
        <v>青海发投碱业有限公司</v>
      </c>
      <c r="J814" s="178">
        <v>20500</v>
      </c>
      <c r="K814" s="136" t="s">
        <v>28</v>
      </c>
      <c r="L814" s="105" t="s">
        <v>73</v>
      </c>
      <c r="M814" s="89" t="s">
        <v>941</v>
      </c>
      <c r="N814" s="104"/>
      <c r="O814" s="140">
        <f t="shared" si="51"/>
        <v>20500</v>
      </c>
      <c r="P814" s="115"/>
      <c r="Q814" s="61">
        <f t="shared" si="47"/>
        <v>0</v>
      </c>
      <c r="R814" s="72"/>
      <c r="S814" s="176" t="s">
        <v>1861</v>
      </c>
      <c r="T814" s="105" t="s">
        <v>972</v>
      </c>
      <c r="U814" s="59" t="s">
        <v>1465</v>
      </c>
      <c r="V814" s="68"/>
      <c r="W814" s="68"/>
      <c r="X814" s="68"/>
    </row>
    <row r="815" s="17" customFormat="1" ht="14" hidden="1" customHeight="1" spans="1:24">
      <c r="A815" s="59">
        <v>812</v>
      </c>
      <c r="B815" s="60" t="s">
        <v>1862</v>
      </c>
      <c r="C815" s="153">
        <f t="shared" si="48"/>
        <v>45342</v>
      </c>
      <c r="D815" s="62" t="str">
        <f ca="1" t="shared" si="50"/>
        <v>一年以上</v>
      </c>
      <c r="E815" s="115">
        <v>45342</v>
      </c>
      <c r="F815" s="115" t="s">
        <v>130</v>
      </c>
      <c r="G815" s="132" t="s">
        <v>1596</v>
      </c>
      <c r="H815" s="100" t="s">
        <v>863</v>
      </c>
      <c r="I815" s="63" t="str">
        <f t="shared" si="52"/>
        <v>青海发投碱业有限公司</v>
      </c>
      <c r="J815" s="178">
        <v>20500</v>
      </c>
      <c r="K815" s="136" t="s">
        <v>28</v>
      </c>
      <c r="L815" s="105" t="s">
        <v>73</v>
      </c>
      <c r="M815" s="89" t="s">
        <v>133</v>
      </c>
      <c r="N815" s="104"/>
      <c r="O815" s="140">
        <f t="shared" si="51"/>
        <v>20500</v>
      </c>
      <c r="P815" s="115"/>
      <c r="Q815" s="61">
        <f t="shared" si="47"/>
        <v>0</v>
      </c>
      <c r="R815" s="72"/>
      <c r="S815" s="72" t="s">
        <v>1861</v>
      </c>
      <c r="T815" s="105" t="s">
        <v>972</v>
      </c>
      <c r="U815" s="59" t="s">
        <v>1465</v>
      </c>
      <c r="V815" s="68"/>
      <c r="W815" s="68"/>
      <c r="X815" s="68"/>
    </row>
    <row r="816" s="17" customFormat="1" ht="36" hidden="1" spans="1:24">
      <c r="A816" s="59">
        <v>813</v>
      </c>
      <c r="B816" s="60" t="s">
        <v>1863</v>
      </c>
      <c r="C816" s="153">
        <f t="shared" si="48"/>
        <v>45345</v>
      </c>
      <c r="D816" s="62" t="str">
        <f ca="1" t="shared" si="50"/>
        <v>一年以上</v>
      </c>
      <c r="E816" s="115">
        <v>45345</v>
      </c>
      <c r="F816" s="115" t="s">
        <v>70</v>
      </c>
      <c r="G816" s="132" t="s">
        <v>1817</v>
      </c>
      <c r="H816" s="100" t="s">
        <v>1864</v>
      </c>
      <c r="I816" s="63" t="str">
        <f t="shared" si="52"/>
        <v>青海发投碱业有限公司
武汉开明高新科技有限公司</v>
      </c>
      <c r="J816" s="157">
        <v>88500</v>
      </c>
      <c r="K816" s="136" t="s">
        <v>28</v>
      </c>
      <c r="L816" s="105" t="s">
        <v>73</v>
      </c>
      <c r="M816" s="89" t="s">
        <v>941</v>
      </c>
      <c r="N816" s="104"/>
      <c r="O816" s="140">
        <f t="shared" si="51"/>
        <v>88500</v>
      </c>
      <c r="P816" s="115"/>
      <c r="Q816" s="61">
        <f t="shared" si="47"/>
        <v>0</v>
      </c>
      <c r="R816" s="72"/>
      <c r="S816" s="72" t="s">
        <v>1833</v>
      </c>
      <c r="T816" s="105" t="s">
        <v>972</v>
      </c>
      <c r="U816" s="59" t="s">
        <v>1465</v>
      </c>
      <c r="V816" s="68"/>
      <c r="W816" s="68"/>
      <c r="X816" s="68"/>
    </row>
    <row r="817" s="17" customFormat="1" ht="36" hidden="1" spans="1:24">
      <c r="A817" s="59">
        <v>814</v>
      </c>
      <c r="B817" s="60" t="s">
        <v>1866</v>
      </c>
      <c r="C817" s="153">
        <f t="shared" si="48"/>
        <v>45345</v>
      </c>
      <c r="D817" s="62" t="str">
        <f ca="1" t="shared" si="50"/>
        <v>一年以上</v>
      </c>
      <c r="E817" s="115">
        <v>45345</v>
      </c>
      <c r="F817" s="115" t="s">
        <v>70</v>
      </c>
      <c r="G817" s="132" t="s">
        <v>1817</v>
      </c>
      <c r="H817" s="100" t="s">
        <v>663</v>
      </c>
      <c r="I817" s="63" t="str">
        <f t="shared" si="52"/>
        <v>新疆伊犁钢铁有限责任公司</v>
      </c>
      <c r="J817" s="157">
        <v>27200</v>
      </c>
      <c r="K817" s="136" t="s">
        <v>28</v>
      </c>
      <c r="L817" s="105" t="s">
        <v>73</v>
      </c>
      <c r="M817" s="89" t="s">
        <v>941</v>
      </c>
      <c r="N817" s="104"/>
      <c r="O817" s="137">
        <f t="shared" si="51"/>
        <v>27200</v>
      </c>
      <c r="P817" s="115"/>
      <c r="Q817" s="61">
        <f t="shared" si="47"/>
        <v>0</v>
      </c>
      <c r="R817" s="72"/>
      <c r="S817" s="72" t="s">
        <v>1867</v>
      </c>
      <c r="T817" s="105"/>
      <c r="U817" s="68"/>
      <c r="V817" s="68"/>
      <c r="W817" s="68"/>
      <c r="X817" s="68"/>
    </row>
    <row r="818" s="17" customFormat="1" ht="36" hidden="1" spans="1:24">
      <c r="A818" s="59">
        <v>815</v>
      </c>
      <c r="B818" s="60" t="s">
        <v>1868</v>
      </c>
      <c r="C818" s="153">
        <f t="shared" si="48"/>
        <v>45355</v>
      </c>
      <c r="D818" s="62" t="str">
        <f ca="1" t="shared" si="50"/>
        <v>一年以上</v>
      </c>
      <c r="E818" s="115">
        <v>45355</v>
      </c>
      <c r="F818" s="115" t="s">
        <v>632</v>
      </c>
      <c r="G818" s="132" t="s">
        <v>450</v>
      </c>
      <c r="H818" s="100" t="s">
        <v>1318</v>
      </c>
      <c r="I818" s="63" t="str">
        <f t="shared" si="52"/>
        <v>福建安砂建福水泥有限公司</v>
      </c>
      <c r="J818" s="157">
        <v>5000</v>
      </c>
      <c r="K818" s="136" t="s">
        <v>28</v>
      </c>
      <c r="L818" s="136" t="s">
        <v>73</v>
      </c>
      <c r="M818" s="89" t="s">
        <v>30</v>
      </c>
      <c r="N818" s="104">
        <v>5000</v>
      </c>
      <c r="O818" s="137">
        <f t="shared" si="51"/>
        <v>0</v>
      </c>
      <c r="P818" s="115">
        <v>45379</v>
      </c>
      <c r="Q818" s="61">
        <f t="shared" si="47"/>
        <v>45379</v>
      </c>
      <c r="R818" s="72"/>
      <c r="S818" s="168" t="s">
        <v>1869</v>
      </c>
      <c r="T818" s="105"/>
      <c r="U818" s="68"/>
      <c r="V818" s="68"/>
      <c r="W818" s="68"/>
      <c r="X818" s="68"/>
    </row>
    <row r="819" s="17" customFormat="1" ht="15" hidden="1" customHeight="1" spans="1:24">
      <c r="A819" s="59">
        <v>816</v>
      </c>
      <c r="B819" s="60" t="s">
        <v>1870</v>
      </c>
      <c r="C819" s="153">
        <f t="shared" si="48"/>
        <v>45350</v>
      </c>
      <c r="D819" s="62" t="str">
        <f ca="1" t="shared" si="50"/>
        <v>一年以上</v>
      </c>
      <c r="E819" s="115">
        <v>45350</v>
      </c>
      <c r="F819" s="115" t="s">
        <v>130</v>
      </c>
      <c r="G819" s="132" t="s">
        <v>1596</v>
      </c>
      <c r="H819" s="100" t="s">
        <v>863</v>
      </c>
      <c r="I819" s="63" t="str">
        <f t="shared" si="52"/>
        <v>青海发投碱业有限公司</v>
      </c>
      <c r="J819" s="157">
        <v>9250</v>
      </c>
      <c r="K819" s="136" t="s">
        <v>28</v>
      </c>
      <c r="L819" s="105" t="s">
        <v>73</v>
      </c>
      <c r="M819" s="89" t="s">
        <v>133</v>
      </c>
      <c r="N819" s="117"/>
      <c r="O819" s="140">
        <f t="shared" si="51"/>
        <v>9250</v>
      </c>
      <c r="P819" s="115"/>
      <c r="Q819" s="61">
        <f t="shared" si="47"/>
        <v>0</v>
      </c>
      <c r="R819" s="72"/>
      <c r="S819" s="72" t="s">
        <v>1871</v>
      </c>
      <c r="T819" s="105" t="s">
        <v>972</v>
      </c>
      <c r="U819" s="59" t="s">
        <v>1465</v>
      </c>
      <c r="V819" s="68"/>
      <c r="W819" s="68"/>
      <c r="X819" s="68"/>
    </row>
    <row r="820" s="17" customFormat="1" ht="15" hidden="1" customHeight="1" spans="1:24">
      <c r="A820" s="59">
        <v>817</v>
      </c>
      <c r="B820" s="60" t="s">
        <v>1872</v>
      </c>
      <c r="C820" s="153">
        <f t="shared" si="48"/>
        <v>45350</v>
      </c>
      <c r="D820" s="62" t="str">
        <f ca="1" t="shared" si="50"/>
        <v>一年以上</v>
      </c>
      <c r="E820" s="115">
        <v>45350</v>
      </c>
      <c r="F820" s="115" t="s">
        <v>130</v>
      </c>
      <c r="G820" s="132" t="s">
        <v>1596</v>
      </c>
      <c r="H820" s="100" t="s">
        <v>863</v>
      </c>
      <c r="I820" s="63" t="str">
        <f t="shared" si="52"/>
        <v>青海发投碱业有限公司</v>
      </c>
      <c r="J820" s="157">
        <v>8000</v>
      </c>
      <c r="K820" s="136" t="s">
        <v>28</v>
      </c>
      <c r="L820" s="105" t="s">
        <v>73</v>
      </c>
      <c r="M820" s="89" t="s">
        <v>133</v>
      </c>
      <c r="N820" s="117"/>
      <c r="O820" s="140">
        <f t="shared" si="51"/>
        <v>8000</v>
      </c>
      <c r="P820" s="115"/>
      <c r="Q820" s="61">
        <f t="shared" si="47"/>
        <v>0</v>
      </c>
      <c r="R820" s="72"/>
      <c r="S820" s="72" t="s">
        <v>1873</v>
      </c>
      <c r="T820" s="105" t="s">
        <v>972</v>
      </c>
      <c r="U820" s="59" t="s">
        <v>1465</v>
      </c>
      <c r="V820" s="68"/>
      <c r="W820" s="68"/>
      <c r="X820" s="68"/>
    </row>
    <row r="821" s="17" customFormat="1" ht="15" hidden="1" customHeight="1" spans="1:24">
      <c r="A821" s="59">
        <v>818</v>
      </c>
      <c r="B821" s="60" t="s">
        <v>1874</v>
      </c>
      <c r="C821" s="153">
        <f t="shared" si="48"/>
        <v>45351</v>
      </c>
      <c r="D821" s="62" t="str">
        <f ca="1" t="shared" si="50"/>
        <v>一年以上</v>
      </c>
      <c r="E821" s="115">
        <v>45351</v>
      </c>
      <c r="F821" s="115" t="s">
        <v>1875</v>
      </c>
      <c r="G821" s="132" t="s">
        <v>1876</v>
      </c>
      <c r="H821" s="100" t="s">
        <v>863</v>
      </c>
      <c r="I821" s="63" t="str">
        <f t="shared" si="52"/>
        <v>青海发投碱业有限公司</v>
      </c>
      <c r="J821" s="157">
        <v>17000</v>
      </c>
      <c r="K821" s="136" t="s">
        <v>28</v>
      </c>
      <c r="L821" s="105" t="s">
        <v>73</v>
      </c>
      <c r="M821" s="89" t="s">
        <v>65</v>
      </c>
      <c r="N821" s="117"/>
      <c r="O821" s="140">
        <f t="shared" si="51"/>
        <v>17000</v>
      </c>
      <c r="P821" s="115"/>
      <c r="Q821" s="61">
        <f t="shared" si="47"/>
        <v>0</v>
      </c>
      <c r="R821" s="72"/>
      <c r="S821" s="72" t="s">
        <v>1831</v>
      </c>
      <c r="T821" s="105" t="s">
        <v>972</v>
      </c>
      <c r="U821" s="59" t="s">
        <v>1465</v>
      </c>
      <c r="V821" s="68"/>
      <c r="W821" s="68"/>
      <c r="X821" s="68"/>
    </row>
    <row r="822" s="17" customFormat="1" ht="15" hidden="1" customHeight="1" spans="1:24">
      <c r="A822" s="59">
        <v>819</v>
      </c>
      <c r="B822" s="60" t="s">
        <v>1877</v>
      </c>
      <c r="C822" s="153">
        <f t="shared" si="48"/>
        <v>45351</v>
      </c>
      <c r="D822" s="62" t="str">
        <f ca="1" t="shared" si="50"/>
        <v>一年以上</v>
      </c>
      <c r="E822" s="115">
        <v>45351</v>
      </c>
      <c r="F822" s="115" t="s">
        <v>1875</v>
      </c>
      <c r="G822" s="132" t="s">
        <v>1876</v>
      </c>
      <c r="H822" s="100" t="s">
        <v>863</v>
      </c>
      <c r="I822" s="63" t="str">
        <f t="shared" si="52"/>
        <v>青海发投碱业有限公司</v>
      </c>
      <c r="J822" s="157">
        <v>29000</v>
      </c>
      <c r="K822" s="136" t="s">
        <v>28</v>
      </c>
      <c r="L822" s="105" t="s">
        <v>73</v>
      </c>
      <c r="M822" s="89" t="s">
        <v>65</v>
      </c>
      <c r="N822" s="117"/>
      <c r="O822" s="140">
        <f t="shared" si="51"/>
        <v>29000</v>
      </c>
      <c r="P822" s="115"/>
      <c r="Q822" s="61">
        <f t="shared" si="47"/>
        <v>0</v>
      </c>
      <c r="R822" s="72"/>
      <c r="S822" s="72" t="s">
        <v>1836</v>
      </c>
      <c r="T822" s="105" t="s">
        <v>972</v>
      </c>
      <c r="U822" s="59" t="s">
        <v>1465</v>
      </c>
      <c r="V822" s="68"/>
      <c r="W822" s="68"/>
      <c r="X822" s="68"/>
    </row>
    <row r="823" s="17" customFormat="1" ht="36" hidden="1" spans="1:24">
      <c r="A823" s="59">
        <v>820</v>
      </c>
      <c r="B823" s="60" t="s">
        <v>1878</v>
      </c>
      <c r="C823" s="153">
        <f t="shared" si="48"/>
        <v>45355</v>
      </c>
      <c r="D823" s="62" t="str">
        <f ca="1" t="shared" si="50"/>
        <v>一年以上</v>
      </c>
      <c r="E823" s="115">
        <v>45355</v>
      </c>
      <c r="F823" s="115" t="s">
        <v>1875</v>
      </c>
      <c r="G823" s="132" t="s">
        <v>1876</v>
      </c>
      <c r="H823" s="100" t="s">
        <v>222</v>
      </c>
      <c r="I823" s="63" t="str">
        <f t="shared" si="52"/>
        <v>天瑞新登郑州水泥有限公司</v>
      </c>
      <c r="J823" s="157">
        <v>2000</v>
      </c>
      <c r="K823" s="143" t="s">
        <v>28</v>
      </c>
      <c r="L823" s="105" t="s">
        <v>57</v>
      </c>
      <c r="M823" s="89" t="s">
        <v>65</v>
      </c>
      <c r="N823" s="104">
        <v>2000</v>
      </c>
      <c r="O823" s="137">
        <f t="shared" si="51"/>
        <v>0</v>
      </c>
      <c r="P823" s="115">
        <v>45395</v>
      </c>
      <c r="Q823" s="61">
        <f t="shared" si="47"/>
        <v>45395</v>
      </c>
      <c r="R823" s="72" t="s">
        <v>1853</v>
      </c>
      <c r="S823" s="72" t="s">
        <v>1879</v>
      </c>
      <c r="T823" s="105"/>
      <c r="U823" s="68"/>
      <c r="V823" s="68"/>
      <c r="W823" s="68"/>
      <c r="X823" s="68"/>
    </row>
    <row r="824" s="17" customFormat="1" ht="36" hidden="1" spans="1:24">
      <c r="A824" s="59">
        <v>821</v>
      </c>
      <c r="B824" s="60" t="s">
        <v>1880</v>
      </c>
      <c r="C824" s="153">
        <f t="shared" si="48"/>
        <v>45356</v>
      </c>
      <c r="D824" s="62" t="str">
        <f ca="1" t="shared" si="50"/>
        <v>一年以上</v>
      </c>
      <c r="E824" s="115">
        <v>45356</v>
      </c>
      <c r="F824" s="115" t="s">
        <v>1875</v>
      </c>
      <c r="G824" s="132" t="s">
        <v>1876</v>
      </c>
      <c r="H824" s="100" t="s">
        <v>138</v>
      </c>
      <c r="I824" s="63" t="str">
        <f t="shared" si="52"/>
        <v>云南昆钢嘉华水泥建材有限公司</v>
      </c>
      <c r="J824" s="157">
        <v>3500</v>
      </c>
      <c r="K824" s="136" t="s">
        <v>28</v>
      </c>
      <c r="L824" s="105" t="s">
        <v>73</v>
      </c>
      <c r="M824" s="89" t="s">
        <v>65</v>
      </c>
      <c r="N824" s="117">
        <v>3500</v>
      </c>
      <c r="O824" s="137">
        <f t="shared" si="51"/>
        <v>0</v>
      </c>
      <c r="P824" s="115">
        <v>45401</v>
      </c>
      <c r="Q824" s="61">
        <f t="shared" si="47"/>
        <v>45401</v>
      </c>
      <c r="R824" s="72"/>
      <c r="S824" s="72" t="s">
        <v>1881</v>
      </c>
      <c r="T824" s="105"/>
      <c r="U824" s="68"/>
      <c r="V824" s="68"/>
      <c r="W824" s="68"/>
      <c r="X824" s="68"/>
    </row>
    <row r="825" s="17" customFormat="1" ht="36" hidden="1" spans="1:24">
      <c r="A825" s="59">
        <v>822</v>
      </c>
      <c r="B825" s="60" t="s">
        <v>1882</v>
      </c>
      <c r="C825" s="153">
        <f t="shared" si="48"/>
        <v>45358</v>
      </c>
      <c r="D825" s="62" t="str">
        <f ca="1" t="shared" si="50"/>
        <v>一年以上</v>
      </c>
      <c r="E825" s="115">
        <v>45358</v>
      </c>
      <c r="F825" s="115" t="s">
        <v>130</v>
      </c>
      <c r="G825" s="132" t="s">
        <v>1596</v>
      </c>
      <c r="H825" s="100" t="s">
        <v>863</v>
      </c>
      <c r="I825" s="63" t="str">
        <f t="shared" si="52"/>
        <v>青海发投碱业有限公司</v>
      </c>
      <c r="J825" s="157">
        <v>13000</v>
      </c>
      <c r="K825" s="136" t="s">
        <v>28</v>
      </c>
      <c r="L825" s="105" t="s">
        <v>73</v>
      </c>
      <c r="M825" s="89" t="s">
        <v>133</v>
      </c>
      <c r="N825" s="117"/>
      <c r="O825" s="140">
        <f t="shared" si="51"/>
        <v>13000</v>
      </c>
      <c r="P825" s="115"/>
      <c r="Q825" s="61">
        <f t="shared" si="47"/>
        <v>0</v>
      </c>
      <c r="R825" s="68"/>
      <c r="S825" s="72" t="s">
        <v>1883</v>
      </c>
      <c r="T825" s="105" t="s">
        <v>972</v>
      </c>
      <c r="U825" s="59" t="s">
        <v>1465</v>
      </c>
      <c r="V825" s="68"/>
      <c r="W825" s="68"/>
      <c r="X825" s="68"/>
    </row>
    <row r="826" s="17" customFormat="1" ht="36" hidden="1" spans="1:24">
      <c r="A826" s="59">
        <v>823</v>
      </c>
      <c r="B826" s="60" t="s">
        <v>1884</v>
      </c>
      <c r="C826" s="153">
        <f t="shared" si="48"/>
        <v>45362</v>
      </c>
      <c r="D826" s="62" t="str">
        <f ca="1" t="shared" si="50"/>
        <v>一年以上</v>
      </c>
      <c r="E826" s="115">
        <v>45362</v>
      </c>
      <c r="F826" s="115" t="s">
        <v>632</v>
      </c>
      <c r="G826" s="132" t="s">
        <v>450</v>
      </c>
      <c r="H826" s="100" t="s">
        <v>1885</v>
      </c>
      <c r="I826" s="63" t="str">
        <f t="shared" si="52"/>
        <v>冀东水泥重庆江津有限责任公司</v>
      </c>
      <c r="J826" s="157">
        <v>5000</v>
      </c>
      <c r="K826" s="136" t="s">
        <v>356</v>
      </c>
      <c r="L826" s="136" t="s">
        <v>73</v>
      </c>
      <c r="M826" s="89" t="s">
        <v>30</v>
      </c>
      <c r="N826" s="104">
        <v>5000</v>
      </c>
      <c r="O826" s="137">
        <f t="shared" si="51"/>
        <v>0</v>
      </c>
      <c r="P826" s="115">
        <v>45379</v>
      </c>
      <c r="Q826" s="61">
        <f t="shared" si="47"/>
        <v>45379</v>
      </c>
      <c r="R826" s="68"/>
      <c r="S826" s="72" t="s">
        <v>1886</v>
      </c>
      <c r="T826" s="105"/>
      <c r="U826" s="68"/>
      <c r="V826" s="68"/>
      <c r="W826" s="68"/>
      <c r="X826" s="68"/>
    </row>
    <row r="827" s="17" customFormat="1" ht="36" hidden="1" spans="1:24">
      <c r="A827" s="59">
        <v>824</v>
      </c>
      <c r="B827" s="165" t="s">
        <v>1887</v>
      </c>
      <c r="C827" s="153">
        <f t="shared" si="48"/>
        <v>45366</v>
      </c>
      <c r="D827" s="62" t="str">
        <f ca="1" t="shared" si="50"/>
        <v>一年以上</v>
      </c>
      <c r="E827" s="115">
        <v>45366</v>
      </c>
      <c r="F827" s="115" t="s">
        <v>632</v>
      </c>
      <c r="G827" s="132" t="s">
        <v>450</v>
      </c>
      <c r="H827" s="100" t="s">
        <v>1888</v>
      </c>
      <c r="I827" s="63" t="str">
        <f t="shared" si="52"/>
        <v>中盐青海昆仑碱业有限公司</v>
      </c>
      <c r="J827" s="157">
        <v>40000</v>
      </c>
      <c r="K827" s="136" t="s">
        <v>28</v>
      </c>
      <c r="L827" s="105" t="s">
        <v>73</v>
      </c>
      <c r="M827" s="89" t="s">
        <v>30</v>
      </c>
      <c r="N827" s="117">
        <v>40000</v>
      </c>
      <c r="O827" s="137">
        <f t="shared" si="51"/>
        <v>0</v>
      </c>
      <c r="P827" s="144">
        <v>45435</v>
      </c>
      <c r="Q827" s="61">
        <f t="shared" si="47"/>
        <v>45435</v>
      </c>
      <c r="R827" s="68"/>
      <c r="S827" s="72" t="s">
        <v>1889</v>
      </c>
      <c r="T827" s="105"/>
      <c r="U827" s="68"/>
      <c r="V827" s="68"/>
      <c r="W827" s="68"/>
      <c r="X827" s="68"/>
    </row>
    <row r="828" s="17" customFormat="1" ht="36" hidden="1" spans="1:24">
      <c r="A828" s="59">
        <v>825</v>
      </c>
      <c r="B828" s="165" t="s">
        <v>1890</v>
      </c>
      <c r="C828" s="153">
        <f t="shared" si="48"/>
        <v>45359</v>
      </c>
      <c r="D828" s="62" t="str">
        <f ca="1" t="shared" si="50"/>
        <v>一年以上</v>
      </c>
      <c r="E828" s="115">
        <v>45359</v>
      </c>
      <c r="F828" s="115" t="s">
        <v>1875</v>
      </c>
      <c r="G828" s="132" t="s">
        <v>1876</v>
      </c>
      <c r="H828" s="100" t="s">
        <v>863</v>
      </c>
      <c r="I828" s="63" t="str">
        <f t="shared" si="52"/>
        <v>青海发投碱业有限公司</v>
      </c>
      <c r="J828" s="157">
        <v>13000</v>
      </c>
      <c r="K828" s="136" t="s">
        <v>28</v>
      </c>
      <c r="L828" s="105" t="s">
        <v>73</v>
      </c>
      <c r="M828" s="89" t="s">
        <v>65</v>
      </c>
      <c r="N828" s="117"/>
      <c r="O828" s="140">
        <f t="shared" si="51"/>
        <v>13000</v>
      </c>
      <c r="P828" s="115"/>
      <c r="Q828" s="61">
        <f t="shared" si="47"/>
        <v>0</v>
      </c>
      <c r="R828" s="68"/>
      <c r="S828" s="72" t="s">
        <v>1883</v>
      </c>
      <c r="T828" s="105" t="s">
        <v>972</v>
      </c>
      <c r="U828" s="59" t="s">
        <v>1465</v>
      </c>
      <c r="V828" s="68"/>
      <c r="W828" s="68"/>
      <c r="X828" s="68"/>
    </row>
    <row r="829" s="17" customFormat="1" ht="36" hidden="1" spans="1:24">
      <c r="A829" s="59">
        <v>826</v>
      </c>
      <c r="B829" s="165" t="s">
        <v>1891</v>
      </c>
      <c r="C829" s="153">
        <f t="shared" si="48"/>
        <v>45359</v>
      </c>
      <c r="D829" s="62" t="str">
        <f ca="1" t="shared" si="50"/>
        <v>一年以上</v>
      </c>
      <c r="E829" s="115">
        <v>45359</v>
      </c>
      <c r="F829" s="115" t="s">
        <v>1875</v>
      </c>
      <c r="G829" s="132" t="s">
        <v>1876</v>
      </c>
      <c r="H829" s="100" t="s">
        <v>863</v>
      </c>
      <c r="I829" s="63" t="str">
        <f t="shared" si="52"/>
        <v>青海发投碱业有限公司</v>
      </c>
      <c r="J829" s="157">
        <v>13000</v>
      </c>
      <c r="K829" s="136" t="s">
        <v>28</v>
      </c>
      <c r="L829" s="105" t="s">
        <v>73</v>
      </c>
      <c r="M829" s="89" t="s">
        <v>941</v>
      </c>
      <c r="N829" s="117"/>
      <c r="O829" s="140">
        <f t="shared" si="51"/>
        <v>13000</v>
      </c>
      <c r="P829" s="115"/>
      <c r="Q829" s="61">
        <f t="shared" si="47"/>
        <v>0</v>
      </c>
      <c r="R829" s="68"/>
      <c r="S829" s="72" t="s">
        <v>1883</v>
      </c>
      <c r="T829" s="105" t="s">
        <v>972</v>
      </c>
      <c r="U829" s="59" t="s">
        <v>1465</v>
      </c>
      <c r="V829" s="68"/>
      <c r="W829" s="68"/>
      <c r="X829" s="68"/>
    </row>
    <row r="830" s="17" customFormat="1" ht="14" hidden="1" customHeight="1" spans="1:24">
      <c r="A830" s="59">
        <v>827</v>
      </c>
      <c r="B830" s="165" t="s">
        <v>1892</v>
      </c>
      <c r="C830" s="153">
        <f t="shared" si="48"/>
        <v>45371</v>
      </c>
      <c r="D830" s="62" t="str">
        <f ca="1" t="shared" si="50"/>
        <v>一年以上</v>
      </c>
      <c r="E830" s="115">
        <v>45371</v>
      </c>
      <c r="F830" s="115" t="s">
        <v>632</v>
      </c>
      <c r="G830" s="132" t="s">
        <v>450</v>
      </c>
      <c r="H830" s="100" t="s">
        <v>863</v>
      </c>
      <c r="I830" s="63" t="str">
        <f t="shared" si="52"/>
        <v>青海发投碱业有限公司</v>
      </c>
      <c r="J830" s="157">
        <v>50000</v>
      </c>
      <c r="K830" s="136" t="s">
        <v>28</v>
      </c>
      <c r="L830" s="105" t="s">
        <v>73</v>
      </c>
      <c r="M830" s="89" t="s">
        <v>30</v>
      </c>
      <c r="N830" s="117">
        <v>50000</v>
      </c>
      <c r="O830" s="137">
        <f t="shared" si="51"/>
        <v>0</v>
      </c>
      <c r="P830" s="144">
        <v>45443</v>
      </c>
      <c r="Q830" s="61">
        <f t="shared" si="47"/>
        <v>45443</v>
      </c>
      <c r="R830" s="68"/>
      <c r="S830" s="72" t="s">
        <v>1893</v>
      </c>
      <c r="T830" s="105" t="s">
        <v>972</v>
      </c>
      <c r="U830" s="59" t="s">
        <v>1465</v>
      </c>
      <c r="V830" s="68"/>
      <c r="W830" s="68"/>
      <c r="X830" s="68"/>
    </row>
    <row r="831" s="17" customFormat="1" ht="14" hidden="1" customHeight="1" spans="1:24">
      <c r="A831" s="59">
        <v>828</v>
      </c>
      <c r="B831" s="165" t="s">
        <v>1894</v>
      </c>
      <c r="C831" s="153">
        <f t="shared" si="48"/>
        <v>45365</v>
      </c>
      <c r="D831" s="62" t="str">
        <f ca="1" t="shared" si="50"/>
        <v>一年以上</v>
      </c>
      <c r="E831" s="115">
        <v>45365</v>
      </c>
      <c r="F831" s="115" t="s">
        <v>130</v>
      </c>
      <c r="G831" s="132" t="s">
        <v>1596</v>
      </c>
      <c r="H831" s="100" t="s">
        <v>863</v>
      </c>
      <c r="I831" s="63" t="str">
        <f t="shared" si="52"/>
        <v>青海发投碱业有限公司</v>
      </c>
      <c r="J831" s="157">
        <v>65500</v>
      </c>
      <c r="K831" s="136" t="s">
        <v>28</v>
      </c>
      <c r="L831" s="105" t="s">
        <v>73</v>
      </c>
      <c r="M831" s="89" t="s">
        <v>133</v>
      </c>
      <c r="N831" s="117"/>
      <c r="O831" s="140">
        <f t="shared" si="51"/>
        <v>65500</v>
      </c>
      <c r="P831" s="115"/>
      <c r="Q831" s="61">
        <f t="shared" si="47"/>
        <v>0</v>
      </c>
      <c r="R831" s="68"/>
      <c r="S831" s="72" t="s">
        <v>1844</v>
      </c>
      <c r="T831" s="105" t="s">
        <v>972</v>
      </c>
      <c r="U831" s="59" t="s">
        <v>1465</v>
      </c>
      <c r="V831" s="68"/>
      <c r="W831" s="68"/>
      <c r="X831" s="68"/>
    </row>
    <row r="832" s="17" customFormat="1" ht="36" hidden="1" spans="1:24">
      <c r="A832" s="59">
        <v>829</v>
      </c>
      <c r="B832" s="165" t="s">
        <v>1895</v>
      </c>
      <c r="C832" s="153">
        <f t="shared" si="48"/>
        <v>45366</v>
      </c>
      <c r="D832" s="62" t="str">
        <f ca="1" t="shared" si="50"/>
        <v>一年以上</v>
      </c>
      <c r="E832" s="115">
        <v>45366</v>
      </c>
      <c r="F832" s="115" t="s">
        <v>1875</v>
      </c>
      <c r="G832" s="132" t="s">
        <v>1896</v>
      </c>
      <c r="H832" s="100" t="s">
        <v>1864</v>
      </c>
      <c r="I832" s="63" t="str">
        <f t="shared" si="52"/>
        <v>青海发投碱业有限公司
武汉开明高新科技有限公司</v>
      </c>
      <c r="J832" s="157">
        <v>65500</v>
      </c>
      <c r="K832" s="136" t="s">
        <v>28</v>
      </c>
      <c r="L832" s="105" t="s">
        <v>73</v>
      </c>
      <c r="M832" s="89" t="s">
        <v>941</v>
      </c>
      <c r="N832" s="117"/>
      <c r="O832" s="140">
        <f t="shared" si="51"/>
        <v>65500</v>
      </c>
      <c r="P832" s="115"/>
      <c r="Q832" s="61">
        <f t="shared" si="47"/>
        <v>0</v>
      </c>
      <c r="R832" s="68"/>
      <c r="S832" s="72" t="s">
        <v>1844</v>
      </c>
      <c r="T832" s="105" t="s">
        <v>972</v>
      </c>
      <c r="U832" s="59" t="s">
        <v>1465</v>
      </c>
      <c r="V832" s="68"/>
      <c r="W832" s="68"/>
      <c r="X832" s="68"/>
    </row>
    <row r="833" s="17" customFormat="1" ht="14" hidden="1" customHeight="1" spans="1:24">
      <c r="A833" s="59">
        <v>830</v>
      </c>
      <c r="B833" s="165" t="s">
        <v>1898</v>
      </c>
      <c r="C833" s="153">
        <f t="shared" si="48"/>
        <v>45369</v>
      </c>
      <c r="D833" s="62" t="str">
        <f ca="1" t="shared" si="50"/>
        <v>一年以上</v>
      </c>
      <c r="E833" s="115">
        <v>45369</v>
      </c>
      <c r="F833" s="115" t="s">
        <v>1875</v>
      </c>
      <c r="G833" s="132" t="s">
        <v>1876</v>
      </c>
      <c r="H833" s="100" t="s">
        <v>863</v>
      </c>
      <c r="I833" s="63" t="str">
        <f t="shared" si="52"/>
        <v>青海发投碱业有限公司</v>
      </c>
      <c r="J833" s="157">
        <v>66000</v>
      </c>
      <c r="K833" s="136" t="s">
        <v>28</v>
      </c>
      <c r="L833" s="105" t="s">
        <v>73</v>
      </c>
      <c r="M833" s="89" t="s">
        <v>65</v>
      </c>
      <c r="N833" s="117"/>
      <c r="O833" s="140">
        <f t="shared" si="51"/>
        <v>66000</v>
      </c>
      <c r="P833" s="115"/>
      <c r="Q833" s="61">
        <f t="shared" si="47"/>
        <v>0</v>
      </c>
      <c r="R833" s="68"/>
      <c r="S833" s="72"/>
      <c r="T833" s="105" t="s">
        <v>972</v>
      </c>
      <c r="U833" s="59" t="s">
        <v>1465</v>
      </c>
      <c r="V833" s="68"/>
      <c r="W833" s="68"/>
      <c r="X833" s="68"/>
    </row>
    <row r="834" s="17" customFormat="1" ht="36" hidden="1" spans="1:24">
      <c r="A834" s="59">
        <v>831</v>
      </c>
      <c r="B834" s="165" t="s">
        <v>1899</v>
      </c>
      <c r="C834" s="153">
        <f t="shared" si="48"/>
        <v>45373</v>
      </c>
      <c r="D834" s="62" t="str">
        <f ca="1" t="shared" si="50"/>
        <v>一年以上</v>
      </c>
      <c r="E834" s="115">
        <v>45373</v>
      </c>
      <c r="F834" s="115" t="s">
        <v>632</v>
      </c>
      <c r="G834" s="132" t="s">
        <v>450</v>
      </c>
      <c r="H834" s="100" t="s">
        <v>1900</v>
      </c>
      <c r="I834" s="63" t="str">
        <f t="shared" si="52"/>
        <v>中盐吉兰泰氯碱化工有限公司</v>
      </c>
      <c r="J834" s="157">
        <v>5000</v>
      </c>
      <c r="K834" s="136" t="s">
        <v>28</v>
      </c>
      <c r="L834" s="105" t="s">
        <v>73</v>
      </c>
      <c r="M834" s="89" t="s">
        <v>30</v>
      </c>
      <c r="N834" s="155">
        <v>5000</v>
      </c>
      <c r="O834" s="137">
        <f t="shared" si="51"/>
        <v>0</v>
      </c>
      <c r="P834" s="115">
        <v>45398</v>
      </c>
      <c r="Q834" s="61">
        <f t="shared" si="47"/>
        <v>45398</v>
      </c>
      <c r="R834" s="68"/>
      <c r="S834" s="72" t="s">
        <v>1901</v>
      </c>
      <c r="T834" s="105" t="s">
        <v>388</v>
      </c>
      <c r="U834" s="68" t="s">
        <v>1902</v>
      </c>
      <c r="V834" s="68"/>
      <c r="W834" s="68"/>
      <c r="X834" s="68"/>
    </row>
    <row r="835" s="26" customFormat="1" ht="36" hidden="1" spans="1:24">
      <c r="A835" s="179">
        <v>832</v>
      </c>
      <c r="B835" s="180" t="s">
        <v>1898</v>
      </c>
      <c r="C835" s="181">
        <f t="shared" si="48"/>
        <v>45356</v>
      </c>
      <c r="D835" s="62" t="str">
        <f ca="1" t="shared" si="50"/>
        <v>一年以上</v>
      </c>
      <c r="E835" s="182">
        <v>45356</v>
      </c>
      <c r="F835" s="182"/>
      <c r="G835" s="183"/>
      <c r="H835" s="184" t="s">
        <v>1903</v>
      </c>
      <c r="I835" s="159" t="str">
        <f t="shared" si="52"/>
        <v>湖北岚丹建设工程有限公司用于青海发投碱业有限公司</v>
      </c>
      <c r="J835" s="185">
        <v>47850</v>
      </c>
      <c r="K835" s="186" t="s">
        <v>1706</v>
      </c>
      <c r="L835" s="186" t="s">
        <v>73</v>
      </c>
      <c r="M835" s="187" t="s">
        <v>941</v>
      </c>
      <c r="N835" s="134"/>
      <c r="O835" s="140">
        <f t="shared" si="51"/>
        <v>47850</v>
      </c>
      <c r="P835" s="188"/>
      <c r="Q835" s="189">
        <f t="shared" ref="Q835:Q849" si="53">P835</f>
        <v>0</v>
      </c>
      <c r="R835" s="190"/>
      <c r="S835" s="191" t="s">
        <v>1805</v>
      </c>
      <c r="T835" s="186" t="s">
        <v>972</v>
      </c>
      <c r="U835" s="179" t="s">
        <v>1465</v>
      </c>
      <c r="V835" s="190"/>
      <c r="W835" s="190"/>
      <c r="X835" s="190"/>
    </row>
    <row r="836" s="17" customFormat="1" ht="36" hidden="1" spans="1:24">
      <c r="A836" s="59">
        <v>832</v>
      </c>
      <c r="B836" s="165" t="s">
        <v>1905</v>
      </c>
      <c r="C836" s="153">
        <f t="shared" si="48"/>
        <v>45378</v>
      </c>
      <c r="D836" s="62" t="str">
        <f ca="1" t="shared" si="50"/>
        <v>一年以上</v>
      </c>
      <c r="E836" s="115">
        <v>45378</v>
      </c>
      <c r="F836" s="115" t="s">
        <v>1875</v>
      </c>
      <c r="G836" s="132" t="s">
        <v>1876</v>
      </c>
      <c r="H836" s="100" t="s">
        <v>863</v>
      </c>
      <c r="I836" s="63" t="str">
        <f t="shared" si="52"/>
        <v>青海发投碱业有限公司</v>
      </c>
      <c r="J836" s="157">
        <v>48000</v>
      </c>
      <c r="K836" s="136" t="s">
        <v>1706</v>
      </c>
      <c r="L836" s="105" t="s">
        <v>73</v>
      </c>
      <c r="M836" s="89" t="s">
        <v>65</v>
      </c>
      <c r="N836" s="117"/>
      <c r="O836" s="140">
        <f t="shared" si="51"/>
        <v>48000</v>
      </c>
      <c r="P836" s="115"/>
      <c r="Q836" s="61">
        <f t="shared" si="53"/>
        <v>0</v>
      </c>
      <c r="R836" s="68"/>
      <c r="S836" s="72" t="s">
        <v>1805</v>
      </c>
      <c r="T836" s="105" t="s">
        <v>972</v>
      </c>
      <c r="U836" s="59" t="s">
        <v>1465</v>
      </c>
      <c r="V836" s="68"/>
      <c r="W836" s="68"/>
      <c r="X836" s="68"/>
    </row>
    <row r="837" s="17" customFormat="1" ht="36" hidden="1" spans="1:24">
      <c r="A837" s="59">
        <v>834</v>
      </c>
      <c r="B837" s="165" t="s">
        <v>1906</v>
      </c>
      <c r="C837" s="153">
        <f t="shared" si="48"/>
        <v>45380</v>
      </c>
      <c r="D837" s="62" t="str">
        <f ca="1" t="shared" si="50"/>
        <v>一年以上</v>
      </c>
      <c r="E837" s="115">
        <v>45380</v>
      </c>
      <c r="F837" s="115" t="s">
        <v>632</v>
      </c>
      <c r="G837" s="132" t="s">
        <v>450</v>
      </c>
      <c r="H837" s="100" t="s">
        <v>912</v>
      </c>
      <c r="I837" s="63" t="str">
        <f t="shared" si="52"/>
        <v>新疆米东天山水泥有限责任公司</v>
      </c>
      <c r="J837" s="157">
        <v>2000</v>
      </c>
      <c r="K837" s="136" t="s">
        <v>28</v>
      </c>
      <c r="L837" s="105" t="s">
        <v>73</v>
      </c>
      <c r="M837" s="89" t="s">
        <v>30</v>
      </c>
      <c r="N837" s="104">
        <v>2000</v>
      </c>
      <c r="O837" s="137">
        <f t="shared" si="51"/>
        <v>0</v>
      </c>
      <c r="P837" s="115">
        <v>45388</v>
      </c>
      <c r="Q837" s="61">
        <f t="shared" si="53"/>
        <v>45388</v>
      </c>
      <c r="R837" s="68"/>
      <c r="S837" s="72" t="s">
        <v>1907</v>
      </c>
      <c r="T837" s="105"/>
      <c r="U837" s="68"/>
      <c r="V837" s="68"/>
      <c r="W837" s="68"/>
      <c r="X837" s="68"/>
    </row>
    <row r="838" s="17" customFormat="1" ht="36" hidden="1" spans="1:24">
      <c r="A838" s="59">
        <v>835</v>
      </c>
      <c r="B838" s="165" t="s">
        <v>1908</v>
      </c>
      <c r="C838" s="153">
        <f t="shared" si="48"/>
        <v>45357</v>
      </c>
      <c r="D838" s="62" t="str">
        <f ca="1" t="shared" si="50"/>
        <v>一年以上</v>
      </c>
      <c r="E838" s="115">
        <v>45357</v>
      </c>
      <c r="F838" s="115" t="s">
        <v>632</v>
      </c>
      <c r="G838" s="132" t="s">
        <v>450</v>
      </c>
      <c r="H838" s="100" t="s">
        <v>1413</v>
      </c>
      <c r="I838" s="63" t="str">
        <f t="shared" si="52"/>
        <v>中机国际招标有限公司（青海发投碱业有限公司）</v>
      </c>
      <c r="J838" s="157">
        <v>500</v>
      </c>
      <c r="K838" s="105" t="s">
        <v>28</v>
      </c>
      <c r="L838" s="105" t="s">
        <v>73</v>
      </c>
      <c r="M838" s="89" t="s">
        <v>515</v>
      </c>
      <c r="N838" s="117"/>
      <c r="O838" s="140">
        <f t="shared" si="51"/>
        <v>500</v>
      </c>
      <c r="P838" s="115"/>
      <c r="Q838" s="61">
        <f t="shared" si="53"/>
        <v>0</v>
      </c>
      <c r="R838" s="68"/>
      <c r="S838" s="68" t="s">
        <v>1893</v>
      </c>
      <c r="T838" s="105" t="s">
        <v>972</v>
      </c>
      <c r="U838" s="59" t="s">
        <v>1465</v>
      </c>
      <c r="V838" s="68"/>
      <c r="W838" s="68"/>
      <c r="X838" s="68"/>
    </row>
    <row r="839" s="17" customFormat="1" ht="24" hidden="1" spans="1:24">
      <c r="A839" s="59">
        <v>836</v>
      </c>
      <c r="B839" s="165" t="s">
        <v>1909</v>
      </c>
      <c r="C839" s="153">
        <f t="shared" si="48"/>
        <v>45357</v>
      </c>
      <c r="D839" s="62" t="str">
        <f ca="1" t="shared" si="50"/>
        <v>一年以上</v>
      </c>
      <c r="E839" s="115">
        <v>45357</v>
      </c>
      <c r="F839" s="115" t="s">
        <v>632</v>
      </c>
      <c r="G839" s="132" t="s">
        <v>450</v>
      </c>
      <c r="H839" s="100" t="s">
        <v>1888</v>
      </c>
      <c r="I839" s="63" t="str">
        <f t="shared" si="52"/>
        <v>中盐青海昆仑碱业有限公司</v>
      </c>
      <c r="J839" s="157">
        <v>500</v>
      </c>
      <c r="K839" s="105" t="s">
        <v>28</v>
      </c>
      <c r="L839" s="105" t="s">
        <v>73</v>
      </c>
      <c r="M839" s="89" t="s">
        <v>515</v>
      </c>
      <c r="N839" s="117"/>
      <c r="O839" s="137">
        <f t="shared" si="51"/>
        <v>500</v>
      </c>
      <c r="P839" s="115"/>
      <c r="Q839" s="61">
        <f t="shared" si="53"/>
        <v>0</v>
      </c>
      <c r="R839" s="68"/>
      <c r="S839" s="68" t="s">
        <v>1889</v>
      </c>
      <c r="T839" s="105" t="s">
        <v>972</v>
      </c>
      <c r="U839" s="59" t="s">
        <v>1465</v>
      </c>
      <c r="V839" s="68"/>
      <c r="W839" s="68"/>
      <c r="X839" s="68"/>
    </row>
    <row r="840" s="17" customFormat="1" ht="24" hidden="1" spans="1:24">
      <c r="A840" s="59">
        <v>837</v>
      </c>
      <c r="B840" s="165" t="s">
        <v>1910</v>
      </c>
      <c r="C840" s="153">
        <f t="shared" si="48"/>
        <v>45370</v>
      </c>
      <c r="D840" s="62" t="str">
        <f ca="1" t="shared" si="50"/>
        <v>一年以上</v>
      </c>
      <c r="E840" s="115">
        <v>45370</v>
      </c>
      <c r="F840" s="115" t="s">
        <v>632</v>
      </c>
      <c r="G840" s="132" t="s">
        <v>450</v>
      </c>
      <c r="H840" s="100" t="s">
        <v>1900</v>
      </c>
      <c r="I840" s="63" t="str">
        <f t="shared" si="52"/>
        <v>中盐吉兰泰氯碱化工有限公司</v>
      </c>
      <c r="J840" s="157">
        <v>500</v>
      </c>
      <c r="K840" s="105" t="s">
        <v>28</v>
      </c>
      <c r="L840" s="105" t="s">
        <v>73</v>
      </c>
      <c r="M840" s="89" t="s">
        <v>515</v>
      </c>
      <c r="N840" s="117"/>
      <c r="O840" s="137">
        <f t="shared" si="51"/>
        <v>500</v>
      </c>
      <c r="P840" s="115"/>
      <c r="Q840" s="61">
        <f t="shared" si="53"/>
        <v>0</v>
      </c>
      <c r="R840" s="68"/>
      <c r="S840" s="68" t="s">
        <v>1901</v>
      </c>
      <c r="T840" s="105" t="s">
        <v>388</v>
      </c>
      <c r="U840" s="68" t="s">
        <v>1902</v>
      </c>
      <c r="V840" s="68"/>
      <c r="W840" s="68"/>
      <c r="X840" s="68"/>
    </row>
    <row r="841" s="17" customFormat="1" ht="24" hidden="1" spans="1:24">
      <c r="A841" s="59">
        <v>838</v>
      </c>
      <c r="B841" s="165" t="s">
        <v>1911</v>
      </c>
      <c r="C841" s="153">
        <f t="shared" si="48"/>
        <v>45377</v>
      </c>
      <c r="D841" s="62" t="str">
        <f ca="1" t="shared" si="50"/>
        <v>一年以上</v>
      </c>
      <c r="E841" s="115">
        <v>45377</v>
      </c>
      <c r="F841" s="115" t="s">
        <v>632</v>
      </c>
      <c r="G841" s="132" t="s">
        <v>450</v>
      </c>
      <c r="H841" s="165" t="s">
        <v>912</v>
      </c>
      <c r="I841" s="63" t="str">
        <f t="shared" si="52"/>
        <v>新疆米东天山水泥有限责任公司</v>
      </c>
      <c r="J841" s="157">
        <v>200</v>
      </c>
      <c r="K841" s="105" t="s">
        <v>28</v>
      </c>
      <c r="L841" s="105" t="s">
        <v>73</v>
      </c>
      <c r="M841" s="89" t="s">
        <v>515</v>
      </c>
      <c r="N841" s="117"/>
      <c r="O841" s="137">
        <f t="shared" si="51"/>
        <v>200</v>
      </c>
      <c r="P841" s="115"/>
      <c r="Q841" s="61">
        <f t="shared" si="53"/>
        <v>0</v>
      </c>
      <c r="R841" s="68"/>
      <c r="S841" s="68" t="s">
        <v>1907</v>
      </c>
      <c r="T841" s="105" t="s">
        <v>581</v>
      </c>
      <c r="U841" s="68" t="s">
        <v>239</v>
      </c>
      <c r="V841" s="68"/>
      <c r="W841" s="68"/>
      <c r="X841" s="68"/>
    </row>
    <row r="842" s="17" customFormat="1" ht="36" hidden="1" spans="1:24">
      <c r="A842" s="59">
        <v>839</v>
      </c>
      <c r="B842" s="60" t="s">
        <v>1912</v>
      </c>
      <c r="C842" s="153">
        <f t="shared" si="48"/>
        <v>45389</v>
      </c>
      <c r="D842" s="62" t="str">
        <f ca="1" t="shared" si="50"/>
        <v>一年以上</v>
      </c>
      <c r="E842" s="115">
        <v>45389</v>
      </c>
      <c r="F842" s="115" t="s">
        <v>632</v>
      </c>
      <c r="G842" s="132" t="s">
        <v>450</v>
      </c>
      <c r="H842" s="100" t="s">
        <v>851</v>
      </c>
      <c r="I842" s="63" t="str">
        <f t="shared" si="52"/>
        <v>日照钢铁有限公司</v>
      </c>
      <c r="J842" s="157">
        <v>10000</v>
      </c>
      <c r="K842" s="105" t="s">
        <v>28</v>
      </c>
      <c r="L842" s="105" t="s">
        <v>57</v>
      </c>
      <c r="M842" s="89" t="s">
        <v>30</v>
      </c>
      <c r="N842" s="192">
        <v>10000</v>
      </c>
      <c r="O842" s="137">
        <f t="shared" si="51"/>
        <v>0</v>
      </c>
      <c r="P842" s="115">
        <v>45392</v>
      </c>
      <c r="Q842" s="61">
        <f t="shared" si="53"/>
        <v>45392</v>
      </c>
      <c r="R842" s="68"/>
      <c r="S842" s="72" t="s">
        <v>1913</v>
      </c>
      <c r="T842" s="105"/>
      <c r="U842" s="68"/>
      <c r="V842" s="68"/>
      <c r="W842" s="68"/>
      <c r="X842" s="68"/>
    </row>
    <row r="843" s="17" customFormat="1" ht="36" hidden="1" spans="1:24">
      <c r="A843" s="59">
        <v>840</v>
      </c>
      <c r="B843" s="165" t="s">
        <v>1914</v>
      </c>
      <c r="C843" s="153">
        <f t="shared" si="48"/>
        <v>45390</v>
      </c>
      <c r="D843" s="62" t="str">
        <f ca="1" t="shared" si="50"/>
        <v>一年以上</v>
      </c>
      <c r="E843" s="115">
        <v>45390</v>
      </c>
      <c r="F843" s="115" t="s">
        <v>632</v>
      </c>
      <c r="G843" s="132" t="s">
        <v>450</v>
      </c>
      <c r="H843" s="100" t="s">
        <v>1413</v>
      </c>
      <c r="I843" s="63" t="str">
        <f t="shared" si="52"/>
        <v>中机国际招标有限公司（青海发投碱业有限公司）</v>
      </c>
      <c r="J843" s="157">
        <v>500</v>
      </c>
      <c r="K843" s="105" t="s">
        <v>1706</v>
      </c>
      <c r="L843" s="105" t="s">
        <v>73</v>
      </c>
      <c r="M843" s="89" t="s">
        <v>515</v>
      </c>
      <c r="N843" s="117"/>
      <c r="O843" s="140">
        <f t="shared" si="51"/>
        <v>500</v>
      </c>
      <c r="P843" s="115"/>
      <c r="Q843" s="61">
        <f t="shared" si="53"/>
        <v>0</v>
      </c>
      <c r="R843" s="68"/>
      <c r="S843" s="68" t="s">
        <v>1915</v>
      </c>
      <c r="T843" s="105" t="s">
        <v>972</v>
      </c>
      <c r="U843" s="59" t="s">
        <v>1465</v>
      </c>
      <c r="V843" s="68"/>
      <c r="W843" s="68"/>
      <c r="X843" s="68"/>
    </row>
    <row r="844" s="17" customFormat="1" ht="36" hidden="1" spans="1:24">
      <c r="A844" s="59">
        <v>841</v>
      </c>
      <c r="B844" s="165" t="s">
        <v>1916</v>
      </c>
      <c r="C844" s="153">
        <f t="shared" si="48"/>
        <v>45391</v>
      </c>
      <c r="D844" s="62" t="str">
        <f ca="1" t="shared" si="50"/>
        <v>一年以上</v>
      </c>
      <c r="E844" s="115">
        <v>45391</v>
      </c>
      <c r="F844" s="115" t="s">
        <v>1875</v>
      </c>
      <c r="G844" s="132" t="s">
        <v>1876</v>
      </c>
      <c r="H844" s="100" t="s">
        <v>863</v>
      </c>
      <c r="I844" s="63" t="str">
        <f t="shared" si="52"/>
        <v>青海发投碱业有限公司</v>
      </c>
      <c r="J844" s="193">
        <v>2600</v>
      </c>
      <c r="K844" s="105" t="s">
        <v>28</v>
      </c>
      <c r="L844" s="105" t="s">
        <v>73</v>
      </c>
      <c r="M844" s="89" t="s">
        <v>941</v>
      </c>
      <c r="N844" s="117"/>
      <c r="O844" s="140">
        <f t="shared" si="51"/>
        <v>2600</v>
      </c>
      <c r="P844" s="115"/>
      <c r="Q844" s="61">
        <f t="shared" si="53"/>
        <v>0</v>
      </c>
      <c r="R844" s="68"/>
      <c r="S844" s="72" t="s">
        <v>1917</v>
      </c>
      <c r="T844" s="105" t="s">
        <v>972</v>
      </c>
      <c r="U844" s="59" t="s">
        <v>1465</v>
      </c>
      <c r="V844" s="68"/>
      <c r="W844" s="68"/>
      <c r="X844" s="68"/>
    </row>
    <row r="845" s="17" customFormat="1" ht="36" hidden="1" spans="1:24">
      <c r="A845" s="59">
        <v>842</v>
      </c>
      <c r="B845" s="165" t="s">
        <v>1918</v>
      </c>
      <c r="C845" s="153">
        <f t="shared" si="48"/>
        <v>45391</v>
      </c>
      <c r="D845" s="62" t="str">
        <f ca="1" t="shared" si="50"/>
        <v>一年以上</v>
      </c>
      <c r="E845" s="115">
        <v>45391</v>
      </c>
      <c r="F845" s="115" t="s">
        <v>1875</v>
      </c>
      <c r="G845" s="132" t="s">
        <v>1876</v>
      </c>
      <c r="H845" s="100" t="s">
        <v>863</v>
      </c>
      <c r="I845" s="63" t="str">
        <f t="shared" si="52"/>
        <v>青海发投碱业有限公司</v>
      </c>
      <c r="J845" s="193">
        <v>3000</v>
      </c>
      <c r="K845" s="105" t="s">
        <v>28</v>
      </c>
      <c r="L845" s="105" t="s">
        <v>73</v>
      </c>
      <c r="M845" s="89" t="s">
        <v>65</v>
      </c>
      <c r="N845" s="117"/>
      <c r="O845" s="140">
        <f t="shared" si="51"/>
        <v>3000</v>
      </c>
      <c r="P845" s="115"/>
      <c r="Q845" s="61">
        <f t="shared" si="53"/>
        <v>0</v>
      </c>
      <c r="R845" s="68"/>
      <c r="S845" s="72" t="s">
        <v>1917</v>
      </c>
      <c r="T845" s="105" t="s">
        <v>972</v>
      </c>
      <c r="U845" s="59" t="s">
        <v>1465</v>
      </c>
      <c r="V845" s="68"/>
      <c r="W845" s="68"/>
      <c r="X845" s="68"/>
    </row>
    <row r="846" s="17" customFormat="1" ht="14" hidden="1" customHeight="1" spans="1:24">
      <c r="A846" s="59">
        <v>843</v>
      </c>
      <c r="B846" s="165" t="s">
        <v>1919</v>
      </c>
      <c r="C846" s="153">
        <f t="shared" ref="C846:C876" si="54">E846</f>
        <v>45392</v>
      </c>
      <c r="D846" s="62" t="str">
        <f ca="1" t="shared" si="50"/>
        <v>一年以上</v>
      </c>
      <c r="E846" s="115">
        <v>45392</v>
      </c>
      <c r="F846" s="115" t="s">
        <v>130</v>
      </c>
      <c r="G846" s="132" t="s">
        <v>1920</v>
      </c>
      <c r="H846" s="100" t="s">
        <v>863</v>
      </c>
      <c r="I846" s="63" t="str">
        <f t="shared" si="52"/>
        <v>青海发投碱业有限公司</v>
      </c>
      <c r="J846" s="193">
        <v>2600</v>
      </c>
      <c r="K846" s="105" t="s">
        <v>28</v>
      </c>
      <c r="L846" s="105" t="s">
        <v>73</v>
      </c>
      <c r="M846" s="89" t="s">
        <v>133</v>
      </c>
      <c r="N846" s="117"/>
      <c r="O846" s="140">
        <f t="shared" si="51"/>
        <v>2600</v>
      </c>
      <c r="P846" s="115"/>
      <c r="Q846" s="61">
        <f t="shared" si="53"/>
        <v>0</v>
      </c>
      <c r="R846" s="68"/>
      <c r="S846" s="72" t="s">
        <v>1921</v>
      </c>
      <c r="T846" s="105" t="s">
        <v>972</v>
      </c>
      <c r="U846" s="59" t="s">
        <v>1465</v>
      </c>
      <c r="V846" s="68"/>
      <c r="W846" s="68"/>
      <c r="X846" s="68"/>
    </row>
    <row r="847" s="17" customFormat="1" ht="14" hidden="1" customHeight="1" spans="1:24">
      <c r="A847" s="59">
        <v>844</v>
      </c>
      <c r="B847" s="165" t="s">
        <v>1922</v>
      </c>
      <c r="C847" s="153">
        <f t="shared" si="54"/>
        <v>45392</v>
      </c>
      <c r="D847" s="62" t="str">
        <f ca="1" t="shared" si="50"/>
        <v>一年以上</v>
      </c>
      <c r="E847" s="115">
        <v>45392</v>
      </c>
      <c r="F847" s="115" t="s">
        <v>1875</v>
      </c>
      <c r="G847" s="132" t="s">
        <v>1876</v>
      </c>
      <c r="H847" s="100" t="s">
        <v>863</v>
      </c>
      <c r="I847" s="63" t="str">
        <f t="shared" si="52"/>
        <v>青海发投碱业有限公司</v>
      </c>
      <c r="J847" s="193">
        <v>21000</v>
      </c>
      <c r="K847" s="105" t="s">
        <v>28</v>
      </c>
      <c r="L847" s="105" t="s">
        <v>73</v>
      </c>
      <c r="M847" s="89" t="s">
        <v>65</v>
      </c>
      <c r="N847" s="117"/>
      <c r="O847" s="140">
        <f t="shared" si="51"/>
        <v>21000</v>
      </c>
      <c r="P847" s="115"/>
      <c r="Q847" s="61">
        <f t="shared" si="53"/>
        <v>0</v>
      </c>
      <c r="R847" s="68"/>
      <c r="S847" s="72" t="s">
        <v>1923</v>
      </c>
      <c r="T847" s="105" t="s">
        <v>972</v>
      </c>
      <c r="U847" s="59" t="s">
        <v>1465</v>
      </c>
      <c r="V847" s="68"/>
      <c r="W847" s="68"/>
      <c r="X847" s="68"/>
    </row>
    <row r="848" s="17" customFormat="1" ht="36" hidden="1" spans="1:24">
      <c r="A848" s="59">
        <v>845</v>
      </c>
      <c r="B848" s="165" t="s">
        <v>1924</v>
      </c>
      <c r="C848" s="153">
        <f t="shared" si="54"/>
        <v>45393</v>
      </c>
      <c r="D848" s="62" t="str">
        <f ca="1" t="shared" si="50"/>
        <v>一年以上</v>
      </c>
      <c r="E848" s="115">
        <v>45393</v>
      </c>
      <c r="F848" s="115" t="s">
        <v>1875</v>
      </c>
      <c r="G848" s="132" t="s">
        <v>1876</v>
      </c>
      <c r="H848" s="100" t="s">
        <v>863</v>
      </c>
      <c r="I848" s="63" t="str">
        <f t="shared" si="52"/>
        <v>青海发投碱业有限公司</v>
      </c>
      <c r="J848" s="193">
        <v>180044</v>
      </c>
      <c r="K848" s="105" t="s">
        <v>28</v>
      </c>
      <c r="L848" s="105" t="s">
        <v>73</v>
      </c>
      <c r="M848" s="89" t="s">
        <v>941</v>
      </c>
      <c r="N848" s="117"/>
      <c r="O848" s="140">
        <f t="shared" si="51"/>
        <v>180044</v>
      </c>
      <c r="P848" s="115"/>
      <c r="Q848" s="61">
        <f t="shared" si="53"/>
        <v>0</v>
      </c>
      <c r="R848" s="68"/>
      <c r="S848" s="72" t="s">
        <v>1620</v>
      </c>
      <c r="T848" s="105" t="s">
        <v>972</v>
      </c>
      <c r="U848" s="59" t="s">
        <v>1465</v>
      </c>
      <c r="V848" s="68"/>
      <c r="W848" s="68"/>
      <c r="X848" s="68"/>
    </row>
    <row r="849" s="17" customFormat="1" ht="36" hidden="1" spans="1:24">
      <c r="A849" s="59">
        <v>846</v>
      </c>
      <c r="B849" s="165" t="s">
        <v>1926</v>
      </c>
      <c r="C849" s="153">
        <f t="shared" si="54"/>
        <v>45394</v>
      </c>
      <c r="D849" s="62" t="str">
        <f ca="1" t="shared" si="50"/>
        <v>一年以上</v>
      </c>
      <c r="E849" s="115">
        <v>45394</v>
      </c>
      <c r="F849" s="115" t="s">
        <v>130</v>
      </c>
      <c r="G849" s="132" t="s">
        <v>1920</v>
      </c>
      <c r="H849" s="100" t="s">
        <v>863</v>
      </c>
      <c r="I849" s="63" t="str">
        <f t="shared" si="52"/>
        <v>青海发投碱业有限公司</v>
      </c>
      <c r="J849" s="193">
        <v>180000</v>
      </c>
      <c r="K849" s="105" t="s">
        <v>28</v>
      </c>
      <c r="L849" s="105" t="s">
        <v>73</v>
      </c>
      <c r="M849" s="89" t="s">
        <v>133</v>
      </c>
      <c r="N849" s="117"/>
      <c r="O849" s="140">
        <f t="shared" si="51"/>
        <v>180000</v>
      </c>
      <c r="P849" s="115"/>
      <c r="Q849" s="61">
        <f t="shared" si="53"/>
        <v>0</v>
      </c>
      <c r="R849" s="68"/>
      <c r="S849" s="72" t="s">
        <v>1893</v>
      </c>
      <c r="T849" s="105" t="s">
        <v>972</v>
      </c>
      <c r="U849" s="59" t="s">
        <v>1465</v>
      </c>
      <c r="V849" s="68"/>
      <c r="W849" s="68"/>
      <c r="X849" s="68"/>
    </row>
    <row r="850" s="17" customFormat="1" ht="36" hidden="1" spans="1:24">
      <c r="A850" s="59">
        <v>847</v>
      </c>
      <c r="B850" s="165" t="s">
        <v>1927</v>
      </c>
      <c r="C850" s="153">
        <f t="shared" si="54"/>
        <v>45394</v>
      </c>
      <c r="D850" s="62" t="str">
        <f ca="1" t="shared" si="50"/>
        <v>一年以上</v>
      </c>
      <c r="E850" s="115">
        <v>45394</v>
      </c>
      <c r="F850" s="115" t="s">
        <v>70</v>
      </c>
      <c r="G850" s="132" t="s">
        <v>1088</v>
      </c>
      <c r="H850" s="100" t="s">
        <v>797</v>
      </c>
      <c r="I850" s="63" t="str">
        <f t="shared" si="52"/>
        <v>山东泰山钢铁集团有限公司</v>
      </c>
      <c r="J850" s="193">
        <v>10000</v>
      </c>
      <c r="K850" s="105" t="s">
        <v>28</v>
      </c>
      <c r="L850" s="105" t="s">
        <v>73</v>
      </c>
      <c r="M850" s="89" t="s">
        <v>65</v>
      </c>
      <c r="N850" s="117"/>
      <c r="O850" s="137">
        <f t="shared" si="51"/>
        <v>10000</v>
      </c>
      <c r="P850" s="115"/>
      <c r="Q850" s="61"/>
      <c r="R850" s="68"/>
      <c r="S850" s="68" t="s">
        <v>1928</v>
      </c>
      <c r="T850" s="105" t="s">
        <v>86</v>
      </c>
      <c r="U850" s="105" t="s">
        <v>1902</v>
      </c>
      <c r="V850" s="68"/>
      <c r="W850" s="68"/>
      <c r="X850" s="68"/>
    </row>
    <row r="851" s="17" customFormat="1" ht="24" hidden="1" spans="1:24">
      <c r="A851" s="59">
        <v>848</v>
      </c>
      <c r="B851" s="165" t="s">
        <v>1898</v>
      </c>
      <c r="C851" s="153">
        <f t="shared" si="54"/>
        <v>45395</v>
      </c>
      <c r="D851" s="62" t="str">
        <f ca="1" t="shared" si="50"/>
        <v>一年以上</v>
      </c>
      <c r="E851" s="115">
        <v>45395</v>
      </c>
      <c r="F851" s="115" t="s">
        <v>1929</v>
      </c>
      <c r="G851" s="132" t="s">
        <v>450</v>
      </c>
      <c r="H851" s="100" t="s">
        <v>797</v>
      </c>
      <c r="I851" s="63" t="str">
        <f t="shared" si="52"/>
        <v>山东泰山钢铁集团有限公司</v>
      </c>
      <c r="J851" s="193">
        <v>5000</v>
      </c>
      <c r="K851" s="105" t="s">
        <v>28</v>
      </c>
      <c r="L851" s="105" t="s">
        <v>73</v>
      </c>
      <c r="M851" s="89" t="s">
        <v>65</v>
      </c>
      <c r="N851" s="117"/>
      <c r="O851" s="137">
        <f t="shared" si="51"/>
        <v>5000</v>
      </c>
      <c r="P851" s="144"/>
      <c r="Q851" s="61"/>
      <c r="R851" s="68"/>
      <c r="S851" s="68"/>
      <c r="T851" s="105"/>
      <c r="U851" s="105"/>
      <c r="V851" s="68"/>
      <c r="W851" s="68"/>
      <c r="X851" s="68"/>
    </row>
    <row r="852" s="17" customFormat="1" ht="13" hidden="1" customHeight="1" spans="1:24">
      <c r="A852" s="59">
        <v>849</v>
      </c>
      <c r="B852" s="91" t="s">
        <v>2663</v>
      </c>
      <c r="C852" s="153">
        <f t="shared" si="54"/>
        <v>45400</v>
      </c>
      <c r="D852" s="62" t="str">
        <f ca="1" t="shared" si="50"/>
        <v>一年以上</v>
      </c>
      <c r="E852" s="115">
        <v>45400</v>
      </c>
      <c r="F852" s="115" t="s">
        <v>1875</v>
      </c>
      <c r="G852" s="158" t="s">
        <v>1876</v>
      </c>
      <c r="H852" s="100" t="s">
        <v>863</v>
      </c>
      <c r="I852" s="63" t="str">
        <f t="shared" si="52"/>
        <v>青海发投碱业有限公司</v>
      </c>
      <c r="J852" s="193">
        <v>180000</v>
      </c>
      <c r="K852" s="105" t="s">
        <v>28</v>
      </c>
      <c r="L852" s="105" t="s">
        <v>73</v>
      </c>
      <c r="M852" s="109" t="s">
        <v>65</v>
      </c>
      <c r="N852" s="161"/>
      <c r="O852" s="166">
        <f t="shared" si="51"/>
        <v>180000</v>
      </c>
      <c r="P852" s="115"/>
      <c r="Q852" s="61"/>
      <c r="R852" s="68"/>
      <c r="S852" s="72" t="s">
        <v>1931</v>
      </c>
      <c r="T852" s="105" t="s">
        <v>972</v>
      </c>
      <c r="U852" s="59" t="s">
        <v>1465</v>
      </c>
      <c r="V852" s="68"/>
      <c r="W852" s="68"/>
      <c r="X852" s="68"/>
    </row>
    <row r="853" s="25" customFormat="1" ht="18" hidden="1" customHeight="1" spans="1:24">
      <c r="A853" s="67">
        <v>850</v>
      </c>
      <c r="B853" s="194" t="s">
        <v>2664</v>
      </c>
      <c r="C853" s="170">
        <f t="shared" si="54"/>
        <v>45398</v>
      </c>
      <c r="D853" s="171" t="str">
        <f ca="1" t="shared" ref="D853:D876" si="55">IF(TODAY()-E853&lt;60,"2个月内",IF(TODAY()-E853&lt;180,"3-6个月",IF(TODAY()-E853&lt;360,"6个月-1年","一年以上")))</f>
        <v>一年以上</v>
      </c>
      <c r="E853" s="172">
        <v>45398</v>
      </c>
      <c r="F853" s="172" t="s">
        <v>70</v>
      </c>
      <c r="G853" s="195" t="s">
        <v>1933</v>
      </c>
      <c r="H853" s="125" t="s">
        <v>222</v>
      </c>
      <c r="I853" s="159" t="str">
        <f t="shared" si="52"/>
        <v>天瑞新登郑州水泥有限公司</v>
      </c>
      <c r="J853" s="196">
        <v>2000</v>
      </c>
      <c r="K853" s="174" t="s">
        <v>28</v>
      </c>
      <c r="L853" s="174" t="s">
        <v>73</v>
      </c>
      <c r="M853" s="197" t="s">
        <v>65</v>
      </c>
      <c r="N853" s="198"/>
      <c r="O853" s="199">
        <f t="shared" si="51"/>
        <v>2000</v>
      </c>
      <c r="P853" s="172"/>
      <c r="Q853" s="200"/>
      <c r="R853" s="177"/>
      <c r="S853" s="177" t="s">
        <v>1935</v>
      </c>
      <c r="T853" s="174" t="s">
        <v>32</v>
      </c>
      <c r="U853" s="174" t="s">
        <v>294</v>
      </c>
      <c r="V853" s="177"/>
      <c r="W853" s="177"/>
      <c r="X853" s="177"/>
    </row>
    <row r="854" s="17" customFormat="1" ht="25" hidden="1" customHeight="1" spans="1:24">
      <c r="A854" s="59">
        <v>851</v>
      </c>
      <c r="B854" s="91" t="s">
        <v>1936</v>
      </c>
      <c r="C854" s="153">
        <f t="shared" si="54"/>
        <v>45398</v>
      </c>
      <c r="D854" s="62" t="str">
        <f ca="1" t="shared" si="55"/>
        <v>一年以上</v>
      </c>
      <c r="E854" s="115">
        <v>45398</v>
      </c>
      <c r="F854" s="115" t="s">
        <v>632</v>
      </c>
      <c r="G854" s="158" t="s">
        <v>450</v>
      </c>
      <c r="H854" s="100" t="s">
        <v>1413</v>
      </c>
      <c r="I854" s="63" t="str">
        <f t="shared" si="52"/>
        <v>中机国际招标有限公司（青海发投碱业有限公司）</v>
      </c>
      <c r="J854" s="193">
        <v>500</v>
      </c>
      <c r="K854" s="105" t="s">
        <v>28</v>
      </c>
      <c r="L854" s="105" t="s">
        <v>73</v>
      </c>
      <c r="M854" s="109" t="s">
        <v>515</v>
      </c>
      <c r="N854" s="161"/>
      <c r="O854" s="166">
        <f t="shared" si="51"/>
        <v>500</v>
      </c>
      <c r="P854" s="115"/>
      <c r="Q854" s="61"/>
      <c r="R854" s="68"/>
      <c r="S854" s="68" t="s">
        <v>1937</v>
      </c>
      <c r="T854" s="105" t="s">
        <v>972</v>
      </c>
      <c r="U854" s="59" t="s">
        <v>1465</v>
      </c>
      <c r="V854" s="68"/>
      <c r="W854" s="68"/>
      <c r="X854" s="68"/>
    </row>
    <row r="855" s="17" customFormat="1" ht="24" hidden="1" customHeight="1" spans="1:24">
      <c r="A855" s="59">
        <v>852</v>
      </c>
      <c r="B855" s="91" t="s">
        <v>1938</v>
      </c>
      <c r="C855" s="153">
        <f t="shared" si="54"/>
        <v>45399</v>
      </c>
      <c r="D855" s="62" t="str">
        <f ca="1" t="shared" si="55"/>
        <v>一年以上</v>
      </c>
      <c r="E855" s="115">
        <v>45399</v>
      </c>
      <c r="F855" s="115" t="s">
        <v>632</v>
      </c>
      <c r="G855" s="158" t="s">
        <v>450</v>
      </c>
      <c r="H855" s="100" t="s">
        <v>1939</v>
      </c>
      <c r="I855" s="63" t="str">
        <f t="shared" si="52"/>
        <v>青海盐湖镁业有限公司</v>
      </c>
      <c r="J855" s="193">
        <v>1200</v>
      </c>
      <c r="K855" s="105" t="s">
        <v>28</v>
      </c>
      <c r="L855" s="105" t="s">
        <v>73</v>
      </c>
      <c r="M855" s="109" t="s">
        <v>515</v>
      </c>
      <c r="N855" s="161"/>
      <c r="O855" s="162">
        <f t="shared" si="51"/>
        <v>1200</v>
      </c>
      <c r="P855" s="115"/>
      <c r="Q855" s="61"/>
      <c r="R855" s="68"/>
      <c r="S855" s="72" t="s">
        <v>1940</v>
      </c>
      <c r="T855" s="105" t="s">
        <v>972</v>
      </c>
      <c r="U855" s="105" t="s">
        <v>537</v>
      </c>
      <c r="V855" s="68"/>
      <c r="W855" s="68"/>
      <c r="X855" s="68"/>
    </row>
    <row r="856" s="17" customFormat="1" ht="18" hidden="1" customHeight="1" spans="1:24">
      <c r="A856" s="59">
        <v>853</v>
      </c>
      <c r="B856" s="91" t="s">
        <v>1941</v>
      </c>
      <c r="C856" s="153">
        <f t="shared" si="54"/>
        <v>45400</v>
      </c>
      <c r="D856" s="62" t="str">
        <f ca="1" t="shared" si="55"/>
        <v>一年以上</v>
      </c>
      <c r="E856" s="115">
        <v>45400</v>
      </c>
      <c r="F856" s="115" t="s">
        <v>632</v>
      </c>
      <c r="G856" s="158" t="s">
        <v>450</v>
      </c>
      <c r="H856" s="100" t="s">
        <v>1665</v>
      </c>
      <c r="I856" s="63" t="str">
        <f t="shared" si="52"/>
        <v>北方水泥有限公司（总部）</v>
      </c>
      <c r="J856" s="193">
        <v>200</v>
      </c>
      <c r="K856" s="105" t="s">
        <v>28</v>
      </c>
      <c r="L856" s="105" t="s">
        <v>73</v>
      </c>
      <c r="M856" s="109" t="s">
        <v>515</v>
      </c>
      <c r="N856" s="161"/>
      <c r="O856" s="162">
        <f t="shared" si="51"/>
        <v>200</v>
      </c>
      <c r="P856" s="115"/>
      <c r="Q856" s="61"/>
      <c r="R856" s="68"/>
      <c r="S856" s="68" t="s">
        <v>1942</v>
      </c>
      <c r="T856" s="105" t="s">
        <v>1943</v>
      </c>
      <c r="U856" s="105" t="s">
        <v>294</v>
      </c>
      <c r="V856" s="68"/>
      <c r="W856" s="68"/>
      <c r="X856" s="68"/>
    </row>
    <row r="857" s="25" customFormat="1" ht="18" hidden="1" customHeight="1" spans="1:24">
      <c r="A857" s="67">
        <v>854</v>
      </c>
      <c r="B857" s="169" t="s">
        <v>1944</v>
      </c>
      <c r="C857" s="170">
        <f t="shared" si="54"/>
        <v>45400</v>
      </c>
      <c r="D857" s="171" t="str">
        <f ca="1" t="shared" si="55"/>
        <v>一年以上</v>
      </c>
      <c r="E857" s="172">
        <v>45400</v>
      </c>
      <c r="F857" s="172" t="s">
        <v>632</v>
      </c>
      <c r="G857" s="195" t="s">
        <v>450</v>
      </c>
      <c r="H857" s="125" t="s">
        <v>1665</v>
      </c>
      <c r="I857" s="159" t="str">
        <f t="shared" si="52"/>
        <v>北方水泥有限公司（总部）</v>
      </c>
      <c r="J857" s="196">
        <v>4000</v>
      </c>
      <c r="K857" s="174" t="s">
        <v>28</v>
      </c>
      <c r="L857" s="174" t="s">
        <v>73</v>
      </c>
      <c r="M857" s="197" t="s">
        <v>30</v>
      </c>
      <c r="N857" s="198">
        <v>4000</v>
      </c>
      <c r="O857" s="199">
        <f t="shared" si="51"/>
        <v>0</v>
      </c>
      <c r="P857" s="172">
        <v>45404</v>
      </c>
      <c r="Q857" s="200">
        <f>P857</f>
        <v>45404</v>
      </c>
      <c r="R857" s="177"/>
      <c r="S857" s="177" t="s">
        <v>1942</v>
      </c>
      <c r="T857" s="174" t="s">
        <v>1943</v>
      </c>
      <c r="U857" s="174" t="s">
        <v>294</v>
      </c>
      <c r="V857" s="177"/>
      <c r="W857" s="177"/>
      <c r="X857" s="177"/>
    </row>
    <row r="858" s="17" customFormat="1" ht="36" hidden="1" spans="1:24">
      <c r="A858" s="59">
        <v>855</v>
      </c>
      <c r="B858" s="60" t="s">
        <v>2665</v>
      </c>
      <c r="C858" s="153">
        <f t="shared" si="54"/>
        <v>45412</v>
      </c>
      <c r="D858" s="62" t="str">
        <f ca="1" t="shared" si="55"/>
        <v>一年以上</v>
      </c>
      <c r="E858" s="115">
        <v>45412</v>
      </c>
      <c r="F858" s="115" t="s">
        <v>632</v>
      </c>
      <c r="G858" s="158" t="s">
        <v>450</v>
      </c>
      <c r="H858" s="100" t="s">
        <v>1939</v>
      </c>
      <c r="I858" s="63" t="str">
        <f t="shared" si="52"/>
        <v>青海盐湖镁业有限公司</v>
      </c>
      <c r="J858" s="160">
        <v>20000</v>
      </c>
      <c r="K858" s="105" t="s">
        <v>28</v>
      </c>
      <c r="L858" s="105" t="s">
        <v>73</v>
      </c>
      <c r="M858" s="109" t="s">
        <v>30</v>
      </c>
      <c r="N858" s="161">
        <v>20000</v>
      </c>
      <c r="O858" s="162">
        <f t="shared" si="51"/>
        <v>0</v>
      </c>
      <c r="P858" s="144" t="s">
        <v>2666</v>
      </c>
      <c r="Q858" s="61"/>
      <c r="R858" s="68"/>
      <c r="S858" s="72" t="s">
        <v>1940</v>
      </c>
      <c r="T858" s="105" t="s">
        <v>972</v>
      </c>
      <c r="U858" s="105" t="s">
        <v>537</v>
      </c>
      <c r="V858" s="68"/>
      <c r="W858" s="68"/>
      <c r="X858" s="68"/>
    </row>
    <row r="859" s="17" customFormat="1" ht="36" hidden="1" spans="1:24">
      <c r="A859" s="59">
        <v>856</v>
      </c>
      <c r="B859" s="60" t="s">
        <v>1946</v>
      </c>
      <c r="C859" s="153">
        <f t="shared" si="54"/>
        <v>45409</v>
      </c>
      <c r="D859" s="62" t="str">
        <f ca="1" t="shared" si="55"/>
        <v>一年以上</v>
      </c>
      <c r="E859" s="115">
        <v>45409</v>
      </c>
      <c r="F859" s="115" t="s">
        <v>1875</v>
      </c>
      <c r="G859" s="158" t="s">
        <v>1876</v>
      </c>
      <c r="H859" s="100" t="s">
        <v>863</v>
      </c>
      <c r="I859" s="63" t="str">
        <f t="shared" si="52"/>
        <v>青海发投碱业有限公司</v>
      </c>
      <c r="J859" s="160">
        <v>3000</v>
      </c>
      <c r="K859" s="105" t="s">
        <v>28</v>
      </c>
      <c r="L859" s="105" t="s">
        <v>73</v>
      </c>
      <c r="M859" s="109" t="s">
        <v>65</v>
      </c>
      <c r="N859" s="161"/>
      <c r="O859" s="166">
        <f t="shared" ref="O859:O873" si="56">J859-N859</f>
        <v>3000</v>
      </c>
      <c r="P859" s="144"/>
      <c r="Q859" s="61"/>
      <c r="R859" s="68"/>
      <c r="S859" s="72" t="s">
        <v>1947</v>
      </c>
      <c r="T859" s="105" t="s">
        <v>972</v>
      </c>
      <c r="U859" s="59" t="s">
        <v>1465</v>
      </c>
      <c r="V859" s="68"/>
      <c r="W859" s="68"/>
      <c r="X859" s="68"/>
    </row>
    <row r="860" s="17" customFormat="1" ht="14" hidden="1" customHeight="1" spans="1:24">
      <c r="A860" s="59">
        <v>857</v>
      </c>
      <c r="B860" s="60" t="s">
        <v>1948</v>
      </c>
      <c r="C860" s="153">
        <f t="shared" si="54"/>
        <v>45407</v>
      </c>
      <c r="D860" s="62" t="str">
        <f ca="1" t="shared" si="55"/>
        <v>一年以上</v>
      </c>
      <c r="E860" s="115">
        <v>45407</v>
      </c>
      <c r="F860" s="115" t="s">
        <v>1875</v>
      </c>
      <c r="G860" s="158" t="s">
        <v>1876</v>
      </c>
      <c r="H860" s="100" t="s">
        <v>863</v>
      </c>
      <c r="I860" s="63" t="str">
        <f t="shared" si="52"/>
        <v>青海发投碱业有限公司</v>
      </c>
      <c r="J860" s="160">
        <v>10000</v>
      </c>
      <c r="K860" s="105" t="s">
        <v>28</v>
      </c>
      <c r="L860" s="105" t="s">
        <v>73</v>
      </c>
      <c r="M860" s="109" t="s">
        <v>65</v>
      </c>
      <c r="N860" s="161"/>
      <c r="O860" s="166">
        <f t="shared" si="56"/>
        <v>10000</v>
      </c>
      <c r="P860" s="144"/>
      <c r="Q860" s="61"/>
      <c r="R860" s="68"/>
      <c r="S860" s="72" t="s">
        <v>2667</v>
      </c>
      <c r="T860" s="105" t="s">
        <v>972</v>
      </c>
      <c r="U860" s="59" t="s">
        <v>1465</v>
      </c>
      <c r="V860" s="68"/>
      <c r="W860" s="68"/>
      <c r="X860" s="68"/>
    </row>
    <row r="861" s="17" customFormat="1" ht="14" hidden="1" customHeight="1" spans="1:24">
      <c r="A861" s="59">
        <v>858</v>
      </c>
      <c r="B861" s="60" t="s">
        <v>1950</v>
      </c>
      <c r="C861" s="153">
        <f t="shared" si="54"/>
        <v>45407</v>
      </c>
      <c r="D861" s="62" t="str">
        <f ca="1" t="shared" si="55"/>
        <v>一年以上</v>
      </c>
      <c r="E861" s="115">
        <v>45407</v>
      </c>
      <c r="F861" s="115" t="s">
        <v>1875</v>
      </c>
      <c r="G861" s="132" t="s">
        <v>1876</v>
      </c>
      <c r="H861" s="100" t="s">
        <v>863</v>
      </c>
      <c r="I861" s="63" t="str">
        <f t="shared" si="52"/>
        <v>青海发投碱业有限公司</v>
      </c>
      <c r="J861" s="116">
        <v>8000</v>
      </c>
      <c r="K861" s="105" t="s">
        <v>28</v>
      </c>
      <c r="L861" s="105" t="s">
        <v>73</v>
      </c>
      <c r="M861" s="89" t="s">
        <v>65</v>
      </c>
      <c r="N861" s="117"/>
      <c r="O861" s="140">
        <f t="shared" si="56"/>
        <v>8000</v>
      </c>
      <c r="P861" s="144"/>
      <c r="Q861" s="61"/>
      <c r="R861" s="68"/>
      <c r="S861" s="72" t="s">
        <v>1951</v>
      </c>
      <c r="T861" s="105" t="s">
        <v>972</v>
      </c>
      <c r="U861" s="59" t="s">
        <v>1465</v>
      </c>
      <c r="V861" s="68"/>
      <c r="W861" s="68"/>
      <c r="X861" s="68"/>
    </row>
    <row r="862" s="17" customFormat="1" ht="14" hidden="1" customHeight="1" spans="1:24">
      <c r="A862" s="59">
        <v>859</v>
      </c>
      <c r="B862" s="60" t="s">
        <v>1952</v>
      </c>
      <c r="C862" s="153">
        <f t="shared" si="54"/>
        <v>45407</v>
      </c>
      <c r="D862" s="62" t="str">
        <f ca="1" t="shared" si="55"/>
        <v>一年以上</v>
      </c>
      <c r="E862" s="115">
        <v>45407</v>
      </c>
      <c r="F862" s="115" t="s">
        <v>1875</v>
      </c>
      <c r="G862" s="132" t="s">
        <v>1876</v>
      </c>
      <c r="H862" s="100" t="s">
        <v>863</v>
      </c>
      <c r="I862" s="63" t="str">
        <f t="shared" si="52"/>
        <v>青海发投碱业有限公司</v>
      </c>
      <c r="J862" s="116">
        <v>5000</v>
      </c>
      <c r="K862" s="105" t="s">
        <v>28</v>
      </c>
      <c r="L862" s="105" t="s">
        <v>73</v>
      </c>
      <c r="M862" s="89" t="s">
        <v>65</v>
      </c>
      <c r="N862" s="117"/>
      <c r="O862" s="140">
        <f t="shared" si="56"/>
        <v>5000</v>
      </c>
      <c r="P862" s="144"/>
      <c r="Q862" s="61"/>
      <c r="R862" s="68"/>
      <c r="S862" s="72" t="s">
        <v>1953</v>
      </c>
      <c r="T862" s="105" t="s">
        <v>972</v>
      </c>
      <c r="U862" s="59" t="s">
        <v>1465</v>
      </c>
      <c r="V862" s="68"/>
      <c r="W862" s="68"/>
      <c r="X862" s="68"/>
    </row>
    <row r="863" s="27" customFormat="1" ht="19" hidden="1" customHeight="1" spans="1:24">
      <c r="A863" s="201">
        <v>860</v>
      </c>
      <c r="B863" s="165" t="s">
        <v>1954</v>
      </c>
      <c r="C863" s="153">
        <f t="shared" si="54"/>
        <v>45411</v>
      </c>
      <c r="D863" s="62" t="str">
        <f ca="1" t="shared" si="55"/>
        <v>一年以上</v>
      </c>
      <c r="E863" s="202">
        <v>45411</v>
      </c>
      <c r="F863" s="115" t="s">
        <v>1875</v>
      </c>
      <c r="G863" s="165" t="s">
        <v>1876</v>
      </c>
      <c r="H863" s="100" t="s">
        <v>863</v>
      </c>
      <c r="I863" s="100" t="s">
        <v>863</v>
      </c>
      <c r="J863" s="203">
        <v>14000</v>
      </c>
      <c r="K863" s="105" t="s">
        <v>28</v>
      </c>
      <c r="L863" s="105" t="s">
        <v>73</v>
      </c>
      <c r="M863" s="165" t="s">
        <v>65</v>
      </c>
      <c r="N863" s="204"/>
      <c r="O863" s="140">
        <f t="shared" si="56"/>
        <v>14000</v>
      </c>
      <c r="P863" s="205"/>
      <c r="Q863" s="165"/>
      <c r="R863" s="206">
        <v>0</v>
      </c>
      <c r="S863" s="165" t="s">
        <v>1955</v>
      </c>
      <c r="T863" s="165" t="s">
        <v>1956</v>
      </c>
      <c r="U863" s="165" t="s">
        <v>1957</v>
      </c>
      <c r="V863" s="165" t="s">
        <v>653</v>
      </c>
      <c r="W863" s="201"/>
      <c r="X863" s="201"/>
    </row>
    <row r="864" s="27" customFormat="1" ht="36" hidden="1" spans="1:24">
      <c r="A864" s="201">
        <v>861</v>
      </c>
      <c r="B864" s="165" t="s">
        <v>1958</v>
      </c>
      <c r="C864" s="153">
        <f t="shared" si="54"/>
        <v>45417</v>
      </c>
      <c r="D864" s="62" t="str">
        <f ca="1" t="shared" si="55"/>
        <v>一年以上</v>
      </c>
      <c r="E864" s="202">
        <v>45417</v>
      </c>
      <c r="F864" s="165" t="s">
        <v>632</v>
      </c>
      <c r="G864" s="165" t="s">
        <v>450</v>
      </c>
      <c r="H864" s="165" t="s">
        <v>851</v>
      </c>
      <c r="I864" s="165" t="s">
        <v>851</v>
      </c>
      <c r="J864" s="206">
        <v>10000</v>
      </c>
      <c r="K864" s="105" t="s">
        <v>28</v>
      </c>
      <c r="L864" s="105" t="s">
        <v>73</v>
      </c>
      <c r="M864" s="165" t="s">
        <v>30</v>
      </c>
      <c r="N864" s="204">
        <v>10000</v>
      </c>
      <c r="O864" s="137">
        <f t="shared" si="56"/>
        <v>0</v>
      </c>
      <c r="P864" s="207">
        <v>45441</v>
      </c>
      <c r="Q864" s="208">
        <v>45413</v>
      </c>
      <c r="R864" s="206">
        <v>0</v>
      </c>
      <c r="S864" s="165" t="s">
        <v>1959</v>
      </c>
      <c r="T864" s="165" t="s">
        <v>1956</v>
      </c>
      <c r="U864" s="165"/>
      <c r="V864" s="165" t="s">
        <v>653</v>
      </c>
      <c r="W864" s="201"/>
      <c r="X864" s="201"/>
    </row>
    <row r="865" s="27" customFormat="1" ht="36" hidden="1" spans="1:24">
      <c r="A865" s="201">
        <v>862</v>
      </c>
      <c r="B865" s="165" t="s">
        <v>1960</v>
      </c>
      <c r="C865" s="153">
        <f t="shared" si="54"/>
        <v>45418</v>
      </c>
      <c r="D865" s="62" t="str">
        <f ca="1" t="shared" si="55"/>
        <v>一年以上</v>
      </c>
      <c r="E865" s="202">
        <v>45418</v>
      </c>
      <c r="F865" s="165" t="s">
        <v>632</v>
      </c>
      <c r="G865" s="165" t="s">
        <v>450</v>
      </c>
      <c r="H865" s="165" t="s">
        <v>1900</v>
      </c>
      <c r="I865" s="165" t="s">
        <v>1900</v>
      </c>
      <c r="J865" s="206">
        <v>8000</v>
      </c>
      <c r="K865" s="105" t="s">
        <v>28</v>
      </c>
      <c r="L865" s="105" t="s">
        <v>73</v>
      </c>
      <c r="M865" s="165" t="s">
        <v>30</v>
      </c>
      <c r="N865" s="204">
        <v>8000</v>
      </c>
      <c r="O865" s="137">
        <f t="shared" si="56"/>
        <v>0</v>
      </c>
      <c r="P865" s="205">
        <v>45468</v>
      </c>
      <c r="Q865" s="165"/>
      <c r="R865" s="206">
        <v>0</v>
      </c>
      <c r="S865" s="165" t="s">
        <v>1961</v>
      </c>
      <c r="T865" s="165" t="s">
        <v>1956</v>
      </c>
      <c r="U865" s="165" t="s">
        <v>1957</v>
      </c>
      <c r="V865" s="165" t="s">
        <v>653</v>
      </c>
      <c r="W865" s="201"/>
      <c r="X865" s="201"/>
    </row>
    <row r="866" s="27" customFormat="1" ht="14" hidden="1" customHeight="1" spans="1:24">
      <c r="A866" s="201">
        <v>863</v>
      </c>
      <c r="B866" s="165" t="s">
        <v>1962</v>
      </c>
      <c r="C866" s="153">
        <f t="shared" si="54"/>
        <v>45420</v>
      </c>
      <c r="D866" s="62" t="str">
        <f ca="1" t="shared" si="55"/>
        <v>一年以上</v>
      </c>
      <c r="E866" s="202">
        <v>45420</v>
      </c>
      <c r="F866" s="165" t="s">
        <v>130</v>
      </c>
      <c r="G866" s="165" t="s">
        <v>1963</v>
      </c>
      <c r="H866" s="165" t="s">
        <v>863</v>
      </c>
      <c r="I866" s="165" t="s">
        <v>863</v>
      </c>
      <c r="J866" s="206">
        <v>14300</v>
      </c>
      <c r="K866" s="105" t="s">
        <v>28</v>
      </c>
      <c r="L866" s="105" t="s">
        <v>73</v>
      </c>
      <c r="M866" s="165" t="s">
        <v>133</v>
      </c>
      <c r="N866" s="204"/>
      <c r="O866" s="140">
        <f t="shared" si="56"/>
        <v>14300</v>
      </c>
      <c r="P866" s="205"/>
      <c r="Q866" s="165"/>
      <c r="R866" s="206">
        <v>0</v>
      </c>
      <c r="S866" s="165" t="s">
        <v>1964</v>
      </c>
      <c r="T866" s="165" t="s">
        <v>1956</v>
      </c>
      <c r="U866" s="165" t="s">
        <v>1957</v>
      </c>
      <c r="V866" s="165" t="s">
        <v>653</v>
      </c>
      <c r="W866" s="201"/>
      <c r="X866" s="201"/>
    </row>
    <row r="867" s="27" customFormat="1" ht="14" hidden="1" customHeight="1" spans="1:24">
      <c r="A867" s="201">
        <v>864</v>
      </c>
      <c r="B867" s="165" t="s">
        <v>1965</v>
      </c>
      <c r="C867" s="153">
        <f t="shared" si="54"/>
        <v>45423</v>
      </c>
      <c r="D867" s="62" t="str">
        <f ca="1" t="shared" si="55"/>
        <v>一年以上</v>
      </c>
      <c r="E867" s="209">
        <v>45423</v>
      </c>
      <c r="F867" s="210" t="s">
        <v>1875</v>
      </c>
      <c r="G867" s="165" t="s">
        <v>1876</v>
      </c>
      <c r="H867" s="165" t="s">
        <v>863</v>
      </c>
      <c r="I867" s="165" t="s">
        <v>863</v>
      </c>
      <c r="J867" s="206">
        <v>14300</v>
      </c>
      <c r="K867" s="105" t="s">
        <v>28</v>
      </c>
      <c r="L867" s="105" t="s">
        <v>73</v>
      </c>
      <c r="M867" s="165" t="s">
        <v>753</v>
      </c>
      <c r="N867" s="204"/>
      <c r="O867" s="140">
        <f t="shared" si="56"/>
        <v>14300</v>
      </c>
      <c r="P867" s="205"/>
      <c r="Q867" s="165"/>
      <c r="R867" s="206">
        <v>0</v>
      </c>
      <c r="S867" s="165" t="s">
        <v>1964</v>
      </c>
      <c r="T867" s="165" t="s">
        <v>1798</v>
      </c>
      <c r="U867" s="165" t="s">
        <v>1957</v>
      </c>
      <c r="V867" s="165" t="s">
        <v>653</v>
      </c>
      <c r="W867" s="201"/>
      <c r="X867" s="201"/>
    </row>
    <row r="868" s="27" customFormat="1" ht="14" hidden="1" customHeight="1" spans="1:24">
      <c r="A868" s="201">
        <v>865</v>
      </c>
      <c r="B868" s="165" t="s">
        <v>1966</v>
      </c>
      <c r="C868" s="153">
        <f t="shared" si="54"/>
        <v>45423</v>
      </c>
      <c r="D868" s="62" t="str">
        <f ca="1" t="shared" si="55"/>
        <v>一年以上</v>
      </c>
      <c r="E868" s="209">
        <v>45423</v>
      </c>
      <c r="F868" s="210" t="s">
        <v>1875</v>
      </c>
      <c r="G868" s="165" t="s">
        <v>1876</v>
      </c>
      <c r="H868" s="165" t="s">
        <v>863</v>
      </c>
      <c r="I868" s="165" t="s">
        <v>863</v>
      </c>
      <c r="J868" s="206">
        <v>15000</v>
      </c>
      <c r="K868" s="105" t="s">
        <v>28</v>
      </c>
      <c r="L868" s="105" t="s">
        <v>73</v>
      </c>
      <c r="M868" s="165" t="s">
        <v>65</v>
      </c>
      <c r="N868" s="204"/>
      <c r="O868" s="140">
        <f t="shared" si="56"/>
        <v>15000</v>
      </c>
      <c r="P868" s="205"/>
      <c r="Q868" s="165"/>
      <c r="R868" s="206">
        <v>0</v>
      </c>
      <c r="S868" s="165" t="s">
        <v>1964</v>
      </c>
      <c r="T868" s="165" t="s">
        <v>1798</v>
      </c>
      <c r="U868" s="165" t="s">
        <v>1957</v>
      </c>
      <c r="V868" s="165" t="s">
        <v>653</v>
      </c>
      <c r="W868" s="201"/>
      <c r="X868" s="201"/>
    </row>
    <row r="869" s="28" customFormat="1" ht="14" hidden="1" customHeight="1" spans="1:24">
      <c r="A869" s="211">
        <v>866</v>
      </c>
      <c r="B869" s="212" t="s">
        <v>1967</v>
      </c>
      <c r="C869" s="170">
        <f t="shared" si="54"/>
        <v>45432</v>
      </c>
      <c r="D869" s="171" t="str">
        <f ca="1" t="shared" si="55"/>
        <v>一年以上</v>
      </c>
      <c r="E869" s="209">
        <v>45432</v>
      </c>
      <c r="F869" s="210" t="s">
        <v>632</v>
      </c>
      <c r="G869" s="212" t="s">
        <v>450</v>
      </c>
      <c r="H869" s="212" t="s">
        <v>851</v>
      </c>
      <c r="I869" s="212" t="s">
        <v>851</v>
      </c>
      <c r="J869" s="203">
        <v>10000</v>
      </c>
      <c r="K869" s="174" t="s">
        <v>28</v>
      </c>
      <c r="L869" s="174" t="s">
        <v>73</v>
      </c>
      <c r="M869" s="212" t="s">
        <v>30</v>
      </c>
      <c r="N869" s="213">
        <v>10000</v>
      </c>
      <c r="O869" s="214">
        <f t="shared" si="56"/>
        <v>0</v>
      </c>
      <c r="P869" s="207">
        <v>45482</v>
      </c>
      <c r="Q869" s="208">
        <v>45474</v>
      </c>
      <c r="R869" s="203">
        <v>0</v>
      </c>
      <c r="S869" s="212" t="s">
        <v>1968</v>
      </c>
      <c r="T869" s="212" t="s">
        <v>1798</v>
      </c>
      <c r="U869" s="212"/>
      <c r="V869" s="212" t="s">
        <v>653</v>
      </c>
      <c r="W869" s="211"/>
      <c r="X869" s="211"/>
    </row>
    <row r="870" s="27" customFormat="1" ht="36" hidden="1" spans="1:24">
      <c r="A870" s="201">
        <v>867</v>
      </c>
      <c r="B870" s="165" t="s">
        <v>1969</v>
      </c>
      <c r="C870" s="153">
        <f t="shared" si="54"/>
        <v>45429</v>
      </c>
      <c r="D870" s="62" t="str">
        <f ca="1" t="shared" si="55"/>
        <v>一年以上</v>
      </c>
      <c r="E870" s="215">
        <v>45429</v>
      </c>
      <c r="F870" s="210" t="s">
        <v>632</v>
      </c>
      <c r="G870" s="204" t="s">
        <v>450</v>
      </c>
      <c r="H870" s="165" t="s">
        <v>1418</v>
      </c>
      <c r="I870" s="165" t="s">
        <v>1418</v>
      </c>
      <c r="J870" s="206">
        <v>8000</v>
      </c>
      <c r="K870" s="105" t="s">
        <v>28</v>
      </c>
      <c r="L870" s="105" t="s">
        <v>73</v>
      </c>
      <c r="M870" s="165" t="s">
        <v>30</v>
      </c>
      <c r="N870" s="204"/>
      <c r="O870" s="137">
        <f t="shared" si="56"/>
        <v>8000</v>
      </c>
      <c r="P870" s="205"/>
      <c r="Q870" s="165"/>
      <c r="R870" s="206">
        <v>0</v>
      </c>
      <c r="S870" s="165" t="s">
        <v>1971</v>
      </c>
      <c r="T870" s="165" t="s">
        <v>1798</v>
      </c>
      <c r="U870" s="165" t="s">
        <v>1957</v>
      </c>
      <c r="V870" s="165" t="s">
        <v>653</v>
      </c>
      <c r="W870" s="201"/>
      <c r="X870" s="201"/>
    </row>
    <row r="871" s="27" customFormat="1" ht="36" hidden="1" spans="1:24">
      <c r="A871" s="201">
        <v>868</v>
      </c>
      <c r="B871" s="165" t="s">
        <v>1972</v>
      </c>
      <c r="C871" s="153">
        <f t="shared" si="54"/>
        <v>45427</v>
      </c>
      <c r="D871" s="62" t="str">
        <f ca="1" t="shared" si="55"/>
        <v>一年以上</v>
      </c>
      <c r="E871" s="215">
        <v>45427</v>
      </c>
      <c r="F871" s="210" t="s">
        <v>632</v>
      </c>
      <c r="G871" s="165" t="s">
        <v>450</v>
      </c>
      <c r="H871" s="165" t="s">
        <v>1900</v>
      </c>
      <c r="I871" s="165" t="s">
        <v>1900</v>
      </c>
      <c r="J871" s="206">
        <v>20000</v>
      </c>
      <c r="K871" s="105" t="s">
        <v>28</v>
      </c>
      <c r="L871" s="105" t="s">
        <v>73</v>
      </c>
      <c r="M871" s="165" t="s">
        <v>30</v>
      </c>
      <c r="N871" s="204">
        <v>20000</v>
      </c>
      <c r="O871" s="137">
        <f t="shared" si="56"/>
        <v>0</v>
      </c>
      <c r="P871" s="205">
        <v>45460</v>
      </c>
      <c r="Q871" s="165"/>
      <c r="R871" s="206">
        <v>0</v>
      </c>
      <c r="S871" s="165" t="s">
        <v>1973</v>
      </c>
      <c r="T871" s="165" t="s">
        <v>1798</v>
      </c>
      <c r="U871" s="165" t="s">
        <v>1957</v>
      </c>
      <c r="V871" s="165" t="s">
        <v>653</v>
      </c>
      <c r="W871" s="201"/>
      <c r="X871" s="201"/>
    </row>
    <row r="872" s="27" customFormat="1" ht="18" hidden="1" customHeight="1" spans="1:24">
      <c r="A872" s="201">
        <v>869</v>
      </c>
      <c r="B872" s="165" t="s">
        <v>1974</v>
      </c>
      <c r="C872" s="153">
        <f t="shared" si="54"/>
        <v>0</v>
      </c>
      <c r="D872" s="62" t="str">
        <f ca="1" t="shared" si="55"/>
        <v>一年以上</v>
      </c>
      <c r="E872" s="210"/>
      <c r="F872" s="210" t="s">
        <v>632</v>
      </c>
      <c r="G872" s="165" t="s">
        <v>450</v>
      </c>
      <c r="H872" s="165" t="s">
        <v>1487</v>
      </c>
      <c r="I872" s="165" t="s">
        <v>1487</v>
      </c>
      <c r="J872" s="206">
        <v>0</v>
      </c>
      <c r="K872" s="105" t="s">
        <v>28</v>
      </c>
      <c r="L872" s="105" t="s">
        <v>73</v>
      </c>
      <c r="M872" s="165" t="s">
        <v>30</v>
      </c>
      <c r="N872" s="204"/>
      <c r="O872" s="137">
        <f t="shared" si="56"/>
        <v>0</v>
      </c>
      <c r="P872" s="205"/>
      <c r="Q872" s="165"/>
      <c r="R872" s="206">
        <v>0</v>
      </c>
      <c r="S872" s="165" t="s">
        <v>1975</v>
      </c>
      <c r="T872" s="165" t="s">
        <v>1798</v>
      </c>
      <c r="U872" s="165" t="s">
        <v>1957</v>
      </c>
      <c r="V872" s="165" t="s">
        <v>653</v>
      </c>
      <c r="W872" s="201"/>
      <c r="X872" s="201"/>
    </row>
    <row r="873" s="29" customFormat="1" ht="18" hidden="1" customHeight="1" spans="1:24">
      <c r="A873" s="216">
        <v>870</v>
      </c>
      <c r="B873" s="210" t="s">
        <v>1976</v>
      </c>
      <c r="C873" s="217">
        <f t="shared" si="54"/>
        <v>45433</v>
      </c>
      <c r="D873" s="121" t="str">
        <f ca="1" t="shared" si="55"/>
        <v>一年以上</v>
      </c>
      <c r="E873" s="209">
        <v>45433</v>
      </c>
      <c r="F873" s="210" t="s">
        <v>70</v>
      </c>
      <c r="G873" s="165" t="s">
        <v>1977</v>
      </c>
      <c r="H873" s="210" t="s">
        <v>1610</v>
      </c>
      <c r="I873" s="210" t="s">
        <v>1610</v>
      </c>
      <c r="J873" s="218">
        <v>5000</v>
      </c>
      <c r="K873" s="131" t="s">
        <v>28</v>
      </c>
      <c r="L873" s="131" t="s">
        <v>73</v>
      </c>
      <c r="M873" s="210" t="s">
        <v>65</v>
      </c>
      <c r="N873" s="219"/>
      <c r="O873" s="140">
        <f t="shared" si="56"/>
        <v>5000</v>
      </c>
      <c r="P873" s="220"/>
      <c r="Q873" s="210"/>
      <c r="R873" s="218">
        <v>0</v>
      </c>
      <c r="S873" s="210" t="s">
        <v>653</v>
      </c>
      <c r="T873" s="210" t="s">
        <v>1956</v>
      </c>
      <c r="U873" s="210" t="s">
        <v>1957</v>
      </c>
      <c r="V873" s="210" t="s">
        <v>653</v>
      </c>
      <c r="W873" s="216"/>
      <c r="X873" s="216"/>
    </row>
    <row r="874" s="29" customFormat="1" ht="15" hidden="1" customHeight="1" spans="1:24">
      <c r="A874" s="216">
        <v>871</v>
      </c>
      <c r="B874" s="210" t="s">
        <v>1978</v>
      </c>
      <c r="C874" s="217">
        <f t="shared" si="54"/>
        <v>45443</v>
      </c>
      <c r="D874" s="121" t="str">
        <f ca="1" t="shared" si="55"/>
        <v>一年以上</v>
      </c>
      <c r="E874" s="215">
        <v>45443</v>
      </c>
      <c r="F874" s="210" t="s">
        <v>632</v>
      </c>
      <c r="G874" s="165" t="s">
        <v>450</v>
      </c>
      <c r="H874" s="210" t="s">
        <v>90</v>
      </c>
      <c r="I874" s="210" t="s">
        <v>90</v>
      </c>
      <c r="J874" s="218">
        <v>20000</v>
      </c>
      <c r="K874" s="131" t="s">
        <v>28</v>
      </c>
      <c r="L874" s="219" t="s">
        <v>1798</v>
      </c>
      <c r="M874" s="124" t="s">
        <v>30</v>
      </c>
      <c r="N874" s="219"/>
      <c r="O874" s="140">
        <v>0</v>
      </c>
      <c r="P874" s="220"/>
      <c r="Q874" s="210"/>
      <c r="R874" s="218">
        <v>0</v>
      </c>
      <c r="S874" s="210" t="s">
        <v>1979</v>
      </c>
      <c r="T874" s="216"/>
      <c r="U874" s="210" t="s">
        <v>1957</v>
      </c>
      <c r="V874" s="210" t="s">
        <v>653</v>
      </c>
      <c r="W874" s="216"/>
      <c r="X874" s="216"/>
    </row>
    <row r="875" s="29" customFormat="1" ht="15" hidden="1" customHeight="1" spans="1:24">
      <c r="A875" s="216">
        <v>872</v>
      </c>
      <c r="B875" s="210" t="s">
        <v>1980</v>
      </c>
      <c r="C875" s="217">
        <f t="shared" si="54"/>
        <v>45443</v>
      </c>
      <c r="D875" s="121" t="str">
        <f ca="1" t="shared" si="55"/>
        <v>一年以上</v>
      </c>
      <c r="E875" s="215">
        <v>45443</v>
      </c>
      <c r="F875" s="210" t="s">
        <v>632</v>
      </c>
      <c r="G875" s="165" t="s">
        <v>450</v>
      </c>
      <c r="H875" s="210" t="s">
        <v>90</v>
      </c>
      <c r="I875" s="210" t="s">
        <v>90</v>
      </c>
      <c r="J875" s="218">
        <v>50000</v>
      </c>
      <c r="K875" s="131" t="s">
        <v>28</v>
      </c>
      <c r="L875" s="219" t="s">
        <v>1798</v>
      </c>
      <c r="M875" s="124" t="s">
        <v>30</v>
      </c>
      <c r="N875" s="219"/>
      <c r="O875" s="140">
        <v>0</v>
      </c>
      <c r="P875" s="220"/>
      <c r="Q875" s="210"/>
      <c r="R875" s="218">
        <v>0</v>
      </c>
      <c r="S875" s="210" t="s">
        <v>2668</v>
      </c>
      <c r="T875" s="216"/>
      <c r="U875" s="210" t="s">
        <v>1957</v>
      </c>
      <c r="V875" s="210" t="s">
        <v>653</v>
      </c>
      <c r="W875" s="216"/>
      <c r="X875" s="216"/>
    </row>
    <row r="876" s="29" customFormat="1" ht="15" hidden="1" customHeight="1" spans="1:24">
      <c r="A876" s="216">
        <v>873</v>
      </c>
      <c r="B876" s="210" t="s">
        <v>1984</v>
      </c>
      <c r="C876" s="217">
        <f t="shared" si="54"/>
        <v>0</v>
      </c>
      <c r="D876" s="121" t="str">
        <f ca="1" t="shared" si="55"/>
        <v>一年以上</v>
      </c>
      <c r="E876" s="210"/>
      <c r="F876" s="210" t="s">
        <v>70</v>
      </c>
      <c r="G876" s="165" t="s">
        <v>1977</v>
      </c>
      <c r="H876" s="210" t="s">
        <v>797</v>
      </c>
      <c r="I876" s="210" t="s">
        <v>797</v>
      </c>
      <c r="J876" s="218">
        <v>0</v>
      </c>
      <c r="K876" s="131" t="s">
        <v>28</v>
      </c>
      <c r="L876" s="219" t="s">
        <v>1798</v>
      </c>
      <c r="M876" s="210" t="s">
        <v>65</v>
      </c>
      <c r="N876" s="219"/>
      <c r="O876" s="140">
        <f t="shared" ref="O876:O885" si="57">J876-N876</f>
        <v>0</v>
      </c>
      <c r="P876" s="220"/>
      <c r="Q876" s="210"/>
      <c r="R876" s="218">
        <v>0</v>
      </c>
      <c r="S876" s="210" t="s">
        <v>653</v>
      </c>
      <c r="T876" s="216"/>
      <c r="U876" s="210" t="s">
        <v>1957</v>
      </c>
      <c r="V876" s="210" t="s">
        <v>653</v>
      </c>
      <c r="W876" s="216"/>
      <c r="X876" s="216"/>
    </row>
    <row r="877" s="24" customFormat="1" ht="15" hidden="1" customHeight="1" spans="1:24">
      <c r="A877" s="216">
        <v>874</v>
      </c>
      <c r="B877" s="210" t="s">
        <v>1985</v>
      </c>
      <c r="C877" s="217"/>
      <c r="D877" s="121"/>
      <c r="E877" s="209" t="s">
        <v>2669</v>
      </c>
      <c r="F877" s="210" t="s">
        <v>130</v>
      </c>
      <c r="G877" s="165" t="s">
        <v>1963</v>
      </c>
      <c r="H877" s="210" t="s">
        <v>863</v>
      </c>
      <c r="I877" s="210" t="s">
        <v>863</v>
      </c>
      <c r="J877" s="218">
        <v>6950</v>
      </c>
      <c r="K877" s="131" t="s">
        <v>28</v>
      </c>
      <c r="L877" s="131" t="s">
        <v>73</v>
      </c>
      <c r="M877" s="131" t="s">
        <v>133</v>
      </c>
      <c r="N877" s="219"/>
      <c r="O877" s="140">
        <f t="shared" si="57"/>
        <v>6950</v>
      </c>
      <c r="P877" s="121"/>
      <c r="Q877" s="209"/>
      <c r="R877" s="210"/>
      <c r="S877" s="210" t="s">
        <v>1986</v>
      </c>
      <c r="T877" s="210" t="s">
        <v>1956</v>
      </c>
      <c r="U877" s="210" t="s">
        <v>1957</v>
      </c>
      <c r="V877" s="131"/>
      <c r="W877" s="130"/>
      <c r="X877" s="130"/>
    </row>
    <row r="878" s="24" customFormat="1" ht="15" customHeight="1" spans="1:24">
      <c r="A878" s="216">
        <v>875</v>
      </c>
      <c r="B878" s="210" t="s">
        <v>1987</v>
      </c>
      <c r="C878" s="217"/>
      <c r="D878" s="121"/>
      <c r="E878" s="209" t="s">
        <v>2670</v>
      </c>
      <c r="F878" s="210" t="s">
        <v>632</v>
      </c>
      <c r="G878" s="204" t="s">
        <v>450</v>
      </c>
      <c r="H878" s="210" t="s">
        <v>1988</v>
      </c>
      <c r="I878" s="210" t="s">
        <v>1988</v>
      </c>
      <c r="J878" s="218">
        <v>2000</v>
      </c>
      <c r="K878" s="131" t="s">
        <v>28</v>
      </c>
      <c r="L878" s="131" t="s">
        <v>73</v>
      </c>
      <c r="M878" s="131" t="s">
        <v>30</v>
      </c>
      <c r="N878" s="219"/>
      <c r="O878" s="140">
        <f t="shared" si="57"/>
        <v>2000</v>
      </c>
      <c r="P878" s="121"/>
      <c r="Q878" s="209"/>
      <c r="R878" s="210"/>
      <c r="S878" s="210" t="s">
        <v>1990</v>
      </c>
      <c r="T878" s="210" t="s">
        <v>1956</v>
      </c>
      <c r="U878" s="210" t="s">
        <v>1957</v>
      </c>
      <c r="V878" s="131"/>
      <c r="W878" s="130"/>
      <c r="X878" s="130"/>
    </row>
    <row r="879" s="24" customFormat="1" ht="15" hidden="1" customHeight="1" spans="1:24">
      <c r="A879" s="216">
        <v>876</v>
      </c>
      <c r="B879" s="210" t="s">
        <v>1991</v>
      </c>
      <c r="C879" s="217"/>
      <c r="D879" s="121"/>
      <c r="E879" s="209" t="s">
        <v>2671</v>
      </c>
      <c r="F879" s="210" t="s">
        <v>1992</v>
      </c>
      <c r="G879" s="165" t="s">
        <v>1977</v>
      </c>
      <c r="H879" s="210" t="s">
        <v>863</v>
      </c>
      <c r="I879" s="210" t="s">
        <v>863</v>
      </c>
      <c r="J879" s="218">
        <v>7000</v>
      </c>
      <c r="K879" s="131" t="s">
        <v>28</v>
      </c>
      <c r="L879" s="131" t="s">
        <v>73</v>
      </c>
      <c r="M879" s="131" t="s">
        <v>65</v>
      </c>
      <c r="N879" s="219"/>
      <c r="O879" s="140">
        <f t="shared" si="57"/>
        <v>7000</v>
      </c>
      <c r="P879" s="121"/>
      <c r="Q879" s="209"/>
      <c r="R879" s="210"/>
      <c r="S879" s="210" t="s">
        <v>1986</v>
      </c>
      <c r="T879" s="210" t="s">
        <v>1956</v>
      </c>
      <c r="U879" s="210" t="s">
        <v>1957</v>
      </c>
      <c r="V879" s="131"/>
      <c r="W879" s="130"/>
      <c r="X879" s="130"/>
    </row>
    <row r="880" s="24" customFormat="1" ht="15" hidden="1" customHeight="1" spans="1:24">
      <c r="A880" s="216">
        <v>877</v>
      </c>
      <c r="B880" s="210" t="s">
        <v>1993</v>
      </c>
      <c r="C880" s="217"/>
      <c r="D880" s="121"/>
      <c r="E880" s="209" t="s">
        <v>2671</v>
      </c>
      <c r="F880" s="210" t="s">
        <v>1992</v>
      </c>
      <c r="G880" s="165" t="s">
        <v>1977</v>
      </c>
      <c r="H880" s="210" t="s">
        <v>863</v>
      </c>
      <c r="I880" s="210" t="s">
        <v>863</v>
      </c>
      <c r="J880" s="218">
        <v>6950</v>
      </c>
      <c r="K880" s="131" t="s">
        <v>28</v>
      </c>
      <c r="L880" s="131" t="s">
        <v>73</v>
      </c>
      <c r="M880" s="131" t="s">
        <v>2672</v>
      </c>
      <c r="N880" s="219"/>
      <c r="O880" s="140">
        <f t="shared" si="57"/>
        <v>6950</v>
      </c>
      <c r="P880" s="121"/>
      <c r="Q880" s="209"/>
      <c r="R880" s="210"/>
      <c r="S880" s="210" t="s">
        <v>1986</v>
      </c>
      <c r="T880" s="210" t="s">
        <v>1956</v>
      </c>
      <c r="U880" s="210" t="s">
        <v>1957</v>
      </c>
      <c r="V880" s="131"/>
      <c r="W880" s="130"/>
      <c r="X880" s="130"/>
    </row>
    <row r="881" s="24" customFormat="1" ht="15" hidden="1" customHeight="1" spans="1:24">
      <c r="A881" s="216">
        <v>878</v>
      </c>
      <c r="B881" s="210" t="s">
        <v>1994</v>
      </c>
      <c r="C881" s="217"/>
      <c r="D881" s="121"/>
      <c r="E881" s="209" t="s">
        <v>2673</v>
      </c>
      <c r="F881" s="210" t="s">
        <v>632</v>
      </c>
      <c r="G881" s="165" t="s">
        <v>450</v>
      </c>
      <c r="H881" s="210"/>
      <c r="I881" s="210" t="s">
        <v>1814</v>
      </c>
      <c r="J881" s="218">
        <v>6000</v>
      </c>
      <c r="K881" s="131" t="s">
        <v>28</v>
      </c>
      <c r="L881" s="131" t="s">
        <v>73</v>
      </c>
      <c r="M881" s="131" t="s">
        <v>30</v>
      </c>
      <c r="N881" s="219">
        <v>6000</v>
      </c>
      <c r="O881" s="140">
        <f t="shared" si="57"/>
        <v>0</v>
      </c>
      <c r="P881" s="121" t="s">
        <v>2674</v>
      </c>
      <c r="Q881" s="209"/>
      <c r="R881" s="210"/>
      <c r="S881" s="210" t="s">
        <v>1995</v>
      </c>
      <c r="T881" s="210" t="s">
        <v>1956</v>
      </c>
      <c r="U881" s="210" t="s">
        <v>1957</v>
      </c>
      <c r="V881" s="131"/>
      <c r="W881" s="130"/>
      <c r="X881" s="130"/>
    </row>
    <row r="882" s="24" customFormat="1" ht="15" hidden="1" customHeight="1" spans="1:24">
      <c r="A882" s="216">
        <v>879</v>
      </c>
      <c r="B882" s="221" t="s">
        <v>1996</v>
      </c>
      <c r="C882" s="217"/>
      <c r="D882" s="121"/>
      <c r="E882" s="209" t="s">
        <v>2675</v>
      </c>
      <c r="F882" s="210" t="s">
        <v>632</v>
      </c>
      <c r="G882" s="204" t="s">
        <v>450</v>
      </c>
      <c r="H882" s="210"/>
      <c r="I882" s="210" t="s">
        <v>1569</v>
      </c>
      <c r="J882" s="218">
        <v>28875</v>
      </c>
      <c r="K882" s="131" t="s">
        <v>28</v>
      </c>
      <c r="L882" s="131" t="s">
        <v>73</v>
      </c>
      <c r="M882" s="131" t="s">
        <v>30</v>
      </c>
      <c r="N882" s="219"/>
      <c r="O882" s="140">
        <f t="shared" si="57"/>
        <v>28875</v>
      </c>
      <c r="P882" s="121"/>
      <c r="Q882" s="209"/>
      <c r="R882" s="210"/>
      <c r="S882" s="210" t="s">
        <v>1998</v>
      </c>
      <c r="T882" s="210" t="s">
        <v>1956</v>
      </c>
      <c r="U882" s="210" t="s">
        <v>1957</v>
      </c>
      <c r="V882" s="131"/>
      <c r="W882" s="130" t="s">
        <v>1983</v>
      </c>
      <c r="X882" s="130" t="s">
        <v>1902</v>
      </c>
    </row>
    <row r="883" s="24" customFormat="1" ht="16" hidden="1" customHeight="1" spans="1:24">
      <c r="A883" s="216">
        <v>880</v>
      </c>
      <c r="B883" s="221" t="s">
        <v>1999</v>
      </c>
      <c r="C883" s="217"/>
      <c r="D883" s="121"/>
      <c r="E883" s="209" t="s">
        <v>2676</v>
      </c>
      <c r="F883" s="210" t="s">
        <v>632</v>
      </c>
      <c r="G883" s="204" t="s">
        <v>450</v>
      </c>
      <c r="H883" s="210"/>
      <c r="I883" s="210" t="s">
        <v>863</v>
      </c>
      <c r="J883" s="218">
        <v>4000</v>
      </c>
      <c r="K883" s="131" t="s">
        <v>28</v>
      </c>
      <c r="L883" s="219" t="s">
        <v>1798</v>
      </c>
      <c r="M883" s="131" t="s">
        <v>30</v>
      </c>
      <c r="N883" s="219"/>
      <c r="O883" s="140">
        <f t="shared" si="57"/>
        <v>4000</v>
      </c>
      <c r="P883" s="121"/>
      <c r="Q883" s="209"/>
      <c r="R883" s="210"/>
      <c r="S883" s="210" t="s">
        <v>2001</v>
      </c>
      <c r="T883" s="130"/>
      <c r="U883" s="210" t="s">
        <v>1957</v>
      </c>
      <c r="V883" s="131"/>
      <c r="W883" s="130"/>
      <c r="X883" s="130"/>
    </row>
    <row r="884" s="24" customFormat="1" ht="15" hidden="1" customHeight="1" spans="1:24">
      <c r="A884" s="216">
        <v>881</v>
      </c>
      <c r="B884" s="221" t="s">
        <v>2002</v>
      </c>
      <c r="C884" s="217"/>
      <c r="D884" s="121"/>
      <c r="E884" s="209" t="s">
        <v>2677</v>
      </c>
      <c r="F884" s="210" t="s">
        <v>632</v>
      </c>
      <c r="G884" s="165" t="s">
        <v>450</v>
      </c>
      <c r="H884" s="210"/>
      <c r="I884" s="210" t="s">
        <v>325</v>
      </c>
      <c r="J884" s="218">
        <v>0</v>
      </c>
      <c r="K884" s="131" t="s">
        <v>356</v>
      </c>
      <c r="L884" s="219" t="s">
        <v>2003</v>
      </c>
      <c r="M884" s="131" t="s">
        <v>30</v>
      </c>
      <c r="N884" s="219"/>
      <c r="O884" s="140">
        <f t="shared" si="57"/>
        <v>0</v>
      </c>
      <c r="P884" s="121"/>
      <c r="Q884" s="209"/>
      <c r="R884" s="210"/>
      <c r="S884" s="210" t="s">
        <v>2004</v>
      </c>
      <c r="T884" s="130"/>
      <c r="U884" s="210" t="s">
        <v>1957</v>
      </c>
      <c r="V884" s="131"/>
      <c r="W884" s="130"/>
      <c r="X884" s="130"/>
    </row>
    <row r="885" s="24" customFormat="1" ht="15" hidden="1" customHeight="1" spans="1:24">
      <c r="A885" s="216">
        <v>882</v>
      </c>
      <c r="B885" s="222" t="s">
        <v>2678</v>
      </c>
      <c r="C885" s="217"/>
      <c r="D885" s="121"/>
      <c r="E885" s="209"/>
      <c r="F885" s="210" t="s">
        <v>632</v>
      </c>
      <c r="G885" s="204" t="s">
        <v>450</v>
      </c>
      <c r="H885" s="210"/>
      <c r="I885" s="223" t="s">
        <v>863</v>
      </c>
      <c r="J885" s="218">
        <v>30000</v>
      </c>
      <c r="K885" s="131" t="s">
        <v>1706</v>
      </c>
      <c r="L885" s="219" t="s">
        <v>73</v>
      </c>
      <c r="M885" s="131" t="s">
        <v>30</v>
      </c>
      <c r="N885" s="219"/>
      <c r="O885" s="140">
        <f t="shared" si="57"/>
        <v>30000</v>
      </c>
      <c r="P885" s="121"/>
      <c r="Q885" s="209"/>
      <c r="R885" s="210"/>
      <c r="S885" s="223" t="s">
        <v>2006</v>
      </c>
      <c r="T885" s="210" t="s">
        <v>1956</v>
      </c>
      <c r="U885" s="210" t="s">
        <v>1957</v>
      </c>
      <c r="V885" s="131"/>
      <c r="W885" s="130"/>
      <c r="X885" s="130"/>
    </row>
    <row r="886" s="24" customFormat="1" ht="15" customHeight="1" spans="1:24">
      <c r="A886" s="216"/>
      <c r="B886" s="222"/>
      <c r="C886" s="217"/>
      <c r="D886" s="121"/>
      <c r="E886" s="209"/>
      <c r="F886" s="210"/>
      <c r="G886" s="204"/>
      <c r="H886" s="210"/>
      <c r="I886" s="223"/>
      <c r="J886" s="218"/>
      <c r="K886" s="131"/>
      <c r="L886" s="219"/>
      <c r="M886" s="131"/>
      <c r="N886" s="219"/>
      <c r="O886" s="140"/>
      <c r="P886" s="121"/>
      <c r="Q886" s="209"/>
      <c r="R886" s="210"/>
      <c r="S886" s="223"/>
      <c r="T886" s="210"/>
      <c r="U886" s="210"/>
      <c r="V886" s="131"/>
      <c r="W886" s="130"/>
      <c r="X886" s="130"/>
    </row>
    <row r="887" s="24" customFormat="1" ht="15" customHeight="1" spans="1:24">
      <c r="A887" s="216"/>
      <c r="B887" s="222"/>
      <c r="C887" s="217"/>
      <c r="D887" s="121"/>
      <c r="E887" s="209"/>
      <c r="F887" s="210"/>
      <c r="G887" s="204"/>
      <c r="H887" s="210"/>
      <c r="I887" s="223"/>
      <c r="J887" s="218"/>
      <c r="K887" s="131"/>
      <c r="L887" s="219"/>
      <c r="M887" s="131"/>
      <c r="N887" s="219"/>
      <c r="O887" s="140"/>
      <c r="P887" s="121"/>
      <c r="Q887" s="209"/>
      <c r="R887" s="210"/>
      <c r="S887" s="223"/>
      <c r="T887" s="210"/>
      <c r="U887" s="210"/>
      <c r="V887" s="131"/>
      <c r="W887" s="130"/>
      <c r="X887" s="130"/>
    </row>
    <row r="888" s="24" customFormat="1" ht="15" customHeight="1" spans="1:24">
      <c r="A888" s="216"/>
      <c r="B888" s="222"/>
      <c r="C888" s="217"/>
      <c r="D888" s="121"/>
      <c r="E888" s="209"/>
      <c r="F888" s="210"/>
      <c r="G888" s="204"/>
      <c r="H888" s="210"/>
      <c r="I888" s="223"/>
      <c r="J888" s="218"/>
      <c r="K888" s="131"/>
      <c r="L888" s="219"/>
      <c r="M888" s="131"/>
      <c r="N888" s="219"/>
      <c r="O888" s="140"/>
      <c r="P888" s="121"/>
      <c r="Q888" s="209"/>
      <c r="R888" s="210"/>
      <c r="S888" s="223"/>
      <c r="T888" s="210"/>
      <c r="U888" s="210"/>
      <c r="V888" s="131"/>
      <c r="W888" s="130"/>
      <c r="X888" s="130"/>
    </row>
    <row r="889" s="24" customFormat="1" ht="15" customHeight="1" spans="1:24">
      <c r="A889" s="216"/>
      <c r="B889" s="222"/>
      <c r="C889" s="217"/>
      <c r="D889" s="121"/>
      <c r="E889" s="209"/>
      <c r="F889" s="210"/>
      <c r="G889" s="204"/>
      <c r="H889" s="210"/>
      <c r="I889" s="223"/>
      <c r="J889" s="218"/>
      <c r="K889" s="131"/>
      <c r="L889" s="219"/>
      <c r="M889" s="131"/>
      <c r="N889" s="219"/>
      <c r="O889" s="140"/>
      <c r="P889" s="121"/>
      <c r="Q889" s="209"/>
      <c r="R889" s="210"/>
      <c r="S889" s="223"/>
      <c r="T889" s="210"/>
      <c r="U889" s="210"/>
      <c r="V889" s="131"/>
      <c r="W889" s="130"/>
      <c r="X889" s="130"/>
    </row>
    <row r="890" s="24" customFormat="1" ht="15" customHeight="1" spans="1:24">
      <c r="A890" s="216"/>
      <c r="B890" s="210"/>
      <c r="C890" s="217"/>
      <c r="D890" s="121"/>
      <c r="E890" s="209"/>
      <c r="F890" s="210"/>
      <c r="G890" s="219"/>
      <c r="H890" s="210"/>
      <c r="I890" s="218"/>
      <c r="J890" s="131"/>
      <c r="K890" s="131"/>
      <c r="L890" s="210"/>
      <c r="M890" s="216"/>
      <c r="N890" s="219"/>
      <c r="O890" s="120"/>
      <c r="P890" s="121"/>
      <c r="Q890" s="209"/>
      <c r="R890" s="210"/>
      <c r="S890" s="210"/>
      <c r="T890" s="210"/>
      <c r="U890" s="218"/>
      <c r="V890" s="131"/>
      <c r="W890" s="130"/>
      <c r="X890" s="130"/>
    </row>
  </sheetData>
  <sheetProtection formatCells="0" formatColumns="0" formatRows="0" insertRows="0" insertColumns="0" insertHyperlinks="0" deleteColumns="0" deleteRows="0" sort="0" autoFilter="0" pivotTables="0"/>
  <autoFilter xmlns:etc="http://www.wps.cn/officeDocument/2017/etCustomData" ref="A2:V885" etc:filterBottomFollowUsedRange="0">
    <filterColumn colId="6">
      <customFilters>
        <customFilter operator="equal" val="周奇"/>
      </customFilters>
    </filterColumn>
    <filterColumn colId="8">
      <customFilters>
        <customFilter operator="equal" val="安徽恒泰新材料有限公司"/>
        <customFilter operator="equal" val="安徽华塑股份有限公司水泥分公司"/>
      </customFilters>
    </filterColumn>
    <filterColumn colId="14">
      <filters>
        <filter val="21,000.00"/>
        <filter val="1,000.00"/>
        <filter val="1,200.00"/>
        <filter val="11,500.00"/>
        <filter val="1,500.00"/>
        <filter val="180,000.00"/>
        <filter val="20,000.00"/>
        <filter val="10,000.00"/>
        <filter val="30,000.00"/>
        <filter val="50,000.00"/>
        <filter val="180,044.00"/>
        <filter val="20,500.00"/>
        <filter val="20.00"/>
        <filter val="30.00"/>
        <filter val="100.00"/>
        <filter val="200.00"/>
        <filter val="218.00"/>
        <filter val="220.00"/>
        <filter val="300.00"/>
        <filter val="320.00"/>
        <filter val="400.00"/>
        <filter val="500.00"/>
        <filter val="600.00"/>
        <filter val="900.00"/>
        <filter val="15,000.00"/>
        <filter val="5,000.00"/>
        <filter val="65,500.00"/>
        <filter val="15,800.00"/>
        <filter val="15,975.00"/>
        <filter val="14,000.00"/>
        <filter val="4,000.00"/>
        <filter val="14,300.00"/>
        <filter val="4,450.00"/>
        <filter val="44,802.00"/>
        <filter val="13,000.00"/>
        <filter val="3,000.00"/>
        <filter val="3,050.00"/>
        <filter val="13,500.00"/>
        <filter val="3,600.00"/>
        <filter val="3,800.00"/>
        <filter val="3,840.00"/>
        <filter val="12,000.00"/>
        <filter val="32,000.00"/>
        <filter val="2,000.00"/>
        <filter val="32,300.00"/>
        <filter val="32,400.00"/>
        <filter val="2,500.00"/>
        <filter val="2,600.00"/>
        <filter val="12,800.00"/>
        <filter val="29,000.00"/>
        <filter val="59,000.00"/>
        <filter val="89,000.00"/>
        <filter val="9,000.00"/>
        <filter val="9,250.00"/>
        <filter val="39,390.00"/>
        <filter val="28,000.00"/>
        <filter val="48,000.00"/>
        <filter val="8,000.00"/>
        <filter val="88,500.00"/>
        <filter val="28,875.00"/>
        <filter val="17,000.00"/>
        <filter val="7,000.00"/>
        <filter val="17,100.00"/>
        <filter val="27,200.00"/>
        <filter val="47,850.00"/>
        <filter val="27,999.00"/>
        <filter val="66,000.00"/>
        <filter val="6,000.00"/>
        <filter val="6,950.00"/>
      </filters>
    </filterColumn>
    <extLst/>
  </autoFilter>
  <conditionalFormatting sqref="B877:B878">
    <cfRule type="duplicateValues" dxfId="5" priority="9"/>
  </conditionalFormatting>
  <conditionalFormatting sqref="B881:B889">
    <cfRule type="duplicateValues" dxfId="5" priority="5"/>
  </conditionalFormatting>
  <conditionalFormatting sqref="E877:E878">
    <cfRule type="duplicateValues" dxfId="5" priority="3"/>
  </conditionalFormatting>
  <conditionalFormatting sqref="E879:E881">
    <cfRule type="duplicateValues" dxfId="5" priority="2"/>
  </conditionalFormatting>
  <conditionalFormatting sqref="E882:E889">
    <cfRule type="duplicateValues" dxfId="5" priority="4"/>
  </conditionalFormatting>
  <conditionalFormatting sqref="F877:F889">
    <cfRule type="duplicateValues" dxfId="5" priority="1"/>
  </conditionalFormatting>
  <conditionalFormatting sqref="B1:B876 E863 E864:F876 B891:B1048576">
    <cfRule type="duplicateValues" dxfId="5" priority="10"/>
  </conditionalFormatting>
  <conditionalFormatting sqref="N877:N878 Q877:R878">
    <cfRule type="duplicateValues" dxfId="5" priority="8"/>
  </conditionalFormatting>
  <conditionalFormatting sqref="B879:B880 B890 E890:F890">
    <cfRule type="duplicateValues" dxfId="5" priority="7"/>
  </conditionalFormatting>
  <conditionalFormatting sqref="N879:N890 Q879:R890">
    <cfRule type="duplicateValues" dxfId="5" priority="6"/>
  </conditionalFormatting>
  <dataValidations count="3">
    <dataValidation allowBlank="1" showInputMessage="1" showErrorMessage="1" sqref="H133 H150 H356 H372 H426 H432 H452 H494 H200:H275 H277:H333 H335:H339 H341:H347 H447:H448 H473:H474"/>
    <dataValidation type="list" allowBlank="1" showInputMessage="1" showErrorMessage="1" sqref="H190 H195 H199 H425 H429 M640 M848 M851 F437:F440 F442:F443 F445:F448 F473:F474 H348:H350 H353:H355 H357:H358 H375:H378 H434:H440 H442:H443 H445:H446 L423:L424 M1:M88 M90:M431 M433:M613 M615:M617 M620:M621 M634:M638 M646:M791 M793:M826 M828:M829 M832:M833 M838:M841 M843:M844 M853:M875">
      <formula1>#REF!</formula1>
    </dataValidation>
    <dataValidation type="list" allowBlank="1" showInputMessage="1" showErrorMessage="1" sqref="M432 M614 M639 M618:M619 M622:M633 M641:M645">
      <formula1>$G$867:$G$875</formula1>
    </dataValidation>
  </dataValidations>
  <pageMargins left="0.75" right="0.75" top="1" bottom="1" header="0.5" footer="0.5"/>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
  <sheetViews>
    <sheetView workbookViewId="0">
      <selection activeCell="B1026" sqref="B1026"/>
    </sheetView>
  </sheetViews>
  <sheetFormatPr defaultColWidth="9.64166666666667" defaultRowHeight="13.5" outlineLevelRow="7" outlineLevelCol="1"/>
  <cols>
    <col min="1" max="1" width="12.8916666666667" customWidth="1"/>
    <col min="2" max="2" width="14.1083333333333" style="16"/>
  </cols>
  <sheetData>
    <row r="1" spans="1:2">
      <c r="A1" t="s">
        <v>515</v>
      </c>
      <c r="B1" s="16">
        <v>12668</v>
      </c>
    </row>
    <row r="2" spans="1:2">
      <c r="A2" t="s">
        <v>30</v>
      </c>
      <c r="B2" s="16">
        <v>257775</v>
      </c>
    </row>
    <row r="3" spans="1:2">
      <c r="A3" t="s">
        <v>65</v>
      </c>
      <c r="B3" s="16">
        <v>5000</v>
      </c>
    </row>
    <row r="4" spans="1:2">
      <c r="A4" t="s">
        <v>968</v>
      </c>
      <c r="B4" s="16">
        <v>12500</v>
      </c>
    </row>
    <row r="5" spans="1:2">
      <c r="A5" t="s">
        <v>836</v>
      </c>
      <c r="B5" s="16">
        <v>4160</v>
      </c>
    </row>
    <row r="6" spans="1:2">
      <c r="A6" t="s">
        <v>133</v>
      </c>
      <c r="B6" s="16">
        <v>50000</v>
      </c>
    </row>
    <row r="8" spans="1:2">
      <c r="B8" s="16">
        <f>SUM(B1:B7)</f>
        <v>342103</v>
      </c>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72"/>
  <sheetViews>
    <sheetView workbookViewId="0">
      <pane ySplit="1" topLeftCell="A854" activePane="bottomLeft" state="frozen"/>
      <selection/>
      <selection pane="bottomLeft" activeCell="K772" sqref="K772"/>
    </sheetView>
  </sheetViews>
  <sheetFormatPr defaultColWidth="9.64166666666667" defaultRowHeight="13.5" outlineLevelCol="5"/>
  <cols>
    <col min="1" max="1" width="13.2083333333333"/>
    <col min="2" max="2" width="39.875" customWidth="1"/>
    <col min="3" max="3" width="17.125"/>
    <col min="4" max="4" width="8.875"/>
    <col min="5" max="5" width="12.875"/>
    <col min="6" max="6" width="17.25"/>
  </cols>
  <sheetData>
    <row r="1" spans="1:6">
      <c r="A1" t="s">
        <v>5</v>
      </c>
      <c r="B1" t="s">
        <v>9</v>
      </c>
      <c r="C1" t="s">
        <v>13</v>
      </c>
      <c r="D1" t="s">
        <v>6</v>
      </c>
      <c r="E1" t="s">
        <v>7</v>
      </c>
      <c r="F1" t="s">
        <v>2679</v>
      </c>
    </row>
    <row r="2" spans="1:6">
      <c r="A2" t="s">
        <v>2669</v>
      </c>
      <c r="B2" t="s">
        <v>863</v>
      </c>
      <c r="C2" t="s">
        <v>133</v>
      </c>
      <c r="D2" t="s">
        <v>130</v>
      </c>
      <c r="E2" t="s">
        <v>1963</v>
      </c>
      <c r="F2">
        <v>6950</v>
      </c>
    </row>
    <row r="3" spans="1:6">
      <c r="A3" t="s">
        <v>2670</v>
      </c>
      <c r="B3" t="s">
        <v>1988</v>
      </c>
      <c r="C3" t="s">
        <v>30</v>
      </c>
      <c r="D3" t="s">
        <v>632</v>
      </c>
      <c r="E3" t="s">
        <v>450</v>
      </c>
      <c r="F3">
        <v>2000</v>
      </c>
    </row>
    <row r="4" spans="1:6">
      <c r="A4" t="s">
        <v>2671</v>
      </c>
      <c r="B4" t="s">
        <v>863</v>
      </c>
      <c r="C4" t="s">
        <v>65</v>
      </c>
      <c r="D4" t="s">
        <v>1992</v>
      </c>
      <c r="E4" t="s">
        <v>1977</v>
      </c>
      <c r="F4">
        <v>7000</v>
      </c>
    </row>
    <row r="5" spans="1:6">
      <c r="A5" t="s">
        <v>2671</v>
      </c>
      <c r="B5" t="s">
        <v>863</v>
      </c>
      <c r="C5" t="s">
        <v>941</v>
      </c>
      <c r="D5" t="s">
        <v>1992</v>
      </c>
      <c r="E5" t="s">
        <v>1977</v>
      </c>
      <c r="F5">
        <v>6950</v>
      </c>
    </row>
    <row r="6" spans="1:6">
      <c r="A6" t="s">
        <v>2673</v>
      </c>
      <c r="B6" t="s">
        <v>1814</v>
      </c>
      <c r="C6" t="s">
        <v>30</v>
      </c>
      <c r="D6" t="s">
        <v>632</v>
      </c>
      <c r="E6" t="s">
        <v>450</v>
      </c>
      <c r="F6">
        <v>0</v>
      </c>
    </row>
    <row r="7" spans="1:6">
      <c r="A7" t="s">
        <v>2675</v>
      </c>
      <c r="B7" t="s">
        <v>1569</v>
      </c>
      <c r="C7" t="s">
        <v>30</v>
      </c>
      <c r="D7" t="s">
        <v>632</v>
      </c>
      <c r="E7" t="s">
        <v>450</v>
      </c>
      <c r="F7">
        <v>0</v>
      </c>
    </row>
    <row r="8" spans="1:6">
      <c r="A8" t="s">
        <v>2676</v>
      </c>
      <c r="B8" t="s">
        <v>863</v>
      </c>
      <c r="C8" t="s">
        <v>30</v>
      </c>
      <c r="D8" t="s">
        <v>632</v>
      </c>
      <c r="E8" t="s">
        <v>450</v>
      </c>
      <c r="F8">
        <v>0</v>
      </c>
    </row>
    <row r="9" spans="1:6">
      <c r="A9" t="s">
        <v>2677</v>
      </c>
      <c r="B9" t="s">
        <v>325</v>
      </c>
      <c r="C9" t="s">
        <v>30</v>
      </c>
      <c r="D9" t="s">
        <v>632</v>
      </c>
      <c r="E9" t="s">
        <v>450</v>
      </c>
      <c r="F9">
        <v>0</v>
      </c>
    </row>
    <row r="10" spans="1:6">
      <c r="A10" s="15">
        <v>42390</v>
      </c>
      <c r="B10" t="s">
        <v>56</v>
      </c>
      <c r="C10" t="s">
        <v>30</v>
      </c>
      <c r="D10" t="s">
        <v>2680</v>
      </c>
      <c r="E10" t="s">
        <v>54</v>
      </c>
      <c r="F10">
        <v>20000</v>
      </c>
    </row>
    <row r="11" spans="1:6">
      <c r="A11" s="15">
        <v>42400</v>
      </c>
      <c r="B11" t="s">
        <v>60</v>
      </c>
      <c r="C11" t="s">
        <v>30</v>
      </c>
      <c r="D11" t="s">
        <v>2680</v>
      </c>
      <c r="E11" t="s">
        <v>2680</v>
      </c>
      <c r="F11">
        <v>10000</v>
      </c>
    </row>
    <row r="12" spans="1:6">
      <c r="A12" s="15">
        <v>42887</v>
      </c>
      <c r="B12" t="s">
        <v>60</v>
      </c>
      <c r="C12" t="s">
        <v>65</v>
      </c>
      <c r="D12" t="s">
        <v>2680</v>
      </c>
      <c r="E12" t="s">
        <v>2680</v>
      </c>
      <c r="F12">
        <v>10000</v>
      </c>
    </row>
    <row r="13" spans="1:6">
      <c r="A13" s="15">
        <v>43113</v>
      </c>
      <c r="B13" t="s">
        <v>72</v>
      </c>
      <c r="C13" t="s">
        <v>65</v>
      </c>
      <c r="D13" t="s">
        <v>70</v>
      </c>
      <c r="E13" t="s">
        <v>71</v>
      </c>
      <c r="F13">
        <v>0</v>
      </c>
    </row>
    <row r="14" spans="1:6">
      <c r="A14" s="15">
        <v>43124</v>
      </c>
      <c r="B14" t="s">
        <v>77</v>
      </c>
      <c r="C14" t="s">
        <v>65</v>
      </c>
      <c r="D14" t="s">
        <v>2680</v>
      </c>
      <c r="E14" t="s">
        <v>76</v>
      </c>
      <c r="F14">
        <v>7000</v>
      </c>
    </row>
    <row r="15" spans="1:6">
      <c r="A15" s="15">
        <v>43255</v>
      </c>
      <c r="B15" t="s">
        <v>84</v>
      </c>
      <c r="C15" t="s">
        <v>65</v>
      </c>
      <c r="D15" t="s">
        <v>82</v>
      </c>
      <c r="E15" t="s">
        <v>83</v>
      </c>
      <c r="F15">
        <v>0</v>
      </c>
    </row>
    <row r="16" spans="1:6">
      <c r="A16" s="15">
        <v>43330</v>
      </c>
      <c r="B16" t="s">
        <v>90</v>
      </c>
      <c r="C16" t="s">
        <v>65</v>
      </c>
      <c r="D16" t="s">
        <v>70</v>
      </c>
      <c r="E16" t="s">
        <v>89</v>
      </c>
      <c r="F16">
        <v>0</v>
      </c>
    </row>
    <row r="17" spans="1:6">
      <c r="A17" s="15">
        <v>43393</v>
      </c>
      <c r="B17" t="s">
        <v>93</v>
      </c>
      <c r="C17" t="s">
        <v>65</v>
      </c>
      <c r="D17" t="s">
        <v>70</v>
      </c>
      <c r="E17" t="s">
        <v>92</v>
      </c>
      <c r="F17">
        <v>0</v>
      </c>
    </row>
    <row r="18" spans="1:6">
      <c r="A18" s="15">
        <v>43404</v>
      </c>
      <c r="B18" t="s">
        <v>77</v>
      </c>
      <c r="C18" t="s">
        <v>65</v>
      </c>
      <c r="D18" t="s">
        <v>70</v>
      </c>
      <c r="E18" t="s">
        <v>76</v>
      </c>
      <c r="F18">
        <v>0</v>
      </c>
    </row>
    <row r="19" spans="1:6">
      <c r="A19" s="15">
        <v>43414</v>
      </c>
      <c r="B19" t="s">
        <v>98</v>
      </c>
      <c r="C19" t="s">
        <v>65</v>
      </c>
      <c r="D19" t="s">
        <v>70</v>
      </c>
      <c r="E19" t="s">
        <v>76</v>
      </c>
      <c r="F19">
        <v>0</v>
      </c>
    </row>
    <row r="20" spans="1:6">
      <c r="A20" s="15">
        <v>43446</v>
      </c>
      <c r="B20" t="s">
        <v>102</v>
      </c>
      <c r="C20" t="s">
        <v>65</v>
      </c>
      <c r="D20" t="s">
        <v>70</v>
      </c>
      <c r="E20" t="s">
        <v>101</v>
      </c>
      <c r="F20">
        <v>0</v>
      </c>
    </row>
    <row r="21" spans="1:6">
      <c r="A21" s="15">
        <v>43475</v>
      </c>
      <c r="B21" t="s">
        <v>60</v>
      </c>
      <c r="C21" t="s">
        <v>30</v>
      </c>
      <c r="D21" t="s">
        <v>2680</v>
      </c>
      <c r="E21" t="s">
        <v>68</v>
      </c>
      <c r="F21">
        <v>50000</v>
      </c>
    </row>
    <row r="22" spans="1:6">
      <c r="A22" s="15">
        <v>43493</v>
      </c>
      <c r="B22" t="s">
        <v>105</v>
      </c>
      <c r="C22" t="s">
        <v>65</v>
      </c>
      <c r="D22" t="s">
        <v>70</v>
      </c>
      <c r="E22" t="s">
        <v>104</v>
      </c>
      <c r="F22">
        <v>0</v>
      </c>
    </row>
    <row r="23" spans="1:6">
      <c r="A23" s="15">
        <v>43511</v>
      </c>
      <c r="B23" t="s">
        <v>107</v>
      </c>
      <c r="C23" t="s">
        <v>65</v>
      </c>
      <c r="D23" t="s">
        <v>70</v>
      </c>
      <c r="E23" t="s">
        <v>83</v>
      </c>
      <c r="F23">
        <v>0</v>
      </c>
    </row>
    <row r="24" spans="1:6">
      <c r="A24" s="15">
        <v>43516</v>
      </c>
      <c r="B24" t="s">
        <v>110</v>
      </c>
      <c r="C24" t="s">
        <v>65</v>
      </c>
      <c r="D24" t="s">
        <v>70</v>
      </c>
      <c r="E24" t="s">
        <v>109</v>
      </c>
      <c r="F24">
        <v>0</v>
      </c>
    </row>
    <row r="25" spans="1:6">
      <c r="A25" s="15">
        <v>43526</v>
      </c>
      <c r="B25" t="s">
        <v>113</v>
      </c>
      <c r="C25" t="s">
        <v>65</v>
      </c>
      <c r="D25" t="s">
        <v>70</v>
      </c>
      <c r="E25" t="s">
        <v>112</v>
      </c>
      <c r="F25">
        <v>0</v>
      </c>
    </row>
    <row r="26" spans="1:6">
      <c r="A26" s="15">
        <v>43530</v>
      </c>
      <c r="B26" t="s">
        <v>115</v>
      </c>
      <c r="C26" t="s">
        <v>65</v>
      </c>
      <c r="D26" t="s">
        <v>70</v>
      </c>
      <c r="E26" t="s">
        <v>112</v>
      </c>
      <c r="F26">
        <v>0</v>
      </c>
    </row>
    <row r="27" spans="1:6">
      <c r="A27" s="15">
        <v>43539</v>
      </c>
      <c r="B27" t="s">
        <v>117</v>
      </c>
      <c r="C27" t="s">
        <v>65</v>
      </c>
      <c r="D27" t="s">
        <v>70</v>
      </c>
      <c r="E27" t="s">
        <v>109</v>
      </c>
      <c r="F27">
        <v>0</v>
      </c>
    </row>
    <row r="28" spans="1:6">
      <c r="A28" s="15">
        <v>43557</v>
      </c>
      <c r="B28" t="s">
        <v>120</v>
      </c>
      <c r="C28" t="s">
        <v>65</v>
      </c>
      <c r="D28" t="s">
        <v>70</v>
      </c>
      <c r="E28" t="s">
        <v>119</v>
      </c>
      <c r="F28">
        <v>0</v>
      </c>
    </row>
    <row r="29" spans="1:6">
      <c r="A29" s="15">
        <v>43560</v>
      </c>
      <c r="B29" t="s">
        <v>123</v>
      </c>
      <c r="C29" t="s">
        <v>65</v>
      </c>
      <c r="D29" t="s">
        <v>122</v>
      </c>
      <c r="E29" t="s">
        <v>68</v>
      </c>
      <c r="F29">
        <v>0</v>
      </c>
    </row>
    <row r="30" spans="1:6">
      <c r="A30" s="15">
        <v>43570</v>
      </c>
      <c r="B30" t="s">
        <v>90</v>
      </c>
      <c r="C30" t="s">
        <v>30</v>
      </c>
      <c r="D30" t="s">
        <v>2680</v>
      </c>
      <c r="E30" t="s">
        <v>128</v>
      </c>
      <c r="F30">
        <v>0</v>
      </c>
    </row>
    <row r="31" spans="1:6">
      <c r="A31" s="15">
        <v>43585</v>
      </c>
      <c r="B31" t="s">
        <v>132</v>
      </c>
      <c r="C31" t="s">
        <v>133</v>
      </c>
      <c r="D31" t="s">
        <v>130</v>
      </c>
      <c r="E31" t="s">
        <v>131</v>
      </c>
      <c r="F31">
        <v>0</v>
      </c>
    </row>
    <row r="32" spans="1:6">
      <c r="A32" s="15">
        <v>43600</v>
      </c>
      <c r="B32" t="s">
        <v>136</v>
      </c>
      <c r="C32" t="s">
        <v>65</v>
      </c>
      <c r="D32" t="s">
        <v>70</v>
      </c>
      <c r="E32" t="s">
        <v>135</v>
      </c>
      <c r="F32">
        <v>0</v>
      </c>
    </row>
    <row r="33" spans="1:6">
      <c r="A33" s="15">
        <v>43601</v>
      </c>
      <c r="B33" t="s">
        <v>141</v>
      </c>
      <c r="C33" t="s">
        <v>65</v>
      </c>
      <c r="D33" t="s">
        <v>70</v>
      </c>
      <c r="E33" t="s">
        <v>140</v>
      </c>
      <c r="F33">
        <v>0</v>
      </c>
    </row>
    <row r="34" spans="1:6">
      <c r="A34" s="15">
        <v>43601</v>
      </c>
      <c r="B34" t="s">
        <v>138</v>
      </c>
      <c r="C34" t="s">
        <v>65</v>
      </c>
      <c r="D34" t="s">
        <v>70</v>
      </c>
      <c r="E34" t="s">
        <v>104</v>
      </c>
      <c r="F34">
        <v>0</v>
      </c>
    </row>
    <row r="35" spans="1:6">
      <c r="A35" s="15">
        <v>43621</v>
      </c>
      <c r="B35" t="s">
        <v>144</v>
      </c>
      <c r="C35" t="s">
        <v>65</v>
      </c>
      <c r="D35" t="s">
        <v>70</v>
      </c>
      <c r="E35" t="s">
        <v>143</v>
      </c>
      <c r="F35">
        <v>0</v>
      </c>
    </row>
    <row r="36" spans="1:6">
      <c r="A36" s="15">
        <v>43628</v>
      </c>
      <c r="B36" t="s">
        <v>147</v>
      </c>
      <c r="C36" t="s">
        <v>65</v>
      </c>
      <c r="D36" t="s">
        <v>70</v>
      </c>
      <c r="E36" t="s">
        <v>146</v>
      </c>
      <c r="F36">
        <v>0</v>
      </c>
    </row>
    <row r="37" spans="1:6">
      <c r="A37" s="15">
        <v>43635</v>
      </c>
      <c r="B37" t="s">
        <v>150</v>
      </c>
      <c r="C37" t="s">
        <v>65</v>
      </c>
      <c r="D37" t="s">
        <v>70</v>
      </c>
      <c r="E37" t="s">
        <v>149</v>
      </c>
      <c r="F37">
        <v>0</v>
      </c>
    </row>
    <row r="38" spans="1:6">
      <c r="A38" s="15">
        <v>43644</v>
      </c>
      <c r="B38" t="s">
        <v>152</v>
      </c>
      <c r="C38" t="s">
        <v>65</v>
      </c>
      <c r="D38" t="s">
        <v>70</v>
      </c>
      <c r="E38" t="s">
        <v>135</v>
      </c>
      <c r="F38">
        <v>0</v>
      </c>
    </row>
    <row r="39" spans="1:6">
      <c r="A39" s="15">
        <v>43657</v>
      </c>
      <c r="B39" t="s">
        <v>154</v>
      </c>
      <c r="C39" t="s">
        <v>65</v>
      </c>
      <c r="D39" t="s">
        <v>70</v>
      </c>
      <c r="E39" t="s">
        <v>104</v>
      </c>
      <c r="F39">
        <v>0</v>
      </c>
    </row>
    <row r="40" spans="1:6">
      <c r="A40" s="15">
        <v>43657</v>
      </c>
      <c r="B40" t="s">
        <v>157</v>
      </c>
      <c r="C40" t="s">
        <v>65</v>
      </c>
      <c r="D40" t="s">
        <v>70</v>
      </c>
      <c r="E40" t="s">
        <v>156</v>
      </c>
      <c r="F40">
        <v>0</v>
      </c>
    </row>
    <row r="41" spans="1:6">
      <c r="A41" s="15">
        <v>43664</v>
      </c>
      <c r="B41" t="s">
        <v>159</v>
      </c>
      <c r="C41" t="s">
        <v>65</v>
      </c>
      <c r="D41" t="s">
        <v>70</v>
      </c>
      <c r="E41" t="s">
        <v>104</v>
      </c>
      <c r="F41">
        <v>0</v>
      </c>
    </row>
    <row r="42" spans="1:6">
      <c r="A42" s="15">
        <v>43678</v>
      </c>
      <c r="B42" t="s">
        <v>162</v>
      </c>
      <c r="C42" t="s">
        <v>65</v>
      </c>
      <c r="D42" t="s">
        <v>70</v>
      </c>
      <c r="E42" t="s">
        <v>140</v>
      </c>
      <c r="F42">
        <v>0</v>
      </c>
    </row>
    <row r="43" spans="1:6">
      <c r="A43" s="15">
        <v>43685</v>
      </c>
      <c r="B43" t="s">
        <v>164</v>
      </c>
      <c r="C43" t="s">
        <v>65</v>
      </c>
      <c r="D43" t="s">
        <v>130</v>
      </c>
      <c r="E43" t="s">
        <v>54</v>
      </c>
      <c r="F43">
        <v>0</v>
      </c>
    </row>
    <row r="44" spans="1:6">
      <c r="A44" s="15">
        <v>43692</v>
      </c>
      <c r="B44" t="s">
        <v>167</v>
      </c>
      <c r="C44" t="s">
        <v>65</v>
      </c>
      <c r="D44" t="s">
        <v>70</v>
      </c>
      <c r="E44" t="s">
        <v>166</v>
      </c>
      <c r="F44">
        <v>0</v>
      </c>
    </row>
    <row r="45" spans="1:6">
      <c r="A45" s="15">
        <v>43696</v>
      </c>
      <c r="B45" t="s">
        <v>169</v>
      </c>
      <c r="C45" t="s">
        <v>65</v>
      </c>
      <c r="D45" t="s">
        <v>70</v>
      </c>
      <c r="E45" t="s">
        <v>89</v>
      </c>
      <c r="F45">
        <v>0</v>
      </c>
    </row>
    <row r="46" spans="1:6">
      <c r="A46" s="15">
        <v>43696</v>
      </c>
      <c r="B46" t="s">
        <v>174</v>
      </c>
      <c r="C46" t="s">
        <v>133</v>
      </c>
      <c r="D46" t="s">
        <v>130</v>
      </c>
      <c r="E46" t="s">
        <v>54</v>
      </c>
      <c r="F46">
        <v>0</v>
      </c>
    </row>
    <row r="47" spans="1:6">
      <c r="A47" s="15">
        <v>43698</v>
      </c>
      <c r="B47" t="s">
        <v>177</v>
      </c>
      <c r="C47" t="s">
        <v>65</v>
      </c>
      <c r="D47" t="s">
        <v>70</v>
      </c>
      <c r="E47" t="s">
        <v>135</v>
      </c>
      <c r="F47">
        <v>0</v>
      </c>
    </row>
    <row r="48" spans="1:6">
      <c r="A48" s="15">
        <v>43700</v>
      </c>
      <c r="B48" t="s">
        <v>179</v>
      </c>
      <c r="C48" t="s">
        <v>65</v>
      </c>
      <c r="D48" t="s">
        <v>70</v>
      </c>
      <c r="E48" t="s">
        <v>149</v>
      </c>
      <c r="F48">
        <v>0</v>
      </c>
    </row>
    <row r="49" spans="1:6">
      <c r="A49" s="15">
        <v>43710</v>
      </c>
      <c r="B49" t="s">
        <v>174</v>
      </c>
      <c r="C49" t="s">
        <v>65</v>
      </c>
      <c r="D49" t="s">
        <v>130</v>
      </c>
      <c r="E49" t="s">
        <v>54</v>
      </c>
      <c r="F49">
        <v>0</v>
      </c>
    </row>
    <row r="50" spans="1:6">
      <c r="A50" s="15">
        <v>43719</v>
      </c>
      <c r="B50" t="s">
        <v>184</v>
      </c>
      <c r="C50" t="s">
        <v>65</v>
      </c>
      <c r="D50" t="s">
        <v>70</v>
      </c>
      <c r="E50" t="s">
        <v>135</v>
      </c>
      <c r="F50">
        <v>0</v>
      </c>
    </row>
    <row r="51" spans="1:6">
      <c r="A51" s="15">
        <v>43727</v>
      </c>
      <c r="B51" t="s">
        <v>186</v>
      </c>
      <c r="C51" t="s">
        <v>65</v>
      </c>
      <c r="D51" t="s">
        <v>70</v>
      </c>
      <c r="E51" t="s">
        <v>104</v>
      </c>
      <c r="F51">
        <v>0</v>
      </c>
    </row>
    <row r="52" spans="1:6">
      <c r="A52" s="15">
        <v>43731</v>
      </c>
      <c r="B52" t="s">
        <v>191</v>
      </c>
      <c r="C52" t="s">
        <v>65</v>
      </c>
      <c r="D52" t="s">
        <v>70</v>
      </c>
      <c r="E52" t="s">
        <v>190</v>
      </c>
      <c r="F52">
        <v>0</v>
      </c>
    </row>
    <row r="53" spans="1:6">
      <c r="A53" s="15">
        <v>43731</v>
      </c>
      <c r="B53" t="s">
        <v>188</v>
      </c>
      <c r="C53" t="s">
        <v>65</v>
      </c>
      <c r="D53" t="s">
        <v>70</v>
      </c>
      <c r="E53" t="s">
        <v>83</v>
      </c>
      <c r="F53">
        <v>0</v>
      </c>
    </row>
    <row r="54" spans="1:6">
      <c r="A54" s="15">
        <v>43733</v>
      </c>
      <c r="B54" t="s">
        <v>193</v>
      </c>
      <c r="C54" t="s">
        <v>65</v>
      </c>
      <c r="D54" t="s">
        <v>70</v>
      </c>
      <c r="E54" t="s">
        <v>109</v>
      </c>
      <c r="F54">
        <v>0</v>
      </c>
    </row>
    <row r="55" spans="1:6">
      <c r="A55" s="15">
        <v>43749</v>
      </c>
      <c r="B55" t="s">
        <v>36</v>
      </c>
      <c r="C55" t="s">
        <v>65</v>
      </c>
      <c r="D55" t="s">
        <v>70</v>
      </c>
      <c r="E55" t="s">
        <v>195</v>
      </c>
      <c r="F55">
        <v>0</v>
      </c>
    </row>
    <row r="56" spans="1:6">
      <c r="A56" s="15">
        <v>43749</v>
      </c>
      <c r="B56" t="s">
        <v>157</v>
      </c>
      <c r="C56" t="s">
        <v>65</v>
      </c>
      <c r="D56" t="s">
        <v>70</v>
      </c>
      <c r="E56" t="s">
        <v>197</v>
      </c>
      <c r="F56">
        <v>0</v>
      </c>
    </row>
    <row r="57" spans="1:6">
      <c r="A57" s="15">
        <v>43759</v>
      </c>
      <c r="B57" t="s">
        <v>199</v>
      </c>
      <c r="C57" t="s">
        <v>65</v>
      </c>
      <c r="D57" t="s">
        <v>70</v>
      </c>
      <c r="E57" t="s">
        <v>149</v>
      </c>
      <c r="F57">
        <v>0</v>
      </c>
    </row>
    <row r="58" spans="1:6">
      <c r="A58" s="15">
        <v>43761</v>
      </c>
      <c r="B58" t="s">
        <v>201</v>
      </c>
      <c r="C58" t="s">
        <v>65</v>
      </c>
      <c r="D58" t="s">
        <v>70</v>
      </c>
      <c r="E58" t="s">
        <v>104</v>
      </c>
      <c r="F58">
        <v>0</v>
      </c>
    </row>
    <row r="59" spans="1:6">
      <c r="A59" s="15">
        <v>43766</v>
      </c>
      <c r="B59" t="s">
        <v>203</v>
      </c>
      <c r="C59" t="s">
        <v>65</v>
      </c>
      <c r="D59" t="s">
        <v>70</v>
      </c>
      <c r="E59" t="s">
        <v>92</v>
      </c>
      <c r="F59">
        <v>0</v>
      </c>
    </row>
    <row r="60" spans="1:6">
      <c r="A60" s="15">
        <v>43774</v>
      </c>
      <c r="B60" t="s">
        <v>206</v>
      </c>
      <c r="C60" t="s">
        <v>65</v>
      </c>
      <c r="D60" t="s">
        <v>70</v>
      </c>
      <c r="E60" t="s">
        <v>205</v>
      </c>
      <c r="F60">
        <v>0</v>
      </c>
    </row>
    <row r="61" spans="1:6">
      <c r="A61" s="15">
        <v>43774</v>
      </c>
      <c r="B61" t="s">
        <v>209</v>
      </c>
      <c r="C61" t="s">
        <v>30</v>
      </c>
      <c r="D61" t="s">
        <v>2680</v>
      </c>
      <c r="E61" t="s">
        <v>208</v>
      </c>
      <c r="F61">
        <v>0</v>
      </c>
    </row>
    <row r="62" spans="1:6">
      <c r="A62" s="15">
        <v>43775</v>
      </c>
      <c r="B62" t="s">
        <v>201</v>
      </c>
      <c r="C62" t="s">
        <v>65</v>
      </c>
      <c r="D62" t="s">
        <v>70</v>
      </c>
      <c r="E62" t="s">
        <v>190</v>
      </c>
      <c r="F62">
        <v>0</v>
      </c>
    </row>
    <row r="63" spans="1:6">
      <c r="A63" s="15">
        <v>43796</v>
      </c>
      <c r="B63" t="s">
        <v>186</v>
      </c>
      <c r="C63" t="s">
        <v>65</v>
      </c>
      <c r="D63" t="s">
        <v>70</v>
      </c>
      <c r="E63" t="s">
        <v>149</v>
      </c>
      <c r="F63">
        <v>0</v>
      </c>
    </row>
    <row r="64" spans="1:6">
      <c r="A64" s="15">
        <v>43804</v>
      </c>
      <c r="B64" t="s">
        <v>215</v>
      </c>
      <c r="C64" t="s">
        <v>30</v>
      </c>
      <c r="D64" t="s">
        <v>2680</v>
      </c>
      <c r="E64" t="s">
        <v>125</v>
      </c>
      <c r="F64">
        <v>0</v>
      </c>
    </row>
    <row r="65" spans="1:6">
      <c r="A65" s="15">
        <v>43805</v>
      </c>
      <c r="B65" t="s">
        <v>115</v>
      </c>
      <c r="C65" t="s">
        <v>65</v>
      </c>
      <c r="D65" t="s">
        <v>70</v>
      </c>
      <c r="E65" t="s">
        <v>190</v>
      </c>
      <c r="F65">
        <v>0</v>
      </c>
    </row>
    <row r="66" spans="1:6">
      <c r="A66" s="15">
        <v>43808</v>
      </c>
      <c r="B66" t="s">
        <v>179</v>
      </c>
      <c r="C66" t="s">
        <v>65</v>
      </c>
      <c r="D66" t="s">
        <v>70</v>
      </c>
      <c r="E66" t="s">
        <v>104</v>
      </c>
      <c r="F66">
        <v>0</v>
      </c>
    </row>
    <row r="67" spans="1:6">
      <c r="A67" s="15">
        <v>43812</v>
      </c>
      <c r="B67" t="s">
        <v>220</v>
      </c>
      <c r="C67" t="s">
        <v>65</v>
      </c>
      <c r="D67" t="s">
        <v>70</v>
      </c>
      <c r="E67" t="s">
        <v>219</v>
      </c>
      <c r="F67">
        <v>0</v>
      </c>
    </row>
    <row r="68" spans="1:6">
      <c r="A68" s="15">
        <v>43823</v>
      </c>
      <c r="B68" t="s">
        <v>222</v>
      </c>
      <c r="C68" t="s">
        <v>65</v>
      </c>
      <c r="D68" t="s">
        <v>70</v>
      </c>
      <c r="E68" t="s">
        <v>104</v>
      </c>
      <c r="F68">
        <v>0</v>
      </c>
    </row>
    <row r="69" spans="1:6">
      <c r="A69" s="15">
        <v>43825</v>
      </c>
      <c r="B69" t="s">
        <v>225</v>
      </c>
      <c r="C69" t="s">
        <v>65</v>
      </c>
      <c r="D69" t="s">
        <v>70</v>
      </c>
      <c r="E69" t="s">
        <v>224</v>
      </c>
      <c r="F69">
        <v>0</v>
      </c>
    </row>
    <row r="70" spans="1:6">
      <c r="A70" s="15">
        <v>43830</v>
      </c>
      <c r="B70" t="s">
        <v>60</v>
      </c>
      <c r="C70" t="s">
        <v>65</v>
      </c>
      <c r="D70" t="s">
        <v>130</v>
      </c>
      <c r="E70" t="s">
        <v>125</v>
      </c>
      <c r="F70">
        <v>900</v>
      </c>
    </row>
    <row r="71" spans="1:6">
      <c r="A71" s="15">
        <v>43840</v>
      </c>
      <c r="B71" t="s">
        <v>231</v>
      </c>
      <c r="C71" t="s">
        <v>65</v>
      </c>
      <c r="D71" t="s">
        <v>70</v>
      </c>
      <c r="E71" t="s">
        <v>230</v>
      </c>
      <c r="F71">
        <v>0</v>
      </c>
    </row>
    <row r="72" spans="1:6">
      <c r="A72" s="15">
        <v>43840</v>
      </c>
      <c r="B72" t="s">
        <v>234</v>
      </c>
      <c r="C72" t="s">
        <v>65</v>
      </c>
      <c r="D72" t="s">
        <v>70</v>
      </c>
      <c r="E72" t="s">
        <v>233</v>
      </c>
      <c r="F72">
        <v>0</v>
      </c>
    </row>
    <row r="73" spans="1:6">
      <c r="A73" s="15">
        <v>43840</v>
      </c>
      <c r="B73" t="s">
        <v>240</v>
      </c>
      <c r="C73" t="s">
        <v>30</v>
      </c>
      <c r="D73" t="s">
        <v>2680</v>
      </c>
      <c r="E73" t="s">
        <v>239</v>
      </c>
      <c r="F73">
        <v>0</v>
      </c>
    </row>
    <row r="74" spans="1:6">
      <c r="A74" s="15">
        <v>43843</v>
      </c>
      <c r="B74" t="s">
        <v>220</v>
      </c>
      <c r="C74" t="s">
        <v>65</v>
      </c>
      <c r="D74" t="s">
        <v>70</v>
      </c>
      <c r="E74" t="s">
        <v>146</v>
      </c>
      <c r="F74">
        <v>100</v>
      </c>
    </row>
    <row r="75" spans="1:6">
      <c r="A75" s="15">
        <v>43843</v>
      </c>
      <c r="B75" t="s">
        <v>244</v>
      </c>
      <c r="C75" t="s">
        <v>133</v>
      </c>
      <c r="D75" t="s">
        <v>130</v>
      </c>
      <c r="E75" t="s">
        <v>128</v>
      </c>
      <c r="F75">
        <v>0</v>
      </c>
    </row>
    <row r="76" spans="1:6">
      <c r="A76" s="15">
        <v>43920</v>
      </c>
      <c r="B76" t="s">
        <v>247</v>
      </c>
      <c r="C76" t="s">
        <v>65</v>
      </c>
      <c r="D76" t="s">
        <v>70</v>
      </c>
      <c r="E76" t="s">
        <v>246</v>
      </c>
      <c r="F76">
        <v>0</v>
      </c>
    </row>
    <row r="77" spans="1:6">
      <c r="A77" s="15">
        <v>43923</v>
      </c>
      <c r="B77" t="s">
        <v>167</v>
      </c>
      <c r="C77" t="s">
        <v>65</v>
      </c>
      <c r="D77" t="s">
        <v>70</v>
      </c>
      <c r="E77" t="s">
        <v>205</v>
      </c>
      <c r="F77">
        <v>10000</v>
      </c>
    </row>
    <row r="78" spans="1:6">
      <c r="A78" s="15">
        <v>43936</v>
      </c>
      <c r="B78" t="s">
        <v>253</v>
      </c>
      <c r="C78" t="s">
        <v>30</v>
      </c>
      <c r="D78" t="s">
        <v>2680</v>
      </c>
      <c r="E78" t="s">
        <v>54</v>
      </c>
      <c r="F78">
        <v>0</v>
      </c>
    </row>
    <row r="79" spans="1:6">
      <c r="A79" s="15">
        <v>43967</v>
      </c>
      <c r="B79" t="s">
        <v>150</v>
      </c>
      <c r="C79" t="s">
        <v>65</v>
      </c>
      <c r="D79" t="s">
        <v>70</v>
      </c>
      <c r="E79" t="s">
        <v>255</v>
      </c>
      <c r="F79">
        <v>0</v>
      </c>
    </row>
    <row r="80" spans="1:6">
      <c r="A80" s="15">
        <v>43969</v>
      </c>
      <c r="B80" t="s">
        <v>257</v>
      </c>
      <c r="C80" t="s">
        <v>65</v>
      </c>
      <c r="D80" t="s">
        <v>70</v>
      </c>
      <c r="E80" t="s">
        <v>83</v>
      </c>
      <c r="F80">
        <v>0</v>
      </c>
    </row>
    <row r="81" spans="1:6">
      <c r="A81" s="15">
        <v>43969</v>
      </c>
      <c r="B81" t="s">
        <v>136</v>
      </c>
      <c r="C81" t="s">
        <v>65</v>
      </c>
      <c r="D81" t="s">
        <v>70</v>
      </c>
      <c r="E81" t="s">
        <v>259</v>
      </c>
      <c r="F81">
        <v>0</v>
      </c>
    </row>
    <row r="82" spans="1:6">
      <c r="A82" s="15">
        <v>43977</v>
      </c>
      <c r="B82" t="s">
        <v>105</v>
      </c>
      <c r="C82" t="s">
        <v>65</v>
      </c>
      <c r="D82" t="s">
        <v>70</v>
      </c>
      <c r="E82" t="s">
        <v>224</v>
      </c>
      <c r="F82">
        <v>0</v>
      </c>
    </row>
    <row r="83" spans="1:6">
      <c r="A83" s="15">
        <v>43992</v>
      </c>
      <c r="B83" t="s">
        <v>115</v>
      </c>
      <c r="C83" t="s">
        <v>65</v>
      </c>
      <c r="D83" t="s">
        <v>70</v>
      </c>
      <c r="E83" t="s">
        <v>255</v>
      </c>
      <c r="F83">
        <v>0</v>
      </c>
    </row>
    <row r="84" spans="1:6">
      <c r="A84" s="15">
        <v>44010</v>
      </c>
      <c r="B84" t="s">
        <v>263</v>
      </c>
      <c r="C84" t="s">
        <v>65</v>
      </c>
      <c r="D84" t="s">
        <v>70</v>
      </c>
      <c r="E84" t="s">
        <v>233</v>
      </c>
      <c r="F84">
        <v>0</v>
      </c>
    </row>
    <row r="85" spans="1:6">
      <c r="A85" s="15">
        <v>44011</v>
      </c>
      <c r="B85" t="s">
        <v>90</v>
      </c>
      <c r="C85" t="s">
        <v>30</v>
      </c>
      <c r="D85" t="s">
        <v>2680</v>
      </c>
      <c r="E85" t="s">
        <v>128</v>
      </c>
      <c r="F85">
        <v>0</v>
      </c>
    </row>
    <row r="86" spans="1:6">
      <c r="A86" s="15">
        <v>44012</v>
      </c>
      <c r="B86" t="s">
        <v>269</v>
      </c>
      <c r="C86" t="s">
        <v>65</v>
      </c>
      <c r="D86" t="s">
        <v>130</v>
      </c>
      <c r="E86" t="s">
        <v>125</v>
      </c>
      <c r="F86">
        <v>0</v>
      </c>
    </row>
    <row r="87" spans="1:6">
      <c r="A87" s="15">
        <v>44018</v>
      </c>
      <c r="B87" t="s">
        <v>115</v>
      </c>
      <c r="C87" t="s">
        <v>65</v>
      </c>
      <c r="D87" t="s">
        <v>70</v>
      </c>
      <c r="E87" t="s">
        <v>230</v>
      </c>
      <c r="F87">
        <v>0</v>
      </c>
    </row>
    <row r="88" spans="1:6">
      <c r="A88" s="15">
        <v>44021</v>
      </c>
      <c r="B88" t="s">
        <v>272</v>
      </c>
      <c r="C88" t="s">
        <v>65</v>
      </c>
      <c r="D88" t="s">
        <v>70</v>
      </c>
      <c r="E88" t="s">
        <v>146</v>
      </c>
      <c r="F88">
        <v>0</v>
      </c>
    </row>
    <row r="89" spans="1:6">
      <c r="A89" s="15">
        <v>44025</v>
      </c>
      <c r="B89" t="s">
        <v>275</v>
      </c>
      <c r="C89" t="s">
        <v>65</v>
      </c>
      <c r="D89" t="s">
        <v>70</v>
      </c>
      <c r="E89" t="s">
        <v>149</v>
      </c>
      <c r="F89">
        <v>0</v>
      </c>
    </row>
    <row r="90" spans="1:6">
      <c r="A90" s="15">
        <v>44027</v>
      </c>
      <c r="B90" t="s">
        <v>278</v>
      </c>
      <c r="C90" t="s">
        <v>65</v>
      </c>
      <c r="D90" t="s">
        <v>70</v>
      </c>
      <c r="E90" t="s">
        <v>146</v>
      </c>
      <c r="F90">
        <v>0</v>
      </c>
    </row>
    <row r="91" spans="1:6">
      <c r="A91" s="15">
        <v>44034</v>
      </c>
      <c r="B91" t="s">
        <v>120</v>
      </c>
      <c r="C91" t="s">
        <v>65</v>
      </c>
      <c r="D91" t="s">
        <v>70</v>
      </c>
      <c r="E91" t="s">
        <v>149</v>
      </c>
      <c r="F91">
        <v>0</v>
      </c>
    </row>
    <row r="92" spans="1:6">
      <c r="A92" s="15">
        <v>44034</v>
      </c>
      <c r="B92" t="s">
        <v>286</v>
      </c>
      <c r="C92" t="s">
        <v>65</v>
      </c>
      <c r="D92" t="s">
        <v>70</v>
      </c>
      <c r="E92" t="s">
        <v>83</v>
      </c>
      <c r="F92">
        <v>0</v>
      </c>
    </row>
    <row r="93" spans="1:6">
      <c r="A93" s="15">
        <v>44034</v>
      </c>
      <c r="B93" t="s">
        <v>283</v>
      </c>
      <c r="C93" t="s">
        <v>65</v>
      </c>
      <c r="D93" t="s">
        <v>282</v>
      </c>
      <c r="E93" t="s">
        <v>233</v>
      </c>
      <c r="F93">
        <v>0</v>
      </c>
    </row>
    <row r="94" spans="1:6">
      <c r="A94" s="15">
        <v>44038</v>
      </c>
      <c r="B94" t="s">
        <v>98</v>
      </c>
      <c r="C94" t="s">
        <v>65</v>
      </c>
      <c r="D94" t="s">
        <v>70</v>
      </c>
      <c r="E94" t="s">
        <v>149</v>
      </c>
      <c r="F94">
        <v>0</v>
      </c>
    </row>
    <row r="95" spans="1:6">
      <c r="A95" s="15">
        <v>44048</v>
      </c>
      <c r="B95" t="s">
        <v>291</v>
      </c>
      <c r="C95" t="s">
        <v>65</v>
      </c>
      <c r="D95" t="s">
        <v>130</v>
      </c>
      <c r="E95" t="s">
        <v>128</v>
      </c>
      <c r="F95">
        <v>0</v>
      </c>
    </row>
    <row r="96" spans="1:6">
      <c r="A96" s="15">
        <v>44050</v>
      </c>
      <c r="B96" t="s">
        <v>298</v>
      </c>
      <c r="C96" t="s">
        <v>65</v>
      </c>
      <c r="D96" t="s">
        <v>130</v>
      </c>
      <c r="E96" t="s">
        <v>297</v>
      </c>
      <c r="F96">
        <v>0</v>
      </c>
    </row>
    <row r="97" spans="1:6">
      <c r="A97" s="15">
        <v>44053</v>
      </c>
      <c r="B97" t="s">
        <v>303</v>
      </c>
      <c r="C97" t="s">
        <v>65</v>
      </c>
      <c r="D97" t="s">
        <v>130</v>
      </c>
      <c r="E97" t="s">
        <v>128</v>
      </c>
      <c r="F97">
        <v>0</v>
      </c>
    </row>
    <row r="98" spans="1:6">
      <c r="A98" s="15">
        <v>44057</v>
      </c>
      <c r="B98" t="s">
        <v>305</v>
      </c>
      <c r="C98" t="s">
        <v>65</v>
      </c>
      <c r="D98" t="s">
        <v>130</v>
      </c>
      <c r="E98" t="s">
        <v>128</v>
      </c>
      <c r="F98">
        <v>0</v>
      </c>
    </row>
    <row r="99" spans="1:6">
      <c r="A99" s="15">
        <v>44063</v>
      </c>
      <c r="B99" t="s">
        <v>308</v>
      </c>
      <c r="C99" t="s">
        <v>65</v>
      </c>
      <c r="D99" t="s">
        <v>130</v>
      </c>
      <c r="E99" t="s">
        <v>307</v>
      </c>
      <c r="F99">
        <v>0</v>
      </c>
    </row>
    <row r="100" spans="1:6">
      <c r="A100" s="15">
        <v>44078</v>
      </c>
      <c r="B100" t="s">
        <v>34</v>
      </c>
      <c r="C100" t="s">
        <v>30</v>
      </c>
      <c r="D100" t="s">
        <v>2680</v>
      </c>
      <c r="E100" t="s">
        <v>307</v>
      </c>
      <c r="F100">
        <v>0</v>
      </c>
    </row>
    <row r="101" spans="1:6">
      <c r="A101" s="15">
        <v>44085</v>
      </c>
      <c r="B101" t="s">
        <v>313</v>
      </c>
      <c r="C101" t="s">
        <v>30</v>
      </c>
      <c r="D101" t="s">
        <v>2680</v>
      </c>
      <c r="E101" t="s">
        <v>54</v>
      </c>
      <c r="F101">
        <v>0</v>
      </c>
    </row>
    <row r="102" spans="1:6">
      <c r="A102" s="15">
        <v>44092</v>
      </c>
      <c r="B102" t="s">
        <v>315</v>
      </c>
      <c r="C102" t="s">
        <v>30</v>
      </c>
      <c r="D102" t="s">
        <v>2680</v>
      </c>
      <c r="E102" t="s">
        <v>297</v>
      </c>
      <c r="F102">
        <v>0</v>
      </c>
    </row>
    <row r="103" spans="1:6">
      <c r="A103" s="15">
        <v>44113</v>
      </c>
      <c r="B103" t="s">
        <v>317</v>
      </c>
      <c r="C103" t="s">
        <v>30</v>
      </c>
      <c r="D103" t="s">
        <v>2680</v>
      </c>
      <c r="E103" t="s">
        <v>301</v>
      </c>
      <c r="F103">
        <v>0</v>
      </c>
    </row>
    <row r="104" spans="1:6">
      <c r="A104" s="15">
        <v>44123</v>
      </c>
      <c r="B104" t="s">
        <v>320</v>
      </c>
      <c r="C104" t="s">
        <v>30</v>
      </c>
      <c r="D104" t="s">
        <v>2680</v>
      </c>
      <c r="E104" t="s">
        <v>54</v>
      </c>
      <c r="F104">
        <v>0</v>
      </c>
    </row>
    <row r="105" spans="1:6">
      <c r="A105" s="15">
        <v>44130</v>
      </c>
      <c r="B105" t="s">
        <v>323</v>
      </c>
      <c r="C105" t="s">
        <v>30</v>
      </c>
      <c r="D105" t="s">
        <v>2680</v>
      </c>
      <c r="E105" t="s">
        <v>322</v>
      </c>
      <c r="F105">
        <v>0</v>
      </c>
    </row>
    <row r="106" spans="1:6">
      <c r="A106" s="15">
        <v>44132</v>
      </c>
      <c r="B106" t="s">
        <v>325</v>
      </c>
      <c r="C106" t="s">
        <v>30</v>
      </c>
      <c r="D106" t="s">
        <v>2680</v>
      </c>
      <c r="E106" t="s">
        <v>54</v>
      </c>
      <c r="F106">
        <v>0</v>
      </c>
    </row>
    <row r="107" spans="1:6">
      <c r="A107" s="15">
        <v>44141</v>
      </c>
      <c r="B107" t="s">
        <v>327</v>
      </c>
      <c r="C107" t="s">
        <v>30</v>
      </c>
      <c r="D107" t="s">
        <v>2680</v>
      </c>
      <c r="E107" t="s">
        <v>294</v>
      </c>
      <c r="F107">
        <v>20000</v>
      </c>
    </row>
    <row r="108" spans="1:6">
      <c r="A108" s="15">
        <v>44148</v>
      </c>
      <c r="B108" t="s">
        <v>332</v>
      </c>
      <c r="C108" t="s">
        <v>65</v>
      </c>
      <c r="D108" t="s">
        <v>70</v>
      </c>
      <c r="E108" t="s">
        <v>190</v>
      </c>
      <c r="F108">
        <v>0</v>
      </c>
    </row>
    <row r="109" spans="1:6">
      <c r="A109" s="15">
        <v>44148</v>
      </c>
      <c r="B109" t="s">
        <v>98</v>
      </c>
      <c r="C109" t="s">
        <v>65</v>
      </c>
      <c r="D109" t="s">
        <v>70</v>
      </c>
      <c r="E109" t="s">
        <v>335</v>
      </c>
      <c r="F109">
        <v>0</v>
      </c>
    </row>
    <row r="110" spans="1:6">
      <c r="A110" s="15">
        <v>44162</v>
      </c>
      <c r="B110" t="s">
        <v>222</v>
      </c>
      <c r="C110" t="s">
        <v>65</v>
      </c>
      <c r="D110" t="s">
        <v>70</v>
      </c>
      <c r="E110" t="s">
        <v>259</v>
      </c>
      <c r="F110">
        <v>0</v>
      </c>
    </row>
    <row r="111" spans="1:6">
      <c r="A111" s="15">
        <v>44165</v>
      </c>
      <c r="B111" t="s">
        <v>209</v>
      </c>
      <c r="C111" t="s">
        <v>30</v>
      </c>
      <c r="D111" t="s">
        <v>2680</v>
      </c>
      <c r="E111" t="s">
        <v>2680</v>
      </c>
      <c r="F111">
        <v>0</v>
      </c>
    </row>
    <row r="112" spans="1:6">
      <c r="A112" s="15">
        <v>44172</v>
      </c>
      <c r="B112" t="s">
        <v>343</v>
      </c>
      <c r="C112" t="s">
        <v>65</v>
      </c>
      <c r="D112" t="s">
        <v>70</v>
      </c>
      <c r="E112" t="s">
        <v>149</v>
      </c>
      <c r="F112">
        <v>0</v>
      </c>
    </row>
    <row r="113" spans="1:6">
      <c r="A113" s="15">
        <v>44172</v>
      </c>
      <c r="B113" t="s">
        <v>341</v>
      </c>
      <c r="C113" t="s">
        <v>65</v>
      </c>
      <c r="D113" t="s">
        <v>70</v>
      </c>
      <c r="E113" t="s">
        <v>340</v>
      </c>
      <c r="F113">
        <v>0</v>
      </c>
    </row>
    <row r="114" spans="1:6">
      <c r="A114" s="15">
        <v>44176</v>
      </c>
      <c r="B114" t="s">
        <v>346</v>
      </c>
      <c r="C114" t="s">
        <v>133</v>
      </c>
      <c r="D114" t="s">
        <v>130</v>
      </c>
      <c r="E114" t="s">
        <v>125</v>
      </c>
      <c r="F114">
        <v>0</v>
      </c>
    </row>
    <row r="115" spans="1:6">
      <c r="A115" s="15">
        <v>44179</v>
      </c>
      <c r="B115" t="s">
        <v>348</v>
      </c>
      <c r="C115" t="s">
        <v>65</v>
      </c>
      <c r="D115" t="s">
        <v>70</v>
      </c>
      <c r="E115" t="s">
        <v>340</v>
      </c>
      <c r="F115">
        <v>200</v>
      </c>
    </row>
    <row r="116" spans="1:6">
      <c r="A116" s="15">
        <v>44181</v>
      </c>
      <c r="B116" t="s">
        <v>352</v>
      </c>
      <c r="C116" t="s">
        <v>30</v>
      </c>
      <c r="D116" t="s">
        <v>2680</v>
      </c>
      <c r="E116" t="s">
        <v>297</v>
      </c>
      <c r="F116">
        <v>0</v>
      </c>
    </row>
    <row r="117" spans="1:6">
      <c r="A117" s="15">
        <v>44181</v>
      </c>
      <c r="B117" t="s">
        <v>269</v>
      </c>
      <c r="C117" t="s">
        <v>65</v>
      </c>
      <c r="D117" t="s">
        <v>70</v>
      </c>
      <c r="E117" t="s">
        <v>119</v>
      </c>
      <c r="F117">
        <v>0</v>
      </c>
    </row>
    <row r="118" spans="1:6">
      <c r="A118" s="15">
        <v>44182</v>
      </c>
      <c r="B118" t="s">
        <v>179</v>
      </c>
      <c r="C118" t="s">
        <v>65</v>
      </c>
      <c r="D118" t="s">
        <v>70</v>
      </c>
      <c r="E118" t="s">
        <v>119</v>
      </c>
      <c r="F118">
        <v>0</v>
      </c>
    </row>
    <row r="119" spans="1:6">
      <c r="A119" s="15">
        <v>44182</v>
      </c>
      <c r="B119" t="s">
        <v>179</v>
      </c>
      <c r="C119" t="s">
        <v>65</v>
      </c>
      <c r="D119" t="s">
        <v>70</v>
      </c>
      <c r="E119" t="s">
        <v>219</v>
      </c>
      <c r="F119">
        <v>0</v>
      </c>
    </row>
    <row r="120" spans="1:6">
      <c r="A120" s="15">
        <v>44186</v>
      </c>
      <c r="B120" t="s">
        <v>325</v>
      </c>
      <c r="C120" t="s">
        <v>30</v>
      </c>
      <c r="D120" t="s">
        <v>2680</v>
      </c>
      <c r="E120" t="s">
        <v>54</v>
      </c>
      <c r="F120">
        <v>0</v>
      </c>
    </row>
    <row r="121" spans="1:6">
      <c r="A121" s="15">
        <v>44186</v>
      </c>
      <c r="B121" t="s">
        <v>360</v>
      </c>
      <c r="C121" t="s">
        <v>30</v>
      </c>
      <c r="D121" t="s">
        <v>2680</v>
      </c>
      <c r="E121" t="s">
        <v>54</v>
      </c>
      <c r="F121">
        <v>0</v>
      </c>
    </row>
    <row r="122" spans="1:6">
      <c r="A122" s="15">
        <v>44188</v>
      </c>
      <c r="B122" t="s">
        <v>362</v>
      </c>
      <c r="C122" t="s">
        <v>30</v>
      </c>
      <c r="D122" t="s">
        <v>2680</v>
      </c>
      <c r="E122" t="s">
        <v>239</v>
      </c>
      <c r="F122">
        <v>0</v>
      </c>
    </row>
    <row r="123" spans="1:6">
      <c r="A123" s="15">
        <v>44190</v>
      </c>
      <c r="B123" t="s">
        <v>152</v>
      </c>
      <c r="C123" t="s">
        <v>65</v>
      </c>
      <c r="D123" t="s">
        <v>70</v>
      </c>
      <c r="E123" t="s">
        <v>149</v>
      </c>
      <c r="F123">
        <v>0</v>
      </c>
    </row>
    <row r="124" spans="1:6">
      <c r="A124" s="15">
        <v>44193</v>
      </c>
      <c r="B124" t="s">
        <v>366</v>
      </c>
      <c r="C124" t="s">
        <v>65</v>
      </c>
      <c r="D124" t="s">
        <v>82</v>
      </c>
      <c r="E124" t="s">
        <v>119</v>
      </c>
      <c r="F124">
        <v>0</v>
      </c>
    </row>
    <row r="125" spans="1:6">
      <c r="A125" s="15">
        <v>44195</v>
      </c>
      <c r="B125" t="s">
        <v>313</v>
      </c>
      <c r="C125" t="s">
        <v>30</v>
      </c>
      <c r="D125" t="s">
        <v>2680</v>
      </c>
      <c r="E125" t="s">
        <v>54</v>
      </c>
      <c r="F125">
        <v>0</v>
      </c>
    </row>
    <row r="126" spans="1:6">
      <c r="A126" s="15">
        <v>44200</v>
      </c>
      <c r="B126" t="s">
        <v>231</v>
      </c>
      <c r="C126" t="s">
        <v>65</v>
      </c>
      <c r="D126" t="s">
        <v>70</v>
      </c>
      <c r="E126" t="s">
        <v>146</v>
      </c>
      <c r="F126">
        <v>0</v>
      </c>
    </row>
    <row r="127" spans="1:6">
      <c r="A127" s="15">
        <v>44202</v>
      </c>
      <c r="B127" t="s">
        <v>376</v>
      </c>
      <c r="C127" t="s">
        <v>30</v>
      </c>
      <c r="D127" t="s">
        <v>2680</v>
      </c>
      <c r="E127" t="s">
        <v>375</v>
      </c>
      <c r="F127">
        <v>0</v>
      </c>
    </row>
    <row r="128" spans="1:6">
      <c r="A128" s="15">
        <v>44202</v>
      </c>
      <c r="B128" t="s">
        <v>144</v>
      </c>
      <c r="C128" t="s">
        <v>65</v>
      </c>
      <c r="D128" t="s">
        <v>82</v>
      </c>
      <c r="E128" t="s">
        <v>340</v>
      </c>
      <c r="F128">
        <v>0</v>
      </c>
    </row>
    <row r="129" spans="1:6">
      <c r="A129" s="15">
        <v>44210</v>
      </c>
      <c r="B129" t="s">
        <v>379</v>
      </c>
      <c r="C129" t="s">
        <v>65</v>
      </c>
      <c r="D129" t="s">
        <v>282</v>
      </c>
      <c r="E129" t="s">
        <v>378</v>
      </c>
      <c r="F129">
        <v>500</v>
      </c>
    </row>
    <row r="130" spans="1:6">
      <c r="A130" s="15">
        <v>44214</v>
      </c>
      <c r="B130" t="s">
        <v>383</v>
      </c>
      <c r="C130" t="s">
        <v>65</v>
      </c>
      <c r="D130" t="s">
        <v>70</v>
      </c>
      <c r="E130" t="s">
        <v>219</v>
      </c>
      <c r="F130">
        <v>0</v>
      </c>
    </row>
    <row r="131" spans="1:6">
      <c r="A131" s="15">
        <v>44216</v>
      </c>
      <c r="B131" t="s">
        <v>385</v>
      </c>
      <c r="C131" t="s">
        <v>30</v>
      </c>
      <c r="D131" t="s">
        <v>2680</v>
      </c>
      <c r="E131" t="s">
        <v>239</v>
      </c>
      <c r="F131">
        <v>5000</v>
      </c>
    </row>
    <row r="132" spans="1:6">
      <c r="A132" s="15">
        <v>44218</v>
      </c>
      <c r="B132" t="s">
        <v>179</v>
      </c>
      <c r="C132" t="s">
        <v>65</v>
      </c>
      <c r="D132" t="s">
        <v>70</v>
      </c>
      <c r="E132" t="s">
        <v>119</v>
      </c>
      <c r="F132">
        <v>0</v>
      </c>
    </row>
    <row r="133" spans="1:6">
      <c r="A133" s="15">
        <v>44221</v>
      </c>
      <c r="B133" t="s">
        <v>132</v>
      </c>
      <c r="C133" t="s">
        <v>133</v>
      </c>
      <c r="D133" t="s">
        <v>130</v>
      </c>
      <c r="E133" t="s">
        <v>125</v>
      </c>
      <c r="F133">
        <v>0</v>
      </c>
    </row>
    <row r="134" spans="1:6">
      <c r="A134" s="15">
        <v>44223</v>
      </c>
      <c r="B134" t="s">
        <v>393</v>
      </c>
      <c r="C134" t="s">
        <v>65</v>
      </c>
      <c r="D134" t="s">
        <v>82</v>
      </c>
      <c r="E134" t="s">
        <v>392</v>
      </c>
      <c r="F134">
        <v>0</v>
      </c>
    </row>
    <row r="135" spans="1:6">
      <c r="A135" s="15">
        <v>44225</v>
      </c>
      <c r="B135" t="s">
        <v>399</v>
      </c>
      <c r="C135" t="s">
        <v>65</v>
      </c>
      <c r="D135" t="s">
        <v>82</v>
      </c>
      <c r="E135" t="s">
        <v>224</v>
      </c>
      <c r="F135">
        <v>0</v>
      </c>
    </row>
    <row r="136" spans="1:6">
      <c r="A136" s="15">
        <v>44228</v>
      </c>
      <c r="B136" t="s">
        <v>406</v>
      </c>
      <c r="C136" t="s">
        <v>30</v>
      </c>
      <c r="D136" t="s">
        <v>2680</v>
      </c>
      <c r="E136" t="s">
        <v>401</v>
      </c>
      <c r="F136">
        <v>0</v>
      </c>
    </row>
    <row r="137" spans="1:6">
      <c r="A137" s="15">
        <v>44228</v>
      </c>
      <c r="B137" t="s">
        <v>404</v>
      </c>
      <c r="C137" t="s">
        <v>65</v>
      </c>
      <c r="D137" t="s">
        <v>70</v>
      </c>
      <c r="E137" t="s">
        <v>403</v>
      </c>
      <c r="F137">
        <v>0</v>
      </c>
    </row>
    <row r="138" spans="1:6">
      <c r="A138" s="15">
        <v>44245</v>
      </c>
      <c r="B138" t="s">
        <v>269</v>
      </c>
      <c r="C138" t="s">
        <v>65</v>
      </c>
      <c r="D138" t="s">
        <v>409</v>
      </c>
      <c r="E138" t="s">
        <v>410</v>
      </c>
      <c r="F138">
        <v>0</v>
      </c>
    </row>
    <row r="139" spans="1:6">
      <c r="A139" s="15">
        <v>44246</v>
      </c>
      <c r="B139" t="s">
        <v>332</v>
      </c>
      <c r="C139" t="s">
        <v>65</v>
      </c>
      <c r="D139" t="s">
        <v>70</v>
      </c>
      <c r="E139" t="s">
        <v>224</v>
      </c>
      <c r="F139">
        <v>0</v>
      </c>
    </row>
    <row r="140" spans="1:6">
      <c r="A140" s="15">
        <v>44246</v>
      </c>
      <c r="B140" t="s">
        <v>422</v>
      </c>
      <c r="C140" t="s">
        <v>30</v>
      </c>
      <c r="D140" t="s">
        <v>2680</v>
      </c>
      <c r="E140" t="s">
        <v>125</v>
      </c>
      <c r="F140">
        <v>0</v>
      </c>
    </row>
    <row r="141" spans="1:6">
      <c r="A141" s="15">
        <v>44246</v>
      </c>
      <c r="B141" t="s">
        <v>413</v>
      </c>
      <c r="C141" t="s">
        <v>65</v>
      </c>
      <c r="D141" t="s">
        <v>82</v>
      </c>
      <c r="E141" t="s">
        <v>412</v>
      </c>
      <c r="F141">
        <v>0</v>
      </c>
    </row>
    <row r="142" spans="1:6">
      <c r="A142" s="15">
        <v>44246</v>
      </c>
      <c r="B142" t="s">
        <v>419</v>
      </c>
      <c r="C142" t="s">
        <v>65</v>
      </c>
      <c r="D142" t="s">
        <v>82</v>
      </c>
      <c r="E142" t="s">
        <v>340</v>
      </c>
      <c r="F142">
        <v>0</v>
      </c>
    </row>
    <row r="143" spans="1:6">
      <c r="A143" s="15">
        <v>44251</v>
      </c>
      <c r="B143" t="s">
        <v>424</v>
      </c>
      <c r="C143" t="s">
        <v>65</v>
      </c>
      <c r="D143" t="s">
        <v>82</v>
      </c>
      <c r="E143" t="s">
        <v>340</v>
      </c>
      <c r="F143">
        <v>0</v>
      </c>
    </row>
    <row r="144" spans="1:6">
      <c r="A144" s="15">
        <v>44251</v>
      </c>
      <c r="B144" t="s">
        <v>115</v>
      </c>
      <c r="C144" t="s">
        <v>65</v>
      </c>
      <c r="D144" t="s">
        <v>70</v>
      </c>
      <c r="E144" t="s">
        <v>259</v>
      </c>
      <c r="F144">
        <v>0</v>
      </c>
    </row>
    <row r="145" spans="1:6">
      <c r="A145" s="15">
        <v>44252</v>
      </c>
      <c r="B145" t="s">
        <v>428</v>
      </c>
      <c r="C145" t="s">
        <v>65</v>
      </c>
      <c r="D145" t="s">
        <v>70</v>
      </c>
      <c r="E145" t="s">
        <v>92</v>
      </c>
      <c r="F145">
        <v>0</v>
      </c>
    </row>
    <row r="146" spans="1:6">
      <c r="A146" s="15">
        <v>44252</v>
      </c>
      <c r="B146" t="s">
        <v>430</v>
      </c>
      <c r="C146" t="s">
        <v>133</v>
      </c>
      <c r="D146" t="s">
        <v>130</v>
      </c>
      <c r="E146" t="s">
        <v>401</v>
      </c>
      <c r="F146">
        <v>0</v>
      </c>
    </row>
    <row r="147" spans="1:6">
      <c r="A147" s="15">
        <v>44255</v>
      </c>
      <c r="B147" t="s">
        <v>179</v>
      </c>
      <c r="C147" t="s">
        <v>65</v>
      </c>
      <c r="D147" t="s">
        <v>70</v>
      </c>
      <c r="E147" t="s">
        <v>119</v>
      </c>
      <c r="F147">
        <v>0</v>
      </c>
    </row>
    <row r="148" spans="1:6">
      <c r="A148" s="15">
        <v>44256</v>
      </c>
      <c r="B148" t="s">
        <v>435</v>
      </c>
      <c r="C148" t="s">
        <v>65</v>
      </c>
      <c r="D148" t="s">
        <v>70</v>
      </c>
      <c r="E148" t="s">
        <v>434</v>
      </c>
      <c r="F148">
        <v>0</v>
      </c>
    </row>
    <row r="149" spans="1:6">
      <c r="A149" s="15">
        <v>44258</v>
      </c>
      <c r="B149" t="s">
        <v>136</v>
      </c>
      <c r="C149" t="s">
        <v>65</v>
      </c>
      <c r="D149" t="s">
        <v>70</v>
      </c>
      <c r="E149" t="s">
        <v>143</v>
      </c>
      <c r="F149">
        <v>0</v>
      </c>
    </row>
    <row r="150" spans="1:6">
      <c r="A150" s="15">
        <v>44259</v>
      </c>
      <c r="B150" t="s">
        <v>438</v>
      </c>
      <c r="C150" t="s">
        <v>65</v>
      </c>
      <c r="D150" t="s">
        <v>130</v>
      </c>
      <c r="E150" t="s">
        <v>239</v>
      </c>
      <c r="F150">
        <v>0</v>
      </c>
    </row>
    <row r="151" spans="1:6">
      <c r="A151" s="15">
        <v>44265</v>
      </c>
      <c r="B151" t="s">
        <v>313</v>
      </c>
      <c r="C151" t="s">
        <v>65</v>
      </c>
      <c r="D151" t="s">
        <v>82</v>
      </c>
      <c r="E151" t="s">
        <v>412</v>
      </c>
      <c r="F151">
        <v>0</v>
      </c>
    </row>
    <row r="152" spans="1:6">
      <c r="A152" s="15">
        <v>44270</v>
      </c>
      <c r="B152" t="s">
        <v>443</v>
      </c>
      <c r="C152" t="s">
        <v>65</v>
      </c>
      <c r="D152" t="s">
        <v>70</v>
      </c>
      <c r="E152" t="s">
        <v>146</v>
      </c>
      <c r="F152">
        <v>0</v>
      </c>
    </row>
    <row r="153" spans="1:6">
      <c r="A153" s="15">
        <v>44270</v>
      </c>
      <c r="B153" t="s">
        <v>177</v>
      </c>
      <c r="C153" t="s">
        <v>65</v>
      </c>
      <c r="D153" t="s">
        <v>282</v>
      </c>
      <c r="E153" t="s">
        <v>434</v>
      </c>
      <c r="F153">
        <v>0</v>
      </c>
    </row>
    <row r="154" spans="1:6">
      <c r="A154" s="15">
        <v>44271</v>
      </c>
      <c r="B154" t="s">
        <v>275</v>
      </c>
      <c r="C154" t="s">
        <v>65</v>
      </c>
      <c r="D154" t="s">
        <v>70</v>
      </c>
      <c r="E154" t="s">
        <v>434</v>
      </c>
      <c r="F154">
        <v>0</v>
      </c>
    </row>
    <row r="155" spans="1:6">
      <c r="A155" s="15">
        <v>44280</v>
      </c>
      <c r="B155" t="s">
        <v>448</v>
      </c>
      <c r="C155" t="s">
        <v>65</v>
      </c>
      <c r="D155" t="s">
        <v>70</v>
      </c>
      <c r="E155" t="s">
        <v>233</v>
      </c>
      <c r="F155">
        <v>0</v>
      </c>
    </row>
    <row r="156" spans="1:6">
      <c r="A156" s="15">
        <v>44283</v>
      </c>
      <c r="B156" t="s">
        <v>430</v>
      </c>
      <c r="C156" t="s">
        <v>30</v>
      </c>
      <c r="D156" t="s">
        <v>2680</v>
      </c>
      <c r="E156" t="s">
        <v>450</v>
      </c>
      <c r="F156">
        <v>0</v>
      </c>
    </row>
    <row r="157" spans="1:6">
      <c r="A157" s="15">
        <v>44300</v>
      </c>
      <c r="B157" t="s">
        <v>247</v>
      </c>
      <c r="C157" t="s">
        <v>65</v>
      </c>
      <c r="D157" t="s">
        <v>70</v>
      </c>
      <c r="E157" t="s">
        <v>452</v>
      </c>
      <c r="F157">
        <v>0</v>
      </c>
    </row>
    <row r="158" spans="1:6">
      <c r="A158" s="15">
        <v>44301</v>
      </c>
      <c r="B158" t="s">
        <v>454</v>
      </c>
      <c r="C158" t="s">
        <v>65</v>
      </c>
      <c r="D158" t="s">
        <v>70</v>
      </c>
      <c r="E158" t="s">
        <v>104</v>
      </c>
      <c r="F158">
        <v>0</v>
      </c>
    </row>
    <row r="159" spans="1:6">
      <c r="A159" s="15">
        <v>44314</v>
      </c>
      <c r="B159" t="s">
        <v>457</v>
      </c>
      <c r="C159" t="s">
        <v>133</v>
      </c>
      <c r="D159" t="s">
        <v>130</v>
      </c>
      <c r="E159" t="s">
        <v>456</v>
      </c>
      <c r="F159">
        <v>0</v>
      </c>
    </row>
    <row r="160" spans="1:6">
      <c r="A160" s="15">
        <v>44326</v>
      </c>
      <c r="B160" t="s">
        <v>406</v>
      </c>
      <c r="C160" t="s">
        <v>65</v>
      </c>
      <c r="D160" t="s">
        <v>282</v>
      </c>
      <c r="E160" t="s">
        <v>460</v>
      </c>
      <c r="F160">
        <v>1000</v>
      </c>
    </row>
    <row r="161" spans="1:6">
      <c r="A161" s="15">
        <v>44333</v>
      </c>
      <c r="B161" t="s">
        <v>275</v>
      </c>
      <c r="C161" t="s">
        <v>65</v>
      </c>
      <c r="D161" t="s">
        <v>70</v>
      </c>
      <c r="E161" t="s">
        <v>149</v>
      </c>
      <c r="F161">
        <v>0</v>
      </c>
    </row>
    <row r="162" spans="1:6">
      <c r="A162" s="15">
        <v>44335</v>
      </c>
      <c r="B162" t="s">
        <v>138</v>
      </c>
      <c r="C162" t="s">
        <v>65</v>
      </c>
      <c r="D162" t="s">
        <v>70</v>
      </c>
      <c r="E162" t="s">
        <v>190</v>
      </c>
      <c r="F162">
        <v>0</v>
      </c>
    </row>
    <row r="163" spans="1:6">
      <c r="A163" s="15">
        <v>44340</v>
      </c>
      <c r="B163" t="s">
        <v>215</v>
      </c>
      <c r="C163" t="s">
        <v>30</v>
      </c>
      <c r="D163" t="s">
        <v>2680</v>
      </c>
      <c r="E163" t="s">
        <v>450</v>
      </c>
      <c r="F163">
        <v>0</v>
      </c>
    </row>
    <row r="164" spans="1:6">
      <c r="A164" s="15">
        <v>44357</v>
      </c>
      <c r="B164" t="s">
        <v>325</v>
      </c>
      <c r="C164" t="s">
        <v>30</v>
      </c>
      <c r="D164" t="s">
        <v>2680</v>
      </c>
      <c r="E164" t="s">
        <v>239</v>
      </c>
      <c r="F164">
        <v>0</v>
      </c>
    </row>
    <row r="165" spans="1:6">
      <c r="A165" s="15">
        <v>44365</v>
      </c>
      <c r="B165" t="s">
        <v>470</v>
      </c>
      <c r="C165" t="s">
        <v>65</v>
      </c>
      <c r="D165" t="s">
        <v>70</v>
      </c>
      <c r="E165" t="s">
        <v>146</v>
      </c>
      <c r="F165">
        <v>0</v>
      </c>
    </row>
    <row r="166" spans="1:6">
      <c r="A166" s="15">
        <v>44375</v>
      </c>
      <c r="B166" t="s">
        <v>366</v>
      </c>
      <c r="C166" t="s">
        <v>30</v>
      </c>
      <c r="D166" t="s">
        <v>2680</v>
      </c>
      <c r="E166" t="s">
        <v>54</v>
      </c>
      <c r="F166">
        <v>0</v>
      </c>
    </row>
    <row r="167" spans="1:6">
      <c r="A167" s="15">
        <v>44375</v>
      </c>
      <c r="B167" t="s">
        <v>472</v>
      </c>
      <c r="C167" t="s">
        <v>65</v>
      </c>
      <c r="D167" t="s">
        <v>70</v>
      </c>
      <c r="E167" t="s">
        <v>104</v>
      </c>
      <c r="F167">
        <v>0</v>
      </c>
    </row>
    <row r="168" spans="1:6">
      <c r="A168" s="15">
        <v>44384</v>
      </c>
      <c r="B168" t="s">
        <v>476</v>
      </c>
      <c r="C168" t="s">
        <v>30</v>
      </c>
      <c r="D168" t="s">
        <v>2680</v>
      </c>
      <c r="E168" t="s">
        <v>239</v>
      </c>
      <c r="F168">
        <v>0</v>
      </c>
    </row>
    <row r="169" spans="1:6">
      <c r="A169" s="15">
        <v>44391</v>
      </c>
      <c r="B169" t="s">
        <v>188</v>
      </c>
      <c r="C169" t="s">
        <v>65</v>
      </c>
      <c r="D169" t="s">
        <v>70</v>
      </c>
      <c r="E169" t="s">
        <v>340</v>
      </c>
      <c r="F169">
        <v>0</v>
      </c>
    </row>
    <row r="170" spans="1:6">
      <c r="A170" s="15">
        <v>44400</v>
      </c>
      <c r="B170" t="s">
        <v>40</v>
      </c>
      <c r="C170" t="s">
        <v>30</v>
      </c>
      <c r="D170" t="s">
        <v>2680</v>
      </c>
      <c r="E170" t="s">
        <v>479</v>
      </c>
      <c r="F170">
        <v>0</v>
      </c>
    </row>
    <row r="171" spans="1:6">
      <c r="A171" s="15">
        <v>44403</v>
      </c>
      <c r="B171" t="s">
        <v>483</v>
      </c>
      <c r="C171" t="s">
        <v>65</v>
      </c>
      <c r="D171" t="s">
        <v>82</v>
      </c>
      <c r="E171" t="s">
        <v>146</v>
      </c>
      <c r="F171">
        <v>0</v>
      </c>
    </row>
    <row r="172" spans="1:6">
      <c r="A172" s="15">
        <v>44406</v>
      </c>
      <c r="B172" t="s">
        <v>428</v>
      </c>
      <c r="C172" t="s">
        <v>65</v>
      </c>
      <c r="D172" t="s">
        <v>70</v>
      </c>
      <c r="E172" t="s">
        <v>487</v>
      </c>
      <c r="F172">
        <v>0</v>
      </c>
    </row>
    <row r="173" spans="1:6">
      <c r="A173" s="15">
        <v>44417</v>
      </c>
      <c r="B173" t="s">
        <v>490</v>
      </c>
      <c r="C173" t="s">
        <v>133</v>
      </c>
      <c r="D173" t="s">
        <v>130</v>
      </c>
      <c r="E173" t="s">
        <v>301</v>
      </c>
      <c r="F173">
        <v>0</v>
      </c>
    </row>
    <row r="174" spans="1:6">
      <c r="A174" s="15">
        <v>44417</v>
      </c>
      <c r="B174" t="s">
        <v>490</v>
      </c>
      <c r="C174" t="s">
        <v>30</v>
      </c>
      <c r="D174" t="s">
        <v>2680</v>
      </c>
      <c r="E174" t="s">
        <v>301</v>
      </c>
      <c r="F174">
        <v>0</v>
      </c>
    </row>
    <row r="175" spans="1:6">
      <c r="A175" s="15">
        <v>44419</v>
      </c>
      <c r="B175" t="s">
        <v>490</v>
      </c>
      <c r="C175" t="s">
        <v>30</v>
      </c>
      <c r="D175" t="s">
        <v>2680</v>
      </c>
      <c r="E175" t="s">
        <v>301</v>
      </c>
      <c r="F175">
        <v>0</v>
      </c>
    </row>
    <row r="176" spans="1:6">
      <c r="A176" s="15">
        <v>44419</v>
      </c>
      <c r="B176" t="s">
        <v>495</v>
      </c>
      <c r="C176" t="s">
        <v>65</v>
      </c>
      <c r="D176" t="s">
        <v>82</v>
      </c>
      <c r="E176" t="s">
        <v>146</v>
      </c>
      <c r="F176">
        <v>0</v>
      </c>
    </row>
    <row r="177" spans="1:6">
      <c r="A177" s="15">
        <v>44424</v>
      </c>
      <c r="B177" t="s">
        <v>366</v>
      </c>
      <c r="C177" t="s">
        <v>30</v>
      </c>
      <c r="D177" t="s">
        <v>2680</v>
      </c>
      <c r="E177" t="s">
        <v>54</v>
      </c>
      <c r="F177">
        <v>0</v>
      </c>
    </row>
    <row r="178" spans="1:6">
      <c r="A178" s="15">
        <v>44428</v>
      </c>
      <c r="B178" t="s">
        <v>132</v>
      </c>
      <c r="C178" t="s">
        <v>133</v>
      </c>
      <c r="D178" t="s">
        <v>130</v>
      </c>
      <c r="E178" t="s">
        <v>125</v>
      </c>
      <c r="F178">
        <v>0</v>
      </c>
    </row>
    <row r="179" spans="1:6">
      <c r="A179" s="15">
        <v>44428</v>
      </c>
      <c r="B179" t="s">
        <v>505</v>
      </c>
      <c r="C179" t="s">
        <v>65</v>
      </c>
      <c r="D179" t="s">
        <v>82</v>
      </c>
      <c r="E179" t="s">
        <v>452</v>
      </c>
      <c r="F179">
        <v>0</v>
      </c>
    </row>
    <row r="180" spans="1:6">
      <c r="A180" s="15">
        <v>44433</v>
      </c>
      <c r="B180" t="s">
        <v>509</v>
      </c>
      <c r="C180" t="s">
        <v>30</v>
      </c>
      <c r="D180" t="s">
        <v>2680</v>
      </c>
      <c r="E180" t="s">
        <v>301</v>
      </c>
      <c r="F180">
        <v>0</v>
      </c>
    </row>
    <row r="181" spans="1:6">
      <c r="A181" s="15">
        <v>44434</v>
      </c>
      <c r="B181" t="s">
        <v>514</v>
      </c>
      <c r="C181" t="s">
        <v>515</v>
      </c>
      <c r="D181" t="s">
        <v>2680</v>
      </c>
      <c r="E181" t="s">
        <v>513</v>
      </c>
      <c r="F181">
        <v>0</v>
      </c>
    </row>
    <row r="182" spans="1:6">
      <c r="A182" s="15">
        <v>44434</v>
      </c>
      <c r="B182" t="s">
        <v>113</v>
      </c>
      <c r="C182" t="s">
        <v>65</v>
      </c>
      <c r="D182" t="s">
        <v>70</v>
      </c>
      <c r="E182" t="s">
        <v>119</v>
      </c>
      <c r="F182">
        <v>0</v>
      </c>
    </row>
    <row r="183" spans="1:6">
      <c r="A183" s="15">
        <v>44438</v>
      </c>
      <c r="B183" t="s">
        <v>517</v>
      </c>
      <c r="C183" t="s">
        <v>65</v>
      </c>
      <c r="D183" t="s">
        <v>70</v>
      </c>
      <c r="E183" t="s">
        <v>233</v>
      </c>
      <c r="F183">
        <v>0</v>
      </c>
    </row>
    <row r="184" spans="1:6">
      <c r="A184" s="15">
        <v>44440</v>
      </c>
      <c r="B184" t="s">
        <v>520</v>
      </c>
      <c r="C184" t="s">
        <v>30</v>
      </c>
      <c r="D184" t="s">
        <v>2680</v>
      </c>
      <c r="E184" t="s">
        <v>519</v>
      </c>
      <c r="F184">
        <v>0</v>
      </c>
    </row>
    <row r="185" spans="1:6">
      <c r="A185" s="15">
        <v>44448</v>
      </c>
      <c r="B185" t="s">
        <v>490</v>
      </c>
      <c r="C185" t="s">
        <v>65</v>
      </c>
      <c r="D185" t="s">
        <v>282</v>
      </c>
      <c r="E185" t="s">
        <v>525</v>
      </c>
      <c r="F185">
        <v>0</v>
      </c>
    </row>
    <row r="186" spans="1:6">
      <c r="A186" s="15">
        <v>44449</v>
      </c>
      <c r="B186" t="s">
        <v>154</v>
      </c>
      <c r="C186" t="s">
        <v>65</v>
      </c>
      <c r="D186" t="s">
        <v>70</v>
      </c>
      <c r="E186" t="s">
        <v>224</v>
      </c>
      <c r="F186">
        <v>0</v>
      </c>
    </row>
    <row r="187" spans="1:6">
      <c r="A187" s="15">
        <v>44454</v>
      </c>
      <c r="B187" t="s">
        <v>509</v>
      </c>
      <c r="C187" t="s">
        <v>30</v>
      </c>
      <c r="D187" t="s">
        <v>2680</v>
      </c>
      <c r="E187" t="s">
        <v>301</v>
      </c>
      <c r="F187">
        <v>0</v>
      </c>
    </row>
    <row r="188" spans="1:6">
      <c r="A188" s="15">
        <v>44455</v>
      </c>
      <c r="B188" t="s">
        <v>60</v>
      </c>
      <c r="C188" t="s">
        <v>515</v>
      </c>
      <c r="D188" t="s">
        <v>2680</v>
      </c>
      <c r="E188" t="s">
        <v>54</v>
      </c>
      <c r="F188">
        <v>0</v>
      </c>
    </row>
    <row r="189" spans="1:6">
      <c r="A189" s="15">
        <v>44456</v>
      </c>
      <c r="B189" t="s">
        <v>193</v>
      </c>
      <c r="C189" t="s">
        <v>30</v>
      </c>
      <c r="D189" t="s">
        <v>2680</v>
      </c>
      <c r="E189" t="s">
        <v>54</v>
      </c>
      <c r="F189">
        <v>0</v>
      </c>
    </row>
    <row r="190" spans="1:6">
      <c r="A190" s="15">
        <v>44456</v>
      </c>
      <c r="B190" t="s">
        <v>90</v>
      </c>
      <c r="C190" t="s">
        <v>30</v>
      </c>
      <c r="D190" t="s">
        <v>2680</v>
      </c>
      <c r="E190" t="s">
        <v>294</v>
      </c>
      <c r="F190">
        <v>0</v>
      </c>
    </row>
    <row r="191" spans="1:6">
      <c r="A191" s="15">
        <v>44457</v>
      </c>
      <c r="B191" t="s">
        <v>34</v>
      </c>
      <c r="C191" t="s">
        <v>30</v>
      </c>
      <c r="D191" t="s">
        <v>2680</v>
      </c>
      <c r="E191" t="s">
        <v>534</v>
      </c>
      <c r="F191">
        <v>0</v>
      </c>
    </row>
    <row r="192" spans="1:6">
      <c r="A192" s="15">
        <v>44457</v>
      </c>
      <c r="B192" t="s">
        <v>34</v>
      </c>
      <c r="C192" t="s">
        <v>30</v>
      </c>
      <c r="D192" t="s">
        <v>2680</v>
      </c>
      <c r="E192" t="s">
        <v>537</v>
      </c>
      <c r="F192">
        <v>0</v>
      </c>
    </row>
    <row r="193" spans="1:6">
      <c r="A193" s="15">
        <v>44461</v>
      </c>
      <c r="B193" t="s">
        <v>543</v>
      </c>
      <c r="C193" t="s">
        <v>515</v>
      </c>
      <c r="D193" t="s">
        <v>2680</v>
      </c>
      <c r="E193" t="s">
        <v>537</v>
      </c>
      <c r="F193">
        <v>0</v>
      </c>
    </row>
    <row r="194" spans="1:6">
      <c r="A194" s="15">
        <v>44461</v>
      </c>
      <c r="B194" t="s">
        <v>540</v>
      </c>
      <c r="C194" t="s">
        <v>30</v>
      </c>
      <c r="D194" t="s">
        <v>2680</v>
      </c>
      <c r="E194" t="s">
        <v>537</v>
      </c>
      <c r="F194">
        <v>0</v>
      </c>
    </row>
    <row r="195" spans="1:6">
      <c r="A195" s="15">
        <v>44466</v>
      </c>
      <c r="B195" t="s">
        <v>546</v>
      </c>
      <c r="C195" t="s">
        <v>515</v>
      </c>
      <c r="D195" t="s">
        <v>2680</v>
      </c>
      <c r="E195" t="s">
        <v>87</v>
      </c>
      <c r="F195">
        <v>0</v>
      </c>
    </row>
    <row r="196" spans="1:6">
      <c r="A196" s="15">
        <v>44466</v>
      </c>
      <c r="B196" t="s">
        <v>546</v>
      </c>
      <c r="C196" t="s">
        <v>515</v>
      </c>
      <c r="D196" t="s">
        <v>2680</v>
      </c>
      <c r="E196" t="s">
        <v>537</v>
      </c>
      <c r="F196">
        <v>0</v>
      </c>
    </row>
    <row r="197" spans="1:6">
      <c r="A197" s="15">
        <v>44467</v>
      </c>
      <c r="B197" t="s">
        <v>113</v>
      </c>
      <c r="C197" t="s">
        <v>65</v>
      </c>
      <c r="D197" t="s">
        <v>70</v>
      </c>
      <c r="E197" t="s">
        <v>119</v>
      </c>
      <c r="F197">
        <v>0</v>
      </c>
    </row>
    <row r="198" spans="1:6">
      <c r="A198" s="15">
        <v>44467</v>
      </c>
      <c r="B198" t="s">
        <v>546</v>
      </c>
      <c r="C198" t="s">
        <v>515</v>
      </c>
      <c r="D198" t="s">
        <v>2680</v>
      </c>
      <c r="E198" t="s">
        <v>87</v>
      </c>
      <c r="F198">
        <v>0</v>
      </c>
    </row>
    <row r="199" spans="1:6">
      <c r="A199" s="15">
        <v>44467</v>
      </c>
      <c r="B199" t="s">
        <v>546</v>
      </c>
      <c r="C199" t="s">
        <v>515</v>
      </c>
      <c r="D199" t="s">
        <v>2680</v>
      </c>
      <c r="E199" t="s">
        <v>537</v>
      </c>
      <c r="F199">
        <v>0</v>
      </c>
    </row>
    <row r="200" spans="1:6">
      <c r="A200" s="15">
        <v>44469</v>
      </c>
      <c r="B200" t="s">
        <v>209</v>
      </c>
      <c r="C200" t="s">
        <v>515</v>
      </c>
      <c r="D200" t="s">
        <v>2680</v>
      </c>
      <c r="E200" t="s">
        <v>172</v>
      </c>
      <c r="F200">
        <v>0</v>
      </c>
    </row>
    <row r="201" spans="1:6">
      <c r="A201" s="15">
        <v>44469</v>
      </c>
      <c r="B201" t="s">
        <v>209</v>
      </c>
      <c r="C201" t="s">
        <v>515</v>
      </c>
      <c r="D201" t="s">
        <v>2680</v>
      </c>
      <c r="E201" t="s">
        <v>537</v>
      </c>
      <c r="F201">
        <v>0</v>
      </c>
    </row>
    <row r="202" spans="1:6">
      <c r="A202" s="15">
        <v>44469</v>
      </c>
      <c r="B202" t="s">
        <v>209</v>
      </c>
      <c r="C202" t="s">
        <v>30</v>
      </c>
      <c r="D202" t="s">
        <v>2680</v>
      </c>
      <c r="E202" t="s">
        <v>172</v>
      </c>
      <c r="F202">
        <v>0</v>
      </c>
    </row>
    <row r="203" spans="1:6">
      <c r="A203" s="15">
        <v>44469</v>
      </c>
      <c r="B203" t="s">
        <v>555</v>
      </c>
      <c r="C203" t="s">
        <v>30</v>
      </c>
      <c r="D203" t="s">
        <v>2680</v>
      </c>
      <c r="E203" t="s">
        <v>87</v>
      </c>
      <c r="F203">
        <v>0</v>
      </c>
    </row>
    <row r="204" spans="1:6">
      <c r="A204" s="15">
        <v>44480</v>
      </c>
      <c r="B204" t="s">
        <v>40</v>
      </c>
      <c r="C204" t="s">
        <v>515</v>
      </c>
      <c r="D204" t="s">
        <v>2680</v>
      </c>
      <c r="E204" t="s">
        <v>537</v>
      </c>
      <c r="F204">
        <v>0</v>
      </c>
    </row>
    <row r="205" spans="1:6">
      <c r="A205" s="15">
        <v>44480</v>
      </c>
      <c r="B205" t="s">
        <v>40</v>
      </c>
      <c r="C205" t="s">
        <v>30</v>
      </c>
      <c r="D205" t="s">
        <v>2680</v>
      </c>
      <c r="E205" t="s">
        <v>537</v>
      </c>
      <c r="F205">
        <v>0</v>
      </c>
    </row>
    <row r="206" spans="1:6">
      <c r="A206" s="15">
        <v>44481</v>
      </c>
      <c r="B206" t="s">
        <v>564</v>
      </c>
      <c r="C206" t="s">
        <v>30</v>
      </c>
      <c r="D206" t="s">
        <v>2680</v>
      </c>
      <c r="E206" t="s">
        <v>54</v>
      </c>
      <c r="F206">
        <v>0</v>
      </c>
    </row>
    <row r="207" spans="1:6">
      <c r="A207" s="15">
        <v>44487</v>
      </c>
      <c r="B207" t="s">
        <v>483</v>
      </c>
      <c r="C207" t="s">
        <v>30</v>
      </c>
      <c r="D207" t="s">
        <v>2680</v>
      </c>
      <c r="E207" t="s">
        <v>371</v>
      </c>
      <c r="F207">
        <v>0</v>
      </c>
    </row>
    <row r="208" spans="1:6">
      <c r="A208" s="15">
        <v>44487</v>
      </c>
      <c r="B208" t="s">
        <v>517</v>
      </c>
      <c r="C208" t="s">
        <v>65</v>
      </c>
      <c r="D208" t="s">
        <v>70</v>
      </c>
      <c r="E208" t="s">
        <v>487</v>
      </c>
      <c r="F208">
        <v>0</v>
      </c>
    </row>
    <row r="209" spans="1:6">
      <c r="A209" s="15">
        <v>44487</v>
      </c>
      <c r="B209" t="s">
        <v>570</v>
      </c>
      <c r="C209" t="s">
        <v>30</v>
      </c>
      <c r="D209" t="s">
        <v>2680</v>
      </c>
      <c r="E209" t="s">
        <v>569</v>
      </c>
      <c r="F209">
        <v>0</v>
      </c>
    </row>
    <row r="210" spans="1:6">
      <c r="A210" s="15">
        <v>44494</v>
      </c>
      <c r="B210" t="s">
        <v>325</v>
      </c>
      <c r="C210" t="s">
        <v>30</v>
      </c>
      <c r="D210" t="s">
        <v>2680</v>
      </c>
      <c r="E210" t="s">
        <v>506</v>
      </c>
      <c r="F210">
        <v>0</v>
      </c>
    </row>
    <row r="211" spans="1:6">
      <c r="A211" s="15">
        <v>44495</v>
      </c>
      <c r="B211" t="s">
        <v>574</v>
      </c>
      <c r="C211" t="s">
        <v>133</v>
      </c>
      <c r="D211" t="s">
        <v>130</v>
      </c>
      <c r="E211" t="s">
        <v>456</v>
      </c>
      <c r="F211">
        <v>0</v>
      </c>
    </row>
    <row r="212" spans="1:6">
      <c r="A212" s="15">
        <v>44498</v>
      </c>
      <c r="B212" t="s">
        <v>583</v>
      </c>
      <c r="C212" t="s">
        <v>515</v>
      </c>
      <c r="D212" t="s">
        <v>2680</v>
      </c>
      <c r="E212" t="s">
        <v>537</v>
      </c>
      <c r="F212">
        <v>0</v>
      </c>
    </row>
    <row r="213" spans="1:6">
      <c r="A213" s="15">
        <v>44498</v>
      </c>
      <c r="B213" t="s">
        <v>583</v>
      </c>
      <c r="C213" t="s">
        <v>515</v>
      </c>
      <c r="D213" t="s">
        <v>2680</v>
      </c>
      <c r="E213" t="s">
        <v>208</v>
      </c>
      <c r="F213">
        <v>0</v>
      </c>
    </row>
    <row r="214" spans="1:6">
      <c r="A214" s="15">
        <v>44498</v>
      </c>
      <c r="B214" t="s">
        <v>578</v>
      </c>
      <c r="C214" t="s">
        <v>30</v>
      </c>
      <c r="D214" t="s">
        <v>130</v>
      </c>
      <c r="E214" t="s">
        <v>301</v>
      </c>
      <c r="F214">
        <v>10000</v>
      </c>
    </row>
    <row r="215" spans="1:6">
      <c r="A215" s="15">
        <v>44498</v>
      </c>
      <c r="B215" t="s">
        <v>578</v>
      </c>
      <c r="C215" t="s">
        <v>30</v>
      </c>
      <c r="D215" t="s">
        <v>2680</v>
      </c>
      <c r="E215" t="s">
        <v>239</v>
      </c>
      <c r="F215">
        <v>0</v>
      </c>
    </row>
    <row r="216" spans="1:6">
      <c r="A216" s="15">
        <v>44501</v>
      </c>
      <c r="B216" t="s">
        <v>578</v>
      </c>
      <c r="C216" t="s">
        <v>30</v>
      </c>
      <c r="D216" t="s">
        <v>2680</v>
      </c>
      <c r="E216" t="s">
        <v>239</v>
      </c>
      <c r="F216">
        <v>0</v>
      </c>
    </row>
    <row r="217" spans="1:6">
      <c r="A217" s="15">
        <v>44503</v>
      </c>
      <c r="B217" t="s">
        <v>592</v>
      </c>
      <c r="C217" t="s">
        <v>515</v>
      </c>
      <c r="D217" t="s">
        <v>2680</v>
      </c>
      <c r="E217" t="s">
        <v>591</v>
      </c>
      <c r="F217">
        <v>0</v>
      </c>
    </row>
    <row r="218" spans="1:6">
      <c r="A218" s="15">
        <v>44503</v>
      </c>
      <c r="B218" t="s">
        <v>555</v>
      </c>
      <c r="C218" t="s">
        <v>133</v>
      </c>
      <c r="D218" t="s">
        <v>130</v>
      </c>
      <c r="E218" t="s">
        <v>87</v>
      </c>
      <c r="F218">
        <v>0</v>
      </c>
    </row>
    <row r="219" spans="1:6">
      <c r="A219" s="15">
        <v>44508</v>
      </c>
      <c r="B219" t="s">
        <v>596</v>
      </c>
      <c r="C219" t="s">
        <v>30</v>
      </c>
      <c r="D219" t="s">
        <v>130</v>
      </c>
      <c r="E219" t="s">
        <v>591</v>
      </c>
      <c r="F219">
        <v>0</v>
      </c>
    </row>
    <row r="220" spans="1:6">
      <c r="A220" s="15">
        <v>44508</v>
      </c>
      <c r="B220" t="s">
        <v>594</v>
      </c>
      <c r="C220" t="s">
        <v>65</v>
      </c>
      <c r="D220" t="s">
        <v>282</v>
      </c>
      <c r="E220" t="s">
        <v>233</v>
      </c>
      <c r="F220">
        <v>0</v>
      </c>
    </row>
    <row r="221" spans="1:6">
      <c r="A221" s="15">
        <v>44510</v>
      </c>
      <c r="B221" t="s">
        <v>578</v>
      </c>
      <c r="C221" t="s">
        <v>65</v>
      </c>
      <c r="D221" t="s">
        <v>282</v>
      </c>
      <c r="E221" t="s">
        <v>340</v>
      </c>
      <c r="F221">
        <v>0</v>
      </c>
    </row>
    <row r="222" spans="1:6">
      <c r="A222" s="15">
        <v>44512</v>
      </c>
      <c r="B222" t="s">
        <v>603</v>
      </c>
      <c r="C222" t="s">
        <v>30</v>
      </c>
      <c r="D222" t="s">
        <v>2680</v>
      </c>
      <c r="E222" t="s">
        <v>450</v>
      </c>
      <c r="F222">
        <v>0</v>
      </c>
    </row>
    <row r="223" spans="1:6">
      <c r="A223" s="15">
        <v>44512</v>
      </c>
      <c r="B223" t="s">
        <v>600</v>
      </c>
      <c r="C223" t="s">
        <v>65</v>
      </c>
      <c r="D223" t="s">
        <v>130</v>
      </c>
      <c r="E223" t="s">
        <v>537</v>
      </c>
      <c r="F223">
        <v>0</v>
      </c>
    </row>
    <row r="224" spans="1:6">
      <c r="A224" s="15">
        <v>44514</v>
      </c>
      <c r="B224" t="s">
        <v>605</v>
      </c>
      <c r="C224" t="s">
        <v>65</v>
      </c>
      <c r="D224" t="s">
        <v>282</v>
      </c>
      <c r="E224" t="s">
        <v>487</v>
      </c>
      <c r="F224">
        <v>0</v>
      </c>
    </row>
    <row r="225" spans="1:6">
      <c r="A225" s="15">
        <v>44514</v>
      </c>
      <c r="B225" t="s">
        <v>605</v>
      </c>
      <c r="C225" t="s">
        <v>65</v>
      </c>
      <c r="D225" t="s">
        <v>82</v>
      </c>
      <c r="E225" t="s">
        <v>608</v>
      </c>
      <c r="F225">
        <v>0</v>
      </c>
    </row>
    <row r="226" spans="1:6">
      <c r="A226" s="15">
        <v>44515</v>
      </c>
      <c r="B226" t="s">
        <v>615</v>
      </c>
      <c r="C226" t="s">
        <v>30</v>
      </c>
      <c r="D226" t="s">
        <v>2680</v>
      </c>
      <c r="E226" t="s">
        <v>614</v>
      </c>
      <c r="F226">
        <v>0</v>
      </c>
    </row>
    <row r="227" spans="1:6">
      <c r="A227" s="15">
        <v>44515</v>
      </c>
      <c r="B227" t="s">
        <v>612</v>
      </c>
      <c r="C227" t="s">
        <v>65</v>
      </c>
      <c r="D227" t="s">
        <v>70</v>
      </c>
      <c r="E227" t="s">
        <v>611</v>
      </c>
      <c r="F227">
        <v>0</v>
      </c>
    </row>
    <row r="228" spans="1:6">
      <c r="A228" s="15">
        <v>44515</v>
      </c>
      <c r="B228" t="s">
        <v>34</v>
      </c>
      <c r="C228" t="s">
        <v>515</v>
      </c>
      <c r="D228" t="s">
        <v>2680</v>
      </c>
      <c r="E228" t="s">
        <v>450</v>
      </c>
      <c r="F228">
        <v>0</v>
      </c>
    </row>
    <row r="229" spans="1:6">
      <c r="A229" s="15">
        <v>44515</v>
      </c>
      <c r="B229" t="s">
        <v>34</v>
      </c>
      <c r="C229" t="s">
        <v>30</v>
      </c>
      <c r="D229" t="s">
        <v>2680</v>
      </c>
      <c r="E229" t="s">
        <v>450</v>
      </c>
      <c r="F229">
        <v>0</v>
      </c>
    </row>
    <row r="230" spans="1:6">
      <c r="A230" s="15">
        <v>44517</v>
      </c>
      <c r="B230" t="s">
        <v>634</v>
      </c>
      <c r="C230" t="s">
        <v>515</v>
      </c>
      <c r="D230" t="s">
        <v>130</v>
      </c>
      <c r="E230" t="s">
        <v>239</v>
      </c>
      <c r="F230">
        <v>0</v>
      </c>
    </row>
    <row r="231" spans="1:6">
      <c r="A231" s="15">
        <v>44517</v>
      </c>
      <c r="B231" t="s">
        <v>352</v>
      </c>
      <c r="C231" t="s">
        <v>515</v>
      </c>
      <c r="D231" t="s">
        <v>632</v>
      </c>
      <c r="E231" t="s">
        <v>614</v>
      </c>
      <c r="F231">
        <v>0</v>
      </c>
    </row>
    <row r="232" spans="1:6">
      <c r="A232" s="15">
        <v>44517</v>
      </c>
      <c r="B232" t="s">
        <v>352</v>
      </c>
      <c r="C232" t="s">
        <v>515</v>
      </c>
      <c r="D232" t="s">
        <v>2680</v>
      </c>
      <c r="E232" t="s">
        <v>614</v>
      </c>
      <c r="F232">
        <v>0</v>
      </c>
    </row>
    <row r="233" spans="1:6">
      <c r="A233" s="15">
        <v>44517</v>
      </c>
      <c r="B233" t="s">
        <v>352</v>
      </c>
      <c r="C233" t="s">
        <v>30</v>
      </c>
      <c r="D233" t="s">
        <v>2680</v>
      </c>
      <c r="E233" t="s">
        <v>614</v>
      </c>
      <c r="F233">
        <v>0</v>
      </c>
    </row>
    <row r="234" spans="1:6">
      <c r="A234" s="15">
        <v>44517</v>
      </c>
      <c r="B234" t="s">
        <v>366</v>
      </c>
      <c r="C234" t="s">
        <v>65</v>
      </c>
      <c r="D234" t="s">
        <v>70</v>
      </c>
      <c r="E234" t="s">
        <v>621</v>
      </c>
      <c r="F234">
        <v>0</v>
      </c>
    </row>
    <row r="235" spans="1:6">
      <c r="A235" s="15">
        <v>44517</v>
      </c>
      <c r="B235" t="s">
        <v>564</v>
      </c>
      <c r="C235" t="s">
        <v>30</v>
      </c>
      <c r="D235" t="s">
        <v>2680</v>
      </c>
      <c r="E235" t="s">
        <v>614</v>
      </c>
      <c r="F235">
        <v>0</v>
      </c>
    </row>
    <row r="236" spans="1:6">
      <c r="A236" s="15">
        <v>44518</v>
      </c>
      <c r="B236" t="s">
        <v>637</v>
      </c>
      <c r="C236" t="s">
        <v>30</v>
      </c>
      <c r="D236" t="s">
        <v>2680</v>
      </c>
      <c r="E236" t="s">
        <v>614</v>
      </c>
      <c r="F236">
        <v>0</v>
      </c>
    </row>
    <row r="237" spans="1:6">
      <c r="A237" s="15">
        <v>44518</v>
      </c>
      <c r="B237" t="s">
        <v>362</v>
      </c>
      <c r="C237" t="s">
        <v>30</v>
      </c>
      <c r="D237" t="s">
        <v>2680</v>
      </c>
      <c r="E237" t="s">
        <v>450</v>
      </c>
      <c r="F237">
        <v>0</v>
      </c>
    </row>
    <row r="238" spans="1:6">
      <c r="A238" s="15">
        <v>44519</v>
      </c>
      <c r="B238" t="s">
        <v>639</v>
      </c>
      <c r="C238" t="s">
        <v>30</v>
      </c>
      <c r="D238" t="s">
        <v>2680</v>
      </c>
      <c r="E238" t="s">
        <v>614</v>
      </c>
      <c r="F238">
        <v>0</v>
      </c>
    </row>
    <row r="239" spans="1:6">
      <c r="A239" s="15">
        <v>44522</v>
      </c>
      <c r="B239" t="s">
        <v>643</v>
      </c>
      <c r="C239" t="s">
        <v>515</v>
      </c>
      <c r="D239" t="s">
        <v>632</v>
      </c>
      <c r="E239" t="s">
        <v>450</v>
      </c>
      <c r="F239">
        <v>0</v>
      </c>
    </row>
    <row r="240" spans="1:6">
      <c r="A240" s="15">
        <v>44522</v>
      </c>
      <c r="B240" t="s">
        <v>641</v>
      </c>
      <c r="C240" t="s">
        <v>515</v>
      </c>
      <c r="D240" t="s">
        <v>632</v>
      </c>
      <c r="E240" t="s">
        <v>450</v>
      </c>
      <c r="F240">
        <v>0</v>
      </c>
    </row>
    <row r="241" spans="1:6">
      <c r="A241" s="15">
        <v>44523</v>
      </c>
      <c r="B241" t="s">
        <v>639</v>
      </c>
      <c r="C241" t="s">
        <v>30</v>
      </c>
      <c r="D241" t="s">
        <v>2680</v>
      </c>
      <c r="E241" t="s">
        <v>614</v>
      </c>
      <c r="F241">
        <v>0</v>
      </c>
    </row>
    <row r="242" spans="1:6">
      <c r="A242" s="15">
        <v>44523</v>
      </c>
      <c r="B242" t="s">
        <v>657</v>
      </c>
      <c r="C242" t="s">
        <v>30</v>
      </c>
      <c r="D242" t="s">
        <v>2680</v>
      </c>
      <c r="E242" t="s">
        <v>614</v>
      </c>
      <c r="F242">
        <v>0</v>
      </c>
    </row>
    <row r="243" spans="1:6">
      <c r="A243" s="15">
        <v>44523</v>
      </c>
      <c r="B243" t="s">
        <v>648</v>
      </c>
      <c r="C243" t="s">
        <v>30</v>
      </c>
      <c r="D243" t="s">
        <v>2680</v>
      </c>
      <c r="E243" t="s">
        <v>450</v>
      </c>
      <c r="F243">
        <v>0</v>
      </c>
    </row>
    <row r="244" spans="1:6">
      <c r="A244" s="15">
        <v>44523</v>
      </c>
      <c r="B244" t="s">
        <v>643</v>
      </c>
      <c r="C244" t="s">
        <v>30</v>
      </c>
      <c r="D244" t="s">
        <v>2680</v>
      </c>
      <c r="E244" t="s">
        <v>450</v>
      </c>
      <c r="F244">
        <v>0</v>
      </c>
    </row>
    <row r="245" spans="1:6">
      <c r="A245" s="15">
        <v>44523</v>
      </c>
      <c r="B245" t="s">
        <v>641</v>
      </c>
      <c r="C245" t="s">
        <v>30</v>
      </c>
      <c r="D245" t="s">
        <v>2680</v>
      </c>
      <c r="E245" t="s">
        <v>450</v>
      </c>
      <c r="F245">
        <v>0</v>
      </c>
    </row>
    <row r="246" spans="1:6">
      <c r="A246" s="15">
        <v>44523</v>
      </c>
      <c r="B246" t="s">
        <v>651</v>
      </c>
      <c r="C246" t="s">
        <v>30</v>
      </c>
      <c r="D246" t="s">
        <v>632</v>
      </c>
      <c r="E246" t="s">
        <v>450</v>
      </c>
      <c r="F246">
        <v>1500</v>
      </c>
    </row>
    <row r="247" spans="1:6">
      <c r="A247" s="15">
        <v>44524</v>
      </c>
      <c r="B247" t="s">
        <v>650</v>
      </c>
      <c r="C247" t="s">
        <v>30</v>
      </c>
      <c r="D247" t="s">
        <v>2680</v>
      </c>
      <c r="E247" t="s">
        <v>450</v>
      </c>
      <c r="F247">
        <v>0</v>
      </c>
    </row>
    <row r="248" spans="1:6">
      <c r="A248" s="15">
        <v>44525</v>
      </c>
      <c r="B248" t="s">
        <v>660</v>
      </c>
      <c r="C248" t="s">
        <v>515</v>
      </c>
      <c r="D248" t="s">
        <v>632</v>
      </c>
      <c r="E248" t="s">
        <v>450</v>
      </c>
      <c r="F248">
        <v>0</v>
      </c>
    </row>
    <row r="249" spans="1:6">
      <c r="A249" s="15">
        <v>44526</v>
      </c>
      <c r="B249" t="s">
        <v>663</v>
      </c>
      <c r="C249" t="s">
        <v>65</v>
      </c>
      <c r="D249" t="s">
        <v>282</v>
      </c>
      <c r="E249" t="s">
        <v>340</v>
      </c>
      <c r="F249">
        <v>0</v>
      </c>
    </row>
    <row r="250" spans="1:6">
      <c r="A250" s="15">
        <v>44529</v>
      </c>
      <c r="B250" t="s">
        <v>667</v>
      </c>
      <c r="C250" t="s">
        <v>30</v>
      </c>
      <c r="D250" t="s">
        <v>2680</v>
      </c>
      <c r="E250" t="s">
        <v>614</v>
      </c>
      <c r="F250">
        <v>0</v>
      </c>
    </row>
    <row r="251" spans="1:6">
      <c r="A251" s="15">
        <v>44529</v>
      </c>
      <c r="B251" t="s">
        <v>672</v>
      </c>
      <c r="C251" t="s">
        <v>30</v>
      </c>
      <c r="D251" t="s">
        <v>2680</v>
      </c>
      <c r="E251" t="s">
        <v>450</v>
      </c>
      <c r="F251">
        <v>0</v>
      </c>
    </row>
    <row r="252" spans="1:6">
      <c r="A252" s="15">
        <v>44529</v>
      </c>
      <c r="B252" t="s">
        <v>674</v>
      </c>
      <c r="C252" t="s">
        <v>30</v>
      </c>
      <c r="D252" t="s">
        <v>2680</v>
      </c>
      <c r="E252" t="s">
        <v>450</v>
      </c>
      <c r="F252">
        <v>0</v>
      </c>
    </row>
    <row r="253" spans="1:6">
      <c r="A253" s="15">
        <v>44529</v>
      </c>
      <c r="B253" t="s">
        <v>665</v>
      </c>
      <c r="C253" t="s">
        <v>30</v>
      </c>
      <c r="D253" t="s">
        <v>2680</v>
      </c>
      <c r="E253" t="s">
        <v>614</v>
      </c>
      <c r="F253">
        <v>0</v>
      </c>
    </row>
    <row r="254" spans="1:6">
      <c r="A254" s="15">
        <v>44529</v>
      </c>
      <c r="B254" t="s">
        <v>679</v>
      </c>
      <c r="C254" t="s">
        <v>515</v>
      </c>
      <c r="D254" t="s">
        <v>632</v>
      </c>
      <c r="E254" t="s">
        <v>614</v>
      </c>
      <c r="F254">
        <v>0</v>
      </c>
    </row>
    <row r="255" spans="1:6">
      <c r="A255" s="15">
        <v>44529</v>
      </c>
      <c r="B255" t="s">
        <v>669</v>
      </c>
      <c r="C255" t="s">
        <v>515</v>
      </c>
      <c r="D255" t="s">
        <v>632</v>
      </c>
      <c r="E255" t="s">
        <v>450</v>
      </c>
      <c r="F255">
        <v>0</v>
      </c>
    </row>
    <row r="256" spans="1:6">
      <c r="A256" s="15">
        <v>44529</v>
      </c>
      <c r="B256" t="s">
        <v>669</v>
      </c>
      <c r="C256" t="s">
        <v>30</v>
      </c>
      <c r="D256" t="s">
        <v>2680</v>
      </c>
      <c r="E256" t="s">
        <v>450</v>
      </c>
      <c r="F256">
        <v>0</v>
      </c>
    </row>
    <row r="257" spans="1:6">
      <c r="A257" s="15">
        <v>44529</v>
      </c>
      <c r="B257" t="s">
        <v>677</v>
      </c>
      <c r="C257" t="s">
        <v>515</v>
      </c>
      <c r="D257" t="s">
        <v>632</v>
      </c>
      <c r="E257" t="s">
        <v>450</v>
      </c>
      <c r="F257">
        <v>0</v>
      </c>
    </row>
    <row r="258" spans="1:6">
      <c r="A258" s="15">
        <v>44531</v>
      </c>
      <c r="B258" t="s">
        <v>362</v>
      </c>
      <c r="C258" t="s">
        <v>30</v>
      </c>
      <c r="D258" t="s">
        <v>632</v>
      </c>
      <c r="E258" t="s">
        <v>450</v>
      </c>
      <c r="F258">
        <v>10000</v>
      </c>
    </row>
    <row r="259" spans="1:6">
      <c r="A259" s="15">
        <v>44532</v>
      </c>
      <c r="B259" t="s">
        <v>115</v>
      </c>
      <c r="C259" t="s">
        <v>65</v>
      </c>
      <c r="D259" t="s">
        <v>282</v>
      </c>
      <c r="E259" t="s">
        <v>233</v>
      </c>
      <c r="F259">
        <v>0</v>
      </c>
    </row>
    <row r="260" spans="1:6">
      <c r="A260" s="15">
        <v>44532</v>
      </c>
      <c r="B260" t="s">
        <v>683</v>
      </c>
      <c r="C260" t="s">
        <v>30</v>
      </c>
      <c r="D260" t="s">
        <v>2680</v>
      </c>
      <c r="E260" t="s">
        <v>450</v>
      </c>
      <c r="F260">
        <v>0</v>
      </c>
    </row>
    <row r="261" spans="1:6">
      <c r="A261" s="15">
        <v>44533</v>
      </c>
      <c r="B261" t="s">
        <v>686</v>
      </c>
      <c r="C261" t="s">
        <v>30</v>
      </c>
      <c r="D261" t="s">
        <v>2680</v>
      </c>
      <c r="E261" t="s">
        <v>614</v>
      </c>
      <c r="F261">
        <v>0</v>
      </c>
    </row>
    <row r="262" spans="1:6">
      <c r="A262" s="15">
        <v>44533</v>
      </c>
      <c r="B262" t="s">
        <v>679</v>
      </c>
      <c r="C262" t="s">
        <v>515</v>
      </c>
      <c r="D262" t="s">
        <v>632</v>
      </c>
      <c r="E262" t="s">
        <v>614</v>
      </c>
      <c r="F262">
        <v>0</v>
      </c>
    </row>
    <row r="263" spans="1:6">
      <c r="A263" s="15">
        <v>44533</v>
      </c>
      <c r="B263" t="s">
        <v>689</v>
      </c>
      <c r="C263" t="s">
        <v>515</v>
      </c>
      <c r="D263" t="s">
        <v>632</v>
      </c>
      <c r="E263" t="s">
        <v>614</v>
      </c>
      <c r="F263">
        <v>0</v>
      </c>
    </row>
    <row r="264" spans="1:6">
      <c r="A264" s="15">
        <v>44533</v>
      </c>
      <c r="B264" t="s">
        <v>677</v>
      </c>
      <c r="C264" t="s">
        <v>30</v>
      </c>
      <c r="D264" t="s">
        <v>632</v>
      </c>
      <c r="E264" t="s">
        <v>450</v>
      </c>
      <c r="F264">
        <v>0</v>
      </c>
    </row>
    <row r="265" spans="1:6">
      <c r="A265" s="15">
        <v>44536</v>
      </c>
      <c r="B265" t="s">
        <v>691</v>
      </c>
      <c r="C265" t="s">
        <v>30</v>
      </c>
      <c r="D265" t="s">
        <v>2680</v>
      </c>
      <c r="E265" t="s">
        <v>614</v>
      </c>
      <c r="F265">
        <v>0</v>
      </c>
    </row>
    <row r="266" spans="1:6">
      <c r="A266" s="15">
        <v>44538</v>
      </c>
      <c r="B266" t="s">
        <v>634</v>
      </c>
      <c r="C266" t="s">
        <v>30</v>
      </c>
      <c r="D266" t="s">
        <v>2680</v>
      </c>
      <c r="E266" t="s">
        <v>450</v>
      </c>
      <c r="F266">
        <v>0</v>
      </c>
    </row>
    <row r="267" spans="1:6">
      <c r="A267" s="15">
        <v>44538</v>
      </c>
      <c r="B267" t="s">
        <v>578</v>
      </c>
      <c r="C267" t="s">
        <v>30</v>
      </c>
      <c r="D267" t="s">
        <v>2680</v>
      </c>
      <c r="E267" t="s">
        <v>450</v>
      </c>
      <c r="F267">
        <v>0</v>
      </c>
    </row>
    <row r="268" spans="1:6">
      <c r="A268" s="15">
        <v>44539</v>
      </c>
      <c r="B268" t="s">
        <v>696</v>
      </c>
      <c r="C268" t="s">
        <v>30</v>
      </c>
      <c r="D268" t="s">
        <v>2680</v>
      </c>
      <c r="E268" t="s">
        <v>614</v>
      </c>
      <c r="F268">
        <v>0</v>
      </c>
    </row>
    <row r="269" spans="1:6">
      <c r="A269" s="15">
        <v>44540</v>
      </c>
      <c r="B269" t="s">
        <v>193</v>
      </c>
      <c r="C269" t="s">
        <v>30</v>
      </c>
      <c r="D269" t="s">
        <v>2680</v>
      </c>
      <c r="E269" t="s">
        <v>614</v>
      </c>
      <c r="F269">
        <v>5000</v>
      </c>
    </row>
    <row r="270" spans="1:6">
      <c r="A270" s="15">
        <v>44546</v>
      </c>
      <c r="B270" t="s">
        <v>706</v>
      </c>
      <c r="C270" t="s">
        <v>30</v>
      </c>
      <c r="D270" t="s">
        <v>2680</v>
      </c>
      <c r="E270" t="s">
        <v>614</v>
      </c>
      <c r="F270">
        <v>0</v>
      </c>
    </row>
    <row r="271" spans="1:6">
      <c r="A271" s="15">
        <v>44546</v>
      </c>
      <c r="B271" t="s">
        <v>174</v>
      </c>
      <c r="C271" t="s">
        <v>65</v>
      </c>
      <c r="D271" t="s">
        <v>282</v>
      </c>
      <c r="E271" t="s">
        <v>109</v>
      </c>
      <c r="F271">
        <v>2000</v>
      </c>
    </row>
    <row r="272" spans="1:6">
      <c r="A272" s="15">
        <v>44547</v>
      </c>
      <c r="B272" t="s">
        <v>708</v>
      </c>
      <c r="C272" t="s">
        <v>515</v>
      </c>
      <c r="D272" t="s">
        <v>632</v>
      </c>
      <c r="E272" t="s">
        <v>450</v>
      </c>
      <c r="F272">
        <v>0</v>
      </c>
    </row>
    <row r="273" spans="1:6">
      <c r="A273" s="15">
        <v>44547</v>
      </c>
      <c r="B273" t="s">
        <v>708</v>
      </c>
      <c r="C273" t="s">
        <v>30</v>
      </c>
      <c r="D273" t="s">
        <v>2680</v>
      </c>
      <c r="E273" t="s">
        <v>450</v>
      </c>
      <c r="F273">
        <v>0</v>
      </c>
    </row>
    <row r="274" spans="1:6">
      <c r="A274" s="15">
        <v>44548</v>
      </c>
      <c r="B274" t="s">
        <v>696</v>
      </c>
      <c r="C274" t="s">
        <v>65</v>
      </c>
      <c r="D274" t="s">
        <v>282</v>
      </c>
      <c r="E274" t="s">
        <v>224</v>
      </c>
      <c r="F274">
        <v>0</v>
      </c>
    </row>
    <row r="275" spans="1:6">
      <c r="A275" s="15">
        <v>44548</v>
      </c>
      <c r="B275" t="s">
        <v>578</v>
      </c>
      <c r="C275" t="s">
        <v>65</v>
      </c>
      <c r="D275" t="s">
        <v>282</v>
      </c>
      <c r="E275" t="s">
        <v>219</v>
      </c>
      <c r="F275">
        <v>0</v>
      </c>
    </row>
    <row r="276" spans="1:6">
      <c r="A276" s="15">
        <v>44550</v>
      </c>
      <c r="B276" t="s">
        <v>634</v>
      </c>
      <c r="C276" t="s">
        <v>515</v>
      </c>
      <c r="D276" t="s">
        <v>632</v>
      </c>
      <c r="E276" t="s">
        <v>450</v>
      </c>
      <c r="F276">
        <v>0</v>
      </c>
    </row>
    <row r="277" spans="1:6">
      <c r="A277" s="15">
        <v>44550</v>
      </c>
      <c r="B277" t="s">
        <v>634</v>
      </c>
      <c r="C277" t="s">
        <v>30</v>
      </c>
      <c r="D277" t="s">
        <v>2680</v>
      </c>
      <c r="E277" t="s">
        <v>450</v>
      </c>
      <c r="F277">
        <v>0</v>
      </c>
    </row>
    <row r="278" spans="1:6">
      <c r="A278" s="15">
        <v>44550</v>
      </c>
      <c r="B278" t="s">
        <v>689</v>
      </c>
      <c r="C278" t="s">
        <v>30</v>
      </c>
      <c r="D278" t="s">
        <v>2680</v>
      </c>
      <c r="E278" t="s">
        <v>614</v>
      </c>
      <c r="F278">
        <v>0</v>
      </c>
    </row>
    <row r="279" spans="1:6">
      <c r="A279" s="15">
        <v>44552</v>
      </c>
      <c r="B279" t="s">
        <v>689</v>
      </c>
      <c r="C279" t="s">
        <v>30</v>
      </c>
      <c r="D279" t="s">
        <v>2680</v>
      </c>
      <c r="E279" t="s">
        <v>614</v>
      </c>
      <c r="F279">
        <v>10000</v>
      </c>
    </row>
    <row r="280" spans="1:6">
      <c r="A280" s="15">
        <v>44552</v>
      </c>
      <c r="B280" t="s">
        <v>722</v>
      </c>
      <c r="C280" t="s">
        <v>30</v>
      </c>
      <c r="D280" t="s">
        <v>2680</v>
      </c>
      <c r="E280" t="s">
        <v>614</v>
      </c>
      <c r="F280">
        <v>0</v>
      </c>
    </row>
    <row r="281" spans="1:6">
      <c r="A281" s="15">
        <v>44553</v>
      </c>
      <c r="B281" t="s">
        <v>727</v>
      </c>
      <c r="C281" t="s">
        <v>30</v>
      </c>
      <c r="D281" t="s">
        <v>2680</v>
      </c>
      <c r="E281" t="s">
        <v>450</v>
      </c>
      <c r="F281">
        <v>400</v>
      </c>
    </row>
    <row r="282" spans="1:6">
      <c r="A282" s="15">
        <v>44553</v>
      </c>
      <c r="B282" t="s">
        <v>325</v>
      </c>
      <c r="C282" t="s">
        <v>30</v>
      </c>
      <c r="D282" t="s">
        <v>2680</v>
      </c>
      <c r="E282" t="s">
        <v>614</v>
      </c>
      <c r="F282">
        <v>0</v>
      </c>
    </row>
    <row r="283" spans="1:6">
      <c r="A283" s="15">
        <v>44553</v>
      </c>
      <c r="B283" t="s">
        <v>657</v>
      </c>
      <c r="C283" t="s">
        <v>65</v>
      </c>
      <c r="D283" t="s">
        <v>70</v>
      </c>
      <c r="E283" t="s">
        <v>83</v>
      </c>
      <c r="F283">
        <v>0</v>
      </c>
    </row>
    <row r="284" spans="1:6">
      <c r="A284" s="15">
        <v>44557</v>
      </c>
      <c r="B284" t="s">
        <v>706</v>
      </c>
      <c r="C284" t="s">
        <v>30</v>
      </c>
      <c r="D284" t="s">
        <v>2680</v>
      </c>
      <c r="E284" t="s">
        <v>614</v>
      </c>
      <c r="F284">
        <v>0</v>
      </c>
    </row>
    <row r="285" spans="1:6">
      <c r="A285" s="15">
        <v>44558</v>
      </c>
      <c r="B285" t="s">
        <v>141</v>
      </c>
      <c r="C285" t="s">
        <v>65</v>
      </c>
      <c r="D285" t="s">
        <v>70</v>
      </c>
      <c r="E285" t="s">
        <v>434</v>
      </c>
      <c r="F285">
        <v>500</v>
      </c>
    </row>
    <row r="286" spans="1:6">
      <c r="A286" s="15">
        <v>44559</v>
      </c>
      <c r="B286" t="s">
        <v>739</v>
      </c>
      <c r="C286" t="s">
        <v>133</v>
      </c>
      <c r="D286" t="s">
        <v>130</v>
      </c>
      <c r="E286" t="s">
        <v>208</v>
      </c>
      <c r="F286">
        <v>0</v>
      </c>
    </row>
    <row r="287" spans="1:6">
      <c r="A287" s="15">
        <v>44565</v>
      </c>
      <c r="B287" t="s">
        <v>742</v>
      </c>
      <c r="C287" t="s">
        <v>65</v>
      </c>
      <c r="D287" t="s">
        <v>70</v>
      </c>
      <c r="E287" t="s">
        <v>119</v>
      </c>
      <c r="F287">
        <v>10000</v>
      </c>
    </row>
    <row r="288" spans="1:6">
      <c r="A288" s="15">
        <v>44565</v>
      </c>
      <c r="B288" t="s">
        <v>706</v>
      </c>
      <c r="C288" t="s">
        <v>30</v>
      </c>
      <c r="D288" t="s">
        <v>2680</v>
      </c>
      <c r="E288" t="s">
        <v>614</v>
      </c>
      <c r="F288">
        <v>0</v>
      </c>
    </row>
    <row r="289" spans="1:6">
      <c r="A289" s="15">
        <v>44567</v>
      </c>
      <c r="B289" t="s">
        <v>706</v>
      </c>
      <c r="C289" t="s">
        <v>30</v>
      </c>
      <c r="D289" t="s">
        <v>2680</v>
      </c>
      <c r="E289" t="s">
        <v>614</v>
      </c>
      <c r="F289">
        <v>0</v>
      </c>
    </row>
    <row r="290" spans="1:6">
      <c r="A290" s="15">
        <v>44571</v>
      </c>
      <c r="B290" t="s">
        <v>283</v>
      </c>
      <c r="C290" t="s">
        <v>30</v>
      </c>
      <c r="D290" t="s">
        <v>2680</v>
      </c>
      <c r="E290" t="s">
        <v>614</v>
      </c>
      <c r="F290">
        <v>0</v>
      </c>
    </row>
    <row r="291" spans="1:6">
      <c r="A291" s="15">
        <v>44572</v>
      </c>
      <c r="B291" t="s">
        <v>325</v>
      </c>
      <c r="C291" t="s">
        <v>65</v>
      </c>
      <c r="D291" t="s">
        <v>282</v>
      </c>
      <c r="E291" t="s">
        <v>104</v>
      </c>
      <c r="F291">
        <v>0</v>
      </c>
    </row>
    <row r="292" spans="1:6">
      <c r="A292" s="15">
        <v>44572</v>
      </c>
      <c r="B292" t="s">
        <v>753</v>
      </c>
      <c r="C292" t="s">
        <v>515</v>
      </c>
      <c r="D292" t="s">
        <v>632</v>
      </c>
      <c r="E292" t="s">
        <v>450</v>
      </c>
      <c r="F292">
        <v>0</v>
      </c>
    </row>
    <row r="293" spans="1:6">
      <c r="A293" s="15">
        <v>44573</v>
      </c>
      <c r="B293" t="s">
        <v>234</v>
      </c>
      <c r="C293" t="s">
        <v>65</v>
      </c>
      <c r="D293" t="s">
        <v>282</v>
      </c>
      <c r="E293" t="s">
        <v>756</v>
      </c>
      <c r="F293">
        <v>0</v>
      </c>
    </row>
    <row r="294" spans="1:6">
      <c r="A294" s="15">
        <v>44573</v>
      </c>
      <c r="B294" t="s">
        <v>759</v>
      </c>
      <c r="C294" t="s">
        <v>30</v>
      </c>
      <c r="D294" t="s">
        <v>2680</v>
      </c>
      <c r="E294" t="s">
        <v>450</v>
      </c>
      <c r="F294">
        <v>0</v>
      </c>
    </row>
    <row r="295" spans="1:6">
      <c r="A295" s="15">
        <v>44575</v>
      </c>
      <c r="B295" t="s">
        <v>419</v>
      </c>
      <c r="C295" t="s">
        <v>65</v>
      </c>
      <c r="D295" t="s">
        <v>122</v>
      </c>
      <c r="E295" t="s">
        <v>762</v>
      </c>
      <c r="F295">
        <v>0</v>
      </c>
    </row>
    <row r="296" spans="1:6">
      <c r="A296" s="15">
        <v>44575</v>
      </c>
      <c r="B296" t="s">
        <v>188</v>
      </c>
      <c r="C296" t="s">
        <v>30</v>
      </c>
      <c r="D296" t="s">
        <v>2680</v>
      </c>
      <c r="E296" t="s">
        <v>450</v>
      </c>
      <c r="F296">
        <v>0</v>
      </c>
    </row>
    <row r="297" spans="1:6">
      <c r="A297" s="15">
        <v>44576</v>
      </c>
      <c r="B297" t="s">
        <v>188</v>
      </c>
      <c r="C297" t="s">
        <v>30</v>
      </c>
      <c r="D297" t="s">
        <v>2680</v>
      </c>
      <c r="E297" t="s">
        <v>450</v>
      </c>
      <c r="F297">
        <v>0</v>
      </c>
    </row>
    <row r="298" spans="1:6">
      <c r="A298" s="15">
        <v>44578</v>
      </c>
      <c r="B298" t="s">
        <v>634</v>
      </c>
      <c r="C298" t="s">
        <v>30</v>
      </c>
      <c r="D298" t="s">
        <v>632</v>
      </c>
      <c r="E298" t="s">
        <v>450</v>
      </c>
      <c r="F298">
        <v>0</v>
      </c>
    </row>
    <row r="299" spans="1:6">
      <c r="A299" s="15">
        <v>44578</v>
      </c>
      <c r="B299" t="s">
        <v>770</v>
      </c>
      <c r="C299" t="s">
        <v>65</v>
      </c>
      <c r="D299" t="s">
        <v>70</v>
      </c>
      <c r="E299" t="s">
        <v>259</v>
      </c>
      <c r="F299">
        <v>0</v>
      </c>
    </row>
    <row r="300" spans="1:6">
      <c r="A300" s="15">
        <v>44578</v>
      </c>
      <c r="B300" t="s">
        <v>706</v>
      </c>
      <c r="C300" t="s">
        <v>30</v>
      </c>
      <c r="D300" t="s">
        <v>2680</v>
      </c>
      <c r="E300" t="s">
        <v>614</v>
      </c>
      <c r="F300">
        <v>0</v>
      </c>
    </row>
    <row r="301" spans="1:6">
      <c r="A301" s="15">
        <v>44578</v>
      </c>
      <c r="B301" t="s">
        <v>768</v>
      </c>
      <c r="C301" t="s">
        <v>65</v>
      </c>
      <c r="D301" t="s">
        <v>282</v>
      </c>
      <c r="E301" t="s">
        <v>340</v>
      </c>
      <c r="F301">
        <v>0</v>
      </c>
    </row>
    <row r="302" spans="1:6">
      <c r="A302" s="15">
        <v>44581</v>
      </c>
      <c r="B302" t="s">
        <v>774</v>
      </c>
      <c r="C302" t="s">
        <v>30</v>
      </c>
      <c r="D302" t="s">
        <v>2680</v>
      </c>
      <c r="E302" t="s">
        <v>614</v>
      </c>
      <c r="F302">
        <v>0</v>
      </c>
    </row>
    <row r="303" spans="1:6">
      <c r="A303" s="15">
        <v>44585</v>
      </c>
      <c r="B303" t="s">
        <v>777</v>
      </c>
      <c r="C303" t="s">
        <v>133</v>
      </c>
      <c r="D303" t="s">
        <v>130</v>
      </c>
      <c r="E303" t="s">
        <v>322</v>
      </c>
      <c r="F303">
        <v>0</v>
      </c>
    </row>
    <row r="304" spans="1:6">
      <c r="A304" s="15">
        <v>44588</v>
      </c>
      <c r="B304" t="s">
        <v>780</v>
      </c>
      <c r="C304" t="s">
        <v>30</v>
      </c>
      <c r="D304" t="s">
        <v>2680</v>
      </c>
      <c r="E304" t="s">
        <v>450</v>
      </c>
      <c r="F304">
        <v>0</v>
      </c>
    </row>
    <row r="305" spans="1:6">
      <c r="A305" s="15">
        <v>44588</v>
      </c>
      <c r="B305" t="s">
        <v>784</v>
      </c>
      <c r="C305" t="s">
        <v>30</v>
      </c>
      <c r="D305" t="s">
        <v>2680</v>
      </c>
      <c r="E305" t="s">
        <v>450</v>
      </c>
      <c r="F305">
        <v>0</v>
      </c>
    </row>
    <row r="306" spans="1:6">
      <c r="A306" s="15">
        <v>44590</v>
      </c>
      <c r="B306" t="s">
        <v>787</v>
      </c>
      <c r="C306" t="s">
        <v>65</v>
      </c>
      <c r="D306" t="s">
        <v>82</v>
      </c>
      <c r="E306" t="s">
        <v>786</v>
      </c>
      <c r="F306">
        <v>0</v>
      </c>
    </row>
    <row r="307" spans="1:6">
      <c r="A307" s="15">
        <v>44601</v>
      </c>
      <c r="B307" t="s">
        <v>790</v>
      </c>
      <c r="C307" t="s">
        <v>133</v>
      </c>
      <c r="D307" t="s">
        <v>632</v>
      </c>
      <c r="E307" t="s">
        <v>614</v>
      </c>
      <c r="F307">
        <v>0</v>
      </c>
    </row>
    <row r="308" spans="1:6">
      <c r="A308" s="15">
        <v>44602</v>
      </c>
      <c r="B308" t="s">
        <v>193</v>
      </c>
      <c r="C308" t="s">
        <v>30</v>
      </c>
      <c r="D308" t="s">
        <v>2680</v>
      </c>
      <c r="E308" t="s">
        <v>614</v>
      </c>
      <c r="F308">
        <v>10000</v>
      </c>
    </row>
    <row r="309" spans="1:6">
      <c r="A309" s="15">
        <v>44606</v>
      </c>
      <c r="B309" t="s">
        <v>406</v>
      </c>
      <c r="C309" t="s">
        <v>515</v>
      </c>
      <c r="D309" t="s">
        <v>632</v>
      </c>
      <c r="E309" t="s">
        <v>450</v>
      </c>
      <c r="F309">
        <v>0</v>
      </c>
    </row>
    <row r="310" spans="1:6">
      <c r="A310" s="15">
        <v>44606</v>
      </c>
      <c r="B310" t="s">
        <v>797</v>
      </c>
      <c r="C310" t="s">
        <v>65</v>
      </c>
      <c r="D310" t="s">
        <v>82</v>
      </c>
      <c r="E310" t="s">
        <v>83</v>
      </c>
      <c r="F310">
        <v>0</v>
      </c>
    </row>
    <row r="311" spans="1:6">
      <c r="A311" s="15">
        <v>44607</v>
      </c>
      <c r="B311" t="s">
        <v>801</v>
      </c>
      <c r="C311" t="s">
        <v>65</v>
      </c>
      <c r="D311" t="s">
        <v>82</v>
      </c>
      <c r="E311" t="s">
        <v>800</v>
      </c>
      <c r="F311">
        <v>0</v>
      </c>
    </row>
    <row r="312" spans="1:6">
      <c r="A312" s="15">
        <v>44607</v>
      </c>
      <c r="B312" t="s">
        <v>188</v>
      </c>
      <c r="C312" t="s">
        <v>65</v>
      </c>
      <c r="D312" t="s">
        <v>282</v>
      </c>
      <c r="E312" t="s">
        <v>611</v>
      </c>
      <c r="F312">
        <v>0</v>
      </c>
    </row>
    <row r="313" spans="1:6">
      <c r="A313" s="15">
        <v>44608</v>
      </c>
      <c r="B313" t="s">
        <v>797</v>
      </c>
      <c r="C313" t="s">
        <v>65</v>
      </c>
      <c r="D313" t="s">
        <v>82</v>
      </c>
      <c r="E313" t="s">
        <v>83</v>
      </c>
      <c r="F313">
        <v>0</v>
      </c>
    </row>
    <row r="314" spans="1:6">
      <c r="A314" s="15">
        <v>44609</v>
      </c>
      <c r="B314" t="s">
        <v>406</v>
      </c>
      <c r="C314" t="s">
        <v>515</v>
      </c>
      <c r="D314" t="s">
        <v>632</v>
      </c>
      <c r="E314" t="s">
        <v>450</v>
      </c>
      <c r="F314">
        <v>0</v>
      </c>
    </row>
    <row r="315" spans="1:6">
      <c r="A315" s="15">
        <v>44609</v>
      </c>
      <c r="B315" t="s">
        <v>406</v>
      </c>
      <c r="C315" t="s">
        <v>30</v>
      </c>
      <c r="D315" t="s">
        <v>2680</v>
      </c>
      <c r="E315" t="s">
        <v>450</v>
      </c>
      <c r="F315">
        <v>0</v>
      </c>
    </row>
    <row r="316" spans="1:6">
      <c r="A316" s="15">
        <v>44609</v>
      </c>
      <c r="B316" t="s">
        <v>812</v>
      </c>
      <c r="C316" t="s">
        <v>515</v>
      </c>
      <c r="D316" t="s">
        <v>632</v>
      </c>
      <c r="E316" t="s">
        <v>614</v>
      </c>
      <c r="F316">
        <v>0</v>
      </c>
    </row>
    <row r="317" spans="1:6">
      <c r="A317" s="15">
        <v>44609</v>
      </c>
      <c r="B317" t="s">
        <v>807</v>
      </c>
      <c r="C317" t="s">
        <v>65</v>
      </c>
      <c r="D317" t="s">
        <v>282</v>
      </c>
      <c r="E317" t="s">
        <v>806</v>
      </c>
      <c r="F317">
        <v>0</v>
      </c>
    </row>
    <row r="318" spans="1:6">
      <c r="A318" s="15">
        <v>44609</v>
      </c>
      <c r="B318" t="s">
        <v>797</v>
      </c>
      <c r="C318" t="s">
        <v>65</v>
      </c>
      <c r="D318" t="s">
        <v>70</v>
      </c>
      <c r="E318" t="s">
        <v>83</v>
      </c>
      <c r="F318">
        <v>0</v>
      </c>
    </row>
    <row r="319" spans="1:6">
      <c r="A319" s="15">
        <v>44615</v>
      </c>
      <c r="B319">
        <v>0</v>
      </c>
      <c r="C319" t="s">
        <v>30</v>
      </c>
      <c r="D319" t="s">
        <v>2680</v>
      </c>
      <c r="E319" t="s">
        <v>450</v>
      </c>
      <c r="F319">
        <v>0</v>
      </c>
    </row>
    <row r="320" spans="1:6">
      <c r="A320" s="15">
        <v>44615</v>
      </c>
      <c r="B320" t="s">
        <v>815</v>
      </c>
      <c r="C320" t="s">
        <v>30</v>
      </c>
      <c r="D320" t="s">
        <v>2680</v>
      </c>
      <c r="E320" t="s">
        <v>450</v>
      </c>
      <c r="F320">
        <v>0</v>
      </c>
    </row>
    <row r="321" spans="1:6">
      <c r="A321" s="15">
        <v>44617</v>
      </c>
      <c r="B321" t="s">
        <v>822</v>
      </c>
      <c r="C321" t="s">
        <v>30</v>
      </c>
      <c r="D321" t="s">
        <v>2680</v>
      </c>
      <c r="E321" t="s">
        <v>614</v>
      </c>
      <c r="F321">
        <v>0</v>
      </c>
    </row>
    <row r="322" spans="1:6">
      <c r="A322" s="15">
        <v>44617</v>
      </c>
      <c r="B322" t="s">
        <v>824</v>
      </c>
      <c r="C322" t="s">
        <v>515</v>
      </c>
      <c r="D322" t="s">
        <v>632</v>
      </c>
      <c r="E322" t="s">
        <v>614</v>
      </c>
      <c r="F322">
        <v>0</v>
      </c>
    </row>
    <row r="323" spans="1:6">
      <c r="A323" s="15">
        <v>44617</v>
      </c>
      <c r="B323" t="s">
        <v>677</v>
      </c>
      <c r="C323" t="s">
        <v>65</v>
      </c>
      <c r="D323" t="s">
        <v>130</v>
      </c>
      <c r="E323" t="s">
        <v>371</v>
      </c>
      <c r="F323">
        <v>2000</v>
      </c>
    </row>
    <row r="324" spans="1:6">
      <c r="A324" s="15">
        <v>44617</v>
      </c>
      <c r="B324" t="s">
        <v>817</v>
      </c>
      <c r="C324" t="s">
        <v>65</v>
      </c>
      <c r="D324" t="s">
        <v>282</v>
      </c>
      <c r="E324" t="s">
        <v>611</v>
      </c>
      <c r="F324">
        <v>0</v>
      </c>
    </row>
    <row r="325" spans="1:6">
      <c r="A325" s="15">
        <v>44620</v>
      </c>
      <c r="B325" t="s">
        <v>154</v>
      </c>
      <c r="C325" t="s">
        <v>65</v>
      </c>
      <c r="D325" t="s">
        <v>70</v>
      </c>
      <c r="E325" t="s">
        <v>149</v>
      </c>
      <c r="F325">
        <v>0</v>
      </c>
    </row>
    <row r="326" spans="1:6">
      <c r="A326" s="15">
        <v>44622</v>
      </c>
      <c r="B326" t="s">
        <v>829</v>
      </c>
      <c r="C326" t="s">
        <v>65</v>
      </c>
      <c r="D326" t="s">
        <v>70</v>
      </c>
      <c r="E326" t="s">
        <v>828</v>
      </c>
      <c r="F326">
        <v>0</v>
      </c>
    </row>
    <row r="327" spans="1:6">
      <c r="A327" s="15">
        <v>44623</v>
      </c>
      <c r="B327" t="s">
        <v>305</v>
      </c>
      <c r="C327" t="s">
        <v>65</v>
      </c>
      <c r="D327" t="s">
        <v>70</v>
      </c>
      <c r="E327" t="s">
        <v>149</v>
      </c>
      <c r="F327">
        <v>0</v>
      </c>
    </row>
    <row r="328" spans="1:6">
      <c r="A328" s="15">
        <v>44624</v>
      </c>
      <c r="B328" t="s">
        <v>832</v>
      </c>
      <c r="C328" t="s">
        <v>30</v>
      </c>
      <c r="D328" t="s">
        <v>2680</v>
      </c>
      <c r="E328" t="s">
        <v>614</v>
      </c>
      <c r="F328">
        <v>0</v>
      </c>
    </row>
    <row r="329" spans="1:6">
      <c r="A329" s="15">
        <v>44627</v>
      </c>
      <c r="B329" t="s">
        <v>834</v>
      </c>
      <c r="C329" t="s">
        <v>30</v>
      </c>
      <c r="D329" t="s">
        <v>2680</v>
      </c>
      <c r="E329" t="s">
        <v>450</v>
      </c>
      <c r="F329">
        <v>0</v>
      </c>
    </row>
    <row r="330" spans="1:6">
      <c r="A330" s="15">
        <v>44628</v>
      </c>
      <c r="B330" t="s">
        <v>832</v>
      </c>
      <c r="C330" t="s">
        <v>515</v>
      </c>
      <c r="D330" t="s">
        <v>632</v>
      </c>
      <c r="E330" t="s">
        <v>614</v>
      </c>
      <c r="F330">
        <v>0</v>
      </c>
    </row>
    <row r="331" spans="1:6">
      <c r="A331" s="15">
        <v>44630</v>
      </c>
      <c r="B331" t="s">
        <v>839</v>
      </c>
      <c r="C331" t="s">
        <v>515</v>
      </c>
      <c r="D331" t="s">
        <v>130</v>
      </c>
      <c r="E331" t="s">
        <v>239</v>
      </c>
      <c r="F331">
        <v>0</v>
      </c>
    </row>
    <row r="332" spans="1:6">
      <c r="A332" s="15">
        <v>44630</v>
      </c>
      <c r="B332" t="s">
        <v>612</v>
      </c>
      <c r="C332" t="s">
        <v>65</v>
      </c>
      <c r="D332" t="s">
        <v>70</v>
      </c>
      <c r="E332" t="s">
        <v>119</v>
      </c>
      <c r="F332">
        <v>0</v>
      </c>
    </row>
    <row r="333" spans="1:6">
      <c r="A333" s="15">
        <v>44631</v>
      </c>
      <c r="B333" t="s">
        <v>812</v>
      </c>
      <c r="C333" t="s">
        <v>30</v>
      </c>
      <c r="D333" t="s">
        <v>2680</v>
      </c>
      <c r="E333" t="s">
        <v>614</v>
      </c>
      <c r="F333">
        <v>0</v>
      </c>
    </row>
    <row r="334" spans="1:6">
      <c r="A334" s="15">
        <v>44631</v>
      </c>
      <c r="B334" t="s">
        <v>842</v>
      </c>
      <c r="C334" t="s">
        <v>515</v>
      </c>
      <c r="D334" t="s">
        <v>632</v>
      </c>
      <c r="E334" t="s">
        <v>450</v>
      </c>
      <c r="F334">
        <v>0</v>
      </c>
    </row>
    <row r="335" spans="1:6">
      <c r="A335" s="15">
        <v>44635</v>
      </c>
      <c r="B335" t="s">
        <v>846</v>
      </c>
      <c r="C335" t="s">
        <v>30</v>
      </c>
      <c r="D335" t="s">
        <v>2680</v>
      </c>
      <c r="E335" t="s">
        <v>614</v>
      </c>
      <c r="F335">
        <v>0</v>
      </c>
    </row>
    <row r="336" spans="1:6">
      <c r="A336" s="15">
        <v>44635</v>
      </c>
      <c r="B336" t="s">
        <v>472</v>
      </c>
      <c r="C336" t="s">
        <v>65</v>
      </c>
      <c r="D336" t="s">
        <v>70</v>
      </c>
      <c r="E336" t="s">
        <v>844</v>
      </c>
      <c r="F336">
        <v>0</v>
      </c>
    </row>
    <row r="337" spans="1:6">
      <c r="A337" s="15">
        <v>44636</v>
      </c>
      <c r="B337" t="s">
        <v>605</v>
      </c>
      <c r="C337" t="s">
        <v>65</v>
      </c>
      <c r="D337" t="s">
        <v>82</v>
      </c>
      <c r="E337" t="s">
        <v>608</v>
      </c>
      <c r="F337">
        <v>0</v>
      </c>
    </row>
    <row r="338" spans="1:6">
      <c r="A338" s="15">
        <v>44643</v>
      </c>
      <c r="B338" t="s">
        <v>667</v>
      </c>
      <c r="C338" t="s">
        <v>65</v>
      </c>
      <c r="D338" t="s">
        <v>70</v>
      </c>
      <c r="E338" t="s">
        <v>849</v>
      </c>
      <c r="F338">
        <v>0</v>
      </c>
    </row>
    <row r="339" spans="1:6">
      <c r="A339" s="15">
        <v>44643</v>
      </c>
      <c r="B339" t="s">
        <v>851</v>
      </c>
      <c r="C339" t="s">
        <v>30</v>
      </c>
      <c r="D339" t="s">
        <v>632</v>
      </c>
      <c r="E339" t="s">
        <v>450</v>
      </c>
      <c r="F339">
        <v>0</v>
      </c>
    </row>
    <row r="340" spans="1:6">
      <c r="A340" s="15">
        <v>44644</v>
      </c>
      <c r="B340" t="s">
        <v>667</v>
      </c>
      <c r="C340" t="s">
        <v>65</v>
      </c>
      <c r="D340" t="s">
        <v>70</v>
      </c>
      <c r="E340" t="s">
        <v>849</v>
      </c>
      <c r="F340">
        <v>0</v>
      </c>
    </row>
    <row r="341" spans="1:6">
      <c r="A341" s="15">
        <v>44644</v>
      </c>
      <c r="B341" t="s">
        <v>842</v>
      </c>
      <c r="C341" t="s">
        <v>515</v>
      </c>
      <c r="D341" t="s">
        <v>632</v>
      </c>
      <c r="E341" t="s">
        <v>450</v>
      </c>
      <c r="F341">
        <v>0</v>
      </c>
    </row>
    <row r="342" spans="1:6">
      <c r="A342" s="15">
        <v>44648</v>
      </c>
      <c r="B342" t="s">
        <v>858</v>
      </c>
      <c r="C342" t="s">
        <v>65</v>
      </c>
      <c r="D342" t="s">
        <v>70</v>
      </c>
      <c r="E342" t="s">
        <v>104</v>
      </c>
      <c r="F342">
        <v>0</v>
      </c>
    </row>
    <row r="343" spans="1:6">
      <c r="A343" s="15">
        <v>44648</v>
      </c>
      <c r="B343" t="s">
        <v>686</v>
      </c>
      <c r="C343" t="s">
        <v>65</v>
      </c>
      <c r="D343" t="s">
        <v>70</v>
      </c>
      <c r="E343" t="s">
        <v>460</v>
      </c>
      <c r="F343">
        <v>0</v>
      </c>
    </row>
    <row r="344" spans="1:6">
      <c r="A344" s="15">
        <v>44648</v>
      </c>
      <c r="B344" t="s">
        <v>600</v>
      </c>
      <c r="C344" t="s">
        <v>65</v>
      </c>
      <c r="D344" t="s">
        <v>70</v>
      </c>
      <c r="E344" t="s">
        <v>149</v>
      </c>
      <c r="F344">
        <v>0</v>
      </c>
    </row>
    <row r="345" spans="1:6">
      <c r="A345" s="15">
        <v>44649</v>
      </c>
      <c r="B345" t="s">
        <v>860</v>
      </c>
      <c r="C345" t="s">
        <v>133</v>
      </c>
      <c r="D345" t="s">
        <v>130</v>
      </c>
      <c r="E345" t="s">
        <v>87</v>
      </c>
      <c r="F345">
        <v>0</v>
      </c>
    </row>
    <row r="346" spans="1:6">
      <c r="A346" s="15">
        <v>44651</v>
      </c>
      <c r="B346" t="s">
        <v>863</v>
      </c>
      <c r="C346" t="s">
        <v>133</v>
      </c>
      <c r="D346" t="s">
        <v>130</v>
      </c>
      <c r="E346" t="s">
        <v>569</v>
      </c>
      <c r="F346">
        <v>0</v>
      </c>
    </row>
    <row r="347" spans="1:6">
      <c r="A347" s="15">
        <v>44657</v>
      </c>
      <c r="B347" t="s">
        <v>315</v>
      </c>
      <c r="C347" t="s">
        <v>30</v>
      </c>
      <c r="D347" t="s">
        <v>2680</v>
      </c>
      <c r="E347" t="s">
        <v>614</v>
      </c>
      <c r="F347">
        <v>0</v>
      </c>
    </row>
    <row r="348" spans="1:6">
      <c r="A348" s="15">
        <v>44657</v>
      </c>
      <c r="B348" t="s">
        <v>867</v>
      </c>
      <c r="C348" t="s">
        <v>30</v>
      </c>
      <c r="D348" t="s">
        <v>2680</v>
      </c>
      <c r="E348" t="s">
        <v>614</v>
      </c>
      <c r="F348">
        <v>0</v>
      </c>
    </row>
    <row r="349" spans="1:6">
      <c r="A349" s="15">
        <v>44658</v>
      </c>
      <c r="B349" t="s">
        <v>325</v>
      </c>
      <c r="C349" t="s">
        <v>30</v>
      </c>
      <c r="D349" t="s">
        <v>2680</v>
      </c>
      <c r="E349" t="s">
        <v>614</v>
      </c>
      <c r="F349">
        <v>0</v>
      </c>
    </row>
    <row r="350" spans="1:6">
      <c r="A350" s="15">
        <v>44658</v>
      </c>
      <c r="B350" t="s">
        <v>863</v>
      </c>
      <c r="C350" t="s">
        <v>515</v>
      </c>
      <c r="D350" t="s">
        <v>632</v>
      </c>
      <c r="E350" t="s">
        <v>450</v>
      </c>
      <c r="F350">
        <v>0</v>
      </c>
    </row>
    <row r="351" spans="1:6">
      <c r="A351" s="15">
        <v>44664</v>
      </c>
      <c r="B351" t="s">
        <v>872</v>
      </c>
      <c r="C351" t="s">
        <v>515</v>
      </c>
      <c r="D351" t="s">
        <v>632</v>
      </c>
      <c r="E351" t="s">
        <v>614</v>
      </c>
      <c r="F351">
        <v>0</v>
      </c>
    </row>
    <row r="352" spans="1:6">
      <c r="A352" s="15">
        <v>44671</v>
      </c>
      <c r="B352" t="s">
        <v>600</v>
      </c>
      <c r="C352" t="s">
        <v>65</v>
      </c>
      <c r="D352" t="s">
        <v>70</v>
      </c>
      <c r="E352" t="s">
        <v>149</v>
      </c>
      <c r="F352">
        <v>0</v>
      </c>
    </row>
    <row r="353" spans="1:6">
      <c r="A353" s="15">
        <v>44672</v>
      </c>
      <c r="B353" t="s">
        <v>876</v>
      </c>
      <c r="C353" t="s">
        <v>30</v>
      </c>
      <c r="D353" t="s">
        <v>2680</v>
      </c>
      <c r="E353" t="s">
        <v>614</v>
      </c>
      <c r="F353">
        <v>0</v>
      </c>
    </row>
    <row r="354" spans="1:6">
      <c r="A354" s="15">
        <v>44672</v>
      </c>
      <c r="B354" t="s">
        <v>872</v>
      </c>
      <c r="C354" t="s">
        <v>515</v>
      </c>
      <c r="D354" t="s">
        <v>632</v>
      </c>
      <c r="E354" t="s">
        <v>614</v>
      </c>
      <c r="F354">
        <v>0</v>
      </c>
    </row>
    <row r="355" spans="1:6">
      <c r="A355" s="15">
        <v>44673</v>
      </c>
      <c r="B355" t="s">
        <v>115</v>
      </c>
      <c r="C355" t="s">
        <v>30</v>
      </c>
      <c r="D355" t="s">
        <v>2680</v>
      </c>
      <c r="E355" t="s">
        <v>614</v>
      </c>
      <c r="F355">
        <v>0</v>
      </c>
    </row>
    <row r="356" spans="1:6">
      <c r="A356" s="15">
        <v>44677</v>
      </c>
      <c r="B356" t="s">
        <v>325</v>
      </c>
      <c r="C356" t="s">
        <v>30</v>
      </c>
      <c r="D356" t="s">
        <v>2680</v>
      </c>
      <c r="E356" t="s">
        <v>614</v>
      </c>
      <c r="F356">
        <v>0</v>
      </c>
    </row>
    <row r="357" spans="1:6">
      <c r="A357" s="15">
        <v>44677</v>
      </c>
      <c r="B357" t="s">
        <v>872</v>
      </c>
      <c r="C357" t="s">
        <v>30</v>
      </c>
      <c r="D357" t="s">
        <v>2680</v>
      </c>
      <c r="E357" t="s">
        <v>614</v>
      </c>
      <c r="F357">
        <v>0</v>
      </c>
    </row>
    <row r="358" spans="1:6">
      <c r="A358" s="15">
        <v>44678</v>
      </c>
      <c r="B358" t="s">
        <v>366</v>
      </c>
      <c r="C358" t="s">
        <v>30</v>
      </c>
      <c r="D358" t="s">
        <v>2680</v>
      </c>
      <c r="E358" t="s">
        <v>614</v>
      </c>
      <c r="F358">
        <v>0</v>
      </c>
    </row>
    <row r="359" spans="1:6">
      <c r="A359" s="15">
        <v>44679</v>
      </c>
      <c r="B359" t="s">
        <v>851</v>
      </c>
      <c r="C359" t="s">
        <v>30</v>
      </c>
      <c r="D359" t="s">
        <v>632</v>
      </c>
      <c r="E359" t="s">
        <v>450</v>
      </c>
      <c r="F359">
        <v>0</v>
      </c>
    </row>
    <row r="360" spans="1:6">
      <c r="A360" s="15">
        <v>44687</v>
      </c>
      <c r="B360" t="s">
        <v>555</v>
      </c>
      <c r="C360" t="s">
        <v>515</v>
      </c>
      <c r="D360" t="s">
        <v>632</v>
      </c>
      <c r="E360" t="s">
        <v>450</v>
      </c>
      <c r="F360">
        <v>0</v>
      </c>
    </row>
    <row r="361" spans="1:6">
      <c r="A361" s="15">
        <v>44690</v>
      </c>
      <c r="B361" t="s">
        <v>490</v>
      </c>
      <c r="C361" t="s">
        <v>30</v>
      </c>
      <c r="D361" t="s">
        <v>2680</v>
      </c>
      <c r="E361" t="s">
        <v>614</v>
      </c>
      <c r="F361">
        <v>0</v>
      </c>
    </row>
    <row r="362" spans="1:6">
      <c r="A362" s="15">
        <v>44690</v>
      </c>
      <c r="B362" t="s">
        <v>863</v>
      </c>
      <c r="C362" t="s">
        <v>515</v>
      </c>
      <c r="D362" t="s">
        <v>632</v>
      </c>
      <c r="E362" t="s">
        <v>614</v>
      </c>
      <c r="F362">
        <v>0</v>
      </c>
    </row>
    <row r="363" spans="1:6">
      <c r="A363" s="15">
        <v>44690</v>
      </c>
      <c r="B363" t="s">
        <v>894</v>
      </c>
      <c r="C363" t="s">
        <v>515</v>
      </c>
      <c r="D363" t="s">
        <v>632</v>
      </c>
      <c r="E363" t="s">
        <v>450</v>
      </c>
      <c r="F363">
        <v>0</v>
      </c>
    </row>
    <row r="364" spans="1:6">
      <c r="A364" s="15">
        <v>44690</v>
      </c>
      <c r="B364" t="s">
        <v>890</v>
      </c>
      <c r="C364" t="s">
        <v>30</v>
      </c>
      <c r="D364" t="s">
        <v>2680</v>
      </c>
      <c r="E364" t="s">
        <v>450</v>
      </c>
      <c r="F364">
        <v>0</v>
      </c>
    </row>
    <row r="365" spans="1:6">
      <c r="A365" s="15">
        <v>44691</v>
      </c>
      <c r="B365" t="s">
        <v>894</v>
      </c>
      <c r="C365" t="s">
        <v>515</v>
      </c>
      <c r="D365" t="s">
        <v>632</v>
      </c>
      <c r="E365" t="s">
        <v>450</v>
      </c>
      <c r="F365">
        <v>0</v>
      </c>
    </row>
    <row r="366" spans="1:6">
      <c r="A366" s="15">
        <v>44691</v>
      </c>
      <c r="B366" t="s">
        <v>890</v>
      </c>
      <c r="C366" t="s">
        <v>30</v>
      </c>
      <c r="D366" t="s">
        <v>2680</v>
      </c>
      <c r="E366" t="s">
        <v>897</v>
      </c>
      <c r="F366">
        <v>0</v>
      </c>
    </row>
    <row r="367" spans="1:6">
      <c r="A367" s="15">
        <v>44694</v>
      </c>
      <c r="B367" t="s">
        <v>253</v>
      </c>
      <c r="C367" t="s">
        <v>30</v>
      </c>
      <c r="D367" t="s">
        <v>2680</v>
      </c>
      <c r="E367" t="s">
        <v>450</v>
      </c>
      <c r="F367">
        <v>0</v>
      </c>
    </row>
    <row r="368" spans="1:6">
      <c r="A368" s="15">
        <v>44694</v>
      </c>
      <c r="B368" t="s">
        <v>555</v>
      </c>
      <c r="C368" t="s">
        <v>30</v>
      </c>
      <c r="D368" t="s">
        <v>2680</v>
      </c>
      <c r="E368" t="s">
        <v>450</v>
      </c>
      <c r="F368">
        <v>0</v>
      </c>
    </row>
    <row r="369" spans="1:6">
      <c r="A369" s="15">
        <v>44698</v>
      </c>
      <c r="B369" t="s">
        <v>132</v>
      </c>
      <c r="C369" t="s">
        <v>133</v>
      </c>
      <c r="D369" t="s">
        <v>130</v>
      </c>
      <c r="E369" t="s">
        <v>208</v>
      </c>
      <c r="F369">
        <v>0</v>
      </c>
    </row>
    <row r="370" spans="1:6">
      <c r="A370" s="15">
        <v>44698</v>
      </c>
      <c r="B370" t="s">
        <v>908</v>
      </c>
      <c r="C370" t="s">
        <v>515</v>
      </c>
      <c r="D370" t="s">
        <v>632</v>
      </c>
      <c r="E370" t="s">
        <v>450</v>
      </c>
      <c r="F370">
        <v>0</v>
      </c>
    </row>
    <row r="371" spans="1:6">
      <c r="A371" s="15">
        <v>44698</v>
      </c>
      <c r="B371" t="s">
        <v>912</v>
      </c>
      <c r="C371" t="s">
        <v>515</v>
      </c>
      <c r="D371" t="s">
        <v>632</v>
      </c>
      <c r="E371" t="s">
        <v>450</v>
      </c>
      <c r="F371">
        <v>0</v>
      </c>
    </row>
    <row r="372" spans="1:6">
      <c r="A372" s="15">
        <v>44699</v>
      </c>
      <c r="B372" t="s">
        <v>872</v>
      </c>
      <c r="C372" t="s">
        <v>515</v>
      </c>
      <c r="D372" t="s">
        <v>632</v>
      </c>
      <c r="E372" t="s">
        <v>614</v>
      </c>
      <c r="F372">
        <v>0</v>
      </c>
    </row>
    <row r="373" spans="1:6">
      <c r="A373" s="15">
        <v>44699</v>
      </c>
      <c r="B373" t="s">
        <v>916</v>
      </c>
      <c r="C373" t="s">
        <v>30</v>
      </c>
      <c r="D373" t="s">
        <v>2680</v>
      </c>
      <c r="E373" t="s">
        <v>450</v>
      </c>
      <c r="F373">
        <v>0</v>
      </c>
    </row>
    <row r="374" spans="1:6">
      <c r="A374" s="15">
        <v>44699</v>
      </c>
      <c r="B374" t="s">
        <v>912</v>
      </c>
      <c r="C374" t="s">
        <v>30</v>
      </c>
      <c r="D374" t="s">
        <v>632</v>
      </c>
      <c r="E374" t="s">
        <v>450</v>
      </c>
      <c r="F374">
        <v>0</v>
      </c>
    </row>
    <row r="375" spans="1:6">
      <c r="A375" s="15">
        <v>44705</v>
      </c>
      <c r="B375" t="s">
        <v>193</v>
      </c>
      <c r="C375" t="s">
        <v>30</v>
      </c>
      <c r="D375" t="s">
        <v>2680</v>
      </c>
      <c r="E375" t="s">
        <v>614</v>
      </c>
      <c r="F375">
        <v>5000</v>
      </c>
    </row>
    <row r="376" spans="1:6">
      <c r="A376" s="15">
        <v>44706</v>
      </c>
      <c r="B376" t="s">
        <v>922</v>
      </c>
      <c r="C376" t="s">
        <v>65</v>
      </c>
      <c r="D376" t="s">
        <v>70</v>
      </c>
      <c r="E376" t="s">
        <v>921</v>
      </c>
      <c r="F376">
        <v>0</v>
      </c>
    </row>
    <row r="377" spans="1:6">
      <c r="A377" s="15">
        <v>44706</v>
      </c>
      <c r="B377" t="s">
        <v>926</v>
      </c>
      <c r="C377" t="s">
        <v>30</v>
      </c>
      <c r="D377" t="s">
        <v>2680</v>
      </c>
      <c r="E377" t="s">
        <v>614</v>
      </c>
      <c r="F377">
        <v>0</v>
      </c>
    </row>
    <row r="378" spans="1:6">
      <c r="A378" s="15">
        <v>44707</v>
      </c>
      <c r="B378" t="s">
        <v>863</v>
      </c>
      <c r="C378" t="s">
        <v>30</v>
      </c>
      <c r="D378" t="s">
        <v>632</v>
      </c>
      <c r="E378" t="s">
        <v>450</v>
      </c>
      <c r="F378">
        <v>0</v>
      </c>
    </row>
    <row r="379" spans="1:6">
      <c r="A379" s="15">
        <v>44708</v>
      </c>
      <c r="B379" t="s">
        <v>863</v>
      </c>
      <c r="C379" t="s">
        <v>133</v>
      </c>
      <c r="D379" t="s">
        <v>130</v>
      </c>
      <c r="E379" t="s">
        <v>569</v>
      </c>
      <c r="F379">
        <v>0</v>
      </c>
    </row>
    <row r="380" spans="1:6">
      <c r="A380" s="15">
        <v>44708</v>
      </c>
      <c r="B380" t="s">
        <v>930</v>
      </c>
      <c r="C380" t="s">
        <v>65</v>
      </c>
      <c r="D380" t="s">
        <v>70</v>
      </c>
      <c r="E380" t="s">
        <v>434</v>
      </c>
      <c r="F380">
        <v>0</v>
      </c>
    </row>
    <row r="381" spans="1:6">
      <c r="A381" s="15">
        <v>44711</v>
      </c>
      <c r="B381" t="s">
        <v>938</v>
      </c>
      <c r="C381" t="s">
        <v>30</v>
      </c>
      <c r="D381" t="s">
        <v>2680</v>
      </c>
      <c r="E381" t="s">
        <v>450</v>
      </c>
      <c r="F381">
        <v>0</v>
      </c>
    </row>
    <row r="382" spans="1:6">
      <c r="A382" s="15">
        <v>44712</v>
      </c>
      <c r="B382" t="s">
        <v>863</v>
      </c>
      <c r="C382" t="s">
        <v>65</v>
      </c>
      <c r="D382" t="s">
        <v>70</v>
      </c>
      <c r="E382" t="s">
        <v>940</v>
      </c>
      <c r="F382">
        <v>0</v>
      </c>
    </row>
    <row r="383" spans="1:6">
      <c r="A383" s="15">
        <v>44712</v>
      </c>
      <c r="B383" t="s">
        <v>863</v>
      </c>
      <c r="C383" t="s">
        <v>941</v>
      </c>
      <c r="D383" t="s">
        <v>70</v>
      </c>
      <c r="E383" t="s">
        <v>940</v>
      </c>
      <c r="F383">
        <v>0</v>
      </c>
    </row>
    <row r="384" spans="1:6">
      <c r="A384" s="15">
        <v>44713</v>
      </c>
      <c r="B384" t="s">
        <v>948</v>
      </c>
      <c r="C384" t="s">
        <v>65</v>
      </c>
      <c r="D384" t="s">
        <v>70</v>
      </c>
      <c r="E384" t="s">
        <v>947</v>
      </c>
      <c r="F384">
        <v>0</v>
      </c>
    </row>
    <row r="385" spans="1:6">
      <c r="A385" s="15">
        <v>44714</v>
      </c>
      <c r="B385" t="s">
        <v>950</v>
      </c>
      <c r="C385" t="s">
        <v>515</v>
      </c>
      <c r="D385" t="s">
        <v>632</v>
      </c>
      <c r="E385" t="s">
        <v>450</v>
      </c>
      <c r="F385">
        <v>0</v>
      </c>
    </row>
    <row r="386" spans="1:6">
      <c r="A386" s="15">
        <v>44718</v>
      </c>
      <c r="B386" t="s">
        <v>325</v>
      </c>
      <c r="C386" t="s">
        <v>65</v>
      </c>
      <c r="D386" t="s">
        <v>70</v>
      </c>
      <c r="E386" t="s">
        <v>378</v>
      </c>
      <c r="F386">
        <v>0</v>
      </c>
    </row>
    <row r="387" spans="1:6">
      <c r="A387" s="15">
        <v>44718</v>
      </c>
      <c r="B387" t="s">
        <v>954</v>
      </c>
      <c r="C387" t="s">
        <v>65</v>
      </c>
      <c r="D387" t="s">
        <v>70</v>
      </c>
      <c r="E387" t="s">
        <v>233</v>
      </c>
      <c r="F387">
        <v>0</v>
      </c>
    </row>
    <row r="388" spans="1:6">
      <c r="A388" s="15">
        <v>44718</v>
      </c>
      <c r="B388" t="s">
        <v>115</v>
      </c>
      <c r="C388" t="s">
        <v>65</v>
      </c>
      <c r="D388" t="s">
        <v>70</v>
      </c>
      <c r="E388" t="s">
        <v>434</v>
      </c>
      <c r="F388">
        <v>0</v>
      </c>
    </row>
    <row r="389" spans="1:6">
      <c r="A389" s="15">
        <v>44718</v>
      </c>
      <c r="B389" t="s">
        <v>842</v>
      </c>
      <c r="C389" t="s">
        <v>515</v>
      </c>
      <c r="D389" t="s">
        <v>632</v>
      </c>
      <c r="E389" t="s">
        <v>450</v>
      </c>
      <c r="F389">
        <v>0</v>
      </c>
    </row>
    <row r="390" spans="1:6">
      <c r="A390" s="15">
        <v>44719</v>
      </c>
      <c r="B390" t="s">
        <v>315</v>
      </c>
      <c r="C390" t="s">
        <v>30</v>
      </c>
      <c r="D390" t="s">
        <v>2680</v>
      </c>
      <c r="E390" t="s">
        <v>614</v>
      </c>
      <c r="F390">
        <v>0</v>
      </c>
    </row>
    <row r="391" spans="1:6">
      <c r="A391" s="15">
        <v>44720</v>
      </c>
      <c r="B391" t="s">
        <v>963</v>
      </c>
      <c r="C391" t="s">
        <v>65</v>
      </c>
      <c r="D391" t="s">
        <v>70</v>
      </c>
      <c r="E391" t="s">
        <v>962</v>
      </c>
      <c r="F391">
        <v>0</v>
      </c>
    </row>
    <row r="392" spans="1:6">
      <c r="A392" s="15">
        <v>44725</v>
      </c>
      <c r="B392" t="s">
        <v>851</v>
      </c>
      <c r="C392" t="s">
        <v>30</v>
      </c>
      <c r="D392" t="s">
        <v>632</v>
      </c>
      <c r="E392" t="s">
        <v>450</v>
      </c>
      <c r="F392">
        <v>0</v>
      </c>
    </row>
    <row r="393" spans="1:6">
      <c r="A393" s="15">
        <v>44727</v>
      </c>
      <c r="B393" t="s">
        <v>967</v>
      </c>
      <c r="C393" t="s">
        <v>968</v>
      </c>
      <c r="D393" t="s">
        <v>632</v>
      </c>
      <c r="E393" t="s">
        <v>450</v>
      </c>
      <c r="F393">
        <v>0</v>
      </c>
    </row>
    <row r="394" spans="1:6">
      <c r="A394" s="15">
        <v>44733</v>
      </c>
      <c r="B394" t="s">
        <v>863</v>
      </c>
      <c r="C394" t="s">
        <v>65</v>
      </c>
      <c r="D394" t="s">
        <v>70</v>
      </c>
      <c r="E394" t="s">
        <v>756</v>
      </c>
      <c r="F394">
        <v>0</v>
      </c>
    </row>
    <row r="395" spans="1:6">
      <c r="A395" s="15">
        <v>44739</v>
      </c>
      <c r="B395" t="s">
        <v>975</v>
      </c>
      <c r="C395" t="s">
        <v>515</v>
      </c>
      <c r="D395" t="s">
        <v>632</v>
      </c>
      <c r="E395" t="s">
        <v>450</v>
      </c>
      <c r="F395">
        <v>0</v>
      </c>
    </row>
    <row r="396" spans="1:6">
      <c r="A396" s="15">
        <v>44739</v>
      </c>
      <c r="B396" t="s">
        <v>975</v>
      </c>
      <c r="C396" t="s">
        <v>30</v>
      </c>
      <c r="D396" t="s">
        <v>632</v>
      </c>
      <c r="E396" t="s">
        <v>450</v>
      </c>
      <c r="F396">
        <v>0</v>
      </c>
    </row>
    <row r="397" spans="1:6">
      <c r="A397" s="15">
        <v>44740</v>
      </c>
      <c r="B397" t="s">
        <v>912</v>
      </c>
      <c r="C397" t="s">
        <v>515</v>
      </c>
      <c r="D397" t="s">
        <v>632</v>
      </c>
      <c r="E397" t="s">
        <v>450</v>
      </c>
      <c r="F397">
        <v>0</v>
      </c>
    </row>
    <row r="398" spans="1:6">
      <c r="A398" s="15">
        <v>44740</v>
      </c>
      <c r="B398" t="s">
        <v>912</v>
      </c>
      <c r="C398" t="s">
        <v>30</v>
      </c>
      <c r="D398" t="s">
        <v>632</v>
      </c>
      <c r="E398" t="s">
        <v>450</v>
      </c>
      <c r="F398">
        <v>0</v>
      </c>
    </row>
    <row r="399" spans="1:6">
      <c r="A399" s="15">
        <v>44743</v>
      </c>
      <c r="B399" t="s">
        <v>188</v>
      </c>
      <c r="C399" t="s">
        <v>65</v>
      </c>
      <c r="D399" t="s">
        <v>70</v>
      </c>
      <c r="E399" t="s">
        <v>981</v>
      </c>
      <c r="F399">
        <v>0</v>
      </c>
    </row>
    <row r="400" spans="1:6">
      <c r="A400" s="15">
        <v>44747</v>
      </c>
      <c r="B400" t="s">
        <v>27</v>
      </c>
      <c r="C400" t="s">
        <v>65</v>
      </c>
      <c r="D400" t="s">
        <v>70</v>
      </c>
      <c r="E400" t="s">
        <v>986</v>
      </c>
      <c r="F400">
        <v>0</v>
      </c>
    </row>
    <row r="401" spans="1:6">
      <c r="A401" s="15">
        <v>44749</v>
      </c>
      <c r="B401" t="s">
        <v>842</v>
      </c>
      <c r="C401" t="s">
        <v>515</v>
      </c>
      <c r="D401" t="s">
        <v>632</v>
      </c>
      <c r="E401" t="s">
        <v>450</v>
      </c>
      <c r="F401">
        <v>0</v>
      </c>
    </row>
    <row r="402" spans="1:6">
      <c r="A402" s="15">
        <v>44757</v>
      </c>
      <c r="B402" t="s">
        <v>215</v>
      </c>
      <c r="C402" t="s">
        <v>30</v>
      </c>
      <c r="D402" t="s">
        <v>632</v>
      </c>
      <c r="E402" t="s">
        <v>993</v>
      </c>
      <c r="F402">
        <v>0</v>
      </c>
    </row>
    <row r="403" spans="1:6">
      <c r="A403" s="15">
        <v>44757</v>
      </c>
      <c r="B403" t="s">
        <v>867</v>
      </c>
      <c r="C403" t="s">
        <v>65</v>
      </c>
      <c r="D403" t="s">
        <v>70</v>
      </c>
      <c r="E403" t="s">
        <v>104</v>
      </c>
      <c r="F403">
        <v>0</v>
      </c>
    </row>
    <row r="404" spans="1:6">
      <c r="A404" s="15">
        <v>44760</v>
      </c>
      <c r="B404" t="s">
        <v>996</v>
      </c>
      <c r="C404" t="s">
        <v>133</v>
      </c>
      <c r="D404" t="s">
        <v>632</v>
      </c>
      <c r="E404" t="s">
        <v>993</v>
      </c>
      <c r="F404">
        <v>0</v>
      </c>
    </row>
    <row r="405" spans="1:6">
      <c r="A405" s="15">
        <v>44761</v>
      </c>
      <c r="B405" t="s">
        <v>605</v>
      </c>
      <c r="C405" t="s">
        <v>65</v>
      </c>
      <c r="D405" t="s">
        <v>70</v>
      </c>
      <c r="E405" t="s">
        <v>608</v>
      </c>
      <c r="F405">
        <v>0</v>
      </c>
    </row>
    <row r="406" spans="1:6">
      <c r="A406" s="15">
        <v>44763</v>
      </c>
      <c r="B406" t="s">
        <v>1002</v>
      </c>
      <c r="C406" t="s">
        <v>30</v>
      </c>
      <c r="D406" t="s">
        <v>632</v>
      </c>
      <c r="E406" t="s">
        <v>993</v>
      </c>
      <c r="F406">
        <v>0</v>
      </c>
    </row>
    <row r="407" spans="1:6">
      <c r="A407" s="15">
        <v>44764</v>
      </c>
      <c r="B407" t="s">
        <v>948</v>
      </c>
      <c r="C407" t="s">
        <v>30</v>
      </c>
      <c r="D407" t="s">
        <v>632</v>
      </c>
      <c r="E407" t="s">
        <v>993</v>
      </c>
      <c r="F407">
        <v>0</v>
      </c>
    </row>
    <row r="408" spans="1:6">
      <c r="A408" s="15">
        <v>44770</v>
      </c>
      <c r="B408" t="s">
        <v>1005</v>
      </c>
      <c r="C408" t="s">
        <v>30</v>
      </c>
      <c r="D408" t="s">
        <v>632</v>
      </c>
      <c r="E408" t="s">
        <v>993</v>
      </c>
      <c r="F408">
        <v>0</v>
      </c>
    </row>
    <row r="409" spans="1:6">
      <c r="A409" s="15">
        <v>44771</v>
      </c>
      <c r="B409" t="s">
        <v>1008</v>
      </c>
      <c r="C409" t="s">
        <v>515</v>
      </c>
      <c r="D409" t="s">
        <v>632</v>
      </c>
      <c r="E409" t="s">
        <v>993</v>
      </c>
      <c r="F409">
        <v>0</v>
      </c>
    </row>
    <row r="410" spans="1:6">
      <c r="A410" s="15">
        <v>44774</v>
      </c>
      <c r="B410" t="s">
        <v>379</v>
      </c>
      <c r="C410" t="s">
        <v>30</v>
      </c>
      <c r="D410" t="s">
        <v>632</v>
      </c>
      <c r="E410" t="s">
        <v>450</v>
      </c>
      <c r="F410">
        <v>0</v>
      </c>
    </row>
    <row r="411" spans="1:6">
      <c r="A411" s="15">
        <v>44777</v>
      </c>
      <c r="B411" t="s">
        <v>1012</v>
      </c>
      <c r="C411" t="s">
        <v>30</v>
      </c>
      <c r="D411" t="s">
        <v>632</v>
      </c>
      <c r="E411" t="s">
        <v>993</v>
      </c>
      <c r="F411">
        <v>0</v>
      </c>
    </row>
    <row r="412" spans="1:6">
      <c r="A412" s="15">
        <v>44778</v>
      </c>
      <c r="B412" t="s">
        <v>938</v>
      </c>
      <c r="C412" t="s">
        <v>30</v>
      </c>
      <c r="D412" t="s">
        <v>632</v>
      </c>
      <c r="E412" t="s">
        <v>450</v>
      </c>
      <c r="F412">
        <v>0</v>
      </c>
    </row>
    <row r="413" spans="1:6">
      <c r="A413" s="15">
        <v>44783</v>
      </c>
      <c r="B413" t="s">
        <v>1015</v>
      </c>
      <c r="C413" t="s">
        <v>836</v>
      </c>
      <c r="D413" t="s">
        <v>130</v>
      </c>
      <c r="E413" t="s">
        <v>371</v>
      </c>
      <c r="F413">
        <v>0</v>
      </c>
    </row>
    <row r="414" spans="1:6">
      <c r="A414" s="15">
        <v>44784</v>
      </c>
      <c r="B414" t="s">
        <v>1008</v>
      </c>
      <c r="C414" t="s">
        <v>515</v>
      </c>
      <c r="D414" t="s">
        <v>632</v>
      </c>
      <c r="E414" t="s">
        <v>450</v>
      </c>
      <c r="F414">
        <v>0</v>
      </c>
    </row>
    <row r="415" spans="1:6">
      <c r="A415" s="15">
        <v>44785</v>
      </c>
      <c r="B415" t="s">
        <v>842</v>
      </c>
      <c r="C415" t="s">
        <v>515</v>
      </c>
      <c r="D415" t="s">
        <v>632</v>
      </c>
      <c r="E415" t="s">
        <v>450</v>
      </c>
      <c r="F415">
        <v>0</v>
      </c>
    </row>
    <row r="416" spans="1:6">
      <c r="A416" s="15">
        <v>44792</v>
      </c>
      <c r="B416" t="s">
        <v>1023</v>
      </c>
      <c r="C416" t="s">
        <v>65</v>
      </c>
      <c r="D416" t="s">
        <v>70</v>
      </c>
      <c r="E416" t="s">
        <v>1022</v>
      </c>
      <c r="F416">
        <v>0</v>
      </c>
    </row>
    <row r="417" spans="1:6">
      <c r="A417" s="15">
        <v>44795</v>
      </c>
      <c r="B417" t="s">
        <v>291</v>
      </c>
      <c r="C417" t="s">
        <v>65</v>
      </c>
      <c r="D417" t="s">
        <v>70</v>
      </c>
      <c r="E417" t="s">
        <v>104</v>
      </c>
      <c r="F417">
        <v>0</v>
      </c>
    </row>
    <row r="418" spans="1:6">
      <c r="A418" s="15">
        <v>44795</v>
      </c>
      <c r="B418" t="s">
        <v>1028</v>
      </c>
      <c r="C418" t="s">
        <v>515</v>
      </c>
      <c r="D418" t="s">
        <v>632</v>
      </c>
      <c r="E418" t="s">
        <v>450</v>
      </c>
      <c r="F418">
        <v>0</v>
      </c>
    </row>
    <row r="419" spans="1:6">
      <c r="A419" s="15">
        <v>44795</v>
      </c>
      <c r="B419" t="s">
        <v>1028</v>
      </c>
      <c r="C419" t="s">
        <v>30</v>
      </c>
      <c r="D419" t="s">
        <v>632</v>
      </c>
      <c r="E419" t="s">
        <v>450</v>
      </c>
      <c r="F419">
        <v>0</v>
      </c>
    </row>
    <row r="420" spans="1:6">
      <c r="A420" s="15">
        <v>44796</v>
      </c>
      <c r="B420" t="s">
        <v>926</v>
      </c>
      <c r="C420" t="s">
        <v>30</v>
      </c>
      <c r="D420" t="s">
        <v>632</v>
      </c>
      <c r="E420" t="s">
        <v>993</v>
      </c>
      <c r="F420">
        <v>0</v>
      </c>
    </row>
    <row r="421" spans="1:6">
      <c r="A421" s="15">
        <v>44796</v>
      </c>
      <c r="B421" t="s">
        <v>1034</v>
      </c>
      <c r="C421" t="s">
        <v>515</v>
      </c>
      <c r="D421" t="s">
        <v>632</v>
      </c>
      <c r="E421" t="s">
        <v>450</v>
      </c>
      <c r="F421">
        <v>0</v>
      </c>
    </row>
    <row r="422" spans="1:6">
      <c r="A422" s="15">
        <v>44796</v>
      </c>
      <c r="B422" t="s">
        <v>1031</v>
      </c>
      <c r="C422" t="s">
        <v>515</v>
      </c>
      <c r="D422" t="s">
        <v>632</v>
      </c>
      <c r="E422" t="s">
        <v>450</v>
      </c>
      <c r="F422">
        <v>0</v>
      </c>
    </row>
    <row r="423" spans="1:6">
      <c r="A423" s="15">
        <v>44796</v>
      </c>
      <c r="B423" t="s">
        <v>1031</v>
      </c>
      <c r="C423" t="s">
        <v>30</v>
      </c>
      <c r="D423" t="s">
        <v>632</v>
      </c>
      <c r="E423" t="s">
        <v>450</v>
      </c>
      <c r="F423">
        <v>0</v>
      </c>
    </row>
    <row r="424" spans="1:6">
      <c r="A424" s="15">
        <v>44797</v>
      </c>
      <c r="B424" t="s">
        <v>1043</v>
      </c>
      <c r="C424" t="s">
        <v>133</v>
      </c>
      <c r="D424" t="s">
        <v>632</v>
      </c>
      <c r="E424" t="s">
        <v>1042</v>
      </c>
      <c r="F424">
        <v>0</v>
      </c>
    </row>
    <row r="425" spans="1:6">
      <c r="A425" s="15">
        <v>44797</v>
      </c>
      <c r="B425" t="s">
        <v>1037</v>
      </c>
      <c r="C425" t="s">
        <v>515</v>
      </c>
      <c r="D425" t="s">
        <v>632</v>
      </c>
      <c r="E425" t="s">
        <v>450</v>
      </c>
      <c r="F425">
        <v>0</v>
      </c>
    </row>
    <row r="426" spans="1:6">
      <c r="A426" s="15">
        <v>44797</v>
      </c>
      <c r="B426" t="s">
        <v>1037</v>
      </c>
      <c r="C426" t="s">
        <v>30</v>
      </c>
      <c r="D426" t="s">
        <v>632</v>
      </c>
      <c r="E426" t="s">
        <v>450</v>
      </c>
      <c r="F426">
        <v>0</v>
      </c>
    </row>
    <row r="427" spans="1:6">
      <c r="A427" s="15">
        <v>44797</v>
      </c>
      <c r="B427" t="s">
        <v>1040</v>
      </c>
      <c r="C427" t="s">
        <v>30</v>
      </c>
      <c r="D427" t="s">
        <v>632</v>
      </c>
      <c r="E427" t="s">
        <v>450</v>
      </c>
      <c r="F427">
        <v>0</v>
      </c>
    </row>
    <row r="428" spans="1:6">
      <c r="A428" s="15">
        <v>44802</v>
      </c>
      <c r="B428" t="s">
        <v>863</v>
      </c>
      <c r="C428" t="s">
        <v>515</v>
      </c>
      <c r="D428" t="s">
        <v>632</v>
      </c>
      <c r="E428" t="s">
        <v>993</v>
      </c>
      <c r="F428">
        <v>0</v>
      </c>
    </row>
    <row r="429" spans="1:6">
      <c r="A429" s="15">
        <v>44805</v>
      </c>
      <c r="B429" t="s">
        <v>1046</v>
      </c>
      <c r="C429" t="s">
        <v>30</v>
      </c>
      <c r="D429" t="s">
        <v>632</v>
      </c>
      <c r="E429" t="s">
        <v>993</v>
      </c>
      <c r="F429">
        <v>0</v>
      </c>
    </row>
    <row r="430" spans="1:6">
      <c r="A430" s="15">
        <v>44806</v>
      </c>
      <c r="B430" t="s">
        <v>1048</v>
      </c>
      <c r="C430" t="s">
        <v>30</v>
      </c>
      <c r="D430" t="s">
        <v>632</v>
      </c>
      <c r="E430" t="s">
        <v>993</v>
      </c>
      <c r="F430">
        <v>0</v>
      </c>
    </row>
    <row r="431" spans="1:6">
      <c r="A431" s="15">
        <v>44806</v>
      </c>
      <c r="B431" t="s">
        <v>1043</v>
      </c>
      <c r="C431" t="s">
        <v>65</v>
      </c>
      <c r="D431" t="s">
        <v>70</v>
      </c>
      <c r="E431" t="s">
        <v>1054</v>
      </c>
      <c r="F431">
        <v>0</v>
      </c>
    </row>
    <row r="432" spans="1:6">
      <c r="A432" s="15">
        <v>44806</v>
      </c>
      <c r="B432" t="s">
        <v>1051</v>
      </c>
      <c r="C432" t="s">
        <v>30</v>
      </c>
      <c r="D432" t="s">
        <v>632</v>
      </c>
      <c r="E432" t="s">
        <v>450</v>
      </c>
      <c r="F432">
        <v>0</v>
      </c>
    </row>
    <row r="433" spans="1:6">
      <c r="A433" s="15">
        <v>44809</v>
      </c>
      <c r="B433" t="s">
        <v>505</v>
      </c>
      <c r="C433" t="s">
        <v>65</v>
      </c>
      <c r="D433" t="s">
        <v>70</v>
      </c>
      <c r="E433" t="s">
        <v>335</v>
      </c>
      <c r="F433">
        <v>0</v>
      </c>
    </row>
    <row r="434" spans="1:6">
      <c r="A434" s="15">
        <v>44809</v>
      </c>
      <c r="B434" t="s">
        <v>863</v>
      </c>
      <c r="C434" t="s">
        <v>30</v>
      </c>
      <c r="D434" t="s">
        <v>632</v>
      </c>
      <c r="E434" t="s">
        <v>993</v>
      </c>
      <c r="F434">
        <v>0</v>
      </c>
    </row>
    <row r="435" spans="1:6">
      <c r="A435" s="15">
        <v>44812</v>
      </c>
      <c r="B435" t="s">
        <v>1012</v>
      </c>
      <c r="C435" t="s">
        <v>515</v>
      </c>
      <c r="D435" t="s">
        <v>632</v>
      </c>
      <c r="E435" t="s">
        <v>993</v>
      </c>
      <c r="F435">
        <v>0</v>
      </c>
    </row>
    <row r="436" spans="1:6">
      <c r="A436" s="15">
        <v>44812</v>
      </c>
      <c r="B436" t="s">
        <v>1012</v>
      </c>
      <c r="C436" t="s">
        <v>30</v>
      </c>
      <c r="D436" t="s">
        <v>632</v>
      </c>
      <c r="E436" t="s">
        <v>993</v>
      </c>
      <c r="F436">
        <v>2000</v>
      </c>
    </row>
    <row r="437" spans="1:6">
      <c r="A437" s="15">
        <v>44812</v>
      </c>
      <c r="B437" t="s">
        <v>578</v>
      </c>
      <c r="C437" t="s">
        <v>30</v>
      </c>
      <c r="D437" t="s">
        <v>632</v>
      </c>
      <c r="E437" t="s">
        <v>450</v>
      </c>
      <c r="F437">
        <v>0</v>
      </c>
    </row>
    <row r="438" spans="1:6">
      <c r="A438" s="15">
        <v>44817</v>
      </c>
      <c r="B438" t="s">
        <v>996</v>
      </c>
      <c r="C438" t="s">
        <v>1067</v>
      </c>
      <c r="D438" t="s">
        <v>130</v>
      </c>
      <c r="E438" t="s">
        <v>993</v>
      </c>
      <c r="F438">
        <v>0</v>
      </c>
    </row>
    <row r="439" spans="1:6">
      <c r="A439" s="15">
        <v>44819</v>
      </c>
      <c r="B439" t="s">
        <v>1070</v>
      </c>
      <c r="C439" t="s">
        <v>515</v>
      </c>
      <c r="D439" t="s">
        <v>632</v>
      </c>
      <c r="E439" t="s">
        <v>450</v>
      </c>
      <c r="F439">
        <v>0</v>
      </c>
    </row>
    <row r="440" spans="1:6">
      <c r="A440" s="15">
        <v>44819</v>
      </c>
      <c r="B440" t="s">
        <v>863</v>
      </c>
      <c r="C440" t="s">
        <v>133</v>
      </c>
      <c r="D440" t="s">
        <v>130</v>
      </c>
      <c r="E440" t="s">
        <v>569</v>
      </c>
      <c r="F440">
        <v>0</v>
      </c>
    </row>
    <row r="441" spans="1:6">
      <c r="A441" s="15">
        <v>44819</v>
      </c>
      <c r="B441" t="s">
        <v>863</v>
      </c>
      <c r="C441" t="s">
        <v>941</v>
      </c>
      <c r="D441" t="s">
        <v>130</v>
      </c>
      <c r="E441" t="s">
        <v>569</v>
      </c>
      <c r="F441">
        <v>0</v>
      </c>
    </row>
    <row r="442" spans="1:6">
      <c r="A442" s="15">
        <v>44820</v>
      </c>
      <c r="B442" t="s">
        <v>1084</v>
      </c>
      <c r="C442" t="s">
        <v>30</v>
      </c>
      <c r="D442" t="s">
        <v>632</v>
      </c>
      <c r="E442" t="s">
        <v>450</v>
      </c>
      <c r="F442">
        <v>0</v>
      </c>
    </row>
    <row r="443" spans="1:6">
      <c r="A443" s="15">
        <v>44824</v>
      </c>
      <c r="B443" t="s">
        <v>346</v>
      </c>
      <c r="C443" t="s">
        <v>133</v>
      </c>
      <c r="D443" t="s">
        <v>130</v>
      </c>
      <c r="E443" t="s">
        <v>208</v>
      </c>
      <c r="F443">
        <v>0</v>
      </c>
    </row>
    <row r="444" spans="1:6">
      <c r="A444" s="15">
        <v>44824</v>
      </c>
      <c r="B444" t="s">
        <v>1089</v>
      </c>
      <c r="C444" t="s">
        <v>515</v>
      </c>
      <c r="D444" t="s">
        <v>130</v>
      </c>
      <c r="E444" t="s">
        <v>1088</v>
      </c>
      <c r="F444">
        <v>0</v>
      </c>
    </row>
    <row r="445" spans="1:6">
      <c r="A445" s="15">
        <v>44824</v>
      </c>
      <c r="B445" t="s">
        <v>379</v>
      </c>
      <c r="C445" t="s">
        <v>30</v>
      </c>
      <c r="D445" t="s">
        <v>632</v>
      </c>
      <c r="E445" t="s">
        <v>450</v>
      </c>
      <c r="F445">
        <v>0</v>
      </c>
    </row>
    <row r="446" spans="1:6">
      <c r="A446" s="15">
        <v>44824</v>
      </c>
      <c r="B446" t="s">
        <v>34</v>
      </c>
      <c r="C446" t="s">
        <v>30</v>
      </c>
      <c r="D446" t="s">
        <v>632</v>
      </c>
      <c r="E446" t="s">
        <v>450</v>
      </c>
      <c r="F446">
        <v>0</v>
      </c>
    </row>
    <row r="447" spans="1:6">
      <c r="A447" s="15">
        <v>44826</v>
      </c>
      <c r="B447" t="s">
        <v>366</v>
      </c>
      <c r="C447" t="s">
        <v>30</v>
      </c>
      <c r="D447" t="s">
        <v>632</v>
      </c>
      <c r="E447" t="s">
        <v>450</v>
      </c>
      <c r="F447">
        <v>0</v>
      </c>
    </row>
    <row r="448" spans="1:6">
      <c r="A448" s="15">
        <v>44826</v>
      </c>
      <c r="B448" t="s">
        <v>1096</v>
      </c>
      <c r="C448" t="s">
        <v>968</v>
      </c>
      <c r="D448" t="s">
        <v>632</v>
      </c>
      <c r="E448" t="s">
        <v>450</v>
      </c>
      <c r="F448">
        <v>0</v>
      </c>
    </row>
    <row r="449" spans="1:6">
      <c r="A449" s="15">
        <v>44827</v>
      </c>
      <c r="B449" t="s">
        <v>1101</v>
      </c>
      <c r="C449" t="s">
        <v>30</v>
      </c>
      <c r="D449" t="s">
        <v>632</v>
      </c>
      <c r="E449" t="s">
        <v>450</v>
      </c>
      <c r="F449">
        <v>0</v>
      </c>
    </row>
    <row r="450" spans="1:6">
      <c r="A450" s="15">
        <v>44827</v>
      </c>
      <c r="B450" t="s">
        <v>1104</v>
      </c>
      <c r="C450" t="s">
        <v>30</v>
      </c>
      <c r="D450" t="s">
        <v>632</v>
      </c>
      <c r="E450" t="s">
        <v>450</v>
      </c>
      <c r="F450">
        <v>0</v>
      </c>
    </row>
    <row r="451" spans="1:6">
      <c r="A451" s="15">
        <v>44827</v>
      </c>
      <c r="B451" t="s">
        <v>648</v>
      </c>
      <c r="C451" t="s">
        <v>30</v>
      </c>
      <c r="D451" t="s">
        <v>632</v>
      </c>
      <c r="E451" t="s">
        <v>450</v>
      </c>
      <c r="F451">
        <v>0</v>
      </c>
    </row>
    <row r="452" spans="1:6">
      <c r="A452" s="15">
        <v>44830</v>
      </c>
      <c r="B452" t="s">
        <v>209</v>
      </c>
      <c r="C452" t="s">
        <v>515</v>
      </c>
      <c r="D452" t="s">
        <v>632</v>
      </c>
      <c r="E452" t="s">
        <v>450</v>
      </c>
      <c r="F452">
        <v>1000</v>
      </c>
    </row>
    <row r="453" spans="1:6">
      <c r="A453" s="15">
        <v>44830</v>
      </c>
      <c r="B453" t="s">
        <v>476</v>
      </c>
      <c r="C453" t="s">
        <v>30</v>
      </c>
      <c r="D453" t="s">
        <v>632</v>
      </c>
      <c r="E453" t="s">
        <v>993</v>
      </c>
      <c r="F453">
        <v>0</v>
      </c>
    </row>
    <row r="454" spans="1:6">
      <c r="A454" s="15">
        <v>44831</v>
      </c>
      <c r="B454" t="s">
        <v>1101</v>
      </c>
      <c r="C454" t="s">
        <v>30</v>
      </c>
      <c r="D454" t="s">
        <v>632</v>
      </c>
      <c r="E454" t="s">
        <v>450</v>
      </c>
      <c r="F454">
        <v>0</v>
      </c>
    </row>
    <row r="455" spans="1:6">
      <c r="A455" s="15">
        <v>44832</v>
      </c>
      <c r="B455" t="s">
        <v>1101</v>
      </c>
      <c r="C455" t="s">
        <v>30</v>
      </c>
      <c r="D455" t="s">
        <v>632</v>
      </c>
      <c r="E455" t="s">
        <v>993</v>
      </c>
      <c r="F455">
        <v>0</v>
      </c>
    </row>
    <row r="456" spans="1:6">
      <c r="A456" s="15">
        <v>44833</v>
      </c>
      <c r="B456" t="s">
        <v>209</v>
      </c>
      <c r="C456" t="s">
        <v>30</v>
      </c>
      <c r="D456" t="s">
        <v>632</v>
      </c>
      <c r="E456" t="s">
        <v>450</v>
      </c>
      <c r="F456">
        <v>0</v>
      </c>
    </row>
    <row r="457" spans="1:6">
      <c r="A457" s="15">
        <v>44834</v>
      </c>
      <c r="B457" t="s">
        <v>863</v>
      </c>
      <c r="C457" t="s">
        <v>515</v>
      </c>
      <c r="D457" t="s">
        <v>632</v>
      </c>
      <c r="E457" t="s">
        <v>993</v>
      </c>
      <c r="F457">
        <v>0</v>
      </c>
    </row>
    <row r="458" spans="1:6">
      <c r="A458" s="15">
        <v>44841</v>
      </c>
      <c r="B458" t="s">
        <v>863</v>
      </c>
      <c r="C458" t="s">
        <v>30</v>
      </c>
      <c r="D458" t="s">
        <v>632</v>
      </c>
      <c r="E458" t="s">
        <v>993</v>
      </c>
      <c r="F458">
        <v>0</v>
      </c>
    </row>
    <row r="459" spans="1:6">
      <c r="A459" s="15">
        <v>44848</v>
      </c>
      <c r="B459" t="s">
        <v>1121</v>
      </c>
      <c r="C459" t="s">
        <v>515</v>
      </c>
      <c r="D459" t="s">
        <v>632</v>
      </c>
      <c r="E459" t="s">
        <v>450</v>
      </c>
      <c r="F459">
        <v>0</v>
      </c>
    </row>
    <row r="460" spans="1:6">
      <c r="A460" s="15">
        <v>44851</v>
      </c>
      <c r="B460" t="s">
        <v>1123</v>
      </c>
      <c r="C460" t="s">
        <v>968</v>
      </c>
      <c r="D460" t="s">
        <v>632</v>
      </c>
      <c r="E460" t="s">
        <v>450</v>
      </c>
      <c r="F460">
        <v>0</v>
      </c>
    </row>
    <row r="461" spans="1:6">
      <c r="A461" s="15">
        <v>44851</v>
      </c>
      <c r="B461" t="s">
        <v>1125</v>
      </c>
      <c r="C461" t="s">
        <v>30</v>
      </c>
      <c r="D461" t="s">
        <v>632</v>
      </c>
      <c r="E461" t="s">
        <v>450</v>
      </c>
      <c r="F461">
        <v>0</v>
      </c>
    </row>
    <row r="462" spans="1:6">
      <c r="A462" s="15">
        <v>44851</v>
      </c>
      <c r="B462" t="s">
        <v>1135</v>
      </c>
      <c r="C462" t="s">
        <v>30</v>
      </c>
      <c r="D462" t="s">
        <v>632</v>
      </c>
      <c r="E462" t="s">
        <v>450</v>
      </c>
      <c r="F462">
        <v>0</v>
      </c>
    </row>
    <row r="463" spans="1:6">
      <c r="A463" s="15">
        <v>44852</v>
      </c>
      <c r="B463" t="s">
        <v>1141</v>
      </c>
      <c r="C463" t="s">
        <v>515</v>
      </c>
      <c r="D463" t="s">
        <v>632</v>
      </c>
      <c r="E463" t="s">
        <v>993</v>
      </c>
      <c r="F463">
        <v>0</v>
      </c>
    </row>
    <row r="464" spans="1:6">
      <c r="A464" s="15">
        <v>44854</v>
      </c>
      <c r="B464" t="s">
        <v>863</v>
      </c>
      <c r="C464" t="s">
        <v>515</v>
      </c>
      <c r="D464" t="s">
        <v>632</v>
      </c>
      <c r="E464" t="s">
        <v>993</v>
      </c>
      <c r="F464">
        <v>0</v>
      </c>
    </row>
    <row r="465" spans="1:6">
      <c r="A465" s="15">
        <v>44855</v>
      </c>
      <c r="B465" t="s">
        <v>863</v>
      </c>
      <c r="C465" t="s">
        <v>30</v>
      </c>
      <c r="D465" t="s">
        <v>632</v>
      </c>
      <c r="E465" t="s">
        <v>993</v>
      </c>
      <c r="F465">
        <v>0</v>
      </c>
    </row>
    <row r="466" spans="1:6">
      <c r="A466" s="15">
        <v>44858</v>
      </c>
      <c r="B466" t="s">
        <v>1150</v>
      </c>
      <c r="C466" t="s">
        <v>65</v>
      </c>
      <c r="D466" t="s">
        <v>70</v>
      </c>
      <c r="E466" t="s">
        <v>146</v>
      </c>
      <c r="F466">
        <v>0</v>
      </c>
    </row>
    <row r="467" spans="1:6">
      <c r="A467" s="15">
        <v>44858</v>
      </c>
      <c r="B467" t="s">
        <v>315</v>
      </c>
      <c r="C467" t="s">
        <v>30</v>
      </c>
      <c r="D467" t="s">
        <v>632</v>
      </c>
      <c r="E467" t="s">
        <v>993</v>
      </c>
      <c r="F467">
        <v>0</v>
      </c>
    </row>
    <row r="468" spans="1:6">
      <c r="A468" s="15">
        <v>44858</v>
      </c>
      <c r="B468" t="s">
        <v>1154</v>
      </c>
      <c r="C468" t="s">
        <v>515</v>
      </c>
      <c r="D468" t="s">
        <v>632</v>
      </c>
      <c r="E468" t="s">
        <v>993</v>
      </c>
      <c r="F468">
        <v>0</v>
      </c>
    </row>
    <row r="469" spans="1:6">
      <c r="A469" s="15">
        <v>44860</v>
      </c>
      <c r="B469" t="s">
        <v>1157</v>
      </c>
      <c r="C469" t="s">
        <v>30</v>
      </c>
      <c r="D469" t="s">
        <v>632</v>
      </c>
      <c r="E469" t="s">
        <v>450</v>
      </c>
      <c r="F469">
        <v>0</v>
      </c>
    </row>
    <row r="470" spans="1:6">
      <c r="A470" s="15">
        <v>44860</v>
      </c>
      <c r="B470" t="s">
        <v>1154</v>
      </c>
      <c r="C470" t="s">
        <v>30</v>
      </c>
      <c r="D470" t="s">
        <v>632</v>
      </c>
      <c r="E470" t="s">
        <v>993</v>
      </c>
      <c r="F470">
        <v>0</v>
      </c>
    </row>
    <row r="471" spans="1:6">
      <c r="A471" s="15">
        <v>44861</v>
      </c>
      <c r="B471" t="s">
        <v>1141</v>
      </c>
      <c r="C471" t="s">
        <v>30</v>
      </c>
      <c r="D471" t="s">
        <v>632</v>
      </c>
      <c r="E471" t="s">
        <v>993</v>
      </c>
      <c r="F471">
        <v>0</v>
      </c>
    </row>
    <row r="472" spans="1:6">
      <c r="A472" s="15">
        <v>44862</v>
      </c>
      <c r="B472" t="s">
        <v>634</v>
      </c>
      <c r="C472" t="s">
        <v>515</v>
      </c>
      <c r="D472" t="s">
        <v>632</v>
      </c>
      <c r="E472" t="s">
        <v>450</v>
      </c>
      <c r="F472">
        <v>0</v>
      </c>
    </row>
    <row r="473" spans="1:6">
      <c r="A473" s="15">
        <v>44862</v>
      </c>
      <c r="B473" t="s">
        <v>634</v>
      </c>
      <c r="C473" t="s">
        <v>30</v>
      </c>
      <c r="D473" t="s">
        <v>632</v>
      </c>
      <c r="E473" t="s">
        <v>450</v>
      </c>
      <c r="F473">
        <v>0</v>
      </c>
    </row>
    <row r="474" spans="1:6">
      <c r="A474" s="15">
        <v>44862</v>
      </c>
      <c r="B474" t="s">
        <v>1166</v>
      </c>
      <c r="C474" t="s">
        <v>30</v>
      </c>
      <c r="D474" t="s">
        <v>632</v>
      </c>
      <c r="E474" t="s">
        <v>450</v>
      </c>
      <c r="F474">
        <v>0</v>
      </c>
    </row>
    <row r="475" spans="1:6">
      <c r="A475" s="15">
        <v>44865</v>
      </c>
      <c r="B475" t="s">
        <v>1169</v>
      </c>
      <c r="C475" t="s">
        <v>30</v>
      </c>
      <c r="D475" t="s">
        <v>632</v>
      </c>
      <c r="E475" t="s">
        <v>993</v>
      </c>
      <c r="F475">
        <v>0</v>
      </c>
    </row>
    <row r="476" spans="1:6">
      <c r="A476" s="15">
        <v>44869</v>
      </c>
      <c r="B476" t="s">
        <v>1172</v>
      </c>
      <c r="C476" t="s">
        <v>30</v>
      </c>
      <c r="D476" t="s">
        <v>632</v>
      </c>
      <c r="E476" t="s">
        <v>450</v>
      </c>
      <c r="F476">
        <v>0</v>
      </c>
    </row>
    <row r="477" spans="1:6">
      <c r="A477" s="15">
        <v>44872</v>
      </c>
      <c r="B477" t="s">
        <v>366</v>
      </c>
      <c r="C477" t="s">
        <v>30</v>
      </c>
      <c r="D477" t="s">
        <v>632</v>
      </c>
      <c r="E477" t="s">
        <v>450</v>
      </c>
      <c r="F477">
        <v>0</v>
      </c>
    </row>
    <row r="478" spans="1:6">
      <c r="A478" s="15">
        <v>44872</v>
      </c>
      <c r="B478" t="s">
        <v>1178</v>
      </c>
      <c r="C478" t="s">
        <v>515</v>
      </c>
      <c r="D478" t="s">
        <v>632</v>
      </c>
      <c r="E478" t="s">
        <v>450</v>
      </c>
      <c r="F478">
        <v>0</v>
      </c>
    </row>
    <row r="479" spans="1:6">
      <c r="A479" s="15">
        <v>44872</v>
      </c>
      <c r="B479" t="s">
        <v>1178</v>
      </c>
      <c r="C479" t="s">
        <v>30</v>
      </c>
      <c r="D479" t="s">
        <v>632</v>
      </c>
      <c r="E479" t="s">
        <v>450</v>
      </c>
      <c r="F479">
        <v>0</v>
      </c>
    </row>
    <row r="480" spans="1:6">
      <c r="A480" s="15">
        <v>44872</v>
      </c>
      <c r="B480" t="s">
        <v>863</v>
      </c>
      <c r="C480" t="s">
        <v>133</v>
      </c>
      <c r="D480" t="s">
        <v>130</v>
      </c>
      <c r="E480" t="s">
        <v>569</v>
      </c>
      <c r="F480">
        <v>0</v>
      </c>
    </row>
    <row r="481" spans="1:6">
      <c r="A481" s="15">
        <v>44872</v>
      </c>
      <c r="B481" t="s">
        <v>578</v>
      </c>
      <c r="C481" t="s">
        <v>515</v>
      </c>
      <c r="D481" t="s">
        <v>632</v>
      </c>
      <c r="E481" t="s">
        <v>450</v>
      </c>
      <c r="F481">
        <v>0</v>
      </c>
    </row>
    <row r="482" spans="1:6">
      <c r="A482" s="15">
        <v>44872</v>
      </c>
      <c r="B482" t="s">
        <v>578</v>
      </c>
      <c r="C482" t="s">
        <v>30</v>
      </c>
      <c r="D482" t="s">
        <v>632</v>
      </c>
      <c r="E482" t="s">
        <v>450</v>
      </c>
      <c r="F482">
        <v>0</v>
      </c>
    </row>
    <row r="483" spans="1:6">
      <c r="A483" s="15">
        <v>44872</v>
      </c>
      <c r="B483" t="s">
        <v>305</v>
      </c>
      <c r="C483" t="s">
        <v>65</v>
      </c>
      <c r="D483" t="s">
        <v>70</v>
      </c>
      <c r="E483" t="s">
        <v>146</v>
      </c>
      <c r="F483">
        <v>0</v>
      </c>
    </row>
    <row r="484" spans="1:6">
      <c r="A484" s="15">
        <v>44873</v>
      </c>
      <c r="B484" t="s">
        <v>674</v>
      </c>
      <c r="C484" t="s">
        <v>515</v>
      </c>
      <c r="D484" t="s">
        <v>632</v>
      </c>
      <c r="E484" t="s">
        <v>450</v>
      </c>
      <c r="F484">
        <v>0</v>
      </c>
    </row>
    <row r="485" spans="1:6">
      <c r="A485" s="15">
        <v>44873</v>
      </c>
      <c r="B485" t="s">
        <v>1188</v>
      </c>
      <c r="C485" t="s">
        <v>30</v>
      </c>
      <c r="D485" t="s">
        <v>632</v>
      </c>
      <c r="E485" t="s">
        <v>450</v>
      </c>
      <c r="F485">
        <v>0</v>
      </c>
    </row>
    <row r="486" spans="1:6">
      <c r="A486" s="15">
        <v>44874</v>
      </c>
      <c r="B486" t="s">
        <v>1101</v>
      </c>
      <c r="C486" t="s">
        <v>30</v>
      </c>
      <c r="D486" t="s">
        <v>632</v>
      </c>
      <c r="E486" t="s">
        <v>450</v>
      </c>
      <c r="F486">
        <v>9000</v>
      </c>
    </row>
    <row r="487" spans="1:6">
      <c r="A487" s="15">
        <v>44874</v>
      </c>
      <c r="B487" t="s">
        <v>495</v>
      </c>
      <c r="C487" t="s">
        <v>30</v>
      </c>
      <c r="D487" t="s">
        <v>632</v>
      </c>
      <c r="E487" t="s">
        <v>450</v>
      </c>
      <c r="F487">
        <v>0</v>
      </c>
    </row>
    <row r="488" spans="1:6">
      <c r="A488" s="15">
        <v>44875</v>
      </c>
      <c r="B488" t="s">
        <v>1200</v>
      </c>
      <c r="C488" t="s">
        <v>968</v>
      </c>
      <c r="D488" t="s">
        <v>632</v>
      </c>
      <c r="E488" t="s">
        <v>450</v>
      </c>
      <c r="F488">
        <v>0</v>
      </c>
    </row>
    <row r="489" spans="1:6">
      <c r="A489" s="15">
        <v>44875</v>
      </c>
      <c r="B489" t="s">
        <v>1203</v>
      </c>
      <c r="C489" t="s">
        <v>65</v>
      </c>
      <c r="D489" t="s">
        <v>70</v>
      </c>
      <c r="E489" t="s">
        <v>1202</v>
      </c>
      <c r="F489">
        <v>0</v>
      </c>
    </row>
    <row r="490" spans="1:6">
      <c r="A490" s="15">
        <v>44879</v>
      </c>
      <c r="B490" t="s">
        <v>696</v>
      </c>
      <c r="C490" t="s">
        <v>30</v>
      </c>
      <c r="D490" t="s">
        <v>632</v>
      </c>
      <c r="E490" t="s">
        <v>450</v>
      </c>
      <c r="F490">
        <v>0</v>
      </c>
    </row>
    <row r="491" spans="1:6">
      <c r="A491" s="15">
        <v>44879</v>
      </c>
      <c r="B491" t="s">
        <v>1005</v>
      </c>
      <c r="C491" t="s">
        <v>30</v>
      </c>
      <c r="D491" t="s">
        <v>130</v>
      </c>
      <c r="E491" t="s">
        <v>239</v>
      </c>
      <c r="F491">
        <v>0</v>
      </c>
    </row>
    <row r="492" spans="1:6">
      <c r="A492" s="15">
        <v>44880</v>
      </c>
      <c r="B492" t="s">
        <v>1101</v>
      </c>
      <c r="C492" t="s">
        <v>30</v>
      </c>
      <c r="D492" t="s">
        <v>632</v>
      </c>
      <c r="E492" t="s">
        <v>450</v>
      </c>
      <c r="F492">
        <v>0</v>
      </c>
    </row>
    <row r="493" spans="1:6">
      <c r="A493" s="15">
        <v>44880</v>
      </c>
      <c r="B493" t="s">
        <v>863</v>
      </c>
      <c r="C493" t="s">
        <v>941</v>
      </c>
      <c r="D493" t="s">
        <v>70</v>
      </c>
      <c r="E493" t="s">
        <v>940</v>
      </c>
      <c r="F493">
        <v>0</v>
      </c>
    </row>
    <row r="494" spans="1:6">
      <c r="A494" s="15">
        <v>44880</v>
      </c>
      <c r="B494" t="s">
        <v>283</v>
      </c>
      <c r="C494" t="s">
        <v>65</v>
      </c>
      <c r="D494" t="s">
        <v>70</v>
      </c>
      <c r="E494" t="s">
        <v>149</v>
      </c>
      <c r="F494">
        <v>0</v>
      </c>
    </row>
    <row r="495" spans="1:6">
      <c r="A495" s="15">
        <v>44886</v>
      </c>
      <c r="B495" t="s">
        <v>1101</v>
      </c>
      <c r="C495" t="s">
        <v>30</v>
      </c>
      <c r="D495" t="s">
        <v>632</v>
      </c>
      <c r="E495" t="s">
        <v>450</v>
      </c>
      <c r="F495">
        <v>0</v>
      </c>
    </row>
    <row r="496" spans="1:6">
      <c r="A496" s="15">
        <v>44887</v>
      </c>
      <c r="B496" t="s">
        <v>1221</v>
      </c>
      <c r="C496" t="s">
        <v>30</v>
      </c>
      <c r="D496" t="s">
        <v>632</v>
      </c>
      <c r="E496" t="s">
        <v>993</v>
      </c>
      <c r="F496">
        <v>0</v>
      </c>
    </row>
    <row r="497" spans="1:6">
      <c r="A497" s="15">
        <v>44890</v>
      </c>
      <c r="B497" t="s">
        <v>346</v>
      </c>
      <c r="C497" t="s">
        <v>30</v>
      </c>
      <c r="D497" t="s">
        <v>632</v>
      </c>
      <c r="E497" t="s">
        <v>1088</v>
      </c>
      <c r="F497">
        <v>0</v>
      </c>
    </row>
    <row r="498" spans="1:6">
      <c r="A498" s="15">
        <v>44893</v>
      </c>
      <c r="B498" t="s">
        <v>1227</v>
      </c>
      <c r="C498" t="s">
        <v>65</v>
      </c>
      <c r="D498" t="s">
        <v>70</v>
      </c>
      <c r="E498" t="s">
        <v>1226</v>
      </c>
      <c r="F498">
        <v>0</v>
      </c>
    </row>
    <row r="499" spans="1:6">
      <c r="A499" s="15">
        <v>44894</v>
      </c>
      <c r="B499" t="s">
        <v>1230</v>
      </c>
      <c r="C499" t="s">
        <v>515</v>
      </c>
      <c r="D499" t="s">
        <v>632</v>
      </c>
      <c r="E499" t="s">
        <v>1088</v>
      </c>
      <c r="F499">
        <v>900</v>
      </c>
    </row>
    <row r="500" spans="1:6">
      <c r="A500" s="15">
        <v>44894</v>
      </c>
      <c r="B500" t="s">
        <v>1230</v>
      </c>
      <c r="C500" t="s">
        <v>30</v>
      </c>
      <c r="D500" t="s">
        <v>632</v>
      </c>
      <c r="E500" t="s">
        <v>1088</v>
      </c>
      <c r="F500">
        <v>0</v>
      </c>
    </row>
    <row r="501" spans="1:6">
      <c r="A501" s="15">
        <v>44896</v>
      </c>
      <c r="B501" t="s">
        <v>1240</v>
      </c>
      <c r="C501" t="s">
        <v>968</v>
      </c>
      <c r="D501" t="s">
        <v>632</v>
      </c>
      <c r="E501" t="s">
        <v>1088</v>
      </c>
      <c r="F501">
        <v>0</v>
      </c>
    </row>
    <row r="502" spans="1:6">
      <c r="A502" s="15">
        <v>44896</v>
      </c>
      <c r="B502" t="s">
        <v>578</v>
      </c>
      <c r="C502" t="s">
        <v>515</v>
      </c>
      <c r="D502" t="s">
        <v>632</v>
      </c>
      <c r="E502" t="s">
        <v>993</v>
      </c>
      <c r="F502">
        <v>0</v>
      </c>
    </row>
    <row r="503" spans="1:6">
      <c r="A503" s="15">
        <v>44896</v>
      </c>
      <c r="B503" t="s">
        <v>578</v>
      </c>
      <c r="C503" t="s">
        <v>30</v>
      </c>
      <c r="D503" t="s">
        <v>632</v>
      </c>
      <c r="E503" t="s">
        <v>993</v>
      </c>
      <c r="F503">
        <v>0</v>
      </c>
    </row>
    <row r="504" spans="1:6">
      <c r="A504" s="15">
        <v>44896</v>
      </c>
      <c r="B504" t="s">
        <v>1244</v>
      </c>
      <c r="C504" t="s">
        <v>515</v>
      </c>
      <c r="D504" t="s">
        <v>632</v>
      </c>
      <c r="E504" t="s">
        <v>993</v>
      </c>
      <c r="F504">
        <v>0</v>
      </c>
    </row>
    <row r="505" spans="1:6">
      <c r="A505" s="15">
        <v>44896</v>
      </c>
      <c r="B505" t="s">
        <v>1244</v>
      </c>
      <c r="C505" t="s">
        <v>30</v>
      </c>
      <c r="D505" t="s">
        <v>632</v>
      </c>
      <c r="E505" t="s">
        <v>993</v>
      </c>
      <c r="F505">
        <v>0</v>
      </c>
    </row>
    <row r="506" spans="1:6">
      <c r="A506" s="15">
        <v>44900</v>
      </c>
      <c r="B506" t="s">
        <v>1101</v>
      </c>
      <c r="C506" t="s">
        <v>65</v>
      </c>
      <c r="D506" t="s">
        <v>632</v>
      </c>
      <c r="E506" t="s">
        <v>83</v>
      </c>
      <c r="F506">
        <v>0</v>
      </c>
    </row>
    <row r="507" spans="1:6">
      <c r="A507" s="15">
        <v>44900</v>
      </c>
      <c r="B507" t="s">
        <v>1252</v>
      </c>
      <c r="C507" t="s">
        <v>515</v>
      </c>
      <c r="D507" t="s">
        <v>632</v>
      </c>
      <c r="E507" t="s">
        <v>450</v>
      </c>
      <c r="F507">
        <v>0</v>
      </c>
    </row>
    <row r="508" spans="1:6">
      <c r="A508" s="15">
        <v>44900</v>
      </c>
      <c r="B508" t="s">
        <v>1263</v>
      </c>
      <c r="C508" t="s">
        <v>968</v>
      </c>
      <c r="D508" t="s">
        <v>632</v>
      </c>
      <c r="E508" t="s">
        <v>450</v>
      </c>
      <c r="F508">
        <v>0</v>
      </c>
    </row>
    <row r="509" spans="1:6">
      <c r="A509" s="15">
        <v>44900</v>
      </c>
      <c r="B509" t="s">
        <v>650</v>
      </c>
      <c r="C509" t="s">
        <v>515</v>
      </c>
      <c r="D509" t="s">
        <v>632</v>
      </c>
      <c r="E509" t="s">
        <v>993</v>
      </c>
      <c r="F509">
        <v>0</v>
      </c>
    </row>
    <row r="510" spans="1:6">
      <c r="A510" s="15">
        <v>44900</v>
      </c>
      <c r="B510" t="s">
        <v>650</v>
      </c>
      <c r="C510" t="s">
        <v>515</v>
      </c>
      <c r="D510" t="s">
        <v>130</v>
      </c>
      <c r="E510" t="s">
        <v>239</v>
      </c>
      <c r="F510">
        <v>0</v>
      </c>
    </row>
    <row r="511" spans="1:6">
      <c r="A511" s="15">
        <v>44900</v>
      </c>
      <c r="B511" t="s">
        <v>1259</v>
      </c>
      <c r="C511" t="s">
        <v>30</v>
      </c>
      <c r="D511" t="s">
        <v>632</v>
      </c>
      <c r="E511" t="s">
        <v>1088</v>
      </c>
      <c r="F511">
        <v>0</v>
      </c>
    </row>
    <row r="512" spans="1:6">
      <c r="A512" s="15">
        <v>44900</v>
      </c>
      <c r="B512" t="s">
        <v>1266</v>
      </c>
      <c r="C512" t="s">
        <v>30</v>
      </c>
      <c r="D512" t="s">
        <v>632</v>
      </c>
      <c r="E512" t="s">
        <v>993</v>
      </c>
      <c r="F512">
        <v>0</v>
      </c>
    </row>
    <row r="513" spans="1:6">
      <c r="A513" s="15">
        <v>44901</v>
      </c>
      <c r="B513" t="s">
        <v>650</v>
      </c>
      <c r="C513" t="s">
        <v>515</v>
      </c>
      <c r="D513" t="s">
        <v>130</v>
      </c>
      <c r="E513" t="s">
        <v>239</v>
      </c>
      <c r="F513">
        <v>0</v>
      </c>
    </row>
    <row r="514" spans="1:6">
      <c r="A514" s="15">
        <v>44901</v>
      </c>
      <c r="B514" t="s">
        <v>651</v>
      </c>
      <c r="C514" t="s">
        <v>30</v>
      </c>
      <c r="D514" t="s">
        <v>632</v>
      </c>
      <c r="E514" t="s">
        <v>993</v>
      </c>
      <c r="F514">
        <v>4000</v>
      </c>
    </row>
    <row r="515" spans="1:6">
      <c r="A515" s="15">
        <v>44901</v>
      </c>
      <c r="B515" t="s">
        <v>1274</v>
      </c>
      <c r="C515" t="s">
        <v>515</v>
      </c>
      <c r="D515" t="s">
        <v>632</v>
      </c>
      <c r="E515" t="s">
        <v>993</v>
      </c>
      <c r="F515">
        <v>0</v>
      </c>
    </row>
    <row r="516" spans="1:6">
      <c r="A516" s="15">
        <v>44901</v>
      </c>
      <c r="B516" t="s">
        <v>1274</v>
      </c>
      <c r="C516" t="s">
        <v>30</v>
      </c>
      <c r="D516" t="s">
        <v>632</v>
      </c>
      <c r="E516" t="s">
        <v>993</v>
      </c>
      <c r="F516">
        <v>0</v>
      </c>
    </row>
    <row r="517" spans="1:6">
      <c r="A517" s="15">
        <v>44902</v>
      </c>
      <c r="B517" t="s">
        <v>209</v>
      </c>
      <c r="C517" t="s">
        <v>133</v>
      </c>
      <c r="D517" t="s">
        <v>632</v>
      </c>
      <c r="E517" t="s">
        <v>450</v>
      </c>
      <c r="F517">
        <v>50000</v>
      </c>
    </row>
    <row r="518" spans="1:6">
      <c r="A518" s="15">
        <v>44904</v>
      </c>
      <c r="B518" t="s">
        <v>1252</v>
      </c>
      <c r="C518" t="s">
        <v>836</v>
      </c>
      <c r="D518" t="s">
        <v>632</v>
      </c>
      <c r="E518" t="s">
        <v>450</v>
      </c>
      <c r="F518">
        <v>0</v>
      </c>
    </row>
    <row r="519" spans="1:6">
      <c r="A519" s="15">
        <v>44904</v>
      </c>
      <c r="B519" t="s">
        <v>362</v>
      </c>
      <c r="C519" t="s">
        <v>515</v>
      </c>
      <c r="D519" t="s">
        <v>632</v>
      </c>
      <c r="E519" t="s">
        <v>993</v>
      </c>
      <c r="F519">
        <v>0</v>
      </c>
    </row>
    <row r="520" spans="1:6">
      <c r="A520" s="15">
        <v>44904</v>
      </c>
      <c r="B520" t="s">
        <v>362</v>
      </c>
      <c r="C520" t="s">
        <v>30</v>
      </c>
      <c r="D520" t="s">
        <v>632</v>
      </c>
      <c r="E520" t="s">
        <v>993</v>
      </c>
      <c r="F520">
        <v>0</v>
      </c>
    </row>
    <row r="521" spans="1:6">
      <c r="A521" s="15">
        <v>44907</v>
      </c>
      <c r="B521" t="s">
        <v>362</v>
      </c>
      <c r="C521" t="s">
        <v>515</v>
      </c>
      <c r="D521" t="s">
        <v>632</v>
      </c>
      <c r="E521" t="s">
        <v>993</v>
      </c>
      <c r="F521">
        <v>0</v>
      </c>
    </row>
    <row r="522" spans="1:6">
      <c r="A522" s="15">
        <v>44907</v>
      </c>
      <c r="B522" t="s">
        <v>362</v>
      </c>
      <c r="C522" t="s">
        <v>30</v>
      </c>
      <c r="D522" t="s">
        <v>632</v>
      </c>
      <c r="E522" t="s">
        <v>993</v>
      </c>
      <c r="F522">
        <v>0</v>
      </c>
    </row>
    <row r="523" spans="1:6">
      <c r="A523" s="15">
        <v>44915</v>
      </c>
      <c r="B523" t="s">
        <v>1288</v>
      </c>
      <c r="C523" t="s">
        <v>515</v>
      </c>
      <c r="D523" t="s">
        <v>632</v>
      </c>
      <c r="E523" t="s">
        <v>450</v>
      </c>
      <c r="F523">
        <v>0</v>
      </c>
    </row>
    <row r="524" spans="1:6">
      <c r="A524" s="15">
        <v>44916</v>
      </c>
      <c r="B524" t="s">
        <v>1290</v>
      </c>
      <c r="C524" t="s">
        <v>515</v>
      </c>
      <c r="D524" t="s">
        <v>632</v>
      </c>
      <c r="E524" t="s">
        <v>450</v>
      </c>
      <c r="F524">
        <v>0</v>
      </c>
    </row>
    <row r="525" spans="1:6">
      <c r="A525" s="15">
        <v>44916</v>
      </c>
      <c r="B525" t="s">
        <v>1290</v>
      </c>
      <c r="C525" t="s">
        <v>30</v>
      </c>
      <c r="D525" t="s">
        <v>632</v>
      </c>
      <c r="E525" t="s">
        <v>450</v>
      </c>
      <c r="F525">
        <v>0</v>
      </c>
    </row>
    <row r="526" spans="1:6">
      <c r="A526" s="15">
        <v>44918</v>
      </c>
      <c r="B526" t="s">
        <v>495</v>
      </c>
      <c r="C526" t="s">
        <v>30</v>
      </c>
      <c r="D526" t="s">
        <v>632</v>
      </c>
      <c r="E526" t="s">
        <v>450</v>
      </c>
      <c r="F526">
        <v>0</v>
      </c>
    </row>
    <row r="527" spans="1:6">
      <c r="A527" s="15">
        <v>44922</v>
      </c>
      <c r="B527" t="s">
        <v>1252</v>
      </c>
      <c r="C527" t="s">
        <v>65</v>
      </c>
      <c r="D527" t="s">
        <v>70</v>
      </c>
      <c r="E527" t="s">
        <v>1202</v>
      </c>
      <c r="F527">
        <v>50000</v>
      </c>
    </row>
    <row r="528" spans="1:6">
      <c r="A528" s="15">
        <v>44925</v>
      </c>
      <c r="B528" t="s">
        <v>867</v>
      </c>
      <c r="C528" t="s">
        <v>65</v>
      </c>
      <c r="D528" t="s">
        <v>70</v>
      </c>
      <c r="E528" t="s">
        <v>460</v>
      </c>
      <c r="F528">
        <v>0</v>
      </c>
    </row>
    <row r="529" spans="1:6">
      <c r="A529" s="15">
        <v>44935</v>
      </c>
      <c r="B529" t="s">
        <v>996</v>
      </c>
      <c r="C529" t="s">
        <v>30</v>
      </c>
      <c r="D529" t="s">
        <v>632</v>
      </c>
      <c r="E529" t="s">
        <v>993</v>
      </c>
      <c r="F529">
        <v>0</v>
      </c>
    </row>
    <row r="530" spans="1:6">
      <c r="A530" s="15">
        <v>44935</v>
      </c>
      <c r="B530" t="s">
        <v>1306</v>
      </c>
      <c r="C530" t="s">
        <v>515</v>
      </c>
      <c r="D530" t="s">
        <v>632</v>
      </c>
      <c r="E530" t="s">
        <v>993</v>
      </c>
      <c r="F530">
        <v>0</v>
      </c>
    </row>
    <row r="531" spans="1:6">
      <c r="A531" s="15">
        <v>44935</v>
      </c>
      <c r="B531" t="s">
        <v>1306</v>
      </c>
      <c r="C531" t="s">
        <v>30</v>
      </c>
      <c r="D531" t="s">
        <v>632</v>
      </c>
      <c r="E531" t="s">
        <v>993</v>
      </c>
      <c r="F531">
        <v>0</v>
      </c>
    </row>
    <row r="532" spans="1:6">
      <c r="A532" s="15">
        <v>44935</v>
      </c>
      <c r="B532" t="s">
        <v>1302</v>
      </c>
      <c r="C532" t="s">
        <v>30</v>
      </c>
      <c r="D532" t="s">
        <v>632</v>
      </c>
      <c r="E532" t="s">
        <v>993</v>
      </c>
      <c r="F532">
        <v>0</v>
      </c>
    </row>
    <row r="533" spans="1:6">
      <c r="A533" s="15">
        <v>44936</v>
      </c>
      <c r="B533" t="s">
        <v>863</v>
      </c>
      <c r="C533" t="s">
        <v>133</v>
      </c>
      <c r="D533" t="s">
        <v>130</v>
      </c>
      <c r="E533" t="s">
        <v>569</v>
      </c>
      <c r="F533">
        <v>0</v>
      </c>
    </row>
    <row r="534" spans="1:6">
      <c r="A534" s="15">
        <v>44937</v>
      </c>
      <c r="B534" t="s">
        <v>1313</v>
      </c>
      <c r="C534" t="s">
        <v>65</v>
      </c>
      <c r="D534" t="s">
        <v>70</v>
      </c>
      <c r="E534" t="s">
        <v>1312</v>
      </c>
      <c r="F534">
        <v>0</v>
      </c>
    </row>
    <row r="535" spans="1:6">
      <c r="A535" s="15">
        <v>44939</v>
      </c>
      <c r="B535" t="s">
        <v>1315</v>
      </c>
      <c r="C535" t="s">
        <v>30</v>
      </c>
      <c r="D535" t="s">
        <v>632</v>
      </c>
      <c r="E535" t="s">
        <v>450</v>
      </c>
      <c r="F535">
        <v>0</v>
      </c>
    </row>
    <row r="536" spans="1:6">
      <c r="A536" s="15">
        <v>44943</v>
      </c>
      <c r="B536" t="s">
        <v>1318</v>
      </c>
      <c r="C536" t="s">
        <v>30</v>
      </c>
      <c r="D536" t="s">
        <v>632</v>
      </c>
      <c r="E536" t="s">
        <v>993</v>
      </c>
      <c r="F536">
        <v>0</v>
      </c>
    </row>
    <row r="537" spans="1:6">
      <c r="A537" s="15">
        <v>44944</v>
      </c>
      <c r="B537" t="s">
        <v>132</v>
      </c>
      <c r="C537" t="s">
        <v>133</v>
      </c>
      <c r="D537" t="s">
        <v>130</v>
      </c>
      <c r="E537" t="s">
        <v>208</v>
      </c>
      <c r="F537">
        <v>0</v>
      </c>
    </row>
    <row r="538" spans="1:6">
      <c r="A538" s="15">
        <v>44945</v>
      </c>
      <c r="B538" t="s">
        <v>863</v>
      </c>
      <c r="C538" t="s">
        <v>515</v>
      </c>
      <c r="D538" t="s">
        <v>632</v>
      </c>
      <c r="E538" t="s">
        <v>993</v>
      </c>
      <c r="F538">
        <v>500</v>
      </c>
    </row>
    <row r="539" spans="1:6">
      <c r="A539" s="15">
        <v>44953</v>
      </c>
      <c r="B539" t="s">
        <v>406</v>
      </c>
      <c r="C539" t="s">
        <v>515</v>
      </c>
      <c r="D539" t="s">
        <v>632</v>
      </c>
      <c r="E539" t="s">
        <v>450</v>
      </c>
      <c r="F539">
        <v>0</v>
      </c>
    </row>
    <row r="540" spans="1:6">
      <c r="A540" s="15">
        <v>44954</v>
      </c>
      <c r="B540" t="s">
        <v>708</v>
      </c>
      <c r="C540" t="s">
        <v>515</v>
      </c>
      <c r="D540" t="s">
        <v>632</v>
      </c>
      <c r="E540" t="s">
        <v>450</v>
      </c>
      <c r="F540">
        <v>0</v>
      </c>
    </row>
    <row r="541" spans="1:6">
      <c r="A541" s="15">
        <v>44954</v>
      </c>
      <c r="B541" t="s">
        <v>1328</v>
      </c>
      <c r="C541" t="s">
        <v>65</v>
      </c>
      <c r="D541" t="s">
        <v>70</v>
      </c>
      <c r="E541" t="s">
        <v>119</v>
      </c>
      <c r="F541">
        <v>0</v>
      </c>
    </row>
    <row r="542" spans="1:6">
      <c r="A542" s="15">
        <v>44955</v>
      </c>
      <c r="B542" t="s">
        <v>863</v>
      </c>
      <c r="C542" t="s">
        <v>30</v>
      </c>
      <c r="D542" t="s">
        <v>632</v>
      </c>
      <c r="E542" t="s">
        <v>450</v>
      </c>
      <c r="F542">
        <v>0</v>
      </c>
    </row>
    <row r="543" spans="1:6">
      <c r="A543" s="15">
        <v>44956</v>
      </c>
      <c r="B543" t="s">
        <v>179</v>
      </c>
      <c r="C543" t="s">
        <v>65</v>
      </c>
      <c r="D543" t="s">
        <v>70</v>
      </c>
      <c r="E543" t="s">
        <v>1333</v>
      </c>
      <c r="F543">
        <v>0</v>
      </c>
    </row>
    <row r="544" spans="1:6">
      <c r="A544" s="15">
        <v>44958</v>
      </c>
      <c r="B544" t="s">
        <v>1336</v>
      </c>
      <c r="C544" t="s">
        <v>515</v>
      </c>
      <c r="D544" t="s">
        <v>632</v>
      </c>
      <c r="E544" t="s">
        <v>450</v>
      </c>
      <c r="F544">
        <v>0</v>
      </c>
    </row>
    <row r="545" spans="1:6">
      <c r="A545" s="15">
        <v>44959</v>
      </c>
      <c r="B545" t="s">
        <v>495</v>
      </c>
      <c r="C545" t="s">
        <v>30</v>
      </c>
      <c r="D545" t="s">
        <v>632</v>
      </c>
      <c r="E545" t="s">
        <v>450</v>
      </c>
      <c r="F545">
        <v>0</v>
      </c>
    </row>
    <row r="546" spans="1:6">
      <c r="A546" s="15">
        <v>44960</v>
      </c>
      <c r="B546" t="s">
        <v>967</v>
      </c>
      <c r="C546" t="s">
        <v>968</v>
      </c>
      <c r="D546" t="s">
        <v>632</v>
      </c>
      <c r="E546" t="s">
        <v>450</v>
      </c>
      <c r="F546">
        <v>0</v>
      </c>
    </row>
    <row r="547" spans="1:6">
      <c r="A547" s="15">
        <v>44963</v>
      </c>
      <c r="B547" t="s">
        <v>1318</v>
      </c>
      <c r="C547" t="s">
        <v>30</v>
      </c>
      <c r="D547" t="s">
        <v>632</v>
      </c>
      <c r="E547" t="s">
        <v>993</v>
      </c>
      <c r="F547">
        <v>0</v>
      </c>
    </row>
    <row r="548" spans="1:6">
      <c r="A548" s="15">
        <v>44963</v>
      </c>
      <c r="B548" t="s">
        <v>1343</v>
      </c>
      <c r="C548" t="s">
        <v>65</v>
      </c>
      <c r="D548" t="s">
        <v>70</v>
      </c>
      <c r="E548" t="s">
        <v>1342</v>
      </c>
      <c r="F548">
        <v>0</v>
      </c>
    </row>
    <row r="549" spans="1:6">
      <c r="A549" s="15">
        <v>44964</v>
      </c>
      <c r="B549" t="s">
        <v>1351</v>
      </c>
      <c r="C549" t="s">
        <v>968</v>
      </c>
      <c r="D549" t="s">
        <v>632</v>
      </c>
      <c r="E549" t="s">
        <v>450</v>
      </c>
      <c r="F549">
        <v>0</v>
      </c>
    </row>
    <row r="550" spans="1:6">
      <c r="A550" s="15">
        <v>44964</v>
      </c>
      <c r="B550" t="s">
        <v>679</v>
      </c>
      <c r="C550" t="s">
        <v>515</v>
      </c>
      <c r="D550" t="s">
        <v>632</v>
      </c>
      <c r="E550" t="s">
        <v>450</v>
      </c>
      <c r="F550">
        <v>500</v>
      </c>
    </row>
    <row r="551" spans="1:6">
      <c r="A551" s="15">
        <v>44964</v>
      </c>
      <c r="B551" t="s">
        <v>679</v>
      </c>
      <c r="C551" t="s">
        <v>30</v>
      </c>
      <c r="D551" t="s">
        <v>632</v>
      </c>
      <c r="E551" t="s">
        <v>450</v>
      </c>
      <c r="F551">
        <v>0</v>
      </c>
    </row>
    <row r="552" spans="1:6">
      <c r="A552" s="15">
        <v>44967</v>
      </c>
      <c r="B552" t="s">
        <v>1355</v>
      </c>
      <c r="C552" t="s">
        <v>30</v>
      </c>
      <c r="D552" t="s">
        <v>632</v>
      </c>
      <c r="E552" t="s">
        <v>450</v>
      </c>
      <c r="F552">
        <v>0</v>
      </c>
    </row>
    <row r="553" spans="1:6">
      <c r="A553" s="15">
        <v>44973</v>
      </c>
      <c r="B553" t="s">
        <v>578</v>
      </c>
      <c r="C553" t="s">
        <v>515</v>
      </c>
      <c r="D553" t="s">
        <v>632</v>
      </c>
      <c r="E553" t="s">
        <v>450</v>
      </c>
      <c r="F553">
        <v>0</v>
      </c>
    </row>
    <row r="554" spans="1:6">
      <c r="A554" s="15">
        <v>44973</v>
      </c>
      <c r="B554" t="s">
        <v>578</v>
      </c>
      <c r="C554" t="s">
        <v>30</v>
      </c>
      <c r="D554" t="s">
        <v>632</v>
      </c>
      <c r="E554" t="s">
        <v>450</v>
      </c>
      <c r="F554">
        <v>0</v>
      </c>
    </row>
    <row r="555" spans="1:6">
      <c r="A555" s="15">
        <v>44974</v>
      </c>
      <c r="B555" t="s">
        <v>341</v>
      </c>
      <c r="C555" t="s">
        <v>65</v>
      </c>
      <c r="D555" t="s">
        <v>70</v>
      </c>
      <c r="E555" t="s">
        <v>246</v>
      </c>
      <c r="F555">
        <v>0</v>
      </c>
    </row>
    <row r="556" spans="1:6">
      <c r="A556" s="15">
        <v>44978</v>
      </c>
      <c r="B556" t="s">
        <v>1368</v>
      </c>
      <c r="C556" t="s">
        <v>968</v>
      </c>
      <c r="D556" t="s">
        <v>632</v>
      </c>
      <c r="E556" t="s">
        <v>450</v>
      </c>
      <c r="F556">
        <v>0</v>
      </c>
    </row>
    <row r="557" spans="1:6">
      <c r="A557" s="15">
        <v>44978</v>
      </c>
      <c r="B557" t="s">
        <v>1362</v>
      </c>
      <c r="C557" t="s">
        <v>515</v>
      </c>
      <c r="D557" t="s">
        <v>632</v>
      </c>
      <c r="E557" t="s">
        <v>450</v>
      </c>
      <c r="F557">
        <v>0</v>
      </c>
    </row>
    <row r="558" spans="1:6">
      <c r="A558" s="15">
        <v>44978</v>
      </c>
      <c r="B558" t="s">
        <v>1363</v>
      </c>
      <c r="C558" t="s">
        <v>30</v>
      </c>
      <c r="D558" t="s">
        <v>632</v>
      </c>
      <c r="E558" t="s">
        <v>450</v>
      </c>
      <c r="F558">
        <v>0</v>
      </c>
    </row>
    <row r="559" spans="1:6">
      <c r="A559" s="15">
        <v>44978</v>
      </c>
      <c r="B559" t="s">
        <v>495</v>
      </c>
      <c r="C559" t="s">
        <v>30</v>
      </c>
      <c r="D559" t="s">
        <v>632</v>
      </c>
      <c r="E559" t="s">
        <v>450</v>
      </c>
      <c r="F559">
        <v>0</v>
      </c>
    </row>
    <row r="560" spans="1:6">
      <c r="A560" s="15">
        <v>44979</v>
      </c>
      <c r="B560" t="s">
        <v>1382</v>
      </c>
      <c r="C560" t="s">
        <v>133</v>
      </c>
      <c r="D560" t="s">
        <v>130</v>
      </c>
      <c r="E560" t="s">
        <v>456</v>
      </c>
      <c r="F560">
        <v>15800</v>
      </c>
    </row>
    <row r="561" spans="1:6">
      <c r="A561" s="15">
        <v>44979</v>
      </c>
      <c r="B561" t="s">
        <v>1385</v>
      </c>
      <c r="C561" t="s">
        <v>968</v>
      </c>
      <c r="D561" t="s">
        <v>632</v>
      </c>
      <c r="E561" t="s">
        <v>450</v>
      </c>
      <c r="F561">
        <v>0</v>
      </c>
    </row>
    <row r="562" spans="1:6">
      <c r="A562" s="15">
        <v>44979</v>
      </c>
      <c r="B562" t="s">
        <v>863</v>
      </c>
      <c r="C562" t="s">
        <v>133</v>
      </c>
      <c r="D562" t="s">
        <v>130</v>
      </c>
      <c r="E562" t="s">
        <v>1372</v>
      </c>
      <c r="F562">
        <v>0</v>
      </c>
    </row>
    <row r="563" spans="1:6">
      <c r="A563" s="15">
        <v>44980</v>
      </c>
      <c r="B563" t="s">
        <v>1391</v>
      </c>
      <c r="C563" t="s">
        <v>968</v>
      </c>
      <c r="D563" t="s">
        <v>632</v>
      </c>
      <c r="E563" t="s">
        <v>450</v>
      </c>
      <c r="F563">
        <v>3400</v>
      </c>
    </row>
    <row r="564" spans="1:6">
      <c r="A564" s="15">
        <v>44980</v>
      </c>
      <c r="B564" t="s">
        <v>1388</v>
      </c>
      <c r="C564" t="s">
        <v>968</v>
      </c>
      <c r="D564" t="s">
        <v>632</v>
      </c>
      <c r="E564" t="s">
        <v>450</v>
      </c>
      <c r="F564">
        <v>0</v>
      </c>
    </row>
    <row r="565" spans="1:6">
      <c r="A565" s="15">
        <v>44984</v>
      </c>
      <c r="B565" t="s">
        <v>1336</v>
      </c>
      <c r="C565" t="s">
        <v>30</v>
      </c>
      <c r="D565" t="s">
        <v>632</v>
      </c>
      <c r="E565" t="s">
        <v>450</v>
      </c>
      <c r="F565">
        <v>0</v>
      </c>
    </row>
    <row r="566" spans="1:6">
      <c r="A566" s="15">
        <v>44985</v>
      </c>
      <c r="B566" t="s">
        <v>1302</v>
      </c>
      <c r="C566" t="s">
        <v>30</v>
      </c>
      <c r="D566" t="s">
        <v>632</v>
      </c>
      <c r="E566" t="s">
        <v>450</v>
      </c>
      <c r="F566">
        <v>0</v>
      </c>
    </row>
    <row r="567" spans="1:6">
      <c r="A567" s="15">
        <v>44987</v>
      </c>
      <c r="B567" t="s">
        <v>967</v>
      </c>
      <c r="C567" t="s">
        <v>968</v>
      </c>
      <c r="D567" t="s">
        <v>632</v>
      </c>
      <c r="E567" t="s">
        <v>450</v>
      </c>
      <c r="F567">
        <v>1000</v>
      </c>
    </row>
    <row r="568" spans="1:6">
      <c r="A568" s="15">
        <v>44987</v>
      </c>
      <c r="B568" t="s">
        <v>842</v>
      </c>
      <c r="C568" t="s">
        <v>968</v>
      </c>
      <c r="D568" t="s">
        <v>632</v>
      </c>
      <c r="E568" t="s">
        <v>450</v>
      </c>
      <c r="F568">
        <v>0</v>
      </c>
    </row>
    <row r="569" spans="1:6">
      <c r="A569" s="15">
        <v>44988</v>
      </c>
      <c r="B569" t="s">
        <v>286</v>
      </c>
      <c r="C569" t="s">
        <v>65</v>
      </c>
      <c r="D569" t="s">
        <v>70</v>
      </c>
      <c r="E569" t="s">
        <v>1405</v>
      </c>
      <c r="F569">
        <v>0</v>
      </c>
    </row>
    <row r="570" spans="1:6">
      <c r="A570" s="15">
        <v>44989</v>
      </c>
      <c r="B570" t="s">
        <v>1408</v>
      </c>
      <c r="C570" t="s">
        <v>65</v>
      </c>
      <c r="D570" t="s">
        <v>70</v>
      </c>
      <c r="E570" t="s">
        <v>1407</v>
      </c>
      <c r="F570">
        <v>0</v>
      </c>
    </row>
    <row r="571" spans="1:6">
      <c r="A571" s="15">
        <v>44991</v>
      </c>
      <c r="B571" t="s">
        <v>1419</v>
      </c>
      <c r="C571" t="s">
        <v>30</v>
      </c>
      <c r="D571" t="s">
        <v>632</v>
      </c>
      <c r="E571" t="s">
        <v>450</v>
      </c>
      <c r="F571">
        <v>0</v>
      </c>
    </row>
    <row r="572" spans="1:6">
      <c r="A572" s="15">
        <v>44991</v>
      </c>
      <c r="B572" t="s">
        <v>1422</v>
      </c>
      <c r="C572" t="s">
        <v>515</v>
      </c>
      <c r="D572" t="s">
        <v>632</v>
      </c>
      <c r="E572" t="s">
        <v>450</v>
      </c>
      <c r="F572">
        <v>0</v>
      </c>
    </row>
    <row r="573" spans="1:6">
      <c r="A573" s="15">
        <v>44991</v>
      </c>
      <c r="B573" t="s">
        <v>1422</v>
      </c>
      <c r="C573" t="s">
        <v>30</v>
      </c>
      <c r="D573" t="s">
        <v>632</v>
      </c>
      <c r="E573" t="s">
        <v>450</v>
      </c>
      <c r="F573">
        <v>0</v>
      </c>
    </row>
    <row r="574" spans="1:6">
      <c r="A574" s="15">
        <v>44991</v>
      </c>
      <c r="B574" t="s">
        <v>1413</v>
      </c>
      <c r="C574" t="s">
        <v>515</v>
      </c>
      <c r="D574" t="s">
        <v>632</v>
      </c>
      <c r="E574" t="s">
        <v>993</v>
      </c>
      <c r="F574">
        <v>1000</v>
      </c>
    </row>
    <row r="575" spans="1:6">
      <c r="A575" s="15">
        <v>44992</v>
      </c>
      <c r="B575" t="s">
        <v>1426</v>
      </c>
      <c r="C575" t="s">
        <v>515</v>
      </c>
      <c r="D575" t="s">
        <v>632</v>
      </c>
      <c r="E575" t="s">
        <v>450</v>
      </c>
      <c r="F575">
        <v>0</v>
      </c>
    </row>
    <row r="576" spans="1:6">
      <c r="A576" s="15">
        <v>44992</v>
      </c>
      <c r="B576" t="s">
        <v>1426</v>
      </c>
      <c r="C576" t="s">
        <v>30</v>
      </c>
      <c r="D576" t="s">
        <v>632</v>
      </c>
      <c r="E576" t="s">
        <v>450</v>
      </c>
      <c r="F576">
        <v>0</v>
      </c>
    </row>
    <row r="577" spans="1:6">
      <c r="A577" s="15">
        <v>44992</v>
      </c>
      <c r="B577" t="s">
        <v>1430</v>
      </c>
      <c r="C577" t="s">
        <v>30</v>
      </c>
      <c r="D577" t="s">
        <v>632</v>
      </c>
      <c r="E577" t="s">
        <v>450</v>
      </c>
      <c r="F577">
        <v>0</v>
      </c>
    </row>
    <row r="578" spans="1:6">
      <c r="A578" s="15">
        <v>44994</v>
      </c>
      <c r="B578" t="s">
        <v>1436</v>
      </c>
      <c r="C578" t="s">
        <v>968</v>
      </c>
      <c r="D578" t="s">
        <v>632</v>
      </c>
      <c r="E578" t="s">
        <v>450</v>
      </c>
      <c r="F578">
        <v>0</v>
      </c>
    </row>
    <row r="579" spans="1:6">
      <c r="A579" s="15">
        <v>44994</v>
      </c>
      <c r="B579" t="s">
        <v>863</v>
      </c>
      <c r="C579" t="s">
        <v>515</v>
      </c>
      <c r="D579" t="s">
        <v>632</v>
      </c>
      <c r="E579" t="s">
        <v>450</v>
      </c>
      <c r="F579">
        <v>500</v>
      </c>
    </row>
    <row r="580" spans="1:6">
      <c r="A580" s="15">
        <v>44996</v>
      </c>
      <c r="B580" t="s">
        <v>867</v>
      </c>
      <c r="C580" t="s">
        <v>30</v>
      </c>
      <c r="D580" t="s">
        <v>632</v>
      </c>
      <c r="E580" t="s">
        <v>450</v>
      </c>
      <c r="F580">
        <v>0</v>
      </c>
    </row>
    <row r="581" spans="1:6">
      <c r="A581" s="15">
        <v>44998</v>
      </c>
      <c r="B581" t="s">
        <v>1413</v>
      </c>
      <c r="C581" t="s">
        <v>30</v>
      </c>
      <c r="D581" t="s">
        <v>632</v>
      </c>
      <c r="E581" t="s">
        <v>450</v>
      </c>
      <c r="F581">
        <v>0</v>
      </c>
    </row>
    <row r="582" spans="1:6">
      <c r="A582" s="15">
        <v>44999</v>
      </c>
      <c r="B582" t="s">
        <v>1444</v>
      </c>
      <c r="C582" t="s">
        <v>30</v>
      </c>
      <c r="D582" t="s">
        <v>632</v>
      </c>
      <c r="E582" t="s">
        <v>450</v>
      </c>
      <c r="F582">
        <v>0</v>
      </c>
    </row>
    <row r="583" spans="1:6">
      <c r="A583" s="15">
        <v>44999</v>
      </c>
      <c r="B583" t="s">
        <v>863</v>
      </c>
      <c r="C583" t="s">
        <v>30</v>
      </c>
      <c r="D583" t="s">
        <v>632</v>
      </c>
      <c r="E583" t="s">
        <v>450</v>
      </c>
      <c r="F583">
        <v>0</v>
      </c>
    </row>
    <row r="584" spans="1:6">
      <c r="A584" s="15">
        <v>45002</v>
      </c>
      <c r="B584" t="s">
        <v>996</v>
      </c>
      <c r="C584" t="s">
        <v>133</v>
      </c>
      <c r="D584" t="s">
        <v>632</v>
      </c>
      <c r="E584" t="s">
        <v>239</v>
      </c>
      <c r="F584">
        <v>0</v>
      </c>
    </row>
    <row r="585" spans="1:6">
      <c r="A585" s="15">
        <v>45006</v>
      </c>
      <c r="B585" t="s">
        <v>495</v>
      </c>
      <c r="C585" t="s">
        <v>30</v>
      </c>
      <c r="D585" t="s">
        <v>632</v>
      </c>
      <c r="E585" t="s">
        <v>450</v>
      </c>
      <c r="F585">
        <v>0</v>
      </c>
    </row>
    <row r="586" spans="1:6">
      <c r="A586" s="15">
        <v>45009</v>
      </c>
      <c r="B586" t="s">
        <v>1450</v>
      </c>
      <c r="C586" t="s">
        <v>515</v>
      </c>
      <c r="D586" t="s">
        <v>632</v>
      </c>
      <c r="E586" t="s">
        <v>450</v>
      </c>
      <c r="F586">
        <v>0</v>
      </c>
    </row>
    <row r="587" spans="1:6">
      <c r="A587" s="15">
        <v>45009</v>
      </c>
      <c r="B587" t="s">
        <v>1450</v>
      </c>
      <c r="C587" t="s">
        <v>30</v>
      </c>
      <c r="D587" t="s">
        <v>632</v>
      </c>
      <c r="E587" t="s">
        <v>450</v>
      </c>
      <c r="F587">
        <v>0</v>
      </c>
    </row>
    <row r="588" spans="1:6">
      <c r="A588" s="15">
        <v>45012</v>
      </c>
      <c r="B588" t="s">
        <v>863</v>
      </c>
      <c r="C588" t="s">
        <v>133</v>
      </c>
      <c r="D588" t="s">
        <v>130</v>
      </c>
      <c r="E588" t="s">
        <v>1372</v>
      </c>
      <c r="F588">
        <v>0</v>
      </c>
    </row>
    <row r="589" spans="1:6">
      <c r="A589" s="15">
        <v>45012</v>
      </c>
      <c r="B589" t="s">
        <v>851</v>
      </c>
      <c r="C589" t="s">
        <v>30</v>
      </c>
      <c r="D589" t="s">
        <v>632</v>
      </c>
      <c r="E589" t="s">
        <v>450</v>
      </c>
      <c r="F589">
        <v>0</v>
      </c>
    </row>
    <row r="590" spans="1:6">
      <c r="A590" s="15">
        <v>45013</v>
      </c>
      <c r="B590" t="s">
        <v>1460</v>
      </c>
      <c r="C590" t="s">
        <v>30</v>
      </c>
      <c r="D590" t="s">
        <v>130</v>
      </c>
      <c r="E590" t="s">
        <v>450</v>
      </c>
      <c r="F590">
        <v>0</v>
      </c>
    </row>
    <row r="591" spans="1:6">
      <c r="A591" s="15">
        <v>45014</v>
      </c>
      <c r="B591" t="s">
        <v>867</v>
      </c>
      <c r="C591" t="s">
        <v>30</v>
      </c>
      <c r="D591" t="s">
        <v>632</v>
      </c>
      <c r="E591" t="s">
        <v>450</v>
      </c>
      <c r="F591">
        <v>0</v>
      </c>
    </row>
    <row r="592" spans="1:6">
      <c r="A592" s="15">
        <v>45016</v>
      </c>
      <c r="B592" t="s">
        <v>1430</v>
      </c>
      <c r="C592" t="s">
        <v>133</v>
      </c>
      <c r="D592" t="s">
        <v>130</v>
      </c>
      <c r="E592" t="s">
        <v>1465</v>
      </c>
      <c r="F592">
        <v>20</v>
      </c>
    </row>
    <row r="593" spans="1:6">
      <c r="A593" s="15">
        <v>45019</v>
      </c>
      <c r="B593" t="s">
        <v>863</v>
      </c>
      <c r="C593" t="s">
        <v>30</v>
      </c>
      <c r="D593" t="s">
        <v>632</v>
      </c>
      <c r="E593" t="s">
        <v>450</v>
      </c>
      <c r="F593">
        <v>0</v>
      </c>
    </row>
    <row r="594" spans="1:6">
      <c r="A594" s="15">
        <v>45023</v>
      </c>
      <c r="B594" t="s">
        <v>863</v>
      </c>
      <c r="C594" t="s">
        <v>133</v>
      </c>
      <c r="D594" t="s">
        <v>130</v>
      </c>
      <c r="E594" t="s">
        <v>1372</v>
      </c>
      <c r="F594">
        <v>0</v>
      </c>
    </row>
    <row r="595" spans="1:6">
      <c r="A595" s="15">
        <v>45028</v>
      </c>
      <c r="B595" t="s">
        <v>967</v>
      </c>
      <c r="C595" t="s">
        <v>836</v>
      </c>
      <c r="D595" t="s">
        <v>632</v>
      </c>
      <c r="E595" t="s">
        <v>450</v>
      </c>
      <c r="F595">
        <v>4160</v>
      </c>
    </row>
    <row r="596" spans="1:6">
      <c r="A596" s="15">
        <v>45028</v>
      </c>
      <c r="B596" t="s">
        <v>1473</v>
      </c>
      <c r="C596" t="s">
        <v>30</v>
      </c>
      <c r="D596" t="s">
        <v>632</v>
      </c>
      <c r="E596" t="s">
        <v>450</v>
      </c>
      <c r="F596">
        <v>0</v>
      </c>
    </row>
    <row r="597" spans="1:6">
      <c r="A597" s="15">
        <v>45028</v>
      </c>
      <c r="B597" t="s">
        <v>315</v>
      </c>
      <c r="C597" t="s">
        <v>30</v>
      </c>
      <c r="D597" t="s">
        <v>632</v>
      </c>
      <c r="E597" t="s">
        <v>450</v>
      </c>
      <c r="F597">
        <v>0</v>
      </c>
    </row>
    <row r="598" spans="1:6">
      <c r="A598" s="15">
        <v>45030</v>
      </c>
      <c r="B598" t="s">
        <v>323</v>
      </c>
      <c r="C598" t="s">
        <v>30</v>
      </c>
      <c r="D598" t="s">
        <v>632</v>
      </c>
      <c r="E598" t="s">
        <v>450</v>
      </c>
      <c r="F598">
        <v>0</v>
      </c>
    </row>
    <row r="599" spans="1:6">
      <c r="A599" s="15">
        <v>45030</v>
      </c>
      <c r="B599" t="s">
        <v>1482</v>
      </c>
      <c r="C599" t="s">
        <v>30</v>
      </c>
      <c r="D599" t="s">
        <v>632</v>
      </c>
      <c r="E599" t="s">
        <v>450</v>
      </c>
      <c r="F599">
        <v>0</v>
      </c>
    </row>
    <row r="600" spans="1:6">
      <c r="A600" s="15">
        <v>45033</v>
      </c>
      <c r="B600" t="s">
        <v>1487</v>
      </c>
      <c r="C600" t="s">
        <v>30</v>
      </c>
      <c r="D600" t="s">
        <v>632</v>
      </c>
      <c r="E600" t="s">
        <v>450</v>
      </c>
      <c r="F600">
        <v>0</v>
      </c>
    </row>
    <row r="601" spans="1:6">
      <c r="A601" s="15">
        <v>45034</v>
      </c>
      <c r="B601" t="s">
        <v>1490</v>
      </c>
      <c r="C601" t="s">
        <v>30</v>
      </c>
      <c r="D601" t="s">
        <v>632</v>
      </c>
      <c r="E601" t="s">
        <v>450</v>
      </c>
      <c r="F601">
        <v>0</v>
      </c>
    </row>
    <row r="602" spans="1:6">
      <c r="A602" s="15">
        <v>45035</v>
      </c>
      <c r="B602" t="s">
        <v>801</v>
      </c>
      <c r="C602" t="s">
        <v>836</v>
      </c>
      <c r="D602" t="s">
        <v>130</v>
      </c>
      <c r="E602" t="s">
        <v>456</v>
      </c>
      <c r="F602">
        <v>0</v>
      </c>
    </row>
    <row r="603" spans="1:6">
      <c r="A603" s="15">
        <v>45035</v>
      </c>
      <c r="B603" t="s">
        <v>863</v>
      </c>
      <c r="C603" t="s">
        <v>133</v>
      </c>
      <c r="D603" t="s">
        <v>130</v>
      </c>
      <c r="E603" t="s">
        <v>1372</v>
      </c>
      <c r="F603">
        <v>0</v>
      </c>
    </row>
    <row r="604" spans="1:6">
      <c r="A604" s="15">
        <v>45040</v>
      </c>
      <c r="B604" t="s">
        <v>1508</v>
      </c>
      <c r="C604" t="s">
        <v>515</v>
      </c>
      <c r="D604" t="s">
        <v>632</v>
      </c>
      <c r="E604" t="s">
        <v>450</v>
      </c>
      <c r="F604">
        <v>30</v>
      </c>
    </row>
    <row r="605" spans="1:6">
      <c r="A605" s="15">
        <v>45040</v>
      </c>
      <c r="B605" t="s">
        <v>1505</v>
      </c>
      <c r="C605" t="s">
        <v>30</v>
      </c>
      <c r="D605" t="s">
        <v>632</v>
      </c>
      <c r="E605" t="s">
        <v>450</v>
      </c>
      <c r="F605">
        <v>0</v>
      </c>
    </row>
    <row r="606" spans="1:6">
      <c r="A606" s="15">
        <v>45040</v>
      </c>
      <c r="B606" t="s">
        <v>1487</v>
      </c>
      <c r="C606" t="s">
        <v>30</v>
      </c>
      <c r="D606" t="s">
        <v>632</v>
      </c>
      <c r="E606" t="s">
        <v>993</v>
      </c>
      <c r="F606">
        <v>0</v>
      </c>
    </row>
    <row r="607" spans="1:6">
      <c r="A607" s="15">
        <v>45040</v>
      </c>
      <c r="B607" t="s">
        <v>1501</v>
      </c>
      <c r="C607" t="s">
        <v>515</v>
      </c>
      <c r="D607" t="s">
        <v>632</v>
      </c>
      <c r="E607" t="s">
        <v>450</v>
      </c>
      <c r="F607">
        <v>200</v>
      </c>
    </row>
    <row r="608" spans="1:6">
      <c r="A608" s="15">
        <v>45040</v>
      </c>
      <c r="B608" t="s">
        <v>1501</v>
      </c>
      <c r="C608" t="s">
        <v>30</v>
      </c>
      <c r="D608" t="s">
        <v>632</v>
      </c>
      <c r="E608" t="s">
        <v>450</v>
      </c>
      <c r="F608">
        <v>0</v>
      </c>
    </row>
    <row r="609" spans="1:6">
      <c r="A609" s="15">
        <v>45040</v>
      </c>
      <c r="B609" t="s">
        <v>1511</v>
      </c>
      <c r="C609" t="s">
        <v>968</v>
      </c>
      <c r="D609" t="s">
        <v>632</v>
      </c>
      <c r="E609" t="s">
        <v>450</v>
      </c>
      <c r="F609">
        <v>3500</v>
      </c>
    </row>
    <row r="610" spans="1:6">
      <c r="A610" s="15">
        <v>45052</v>
      </c>
      <c r="B610" t="s">
        <v>1150</v>
      </c>
      <c r="C610" t="s">
        <v>65</v>
      </c>
      <c r="D610" t="s">
        <v>70</v>
      </c>
      <c r="E610" t="s">
        <v>1515</v>
      </c>
      <c r="F610">
        <v>0</v>
      </c>
    </row>
    <row r="611" spans="1:6">
      <c r="A611" s="15">
        <v>45056</v>
      </c>
      <c r="B611" t="s">
        <v>863</v>
      </c>
      <c r="C611" t="s">
        <v>133</v>
      </c>
      <c r="D611" t="s">
        <v>130</v>
      </c>
      <c r="E611" t="s">
        <v>1372</v>
      </c>
      <c r="F611">
        <v>0</v>
      </c>
    </row>
    <row r="612" spans="1:6">
      <c r="A612" s="15">
        <v>45057</v>
      </c>
      <c r="B612" t="s">
        <v>1519</v>
      </c>
      <c r="C612" t="s">
        <v>968</v>
      </c>
      <c r="D612" t="s">
        <v>632</v>
      </c>
      <c r="E612" t="s">
        <v>450</v>
      </c>
      <c r="F612">
        <v>0</v>
      </c>
    </row>
    <row r="613" spans="1:6">
      <c r="A613" s="15">
        <v>45058</v>
      </c>
      <c r="B613" t="s">
        <v>1522</v>
      </c>
      <c r="C613" t="s">
        <v>941</v>
      </c>
      <c r="D613" t="s">
        <v>70</v>
      </c>
      <c r="E613" t="s">
        <v>239</v>
      </c>
      <c r="F613">
        <v>32300</v>
      </c>
    </row>
    <row r="614" spans="1:6">
      <c r="A614" s="15">
        <v>45058</v>
      </c>
      <c r="B614" t="s">
        <v>612</v>
      </c>
      <c r="C614" t="s">
        <v>65</v>
      </c>
      <c r="D614" t="s">
        <v>70</v>
      </c>
      <c r="E614" t="s">
        <v>149</v>
      </c>
      <c r="F614">
        <v>0</v>
      </c>
    </row>
    <row r="615" spans="1:6">
      <c r="A615" s="15">
        <v>45062</v>
      </c>
      <c r="B615" t="s">
        <v>1527</v>
      </c>
      <c r="C615" t="s">
        <v>30</v>
      </c>
      <c r="D615" t="s">
        <v>632</v>
      </c>
      <c r="E615" t="s">
        <v>993</v>
      </c>
      <c r="F615">
        <v>0</v>
      </c>
    </row>
    <row r="616" spans="1:6">
      <c r="A616" s="15">
        <v>45065</v>
      </c>
      <c r="B616" t="s">
        <v>215</v>
      </c>
      <c r="C616" t="s">
        <v>30</v>
      </c>
      <c r="D616" t="s">
        <v>632</v>
      </c>
      <c r="E616" t="s">
        <v>450</v>
      </c>
      <c r="F616">
        <v>0</v>
      </c>
    </row>
    <row r="617" spans="1:6">
      <c r="A617" s="15">
        <v>45068</v>
      </c>
      <c r="B617" t="s">
        <v>1005</v>
      </c>
      <c r="C617" t="s">
        <v>30</v>
      </c>
      <c r="D617" t="s">
        <v>632</v>
      </c>
      <c r="E617" t="s">
        <v>993</v>
      </c>
      <c r="F617">
        <v>0</v>
      </c>
    </row>
    <row r="618" spans="1:6">
      <c r="A618" s="15">
        <v>45068</v>
      </c>
      <c r="B618" t="s">
        <v>115</v>
      </c>
      <c r="C618" t="s">
        <v>30</v>
      </c>
      <c r="D618" t="s">
        <v>632</v>
      </c>
      <c r="E618" t="s">
        <v>993</v>
      </c>
      <c r="F618">
        <v>0</v>
      </c>
    </row>
    <row r="619" spans="1:6">
      <c r="A619" s="15">
        <v>45070</v>
      </c>
      <c r="B619" t="s">
        <v>1537</v>
      </c>
      <c r="C619" t="s">
        <v>30</v>
      </c>
      <c r="D619" t="s">
        <v>632</v>
      </c>
      <c r="E619" t="s">
        <v>450</v>
      </c>
      <c r="F619">
        <v>0</v>
      </c>
    </row>
    <row r="620" spans="1:6">
      <c r="A620" s="15">
        <v>45077</v>
      </c>
      <c r="B620" t="s">
        <v>1541</v>
      </c>
      <c r="C620" t="s">
        <v>30</v>
      </c>
      <c r="D620" t="s">
        <v>632</v>
      </c>
      <c r="E620" t="s">
        <v>993</v>
      </c>
      <c r="F620">
        <v>0</v>
      </c>
    </row>
    <row r="621" spans="1:6">
      <c r="A621" s="15">
        <v>45086</v>
      </c>
      <c r="B621" t="s">
        <v>1505</v>
      </c>
      <c r="C621" t="s">
        <v>30</v>
      </c>
      <c r="D621" t="s">
        <v>632</v>
      </c>
      <c r="E621" t="s">
        <v>450</v>
      </c>
      <c r="F621">
        <v>0</v>
      </c>
    </row>
    <row r="622" spans="1:6">
      <c r="A622" s="15">
        <v>45087</v>
      </c>
      <c r="B622" t="s">
        <v>1547</v>
      </c>
      <c r="C622" t="s">
        <v>515</v>
      </c>
      <c r="D622" t="s">
        <v>632</v>
      </c>
      <c r="E622" t="s">
        <v>450</v>
      </c>
      <c r="F622">
        <v>200</v>
      </c>
    </row>
    <row r="623" spans="1:6">
      <c r="A623" s="15">
        <v>45087</v>
      </c>
      <c r="B623" t="s">
        <v>1547</v>
      </c>
      <c r="C623" t="s">
        <v>30</v>
      </c>
      <c r="D623" t="s">
        <v>632</v>
      </c>
      <c r="E623" t="s">
        <v>450</v>
      </c>
      <c r="F623">
        <v>0</v>
      </c>
    </row>
    <row r="624" spans="1:6">
      <c r="A624" s="15">
        <v>45090</v>
      </c>
      <c r="B624" t="s">
        <v>1551</v>
      </c>
      <c r="C624" t="s">
        <v>30</v>
      </c>
      <c r="D624" t="s">
        <v>632</v>
      </c>
      <c r="E624" t="s">
        <v>450</v>
      </c>
      <c r="F624">
        <v>0</v>
      </c>
    </row>
    <row r="625" spans="1:6">
      <c r="A625" s="15">
        <v>45092</v>
      </c>
      <c r="B625" t="s">
        <v>325</v>
      </c>
      <c r="C625" t="s">
        <v>30</v>
      </c>
      <c r="D625" t="s">
        <v>632</v>
      </c>
      <c r="E625" t="s">
        <v>450</v>
      </c>
      <c r="F625">
        <v>1000</v>
      </c>
    </row>
    <row r="626" spans="1:6">
      <c r="A626" s="15">
        <v>45092</v>
      </c>
      <c r="B626" t="s">
        <v>1556</v>
      </c>
      <c r="C626" t="s">
        <v>515</v>
      </c>
      <c r="D626" t="s">
        <v>632</v>
      </c>
      <c r="E626" t="s">
        <v>450</v>
      </c>
      <c r="F626">
        <v>220</v>
      </c>
    </row>
    <row r="627" spans="1:6">
      <c r="A627" s="15">
        <v>45092</v>
      </c>
      <c r="B627" t="s">
        <v>1556</v>
      </c>
      <c r="C627" t="s">
        <v>30</v>
      </c>
      <c r="D627" t="s">
        <v>632</v>
      </c>
      <c r="E627" t="s">
        <v>450</v>
      </c>
      <c r="F627">
        <v>0</v>
      </c>
    </row>
    <row r="628" spans="1:6">
      <c r="A628" s="15">
        <v>45098</v>
      </c>
      <c r="B628" t="s">
        <v>912</v>
      </c>
      <c r="C628" t="s">
        <v>515</v>
      </c>
      <c r="D628" t="s">
        <v>632</v>
      </c>
      <c r="E628" t="s">
        <v>450</v>
      </c>
      <c r="F628">
        <v>200</v>
      </c>
    </row>
    <row r="629" spans="1:6">
      <c r="A629" s="15">
        <v>45098</v>
      </c>
      <c r="B629" t="s">
        <v>912</v>
      </c>
      <c r="C629" t="s">
        <v>30</v>
      </c>
      <c r="D629" t="s">
        <v>632</v>
      </c>
      <c r="E629" t="s">
        <v>450</v>
      </c>
      <c r="F629">
        <v>0</v>
      </c>
    </row>
    <row r="630" spans="1:6">
      <c r="A630" s="15">
        <v>45098</v>
      </c>
      <c r="B630" t="s">
        <v>578</v>
      </c>
      <c r="C630" t="s">
        <v>65</v>
      </c>
      <c r="D630" t="s">
        <v>70</v>
      </c>
      <c r="E630" t="s">
        <v>1563</v>
      </c>
      <c r="F630">
        <v>10000</v>
      </c>
    </row>
    <row r="631" spans="1:6">
      <c r="A631" s="15">
        <v>45103</v>
      </c>
      <c r="B631" t="s">
        <v>1569</v>
      </c>
      <c r="C631" t="s">
        <v>30</v>
      </c>
      <c r="D631" t="s">
        <v>632</v>
      </c>
      <c r="E631" t="s">
        <v>450</v>
      </c>
      <c r="F631">
        <v>0</v>
      </c>
    </row>
    <row r="632" spans="1:6">
      <c r="A632" s="15">
        <v>45103</v>
      </c>
      <c r="B632" t="s">
        <v>1505</v>
      </c>
      <c r="C632" t="s">
        <v>30</v>
      </c>
      <c r="D632" t="s">
        <v>632</v>
      </c>
      <c r="E632" t="s">
        <v>450</v>
      </c>
      <c r="F632">
        <v>0</v>
      </c>
    </row>
    <row r="633" spans="1:6">
      <c r="A633" s="15">
        <v>45105</v>
      </c>
      <c r="B633" t="s">
        <v>605</v>
      </c>
      <c r="C633" t="s">
        <v>65</v>
      </c>
      <c r="D633" t="s">
        <v>70</v>
      </c>
      <c r="E633" t="s">
        <v>434</v>
      </c>
      <c r="F633">
        <v>0</v>
      </c>
    </row>
    <row r="634" spans="1:6">
      <c r="A634" s="15">
        <v>45109</v>
      </c>
      <c r="B634" t="s">
        <v>188</v>
      </c>
      <c r="C634" t="s">
        <v>30</v>
      </c>
      <c r="D634" t="s">
        <v>632</v>
      </c>
      <c r="E634" t="s">
        <v>450</v>
      </c>
      <c r="F634">
        <v>0</v>
      </c>
    </row>
    <row r="635" spans="1:6">
      <c r="A635" s="15">
        <v>45112</v>
      </c>
      <c r="B635" t="s">
        <v>665</v>
      </c>
      <c r="C635" t="s">
        <v>30</v>
      </c>
      <c r="D635" t="s">
        <v>632</v>
      </c>
      <c r="E635" t="s">
        <v>993</v>
      </c>
      <c r="F635">
        <v>0</v>
      </c>
    </row>
    <row r="636" spans="1:6">
      <c r="A636" s="15">
        <v>45112</v>
      </c>
      <c r="B636" t="s">
        <v>1290</v>
      </c>
      <c r="C636" t="s">
        <v>515</v>
      </c>
      <c r="D636" t="s">
        <v>632</v>
      </c>
      <c r="E636" t="s">
        <v>993</v>
      </c>
      <c r="F636">
        <v>500</v>
      </c>
    </row>
    <row r="637" spans="1:6">
      <c r="A637" s="15">
        <v>45114</v>
      </c>
      <c r="B637" t="s">
        <v>325</v>
      </c>
      <c r="C637" t="s">
        <v>30</v>
      </c>
      <c r="D637" t="s">
        <v>632</v>
      </c>
      <c r="E637" t="s">
        <v>450</v>
      </c>
      <c r="F637">
        <v>0</v>
      </c>
    </row>
    <row r="638" spans="1:6">
      <c r="A638" s="15">
        <v>45114</v>
      </c>
      <c r="B638" t="s">
        <v>1259</v>
      </c>
      <c r="C638" t="s">
        <v>30</v>
      </c>
      <c r="D638" t="s">
        <v>632</v>
      </c>
      <c r="E638" t="s">
        <v>450</v>
      </c>
      <c r="F638">
        <v>2000</v>
      </c>
    </row>
    <row r="639" spans="1:6">
      <c r="A639" s="15">
        <v>45124</v>
      </c>
      <c r="B639" t="s">
        <v>1586</v>
      </c>
      <c r="C639" t="s">
        <v>30</v>
      </c>
      <c r="D639" t="s">
        <v>632</v>
      </c>
      <c r="E639" t="s">
        <v>450</v>
      </c>
      <c r="F639">
        <v>0</v>
      </c>
    </row>
    <row r="640" spans="1:6">
      <c r="A640" s="15">
        <v>45124</v>
      </c>
      <c r="B640" t="s">
        <v>517</v>
      </c>
      <c r="C640" t="s">
        <v>65</v>
      </c>
      <c r="D640" t="s">
        <v>70</v>
      </c>
      <c r="E640" t="s">
        <v>146</v>
      </c>
      <c r="F640">
        <v>0</v>
      </c>
    </row>
    <row r="641" spans="1:6">
      <c r="A641" s="15">
        <v>45126</v>
      </c>
      <c r="B641" t="s">
        <v>341</v>
      </c>
      <c r="C641" t="s">
        <v>65</v>
      </c>
      <c r="D641" t="s">
        <v>70</v>
      </c>
      <c r="E641" t="s">
        <v>1515</v>
      </c>
      <c r="F641">
        <v>0</v>
      </c>
    </row>
    <row r="642" spans="1:6">
      <c r="A642" s="15">
        <v>45126</v>
      </c>
      <c r="B642" t="s">
        <v>115</v>
      </c>
      <c r="C642" t="s">
        <v>65</v>
      </c>
      <c r="D642" t="s">
        <v>70</v>
      </c>
      <c r="E642" t="s">
        <v>1591</v>
      </c>
      <c r="F642">
        <v>0</v>
      </c>
    </row>
    <row r="643" spans="1:6">
      <c r="A643" s="15">
        <v>45134</v>
      </c>
      <c r="B643" t="s">
        <v>863</v>
      </c>
      <c r="C643" t="s">
        <v>65</v>
      </c>
      <c r="D643" t="s">
        <v>70</v>
      </c>
      <c r="E643" t="s">
        <v>1515</v>
      </c>
      <c r="F643">
        <v>0</v>
      </c>
    </row>
    <row r="644" spans="1:6">
      <c r="A644" s="15">
        <v>45142</v>
      </c>
      <c r="B644" t="s">
        <v>863</v>
      </c>
      <c r="C644" t="s">
        <v>133</v>
      </c>
      <c r="D644" t="s">
        <v>130</v>
      </c>
      <c r="E644" t="s">
        <v>1596</v>
      </c>
      <c r="F644">
        <v>0</v>
      </c>
    </row>
    <row r="645" spans="1:6">
      <c r="A645" s="15">
        <v>45145</v>
      </c>
      <c r="B645" t="s">
        <v>1101</v>
      </c>
      <c r="C645" t="s">
        <v>30</v>
      </c>
      <c r="D645" t="s">
        <v>632</v>
      </c>
      <c r="E645" t="s">
        <v>993</v>
      </c>
      <c r="F645">
        <v>4000</v>
      </c>
    </row>
    <row r="646" spans="1:6">
      <c r="A646" s="15">
        <v>45145</v>
      </c>
      <c r="B646" t="s">
        <v>863</v>
      </c>
      <c r="C646" t="s">
        <v>65</v>
      </c>
      <c r="D646" t="s">
        <v>70</v>
      </c>
      <c r="E646" t="s">
        <v>1591</v>
      </c>
      <c r="F646">
        <v>0</v>
      </c>
    </row>
    <row r="647" spans="1:6">
      <c r="A647" s="15">
        <v>45148</v>
      </c>
      <c r="B647" t="s">
        <v>863</v>
      </c>
      <c r="C647" t="s">
        <v>65</v>
      </c>
      <c r="D647" t="s">
        <v>70</v>
      </c>
      <c r="E647" t="s">
        <v>1591</v>
      </c>
      <c r="F647">
        <v>0</v>
      </c>
    </row>
    <row r="648" spans="1:6">
      <c r="A648" s="15">
        <v>45153</v>
      </c>
      <c r="B648" t="s">
        <v>1610</v>
      </c>
      <c r="C648" t="s">
        <v>65</v>
      </c>
      <c r="D648" t="s">
        <v>70</v>
      </c>
      <c r="E648" t="s">
        <v>1591</v>
      </c>
      <c r="F648">
        <v>0</v>
      </c>
    </row>
    <row r="649" spans="1:6">
      <c r="A649" s="15">
        <v>45153</v>
      </c>
      <c r="B649" t="s">
        <v>863</v>
      </c>
      <c r="C649" t="s">
        <v>65</v>
      </c>
      <c r="D649" t="s">
        <v>70</v>
      </c>
      <c r="E649" t="s">
        <v>1591</v>
      </c>
      <c r="F649">
        <v>0</v>
      </c>
    </row>
    <row r="650" spans="1:6">
      <c r="A650" s="15">
        <v>45166</v>
      </c>
      <c r="B650" t="s">
        <v>1615</v>
      </c>
      <c r="C650" t="s">
        <v>515</v>
      </c>
      <c r="D650" t="s">
        <v>632</v>
      </c>
      <c r="E650" t="s">
        <v>450</v>
      </c>
      <c r="F650">
        <v>500</v>
      </c>
    </row>
    <row r="651" spans="1:6">
      <c r="A651" s="15">
        <v>45166</v>
      </c>
      <c r="B651" t="s">
        <v>863</v>
      </c>
      <c r="C651" t="s">
        <v>515</v>
      </c>
      <c r="D651" t="s">
        <v>632</v>
      </c>
      <c r="E651" t="s">
        <v>450</v>
      </c>
      <c r="F651">
        <v>500</v>
      </c>
    </row>
    <row r="652" spans="1:6">
      <c r="A652" s="15">
        <v>45167</v>
      </c>
      <c r="B652" t="s">
        <v>863</v>
      </c>
      <c r="C652" t="s">
        <v>133</v>
      </c>
      <c r="D652" t="s">
        <v>632</v>
      </c>
      <c r="E652" t="s">
        <v>1372</v>
      </c>
      <c r="F652">
        <v>0</v>
      </c>
    </row>
    <row r="653" spans="1:6">
      <c r="A653" s="15">
        <v>45172</v>
      </c>
      <c r="B653" t="s">
        <v>863</v>
      </c>
      <c r="C653" t="s">
        <v>515</v>
      </c>
      <c r="D653" t="s">
        <v>632</v>
      </c>
      <c r="E653" t="s">
        <v>1372</v>
      </c>
      <c r="F653">
        <v>500</v>
      </c>
    </row>
    <row r="654" spans="1:6">
      <c r="A654" s="15">
        <v>45173</v>
      </c>
      <c r="B654" t="s">
        <v>863</v>
      </c>
      <c r="C654" t="s">
        <v>30</v>
      </c>
      <c r="D654" t="s">
        <v>632</v>
      </c>
      <c r="E654" t="s">
        <v>450</v>
      </c>
      <c r="F654">
        <v>0</v>
      </c>
    </row>
    <row r="655" spans="1:6">
      <c r="A655" s="15">
        <v>45174</v>
      </c>
      <c r="B655" t="s">
        <v>851</v>
      </c>
      <c r="C655" t="s">
        <v>30</v>
      </c>
      <c r="D655" t="s">
        <v>632</v>
      </c>
      <c r="E655" t="s">
        <v>450</v>
      </c>
      <c r="F655">
        <v>0</v>
      </c>
    </row>
    <row r="656" spans="1:6">
      <c r="A656" s="15">
        <v>45177</v>
      </c>
      <c r="B656" t="s">
        <v>291</v>
      </c>
      <c r="C656" t="s">
        <v>65</v>
      </c>
      <c r="D656" t="s">
        <v>70</v>
      </c>
      <c r="E656" t="s">
        <v>1591</v>
      </c>
      <c r="F656">
        <v>0</v>
      </c>
    </row>
    <row r="657" spans="1:6">
      <c r="A657" s="15">
        <v>45181</v>
      </c>
      <c r="B657" t="s">
        <v>863</v>
      </c>
      <c r="C657" t="s">
        <v>133</v>
      </c>
      <c r="D657" t="s">
        <v>130</v>
      </c>
      <c r="E657" t="s">
        <v>1372</v>
      </c>
      <c r="F657">
        <v>0</v>
      </c>
    </row>
    <row r="658" spans="1:6">
      <c r="A658" s="15">
        <v>45182</v>
      </c>
      <c r="B658" t="s">
        <v>863</v>
      </c>
      <c r="C658" t="s">
        <v>30</v>
      </c>
      <c r="D658" t="s">
        <v>130</v>
      </c>
      <c r="E658" t="s">
        <v>1372</v>
      </c>
      <c r="F658">
        <v>0</v>
      </c>
    </row>
    <row r="659" spans="1:6">
      <c r="A659" s="15">
        <v>45186</v>
      </c>
      <c r="B659" t="s">
        <v>1631</v>
      </c>
      <c r="C659" t="s">
        <v>30</v>
      </c>
      <c r="D659" t="s">
        <v>632</v>
      </c>
      <c r="E659" t="s">
        <v>450</v>
      </c>
      <c r="F659">
        <v>4000</v>
      </c>
    </row>
    <row r="660" spans="1:6">
      <c r="A660" s="15">
        <v>45186</v>
      </c>
      <c r="B660" t="s">
        <v>1636</v>
      </c>
      <c r="C660" t="s">
        <v>30</v>
      </c>
      <c r="D660" t="s">
        <v>632</v>
      </c>
      <c r="E660" t="s">
        <v>450</v>
      </c>
      <c r="F660">
        <v>0</v>
      </c>
    </row>
    <row r="661" spans="1:6">
      <c r="A661" s="15">
        <v>45189</v>
      </c>
      <c r="B661" t="s">
        <v>1639</v>
      </c>
      <c r="C661" t="s">
        <v>65</v>
      </c>
      <c r="D661" t="s">
        <v>70</v>
      </c>
      <c r="E661" t="s">
        <v>1591</v>
      </c>
      <c r="F661">
        <v>0</v>
      </c>
    </row>
    <row r="662" spans="1:6">
      <c r="A662" s="15">
        <v>45190</v>
      </c>
      <c r="B662" t="s">
        <v>34</v>
      </c>
      <c r="C662" t="s">
        <v>30</v>
      </c>
      <c r="D662" t="s">
        <v>632</v>
      </c>
      <c r="E662" t="s">
        <v>450</v>
      </c>
      <c r="F662">
        <v>0</v>
      </c>
    </row>
    <row r="663" spans="1:6">
      <c r="A663" s="15">
        <v>45194</v>
      </c>
      <c r="B663" t="s">
        <v>1315</v>
      </c>
      <c r="C663" t="s">
        <v>30</v>
      </c>
      <c r="D663" t="s">
        <v>632</v>
      </c>
      <c r="E663" t="s">
        <v>450</v>
      </c>
      <c r="F663">
        <v>0</v>
      </c>
    </row>
    <row r="664" spans="1:6">
      <c r="A664" s="15">
        <v>45194</v>
      </c>
      <c r="B664" t="s">
        <v>863</v>
      </c>
      <c r="C664" t="s">
        <v>133</v>
      </c>
      <c r="D664" t="s">
        <v>130</v>
      </c>
      <c r="E664" t="s">
        <v>1372</v>
      </c>
      <c r="F664">
        <v>0</v>
      </c>
    </row>
    <row r="665" spans="1:6">
      <c r="A665" s="15">
        <v>45195</v>
      </c>
      <c r="B665" t="s">
        <v>332</v>
      </c>
      <c r="C665" t="s">
        <v>65</v>
      </c>
      <c r="D665" t="s">
        <v>70</v>
      </c>
      <c r="E665" t="s">
        <v>1591</v>
      </c>
      <c r="F665">
        <v>0</v>
      </c>
    </row>
    <row r="666" spans="1:6">
      <c r="A666" s="15">
        <v>45196</v>
      </c>
      <c r="B666" t="s">
        <v>1101</v>
      </c>
      <c r="C666" t="s">
        <v>30</v>
      </c>
      <c r="D666" t="s">
        <v>632</v>
      </c>
      <c r="E666" t="s">
        <v>450</v>
      </c>
      <c r="F666">
        <v>0</v>
      </c>
    </row>
    <row r="667" spans="1:6">
      <c r="A667" s="15">
        <v>45211</v>
      </c>
      <c r="B667" t="s">
        <v>399</v>
      </c>
      <c r="C667" t="s">
        <v>65</v>
      </c>
      <c r="D667" t="s">
        <v>70</v>
      </c>
      <c r="E667" t="s">
        <v>1591</v>
      </c>
      <c r="F667">
        <v>0</v>
      </c>
    </row>
    <row r="668" spans="1:6">
      <c r="A668" s="15">
        <v>45211</v>
      </c>
      <c r="B668" t="s">
        <v>215</v>
      </c>
      <c r="C668" t="s">
        <v>30</v>
      </c>
      <c r="D668" t="s">
        <v>632</v>
      </c>
      <c r="E668" t="s">
        <v>450</v>
      </c>
      <c r="F668">
        <v>0</v>
      </c>
    </row>
    <row r="669" spans="1:6">
      <c r="A669" s="15">
        <v>45217</v>
      </c>
      <c r="B669" t="s">
        <v>398</v>
      </c>
      <c r="C669" t="s">
        <v>30</v>
      </c>
      <c r="D669" t="s">
        <v>632</v>
      </c>
      <c r="E669" t="s">
        <v>450</v>
      </c>
      <c r="F669">
        <v>10000</v>
      </c>
    </row>
    <row r="670" spans="1:6">
      <c r="A670" s="15">
        <v>45217</v>
      </c>
      <c r="B670" t="s">
        <v>1657</v>
      </c>
      <c r="C670" t="s">
        <v>515</v>
      </c>
      <c r="D670" t="s">
        <v>632</v>
      </c>
      <c r="E670" t="s">
        <v>450</v>
      </c>
      <c r="F670">
        <v>100</v>
      </c>
    </row>
    <row r="671" spans="1:6">
      <c r="A671" s="15">
        <v>45226</v>
      </c>
      <c r="B671" t="s">
        <v>1665</v>
      </c>
      <c r="C671" t="s">
        <v>515</v>
      </c>
      <c r="D671" t="s">
        <v>632</v>
      </c>
      <c r="E671" t="s">
        <v>450</v>
      </c>
      <c r="F671">
        <v>500</v>
      </c>
    </row>
    <row r="672" spans="1:6">
      <c r="A672" s="15">
        <v>45226</v>
      </c>
      <c r="B672" t="s">
        <v>1662</v>
      </c>
      <c r="C672" t="s">
        <v>30</v>
      </c>
      <c r="D672" t="s">
        <v>632</v>
      </c>
      <c r="E672" t="s">
        <v>450</v>
      </c>
      <c r="F672">
        <v>0</v>
      </c>
    </row>
    <row r="673" spans="1:6">
      <c r="A673" s="15">
        <v>45235</v>
      </c>
      <c r="B673" t="s">
        <v>1669</v>
      </c>
      <c r="C673" t="s">
        <v>30</v>
      </c>
      <c r="D673" t="s">
        <v>632</v>
      </c>
      <c r="E673" t="s">
        <v>450</v>
      </c>
      <c r="F673">
        <v>0</v>
      </c>
    </row>
    <row r="674" spans="1:6">
      <c r="A674" s="15">
        <v>45238</v>
      </c>
      <c r="B674" t="s">
        <v>1676</v>
      </c>
      <c r="C674" t="s">
        <v>515</v>
      </c>
      <c r="D674" t="s">
        <v>632</v>
      </c>
      <c r="E674" t="s">
        <v>450</v>
      </c>
      <c r="F674">
        <v>218</v>
      </c>
    </row>
    <row r="675" spans="1:6">
      <c r="A675" s="15">
        <v>45238</v>
      </c>
      <c r="B675" t="s">
        <v>1715</v>
      </c>
      <c r="C675" t="s">
        <v>968</v>
      </c>
      <c r="D675" t="s">
        <v>632</v>
      </c>
      <c r="E675" t="s">
        <v>993</v>
      </c>
      <c r="F675">
        <v>12800</v>
      </c>
    </row>
    <row r="676" spans="1:6">
      <c r="A676" s="15">
        <v>45238</v>
      </c>
      <c r="B676" t="s">
        <v>1673</v>
      </c>
      <c r="C676" t="s">
        <v>65</v>
      </c>
      <c r="D676" t="s">
        <v>70</v>
      </c>
      <c r="E676" t="s">
        <v>1672</v>
      </c>
      <c r="F676">
        <v>5000</v>
      </c>
    </row>
    <row r="677" spans="1:6">
      <c r="A677" s="15">
        <v>45241</v>
      </c>
      <c r="B677" t="s">
        <v>1679</v>
      </c>
      <c r="C677" t="s">
        <v>515</v>
      </c>
      <c r="D677" t="s">
        <v>632</v>
      </c>
      <c r="E677" t="s">
        <v>450</v>
      </c>
      <c r="F677">
        <v>0</v>
      </c>
    </row>
    <row r="678" spans="1:6">
      <c r="A678" s="15">
        <v>45243</v>
      </c>
      <c r="B678" t="s">
        <v>657</v>
      </c>
      <c r="C678" t="s">
        <v>30</v>
      </c>
      <c r="D678" t="s">
        <v>632</v>
      </c>
      <c r="E678" t="s">
        <v>450</v>
      </c>
      <c r="F678">
        <v>0</v>
      </c>
    </row>
    <row r="679" spans="1:6">
      <c r="A679" s="15">
        <v>45243</v>
      </c>
      <c r="B679" t="s">
        <v>1679</v>
      </c>
      <c r="C679" t="s">
        <v>30</v>
      </c>
      <c r="D679" t="s">
        <v>632</v>
      </c>
      <c r="E679" t="s">
        <v>450</v>
      </c>
      <c r="F679">
        <v>0</v>
      </c>
    </row>
    <row r="680" spans="1:6">
      <c r="A680" s="15">
        <v>45245</v>
      </c>
      <c r="B680" t="s">
        <v>1684</v>
      </c>
      <c r="C680" t="s">
        <v>30</v>
      </c>
      <c r="D680" t="s">
        <v>632</v>
      </c>
      <c r="E680" t="s">
        <v>450</v>
      </c>
      <c r="F680">
        <v>0</v>
      </c>
    </row>
    <row r="681" spans="1:6">
      <c r="A681" s="15">
        <v>45246</v>
      </c>
      <c r="B681" t="s">
        <v>592</v>
      </c>
      <c r="C681" t="s">
        <v>515</v>
      </c>
      <c r="D681" t="s">
        <v>632</v>
      </c>
      <c r="E681" t="s">
        <v>450</v>
      </c>
      <c r="F681">
        <v>600</v>
      </c>
    </row>
    <row r="682" spans="1:6">
      <c r="A682" s="15">
        <v>45247</v>
      </c>
      <c r="B682" t="s">
        <v>708</v>
      </c>
      <c r="C682" t="s">
        <v>30</v>
      </c>
      <c r="D682" t="s">
        <v>632</v>
      </c>
      <c r="E682" t="s">
        <v>450</v>
      </c>
      <c r="F682">
        <v>0</v>
      </c>
    </row>
    <row r="683" spans="1:6">
      <c r="A683" s="15">
        <v>45247</v>
      </c>
      <c r="B683" t="s">
        <v>1689</v>
      </c>
      <c r="C683" t="s">
        <v>968</v>
      </c>
      <c r="D683" t="s">
        <v>632</v>
      </c>
      <c r="E683" t="s">
        <v>450</v>
      </c>
      <c r="F683">
        <v>3600</v>
      </c>
    </row>
    <row r="684" spans="1:6">
      <c r="A684" s="15">
        <v>45250</v>
      </c>
      <c r="B684" t="s">
        <v>863</v>
      </c>
      <c r="C684" t="s">
        <v>133</v>
      </c>
      <c r="D684" t="s">
        <v>130</v>
      </c>
      <c r="E684" t="s">
        <v>1465</v>
      </c>
      <c r="F684">
        <v>6000</v>
      </c>
    </row>
    <row r="685" spans="1:6">
      <c r="A685" s="15">
        <v>45251</v>
      </c>
      <c r="B685" t="s">
        <v>1676</v>
      </c>
      <c r="C685" t="s">
        <v>30</v>
      </c>
      <c r="D685" t="s">
        <v>632</v>
      </c>
      <c r="E685" t="s">
        <v>450</v>
      </c>
      <c r="F685">
        <v>0</v>
      </c>
    </row>
    <row r="686" spans="1:6">
      <c r="A686" s="15">
        <v>45252</v>
      </c>
      <c r="B686" t="s">
        <v>1703</v>
      </c>
      <c r="C686" t="s">
        <v>515</v>
      </c>
      <c r="D686" t="s">
        <v>632</v>
      </c>
      <c r="E686" t="s">
        <v>450</v>
      </c>
      <c r="F686">
        <v>200</v>
      </c>
    </row>
    <row r="687" spans="1:6">
      <c r="A687" s="15">
        <v>45252</v>
      </c>
      <c r="B687" t="s">
        <v>1698</v>
      </c>
      <c r="C687" t="s">
        <v>515</v>
      </c>
      <c r="D687" t="s">
        <v>632</v>
      </c>
      <c r="E687" t="s">
        <v>450</v>
      </c>
      <c r="F687">
        <v>400</v>
      </c>
    </row>
    <row r="688" spans="1:6">
      <c r="A688" s="15">
        <v>45254</v>
      </c>
      <c r="B688" t="s">
        <v>1711</v>
      </c>
      <c r="C688" t="s">
        <v>968</v>
      </c>
      <c r="D688" t="s">
        <v>632</v>
      </c>
      <c r="E688" t="s">
        <v>450</v>
      </c>
      <c r="F688">
        <v>0</v>
      </c>
    </row>
    <row r="689" spans="1:6">
      <c r="A689" s="15">
        <v>45254</v>
      </c>
      <c r="B689" t="s">
        <v>863</v>
      </c>
      <c r="C689" t="s">
        <v>30</v>
      </c>
      <c r="D689" t="s">
        <v>632</v>
      </c>
      <c r="E689" t="s">
        <v>450</v>
      </c>
      <c r="F689">
        <v>0</v>
      </c>
    </row>
    <row r="690" spans="1:6">
      <c r="A690" s="15">
        <v>45254</v>
      </c>
      <c r="B690" t="s">
        <v>1689</v>
      </c>
      <c r="C690" t="s">
        <v>968</v>
      </c>
      <c r="D690" t="s">
        <v>632</v>
      </c>
      <c r="E690" t="s">
        <v>450</v>
      </c>
      <c r="F690">
        <v>0</v>
      </c>
    </row>
    <row r="691" spans="1:6">
      <c r="A691" s="15">
        <v>45258</v>
      </c>
      <c r="B691" t="s">
        <v>863</v>
      </c>
      <c r="C691" t="s">
        <v>65</v>
      </c>
      <c r="D691" t="s">
        <v>70</v>
      </c>
      <c r="E691" t="s">
        <v>1672</v>
      </c>
      <c r="F691">
        <v>9000</v>
      </c>
    </row>
    <row r="692" spans="1:6">
      <c r="A692" s="15">
        <v>45258</v>
      </c>
      <c r="B692" t="s">
        <v>863</v>
      </c>
      <c r="C692" t="s">
        <v>133</v>
      </c>
      <c r="D692" t="s">
        <v>130</v>
      </c>
      <c r="E692" t="s">
        <v>1465</v>
      </c>
      <c r="F692">
        <v>9000</v>
      </c>
    </row>
    <row r="693" spans="1:6">
      <c r="A693" s="15">
        <v>45258</v>
      </c>
      <c r="B693" t="s">
        <v>1703</v>
      </c>
      <c r="C693" t="s">
        <v>30</v>
      </c>
      <c r="D693" t="s">
        <v>632</v>
      </c>
      <c r="E693" t="s">
        <v>450</v>
      </c>
      <c r="F693">
        <v>0</v>
      </c>
    </row>
    <row r="694" spans="1:6">
      <c r="A694" s="15">
        <v>45258</v>
      </c>
      <c r="B694" t="s">
        <v>663</v>
      </c>
      <c r="C694" t="s">
        <v>65</v>
      </c>
      <c r="D694" t="s">
        <v>70</v>
      </c>
      <c r="E694" t="s">
        <v>1672</v>
      </c>
      <c r="F694">
        <v>20000</v>
      </c>
    </row>
    <row r="695" spans="1:6">
      <c r="A695" s="15">
        <v>45258</v>
      </c>
      <c r="B695" t="s">
        <v>663</v>
      </c>
      <c r="C695" t="s">
        <v>941</v>
      </c>
      <c r="D695" t="s">
        <v>70</v>
      </c>
      <c r="E695" t="s">
        <v>1672</v>
      </c>
      <c r="F695">
        <v>136202</v>
      </c>
    </row>
    <row r="696" spans="1:6">
      <c r="A696" s="15">
        <v>45260</v>
      </c>
      <c r="B696" t="s">
        <v>406</v>
      </c>
      <c r="C696" t="s">
        <v>30</v>
      </c>
      <c r="D696" t="s">
        <v>632</v>
      </c>
      <c r="E696" t="s">
        <v>450</v>
      </c>
      <c r="F696">
        <v>0</v>
      </c>
    </row>
    <row r="697" spans="1:6">
      <c r="A697" s="15">
        <v>45260</v>
      </c>
      <c r="B697" t="s">
        <v>1729</v>
      </c>
      <c r="C697" t="s">
        <v>515</v>
      </c>
      <c r="D697" t="s">
        <v>632</v>
      </c>
      <c r="E697" t="s">
        <v>450</v>
      </c>
      <c r="F697">
        <v>200</v>
      </c>
    </row>
    <row r="698" spans="1:6">
      <c r="A698" s="15">
        <v>45260</v>
      </c>
      <c r="B698" t="s">
        <v>1729</v>
      </c>
      <c r="C698" t="s">
        <v>30</v>
      </c>
      <c r="D698" t="s">
        <v>632</v>
      </c>
      <c r="E698" t="s">
        <v>450</v>
      </c>
      <c r="F698">
        <v>12000</v>
      </c>
    </row>
    <row r="699" spans="1:6">
      <c r="A699" s="15">
        <v>45260</v>
      </c>
      <c r="B699" t="s">
        <v>663</v>
      </c>
      <c r="C699" t="s">
        <v>30</v>
      </c>
      <c r="D699" t="s">
        <v>632</v>
      </c>
      <c r="E699" t="s">
        <v>450</v>
      </c>
      <c r="F699">
        <v>0</v>
      </c>
    </row>
    <row r="700" spans="1:6">
      <c r="A700" s="15">
        <v>45260</v>
      </c>
      <c r="B700" t="s">
        <v>1734</v>
      </c>
      <c r="C700" t="s">
        <v>968</v>
      </c>
      <c r="D700" t="s">
        <v>632</v>
      </c>
      <c r="E700" t="s">
        <v>993</v>
      </c>
      <c r="F700">
        <v>0</v>
      </c>
    </row>
    <row r="701" spans="1:6">
      <c r="A701" s="15">
        <v>45261</v>
      </c>
      <c r="B701" t="s">
        <v>863</v>
      </c>
      <c r="C701" t="s">
        <v>941</v>
      </c>
      <c r="D701" t="s">
        <v>70</v>
      </c>
      <c r="E701" t="s">
        <v>1672</v>
      </c>
      <c r="F701">
        <v>9000</v>
      </c>
    </row>
    <row r="702" spans="1:6">
      <c r="A702" s="15">
        <v>45261</v>
      </c>
      <c r="B702" t="s">
        <v>1746</v>
      </c>
      <c r="C702" t="s">
        <v>133</v>
      </c>
      <c r="D702" t="s">
        <v>130</v>
      </c>
      <c r="E702" t="s">
        <v>1596</v>
      </c>
      <c r="F702">
        <v>50000</v>
      </c>
    </row>
    <row r="703" spans="1:6">
      <c r="A703" s="15">
        <v>45264</v>
      </c>
      <c r="B703" t="s">
        <v>1676</v>
      </c>
      <c r="C703" t="s">
        <v>968</v>
      </c>
      <c r="D703" t="s">
        <v>632</v>
      </c>
      <c r="E703" t="s">
        <v>450</v>
      </c>
      <c r="F703">
        <v>1000</v>
      </c>
    </row>
    <row r="704" spans="1:6">
      <c r="A704" s="15">
        <v>45266</v>
      </c>
      <c r="B704" t="s">
        <v>1759</v>
      </c>
      <c r="C704" t="s">
        <v>515</v>
      </c>
      <c r="D704" t="s">
        <v>632</v>
      </c>
      <c r="E704" t="s">
        <v>450</v>
      </c>
      <c r="F704">
        <v>0</v>
      </c>
    </row>
    <row r="705" spans="1:6">
      <c r="A705" s="15">
        <v>45266</v>
      </c>
      <c r="B705" t="s">
        <v>1759</v>
      </c>
      <c r="C705" t="s">
        <v>30</v>
      </c>
      <c r="D705" t="s">
        <v>632</v>
      </c>
      <c r="E705" t="s">
        <v>450</v>
      </c>
      <c r="F705">
        <v>0</v>
      </c>
    </row>
    <row r="706" spans="1:6">
      <c r="A706" s="15">
        <v>45266</v>
      </c>
      <c r="B706" t="s">
        <v>1754</v>
      </c>
      <c r="C706" t="s">
        <v>515</v>
      </c>
      <c r="D706" t="s">
        <v>632</v>
      </c>
      <c r="E706" t="s">
        <v>993</v>
      </c>
      <c r="F706">
        <v>0</v>
      </c>
    </row>
    <row r="707" spans="1:6">
      <c r="A707" s="15">
        <v>45266</v>
      </c>
      <c r="B707" t="s">
        <v>1754</v>
      </c>
      <c r="C707" t="s">
        <v>30</v>
      </c>
      <c r="D707" t="s">
        <v>632</v>
      </c>
      <c r="E707" t="s">
        <v>993</v>
      </c>
      <c r="F707">
        <v>0</v>
      </c>
    </row>
    <row r="708" spans="1:6">
      <c r="A708" s="15">
        <v>45266</v>
      </c>
      <c r="B708" t="s">
        <v>1746</v>
      </c>
      <c r="C708" t="s">
        <v>65</v>
      </c>
      <c r="D708" t="s">
        <v>70</v>
      </c>
      <c r="E708" t="s">
        <v>1672</v>
      </c>
      <c r="F708">
        <v>1000</v>
      </c>
    </row>
    <row r="709" spans="1:6">
      <c r="A709" s="15">
        <v>45268</v>
      </c>
      <c r="B709" t="s">
        <v>863</v>
      </c>
      <c r="C709" t="s">
        <v>133</v>
      </c>
      <c r="D709" t="s">
        <v>130</v>
      </c>
      <c r="E709" t="s">
        <v>1596</v>
      </c>
      <c r="F709">
        <v>11500</v>
      </c>
    </row>
    <row r="710" spans="1:6">
      <c r="A710" s="15">
        <v>45272</v>
      </c>
      <c r="B710" t="s">
        <v>863</v>
      </c>
      <c r="C710" t="s">
        <v>65</v>
      </c>
      <c r="D710" t="s">
        <v>70</v>
      </c>
      <c r="E710" t="s">
        <v>1672</v>
      </c>
      <c r="F710">
        <v>12000</v>
      </c>
    </row>
    <row r="711" spans="1:6">
      <c r="A711" s="15">
        <v>45274</v>
      </c>
      <c r="B711" t="s">
        <v>1729</v>
      </c>
      <c r="C711" t="s">
        <v>133</v>
      </c>
      <c r="D711" t="s">
        <v>130</v>
      </c>
      <c r="E711" t="s">
        <v>1596</v>
      </c>
      <c r="F711">
        <v>17100</v>
      </c>
    </row>
    <row r="712" spans="1:6">
      <c r="A712" s="15">
        <v>45274</v>
      </c>
      <c r="B712" t="s">
        <v>863</v>
      </c>
      <c r="C712" t="s">
        <v>65</v>
      </c>
      <c r="D712" t="s">
        <v>70</v>
      </c>
      <c r="E712" t="s">
        <v>1672</v>
      </c>
      <c r="F712">
        <v>0</v>
      </c>
    </row>
    <row r="713" spans="1:6">
      <c r="A713" s="15">
        <v>45282</v>
      </c>
      <c r="B713" t="s">
        <v>863</v>
      </c>
      <c r="C713" t="s">
        <v>515</v>
      </c>
      <c r="D713" t="s">
        <v>632</v>
      </c>
      <c r="E713" t="s">
        <v>993</v>
      </c>
      <c r="F713">
        <v>500</v>
      </c>
    </row>
    <row r="714" spans="1:6">
      <c r="A714" s="15">
        <v>45282</v>
      </c>
      <c r="B714" t="s">
        <v>863</v>
      </c>
      <c r="C714" t="s">
        <v>30</v>
      </c>
      <c r="D714" t="s">
        <v>632</v>
      </c>
      <c r="E714" t="s">
        <v>993</v>
      </c>
      <c r="F714">
        <v>0</v>
      </c>
    </row>
    <row r="715" spans="1:6">
      <c r="A715" s="15">
        <v>45282</v>
      </c>
      <c r="B715" t="s">
        <v>663</v>
      </c>
      <c r="C715" t="s">
        <v>941</v>
      </c>
      <c r="D715" t="s">
        <v>70</v>
      </c>
      <c r="E715" t="s">
        <v>1777</v>
      </c>
      <c r="F715">
        <v>39390</v>
      </c>
    </row>
    <row r="716" spans="1:6">
      <c r="A716" s="15">
        <v>45282</v>
      </c>
      <c r="B716" t="s">
        <v>1734</v>
      </c>
      <c r="C716" t="s">
        <v>968</v>
      </c>
      <c r="D716" t="s">
        <v>632</v>
      </c>
      <c r="E716" t="s">
        <v>993</v>
      </c>
      <c r="F716">
        <v>1500</v>
      </c>
    </row>
    <row r="717" spans="1:6">
      <c r="A717" s="15">
        <v>45285</v>
      </c>
      <c r="B717" t="s">
        <v>863</v>
      </c>
      <c r="C717" t="s">
        <v>30</v>
      </c>
      <c r="D717" t="s">
        <v>632</v>
      </c>
      <c r="E717" t="s">
        <v>993</v>
      </c>
      <c r="F717">
        <v>0</v>
      </c>
    </row>
    <row r="718" spans="1:6">
      <c r="A718" s="15">
        <v>45295</v>
      </c>
      <c r="B718" t="s">
        <v>863</v>
      </c>
      <c r="C718" t="s">
        <v>133</v>
      </c>
      <c r="D718" t="s">
        <v>130</v>
      </c>
      <c r="E718" t="s">
        <v>1596</v>
      </c>
      <c r="F718">
        <v>27999</v>
      </c>
    </row>
    <row r="719" spans="1:6">
      <c r="A719" s="15">
        <v>45296</v>
      </c>
      <c r="B719" t="s">
        <v>863</v>
      </c>
      <c r="C719" t="s">
        <v>941</v>
      </c>
      <c r="D719" t="s">
        <v>70</v>
      </c>
      <c r="E719" t="s">
        <v>1777</v>
      </c>
      <c r="F719">
        <v>27999</v>
      </c>
    </row>
    <row r="720" spans="1:6">
      <c r="A720" s="15">
        <v>45299</v>
      </c>
      <c r="B720" t="s">
        <v>863</v>
      </c>
      <c r="C720" t="s">
        <v>65</v>
      </c>
      <c r="D720" t="s">
        <v>70</v>
      </c>
      <c r="E720" t="s">
        <v>1777</v>
      </c>
      <c r="F720">
        <v>0</v>
      </c>
    </row>
    <row r="721" spans="1:6">
      <c r="A721" s="15">
        <v>45299</v>
      </c>
      <c r="B721" t="s">
        <v>2680</v>
      </c>
      <c r="C721" t="s">
        <v>515</v>
      </c>
      <c r="D721" t="s">
        <v>632</v>
      </c>
      <c r="E721" t="s">
        <v>450</v>
      </c>
      <c r="F721">
        <v>500</v>
      </c>
    </row>
    <row r="722" spans="1:6">
      <c r="A722" s="15">
        <v>45300</v>
      </c>
      <c r="B722" t="s">
        <v>863</v>
      </c>
      <c r="C722" t="s">
        <v>133</v>
      </c>
      <c r="D722" t="s">
        <v>130</v>
      </c>
      <c r="E722" t="s">
        <v>1596</v>
      </c>
      <c r="F722">
        <v>47850</v>
      </c>
    </row>
    <row r="723" spans="1:6">
      <c r="A723" s="15">
        <v>45300</v>
      </c>
      <c r="B723" t="s">
        <v>863</v>
      </c>
      <c r="C723" t="s">
        <v>941</v>
      </c>
      <c r="D723" t="s">
        <v>70</v>
      </c>
      <c r="E723" t="s">
        <v>1777</v>
      </c>
      <c r="F723">
        <v>0</v>
      </c>
    </row>
    <row r="724" spans="1:6">
      <c r="A724" s="15">
        <v>45300</v>
      </c>
      <c r="B724" t="s">
        <v>863</v>
      </c>
      <c r="C724" t="s">
        <v>30</v>
      </c>
      <c r="D724" t="s">
        <v>632</v>
      </c>
      <c r="E724" t="s">
        <v>450</v>
      </c>
      <c r="F724">
        <v>0</v>
      </c>
    </row>
    <row r="725" spans="1:6">
      <c r="A725" s="15">
        <v>45302</v>
      </c>
      <c r="B725" t="s">
        <v>1801</v>
      </c>
      <c r="C725" t="s">
        <v>30</v>
      </c>
      <c r="D725" t="s">
        <v>632</v>
      </c>
      <c r="E725" t="s">
        <v>450</v>
      </c>
      <c r="F725">
        <v>30000</v>
      </c>
    </row>
    <row r="726" spans="1:6">
      <c r="A726" s="15">
        <v>45306</v>
      </c>
      <c r="B726" t="s">
        <v>1343</v>
      </c>
      <c r="C726" t="s">
        <v>30</v>
      </c>
      <c r="D726" t="s">
        <v>632</v>
      </c>
      <c r="E726" t="s">
        <v>450</v>
      </c>
      <c r="F726">
        <v>0</v>
      </c>
    </row>
    <row r="727" spans="1:6">
      <c r="A727" s="15">
        <v>45306</v>
      </c>
      <c r="B727" t="s">
        <v>863</v>
      </c>
      <c r="C727" t="s">
        <v>133</v>
      </c>
      <c r="D727" t="s">
        <v>130</v>
      </c>
      <c r="E727" t="s">
        <v>1596</v>
      </c>
      <c r="F727">
        <v>0</v>
      </c>
    </row>
    <row r="728" spans="1:6">
      <c r="A728" s="15">
        <v>45306</v>
      </c>
      <c r="B728" t="s">
        <v>863</v>
      </c>
      <c r="C728" t="s">
        <v>30</v>
      </c>
      <c r="D728" t="s">
        <v>632</v>
      </c>
      <c r="E728" t="s">
        <v>450</v>
      </c>
      <c r="F728">
        <v>0</v>
      </c>
    </row>
    <row r="729" spans="1:6">
      <c r="A729" s="15">
        <v>45307</v>
      </c>
      <c r="B729" t="s">
        <v>863</v>
      </c>
      <c r="C729" t="s">
        <v>65</v>
      </c>
      <c r="D729" t="s">
        <v>70</v>
      </c>
      <c r="E729" t="s">
        <v>1817</v>
      </c>
      <c r="F729">
        <v>92050</v>
      </c>
    </row>
    <row r="730" spans="1:6">
      <c r="A730" s="15">
        <v>45307</v>
      </c>
      <c r="B730" t="s">
        <v>863</v>
      </c>
      <c r="C730" t="s">
        <v>941</v>
      </c>
      <c r="D730" t="s">
        <v>70</v>
      </c>
      <c r="E730" t="s">
        <v>1817</v>
      </c>
      <c r="F730">
        <v>0</v>
      </c>
    </row>
    <row r="731" spans="1:6">
      <c r="A731" s="15">
        <v>45308</v>
      </c>
      <c r="B731" t="s">
        <v>1801</v>
      </c>
      <c r="C731" t="s">
        <v>133</v>
      </c>
      <c r="D731" t="s">
        <v>130</v>
      </c>
      <c r="E731" t="s">
        <v>1596</v>
      </c>
      <c r="F731">
        <v>32000</v>
      </c>
    </row>
    <row r="732" spans="1:6">
      <c r="A732" s="15">
        <v>45309</v>
      </c>
      <c r="B732" t="s">
        <v>863</v>
      </c>
      <c r="C732" t="s">
        <v>133</v>
      </c>
      <c r="D732" t="s">
        <v>130</v>
      </c>
      <c r="E732" t="s">
        <v>1596</v>
      </c>
      <c r="F732">
        <v>0</v>
      </c>
    </row>
    <row r="733" spans="1:6">
      <c r="A733" s="15">
        <v>45309</v>
      </c>
      <c r="B733" t="s">
        <v>2680</v>
      </c>
      <c r="C733" t="s">
        <v>515</v>
      </c>
      <c r="D733" t="s">
        <v>632</v>
      </c>
      <c r="E733" t="s">
        <v>450</v>
      </c>
      <c r="F733">
        <v>500</v>
      </c>
    </row>
    <row r="734" spans="1:6">
      <c r="A734" s="15">
        <v>45310</v>
      </c>
      <c r="B734" t="s">
        <v>863</v>
      </c>
      <c r="C734" t="s">
        <v>30</v>
      </c>
      <c r="D734" t="s">
        <v>632</v>
      </c>
      <c r="E734" t="s">
        <v>993</v>
      </c>
      <c r="F734">
        <v>0</v>
      </c>
    </row>
    <row r="735" spans="1:6">
      <c r="A735" s="15">
        <v>45313</v>
      </c>
      <c r="B735" t="s">
        <v>2680</v>
      </c>
      <c r="C735" t="s">
        <v>515</v>
      </c>
      <c r="D735" t="s">
        <v>632</v>
      </c>
      <c r="E735" t="s">
        <v>450</v>
      </c>
      <c r="F735">
        <v>500</v>
      </c>
    </row>
    <row r="736" spans="1:6">
      <c r="A736" s="15">
        <v>45314</v>
      </c>
      <c r="B736" t="s">
        <v>863</v>
      </c>
      <c r="C736" t="s">
        <v>30</v>
      </c>
      <c r="D736" t="s">
        <v>632</v>
      </c>
      <c r="E736" t="s">
        <v>450</v>
      </c>
      <c r="F736">
        <v>0</v>
      </c>
    </row>
    <row r="737" spans="1:6">
      <c r="A737" s="15">
        <v>45320</v>
      </c>
      <c r="B737" t="s">
        <v>863</v>
      </c>
      <c r="C737" t="s">
        <v>133</v>
      </c>
      <c r="D737" t="s">
        <v>130</v>
      </c>
      <c r="E737" t="s">
        <v>1596</v>
      </c>
      <c r="F737">
        <v>121475</v>
      </c>
    </row>
    <row r="738" spans="1:6">
      <c r="A738" s="15">
        <v>45321</v>
      </c>
      <c r="B738" t="s">
        <v>863</v>
      </c>
      <c r="C738" t="s">
        <v>133</v>
      </c>
      <c r="D738" t="s">
        <v>130</v>
      </c>
      <c r="E738" t="s">
        <v>1596</v>
      </c>
      <c r="F738">
        <v>0</v>
      </c>
    </row>
    <row r="739" spans="1:6">
      <c r="A739" s="15">
        <v>45321</v>
      </c>
      <c r="B739" t="s">
        <v>863</v>
      </c>
      <c r="C739" t="s">
        <v>941</v>
      </c>
      <c r="D739" t="s">
        <v>70</v>
      </c>
      <c r="E739" t="s">
        <v>1817</v>
      </c>
      <c r="F739">
        <v>0</v>
      </c>
    </row>
    <row r="740" spans="1:6">
      <c r="A740" s="15">
        <v>45322</v>
      </c>
      <c r="B740" t="s">
        <v>2680</v>
      </c>
      <c r="C740" t="s">
        <v>515</v>
      </c>
      <c r="D740" t="s">
        <v>632</v>
      </c>
      <c r="E740" t="s">
        <v>450</v>
      </c>
      <c r="F740">
        <v>500</v>
      </c>
    </row>
    <row r="741" spans="1:6">
      <c r="A741" s="15">
        <v>45327</v>
      </c>
      <c r="B741" t="s">
        <v>863</v>
      </c>
      <c r="C741" t="s">
        <v>30</v>
      </c>
      <c r="D741" t="s">
        <v>632</v>
      </c>
      <c r="E741" t="s">
        <v>450</v>
      </c>
      <c r="F741">
        <v>20000</v>
      </c>
    </row>
    <row r="742" spans="1:6">
      <c r="A742" s="15">
        <v>45327</v>
      </c>
      <c r="B742" t="s">
        <v>2680</v>
      </c>
      <c r="C742" t="s">
        <v>515</v>
      </c>
      <c r="D742" t="s">
        <v>632</v>
      </c>
      <c r="E742" t="s">
        <v>450</v>
      </c>
      <c r="F742">
        <v>500</v>
      </c>
    </row>
    <row r="743" spans="1:6">
      <c r="A743" s="15">
        <v>45340</v>
      </c>
      <c r="B743" t="s">
        <v>1852</v>
      </c>
      <c r="C743" t="s">
        <v>65</v>
      </c>
      <c r="D743" t="s">
        <v>70</v>
      </c>
      <c r="E743" t="s">
        <v>1817</v>
      </c>
      <c r="F743">
        <v>0</v>
      </c>
    </row>
    <row r="744" spans="1:6">
      <c r="A744" s="15">
        <v>45340</v>
      </c>
      <c r="B744" t="s">
        <v>863</v>
      </c>
      <c r="C744" t="s">
        <v>30</v>
      </c>
      <c r="D744" t="s">
        <v>632</v>
      </c>
      <c r="E744" t="s">
        <v>450</v>
      </c>
      <c r="F744">
        <v>0</v>
      </c>
    </row>
    <row r="745" spans="1:6">
      <c r="A745" s="15">
        <v>45341</v>
      </c>
      <c r="B745" t="s">
        <v>863</v>
      </c>
      <c r="C745" t="s">
        <v>941</v>
      </c>
      <c r="D745" t="s">
        <v>70</v>
      </c>
      <c r="E745" t="s">
        <v>1817</v>
      </c>
      <c r="F745">
        <v>0</v>
      </c>
    </row>
    <row r="746" spans="1:6">
      <c r="A746" s="15">
        <v>45342</v>
      </c>
      <c r="B746" t="s">
        <v>863</v>
      </c>
      <c r="C746" t="s">
        <v>133</v>
      </c>
      <c r="D746" t="s">
        <v>130</v>
      </c>
      <c r="E746" t="s">
        <v>1596</v>
      </c>
      <c r="F746">
        <v>13500</v>
      </c>
    </row>
    <row r="747" spans="1:6">
      <c r="A747" s="15">
        <v>45343</v>
      </c>
      <c r="B747" t="s">
        <v>863</v>
      </c>
      <c r="C747" t="s">
        <v>941</v>
      </c>
      <c r="D747" t="s">
        <v>70</v>
      </c>
      <c r="E747" t="s">
        <v>1817</v>
      </c>
      <c r="F747">
        <v>0</v>
      </c>
    </row>
    <row r="748" spans="1:6">
      <c r="A748" s="15">
        <v>45345</v>
      </c>
      <c r="B748" t="s">
        <v>1864</v>
      </c>
      <c r="C748" t="s">
        <v>941</v>
      </c>
      <c r="D748" t="s">
        <v>70</v>
      </c>
      <c r="E748" t="s">
        <v>1817</v>
      </c>
      <c r="F748">
        <v>88500</v>
      </c>
    </row>
    <row r="749" spans="1:6">
      <c r="A749" s="15">
        <v>45345</v>
      </c>
      <c r="B749" t="s">
        <v>663</v>
      </c>
      <c r="C749" t="s">
        <v>941</v>
      </c>
      <c r="D749" t="s">
        <v>70</v>
      </c>
      <c r="E749" t="s">
        <v>1817</v>
      </c>
      <c r="F749">
        <v>27200</v>
      </c>
    </row>
    <row r="750" spans="1:6">
      <c r="A750" s="15">
        <v>45350</v>
      </c>
      <c r="B750" t="s">
        <v>863</v>
      </c>
      <c r="C750" t="s">
        <v>133</v>
      </c>
      <c r="D750" t="s">
        <v>130</v>
      </c>
      <c r="E750" t="s">
        <v>1596</v>
      </c>
      <c r="F750">
        <v>0</v>
      </c>
    </row>
    <row r="751" spans="1:6">
      <c r="A751" s="15">
        <v>45351</v>
      </c>
      <c r="B751" t="s">
        <v>863</v>
      </c>
      <c r="C751" t="s">
        <v>65</v>
      </c>
      <c r="D751" t="s">
        <v>1875</v>
      </c>
      <c r="E751" t="s">
        <v>1876</v>
      </c>
      <c r="F751">
        <v>29000</v>
      </c>
    </row>
    <row r="752" spans="1:6">
      <c r="A752" s="15">
        <v>45355</v>
      </c>
      <c r="B752" t="s">
        <v>1318</v>
      </c>
      <c r="C752" t="s">
        <v>30</v>
      </c>
      <c r="D752" t="s">
        <v>632</v>
      </c>
      <c r="E752" t="s">
        <v>450</v>
      </c>
      <c r="F752">
        <v>0</v>
      </c>
    </row>
    <row r="753" spans="1:6">
      <c r="A753" s="15">
        <v>45355</v>
      </c>
      <c r="B753" t="s">
        <v>863</v>
      </c>
      <c r="C753" t="s">
        <v>941</v>
      </c>
      <c r="D753" t="s">
        <v>70</v>
      </c>
      <c r="E753" t="s">
        <v>1817</v>
      </c>
      <c r="F753">
        <v>0</v>
      </c>
    </row>
    <row r="754" spans="1:6">
      <c r="A754" s="15">
        <v>45355</v>
      </c>
      <c r="B754" t="s">
        <v>222</v>
      </c>
      <c r="C754" t="s">
        <v>65</v>
      </c>
      <c r="D754" t="s">
        <v>1875</v>
      </c>
      <c r="E754" t="s">
        <v>1876</v>
      </c>
      <c r="F754">
        <v>0</v>
      </c>
    </row>
    <row r="755" spans="1:6">
      <c r="A755" s="15">
        <v>45356</v>
      </c>
      <c r="B755" t="s">
        <v>1903</v>
      </c>
      <c r="C755" t="s">
        <v>941</v>
      </c>
      <c r="D755" t="s">
        <v>2680</v>
      </c>
      <c r="E755" t="s">
        <v>2680</v>
      </c>
      <c r="F755">
        <v>47850</v>
      </c>
    </row>
    <row r="756" spans="1:6">
      <c r="A756" s="15">
        <v>45356</v>
      </c>
      <c r="B756" t="s">
        <v>138</v>
      </c>
      <c r="C756" t="s">
        <v>65</v>
      </c>
      <c r="D756" t="s">
        <v>1875</v>
      </c>
      <c r="E756" t="s">
        <v>1876</v>
      </c>
      <c r="F756">
        <v>0</v>
      </c>
    </row>
    <row r="757" spans="1:6">
      <c r="A757" s="15">
        <v>45357</v>
      </c>
      <c r="B757" t="s">
        <v>1413</v>
      </c>
      <c r="C757" t="s">
        <v>515</v>
      </c>
      <c r="D757" t="s">
        <v>632</v>
      </c>
      <c r="E757" t="s">
        <v>450</v>
      </c>
      <c r="F757">
        <v>500</v>
      </c>
    </row>
    <row r="758" spans="1:6">
      <c r="A758" s="15">
        <v>45357</v>
      </c>
      <c r="B758" t="s">
        <v>1888</v>
      </c>
      <c r="C758" t="s">
        <v>515</v>
      </c>
      <c r="D758" t="s">
        <v>632</v>
      </c>
      <c r="E758" t="s">
        <v>450</v>
      </c>
      <c r="F758">
        <v>500</v>
      </c>
    </row>
    <row r="759" spans="1:6">
      <c r="A759" s="15">
        <v>45358</v>
      </c>
      <c r="B759" t="s">
        <v>863</v>
      </c>
      <c r="C759" t="s">
        <v>133</v>
      </c>
      <c r="D759" t="s">
        <v>130</v>
      </c>
      <c r="E759" t="s">
        <v>1596</v>
      </c>
      <c r="F759">
        <v>13000</v>
      </c>
    </row>
    <row r="760" spans="1:6">
      <c r="A760" s="15">
        <v>45359</v>
      </c>
      <c r="B760" t="s">
        <v>863</v>
      </c>
      <c r="C760" t="s">
        <v>65</v>
      </c>
      <c r="D760" t="s">
        <v>1875</v>
      </c>
      <c r="E760" t="s">
        <v>1876</v>
      </c>
      <c r="F760">
        <v>13000</v>
      </c>
    </row>
    <row r="761" spans="1:6">
      <c r="A761" s="15">
        <v>45359</v>
      </c>
      <c r="B761" t="s">
        <v>863</v>
      </c>
      <c r="C761" t="s">
        <v>941</v>
      </c>
      <c r="D761" t="s">
        <v>1875</v>
      </c>
      <c r="E761" t="s">
        <v>1876</v>
      </c>
      <c r="F761">
        <v>13000</v>
      </c>
    </row>
    <row r="762" spans="1:6">
      <c r="A762" s="15">
        <v>45362</v>
      </c>
      <c r="B762" t="s">
        <v>1885</v>
      </c>
      <c r="C762" t="s">
        <v>30</v>
      </c>
      <c r="D762" t="s">
        <v>632</v>
      </c>
      <c r="E762" t="s">
        <v>450</v>
      </c>
      <c r="F762">
        <v>0</v>
      </c>
    </row>
    <row r="763" spans="1:6">
      <c r="A763" s="15">
        <v>45365</v>
      </c>
      <c r="B763" t="s">
        <v>863</v>
      </c>
      <c r="C763" t="s">
        <v>133</v>
      </c>
      <c r="D763" t="s">
        <v>130</v>
      </c>
      <c r="E763" t="s">
        <v>1596</v>
      </c>
      <c r="F763">
        <v>65500</v>
      </c>
    </row>
    <row r="764" spans="1:6">
      <c r="A764" s="15">
        <v>45366</v>
      </c>
      <c r="B764" t="s">
        <v>1864</v>
      </c>
      <c r="C764" t="s">
        <v>941</v>
      </c>
      <c r="D764" t="s">
        <v>1875</v>
      </c>
      <c r="E764" t="s">
        <v>1896</v>
      </c>
      <c r="F764">
        <v>65500</v>
      </c>
    </row>
    <row r="765" spans="1:6">
      <c r="A765" s="15">
        <v>45366</v>
      </c>
      <c r="B765" t="s">
        <v>1888</v>
      </c>
      <c r="C765" t="s">
        <v>30</v>
      </c>
      <c r="D765" t="s">
        <v>632</v>
      </c>
      <c r="E765" t="s">
        <v>450</v>
      </c>
      <c r="F765">
        <v>0</v>
      </c>
    </row>
    <row r="766" spans="1:6">
      <c r="A766" s="15">
        <v>45369</v>
      </c>
      <c r="B766" t="s">
        <v>863</v>
      </c>
      <c r="C766" t="s">
        <v>65</v>
      </c>
      <c r="D766" t="s">
        <v>1875</v>
      </c>
      <c r="E766" t="s">
        <v>1876</v>
      </c>
      <c r="F766">
        <v>66000</v>
      </c>
    </row>
    <row r="767" spans="1:6">
      <c r="A767" s="15">
        <v>45370</v>
      </c>
      <c r="B767" t="s">
        <v>1900</v>
      </c>
      <c r="C767" t="s">
        <v>515</v>
      </c>
      <c r="D767" t="s">
        <v>632</v>
      </c>
      <c r="E767" t="s">
        <v>450</v>
      </c>
      <c r="F767">
        <v>500</v>
      </c>
    </row>
    <row r="768" spans="1:6">
      <c r="A768" s="15">
        <v>45371</v>
      </c>
      <c r="B768" t="s">
        <v>863</v>
      </c>
      <c r="C768" t="s">
        <v>30</v>
      </c>
      <c r="D768" t="s">
        <v>632</v>
      </c>
      <c r="E768" t="s">
        <v>450</v>
      </c>
      <c r="F768">
        <v>0</v>
      </c>
    </row>
    <row r="769" spans="1:6">
      <c r="A769" s="15">
        <v>45373</v>
      </c>
      <c r="B769" t="s">
        <v>1900</v>
      </c>
      <c r="C769" t="s">
        <v>30</v>
      </c>
      <c r="D769" t="s">
        <v>632</v>
      </c>
      <c r="E769" t="s">
        <v>450</v>
      </c>
      <c r="F769">
        <v>0</v>
      </c>
    </row>
    <row r="770" spans="1:6">
      <c r="A770" s="15">
        <v>45377</v>
      </c>
      <c r="B770" t="s">
        <v>912</v>
      </c>
      <c r="C770" t="s">
        <v>515</v>
      </c>
      <c r="D770" t="s">
        <v>632</v>
      </c>
      <c r="E770" t="s">
        <v>450</v>
      </c>
      <c r="F770">
        <v>200</v>
      </c>
    </row>
    <row r="771" spans="1:6">
      <c r="A771" s="15">
        <v>45378</v>
      </c>
      <c r="B771" t="s">
        <v>863</v>
      </c>
      <c r="C771" t="s">
        <v>65</v>
      </c>
      <c r="D771" t="s">
        <v>1875</v>
      </c>
      <c r="E771" t="s">
        <v>1876</v>
      </c>
      <c r="F771">
        <v>48000</v>
      </c>
    </row>
    <row r="772" spans="1:6">
      <c r="A772" s="15">
        <v>45380</v>
      </c>
      <c r="B772" t="s">
        <v>912</v>
      </c>
      <c r="C772" t="s">
        <v>30</v>
      </c>
      <c r="D772" t="s">
        <v>632</v>
      </c>
      <c r="E772" t="s">
        <v>450</v>
      </c>
      <c r="F772">
        <v>0</v>
      </c>
    </row>
    <row r="773" spans="1:6">
      <c r="A773" s="15">
        <v>45389</v>
      </c>
      <c r="B773" t="s">
        <v>851</v>
      </c>
      <c r="C773" t="s">
        <v>30</v>
      </c>
      <c r="D773" t="s">
        <v>632</v>
      </c>
      <c r="E773" t="s">
        <v>450</v>
      </c>
      <c r="F773">
        <v>0</v>
      </c>
    </row>
    <row r="774" spans="1:6">
      <c r="A774" s="15">
        <v>45390</v>
      </c>
      <c r="B774" t="s">
        <v>1413</v>
      </c>
      <c r="C774" t="s">
        <v>515</v>
      </c>
      <c r="D774" t="s">
        <v>632</v>
      </c>
      <c r="E774" t="s">
        <v>450</v>
      </c>
      <c r="F774">
        <v>500</v>
      </c>
    </row>
    <row r="775" spans="1:6">
      <c r="A775" s="15">
        <v>45391</v>
      </c>
      <c r="B775" t="s">
        <v>863</v>
      </c>
      <c r="C775" t="s">
        <v>65</v>
      </c>
      <c r="D775" t="s">
        <v>1875</v>
      </c>
      <c r="E775" t="s">
        <v>1876</v>
      </c>
      <c r="F775">
        <v>3000</v>
      </c>
    </row>
    <row r="776" spans="1:6">
      <c r="A776" s="15">
        <v>45391</v>
      </c>
      <c r="B776" t="s">
        <v>863</v>
      </c>
      <c r="C776" t="s">
        <v>941</v>
      </c>
      <c r="D776" t="s">
        <v>1875</v>
      </c>
      <c r="E776" t="s">
        <v>1876</v>
      </c>
      <c r="F776">
        <v>0</v>
      </c>
    </row>
    <row r="777" spans="1:6">
      <c r="A777" s="15">
        <v>45392</v>
      </c>
      <c r="B777" t="s">
        <v>863</v>
      </c>
      <c r="C777" t="s">
        <v>65</v>
      </c>
      <c r="D777" t="s">
        <v>1875</v>
      </c>
      <c r="E777" t="s">
        <v>1876</v>
      </c>
      <c r="F777">
        <v>21000</v>
      </c>
    </row>
    <row r="778" spans="1:6">
      <c r="A778" s="15">
        <v>45392</v>
      </c>
      <c r="B778" t="s">
        <v>863</v>
      </c>
      <c r="C778" t="s">
        <v>133</v>
      </c>
      <c r="D778" t="s">
        <v>130</v>
      </c>
      <c r="E778" t="s">
        <v>1920</v>
      </c>
      <c r="F778">
        <v>0</v>
      </c>
    </row>
    <row r="779" spans="1:6">
      <c r="A779" s="15">
        <v>45393</v>
      </c>
      <c r="B779" t="s">
        <v>863</v>
      </c>
      <c r="C779" t="s">
        <v>941</v>
      </c>
      <c r="D779" t="s">
        <v>1875</v>
      </c>
      <c r="E779" t="s">
        <v>1876</v>
      </c>
      <c r="F779">
        <v>180044</v>
      </c>
    </row>
    <row r="780" spans="1:6">
      <c r="A780" s="15">
        <v>45394</v>
      </c>
      <c r="B780" t="s">
        <v>863</v>
      </c>
      <c r="C780" t="s">
        <v>133</v>
      </c>
      <c r="D780" t="s">
        <v>130</v>
      </c>
      <c r="E780" t="s">
        <v>1920</v>
      </c>
      <c r="F780">
        <v>0</v>
      </c>
    </row>
    <row r="781" spans="1:6">
      <c r="A781" s="15">
        <v>45394</v>
      </c>
      <c r="B781" t="s">
        <v>797</v>
      </c>
      <c r="C781" t="s">
        <v>65</v>
      </c>
      <c r="D781" t="s">
        <v>70</v>
      </c>
      <c r="E781" t="s">
        <v>1088</v>
      </c>
      <c r="F781">
        <v>10000</v>
      </c>
    </row>
    <row r="782" spans="1:6">
      <c r="A782" s="15">
        <v>45395</v>
      </c>
      <c r="B782" t="s">
        <v>797</v>
      </c>
      <c r="C782" t="s">
        <v>65</v>
      </c>
      <c r="D782" t="s">
        <v>1929</v>
      </c>
      <c r="E782" t="s">
        <v>450</v>
      </c>
      <c r="F782">
        <v>5000</v>
      </c>
    </row>
    <row r="783" spans="1:6">
      <c r="A783" s="15">
        <v>45398</v>
      </c>
      <c r="B783" t="s">
        <v>222</v>
      </c>
      <c r="C783" t="s">
        <v>65</v>
      </c>
      <c r="D783" t="s">
        <v>70</v>
      </c>
      <c r="E783" t="s">
        <v>1933</v>
      </c>
      <c r="F783">
        <v>2000</v>
      </c>
    </row>
    <row r="784" spans="1:6">
      <c r="A784" s="15">
        <v>45398</v>
      </c>
      <c r="B784" t="s">
        <v>1413</v>
      </c>
      <c r="C784" t="s">
        <v>515</v>
      </c>
      <c r="D784" t="s">
        <v>632</v>
      </c>
      <c r="E784" t="s">
        <v>450</v>
      </c>
      <c r="F784">
        <v>500</v>
      </c>
    </row>
    <row r="785" spans="1:6">
      <c r="A785" s="15">
        <v>45399</v>
      </c>
      <c r="B785" t="s">
        <v>1939</v>
      </c>
      <c r="C785" t="s">
        <v>515</v>
      </c>
      <c r="D785" t="s">
        <v>632</v>
      </c>
      <c r="E785" t="s">
        <v>450</v>
      </c>
      <c r="F785">
        <v>1200</v>
      </c>
    </row>
    <row r="786" spans="1:6">
      <c r="A786" s="15">
        <v>45400</v>
      </c>
      <c r="B786" t="s">
        <v>1665</v>
      </c>
      <c r="C786" t="s">
        <v>515</v>
      </c>
      <c r="D786" t="s">
        <v>632</v>
      </c>
      <c r="E786" t="s">
        <v>450</v>
      </c>
      <c r="F786">
        <v>200</v>
      </c>
    </row>
    <row r="787" spans="1:6">
      <c r="A787" s="15">
        <v>45400</v>
      </c>
      <c r="B787" t="s">
        <v>1665</v>
      </c>
      <c r="C787" t="s">
        <v>30</v>
      </c>
      <c r="D787" t="s">
        <v>632</v>
      </c>
      <c r="E787" t="s">
        <v>450</v>
      </c>
      <c r="F787">
        <v>0</v>
      </c>
    </row>
    <row r="788" spans="1:6">
      <c r="A788" s="15">
        <v>45400</v>
      </c>
      <c r="B788" t="s">
        <v>863</v>
      </c>
      <c r="C788" t="s">
        <v>65</v>
      </c>
      <c r="D788" t="s">
        <v>1875</v>
      </c>
      <c r="E788" t="s">
        <v>1876</v>
      </c>
      <c r="F788">
        <v>180000</v>
      </c>
    </row>
    <row r="789" spans="1:6">
      <c r="A789" s="15">
        <v>45407</v>
      </c>
      <c r="B789" t="s">
        <v>863</v>
      </c>
      <c r="C789" t="s">
        <v>65</v>
      </c>
      <c r="D789" t="s">
        <v>1875</v>
      </c>
      <c r="E789" t="s">
        <v>1876</v>
      </c>
      <c r="F789">
        <v>23000</v>
      </c>
    </row>
    <row r="790" spans="1:6">
      <c r="A790" s="15">
        <v>45409</v>
      </c>
      <c r="B790" t="s">
        <v>863</v>
      </c>
      <c r="C790" t="s">
        <v>65</v>
      </c>
      <c r="D790" t="s">
        <v>1875</v>
      </c>
      <c r="E790" t="s">
        <v>1876</v>
      </c>
      <c r="F790">
        <v>0</v>
      </c>
    </row>
    <row r="791" spans="1:6">
      <c r="A791" s="15">
        <v>45411</v>
      </c>
      <c r="B791" t="s">
        <v>863</v>
      </c>
      <c r="C791" t="s">
        <v>65</v>
      </c>
      <c r="D791" t="s">
        <v>1875</v>
      </c>
      <c r="E791" t="s">
        <v>1876</v>
      </c>
      <c r="F791">
        <v>0</v>
      </c>
    </row>
    <row r="792" spans="1:6">
      <c r="A792" s="15">
        <v>45412</v>
      </c>
      <c r="B792" t="s">
        <v>1939</v>
      </c>
      <c r="C792" t="s">
        <v>30</v>
      </c>
      <c r="D792" t="s">
        <v>632</v>
      </c>
      <c r="E792" t="s">
        <v>450</v>
      </c>
      <c r="F792">
        <v>0</v>
      </c>
    </row>
    <row r="793" spans="1:6">
      <c r="A793" s="15">
        <v>45417</v>
      </c>
      <c r="B793" t="s">
        <v>851</v>
      </c>
      <c r="C793" t="s">
        <v>30</v>
      </c>
      <c r="D793" t="s">
        <v>632</v>
      </c>
      <c r="E793" t="s">
        <v>450</v>
      </c>
      <c r="F793">
        <v>0</v>
      </c>
    </row>
    <row r="794" spans="1:6">
      <c r="A794" s="15">
        <v>45418</v>
      </c>
      <c r="B794" t="s">
        <v>1900</v>
      </c>
      <c r="C794" t="s">
        <v>30</v>
      </c>
      <c r="D794" t="s">
        <v>632</v>
      </c>
      <c r="E794" t="s">
        <v>450</v>
      </c>
      <c r="F794">
        <v>0</v>
      </c>
    </row>
    <row r="795" spans="1:6">
      <c r="A795" s="15">
        <v>45420</v>
      </c>
      <c r="B795" t="s">
        <v>863</v>
      </c>
      <c r="C795" t="s">
        <v>133</v>
      </c>
      <c r="D795" t="s">
        <v>130</v>
      </c>
      <c r="E795" t="s">
        <v>1963</v>
      </c>
      <c r="F795">
        <v>14300</v>
      </c>
    </row>
    <row r="796" spans="1:6">
      <c r="A796" s="15">
        <v>45423</v>
      </c>
      <c r="B796" t="s">
        <v>863</v>
      </c>
      <c r="C796" t="s">
        <v>65</v>
      </c>
      <c r="D796" t="s">
        <v>1875</v>
      </c>
      <c r="E796" t="s">
        <v>1876</v>
      </c>
      <c r="F796">
        <v>15000</v>
      </c>
    </row>
    <row r="797" spans="1:6">
      <c r="A797" s="15">
        <v>45423</v>
      </c>
      <c r="B797" t="s">
        <v>863</v>
      </c>
      <c r="C797" t="s">
        <v>753</v>
      </c>
      <c r="D797" t="s">
        <v>1875</v>
      </c>
      <c r="E797" t="s">
        <v>1876</v>
      </c>
      <c r="F797">
        <v>14300</v>
      </c>
    </row>
    <row r="798" spans="1:6">
      <c r="A798" s="15">
        <v>45427</v>
      </c>
      <c r="B798" t="s">
        <v>1900</v>
      </c>
      <c r="C798" t="s">
        <v>30</v>
      </c>
      <c r="D798" t="s">
        <v>632</v>
      </c>
      <c r="E798" t="s">
        <v>450</v>
      </c>
      <c r="F798">
        <v>0</v>
      </c>
    </row>
    <row r="799" spans="1:6">
      <c r="A799" s="15">
        <v>45429</v>
      </c>
      <c r="B799" t="s">
        <v>1970</v>
      </c>
      <c r="C799" t="s">
        <v>30</v>
      </c>
      <c r="D799" t="s">
        <v>632</v>
      </c>
      <c r="E799" t="s">
        <v>450</v>
      </c>
      <c r="F799">
        <v>0</v>
      </c>
    </row>
    <row r="800" spans="1:6">
      <c r="A800" s="15">
        <v>45432</v>
      </c>
      <c r="B800" t="s">
        <v>851</v>
      </c>
      <c r="C800" t="s">
        <v>30</v>
      </c>
      <c r="D800" t="s">
        <v>632</v>
      </c>
      <c r="E800" t="s">
        <v>450</v>
      </c>
      <c r="F800">
        <v>0</v>
      </c>
    </row>
    <row r="801" spans="1:6">
      <c r="A801" s="15">
        <v>45433</v>
      </c>
      <c r="B801" t="s">
        <v>1610</v>
      </c>
      <c r="C801" t="s">
        <v>65</v>
      </c>
      <c r="D801" t="s">
        <v>70</v>
      </c>
      <c r="E801" t="s">
        <v>1977</v>
      </c>
      <c r="F801">
        <v>5000</v>
      </c>
    </row>
    <row r="802" spans="1:6">
      <c r="A802" s="15">
        <v>45443</v>
      </c>
      <c r="B802" t="s">
        <v>90</v>
      </c>
      <c r="C802" t="s">
        <v>30</v>
      </c>
      <c r="D802" t="s">
        <v>632</v>
      </c>
      <c r="E802" t="s">
        <v>450</v>
      </c>
      <c r="F802">
        <v>50000</v>
      </c>
    </row>
    <row r="803" spans="1:6">
      <c r="A803" s="15">
        <v>45516</v>
      </c>
      <c r="B803" t="s">
        <v>863</v>
      </c>
      <c r="C803" t="s">
        <v>30</v>
      </c>
      <c r="D803" t="s">
        <v>632</v>
      </c>
      <c r="E803" t="s">
        <v>450</v>
      </c>
      <c r="F803">
        <v>0</v>
      </c>
    </row>
    <row r="804" spans="1:6">
      <c r="A804" s="15">
        <v>45520</v>
      </c>
      <c r="B804" t="s">
        <v>2009</v>
      </c>
      <c r="C804" t="s">
        <v>30</v>
      </c>
      <c r="D804" t="s">
        <v>632</v>
      </c>
      <c r="E804" t="s">
        <v>2008</v>
      </c>
      <c r="F804">
        <v>0</v>
      </c>
    </row>
    <row r="805" spans="1:6">
      <c r="A805" s="15">
        <v>45540</v>
      </c>
      <c r="B805" t="s">
        <v>863</v>
      </c>
      <c r="C805" t="s">
        <v>30</v>
      </c>
      <c r="D805" t="s">
        <v>632</v>
      </c>
      <c r="E805" t="s">
        <v>450</v>
      </c>
      <c r="F805">
        <v>0</v>
      </c>
    </row>
    <row r="806" spans="1:6">
      <c r="A806" s="15">
        <v>45545</v>
      </c>
      <c r="B806" t="s">
        <v>215</v>
      </c>
      <c r="C806" t="s">
        <v>30</v>
      </c>
      <c r="D806" t="s">
        <v>632</v>
      </c>
      <c r="E806" t="s">
        <v>450</v>
      </c>
      <c r="F806">
        <v>0</v>
      </c>
    </row>
    <row r="807" spans="1:6">
      <c r="A807" s="15">
        <v>45545</v>
      </c>
      <c r="B807" t="s">
        <v>1939</v>
      </c>
      <c r="C807" t="s">
        <v>30</v>
      </c>
      <c r="D807" t="s">
        <v>632</v>
      </c>
      <c r="E807" t="s">
        <v>450</v>
      </c>
      <c r="F807">
        <v>0</v>
      </c>
    </row>
    <row r="808" spans="1:6">
      <c r="A808" s="15">
        <v>45547</v>
      </c>
      <c r="B808" t="s">
        <v>2019</v>
      </c>
      <c r="C808" t="s">
        <v>30</v>
      </c>
      <c r="D808" t="s">
        <v>632</v>
      </c>
      <c r="E808" t="s">
        <v>450</v>
      </c>
      <c r="F808">
        <v>0</v>
      </c>
    </row>
    <row r="809" spans="1:6">
      <c r="A809" s="15">
        <v>45549</v>
      </c>
      <c r="B809" t="s">
        <v>1679</v>
      </c>
      <c r="C809" t="s">
        <v>133</v>
      </c>
      <c r="D809" t="s">
        <v>632</v>
      </c>
      <c r="E809" t="s">
        <v>450</v>
      </c>
      <c r="F809">
        <v>13161.69</v>
      </c>
    </row>
    <row r="810" spans="1:6">
      <c r="A810" s="15">
        <v>45555</v>
      </c>
      <c r="B810" t="s">
        <v>1679</v>
      </c>
      <c r="C810" t="s">
        <v>30</v>
      </c>
      <c r="D810" t="s">
        <v>70</v>
      </c>
      <c r="E810" t="s">
        <v>993</v>
      </c>
      <c r="F810">
        <v>0</v>
      </c>
    </row>
    <row r="811" spans="1:6">
      <c r="A811" s="15">
        <v>45556</v>
      </c>
      <c r="B811" t="s">
        <v>851</v>
      </c>
      <c r="C811" t="s">
        <v>30</v>
      </c>
      <c r="D811" t="s">
        <v>70</v>
      </c>
      <c r="E811" t="s">
        <v>993</v>
      </c>
      <c r="F811">
        <v>0</v>
      </c>
    </row>
    <row r="812" spans="1:6">
      <c r="A812" s="15">
        <v>45562</v>
      </c>
      <c r="B812" t="s">
        <v>863</v>
      </c>
      <c r="C812" t="s">
        <v>65</v>
      </c>
      <c r="D812" t="s">
        <v>70</v>
      </c>
      <c r="E812" t="s">
        <v>434</v>
      </c>
      <c r="F812">
        <v>35000</v>
      </c>
    </row>
    <row r="813" spans="1:6">
      <c r="A813" s="15">
        <v>45562</v>
      </c>
      <c r="B813" t="s">
        <v>863</v>
      </c>
      <c r="C813" t="s">
        <v>133</v>
      </c>
      <c r="D813" t="s">
        <v>130</v>
      </c>
      <c r="E813" t="s">
        <v>2029</v>
      </c>
      <c r="F813">
        <v>35000</v>
      </c>
    </row>
    <row r="814" spans="1:6">
      <c r="A814" s="15">
        <v>45562</v>
      </c>
      <c r="B814" t="s">
        <v>863</v>
      </c>
      <c r="C814" t="s">
        <v>941</v>
      </c>
      <c r="D814" t="s">
        <v>70</v>
      </c>
      <c r="E814" t="s">
        <v>434</v>
      </c>
      <c r="F814">
        <v>35000</v>
      </c>
    </row>
    <row r="815" spans="1:6">
      <c r="A815" s="15">
        <v>45564</v>
      </c>
      <c r="B815" t="s">
        <v>1315</v>
      </c>
      <c r="C815" t="s">
        <v>30</v>
      </c>
      <c r="D815" t="s">
        <v>70</v>
      </c>
      <c r="E815" t="s">
        <v>993</v>
      </c>
      <c r="F815">
        <v>0</v>
      </c>
    </row>
    <row r="816" spans="1:6">
      <c r="A816" s="15">
        <v>45565</v>
      </c>
      <c r="B816" t="s">
        <v>2036</v>
      </c>
      <c r="C816" t="s">
        <v>30</v>
      </c>
      <c r="D816" t="s">
        <v>632</v>
      </c>
      <c r="E816" t="s">
        <v>450</v>
      </c>
      <c r="F816">
        <v>120875</v>
      </c>
    </row>
    <row r="817" spans="1:6">
      <c r="A817" s="15">
        <v>45588</v>
      </c>
      <c r="B817" t="s">
        <v>863</v>
      </c>
      <c r="C817" t="s">
        <v>30</v>
      </c>
      <c r="D817" t="s">
        <v>70</v>
      </c>
      <c r="E817" t="s">
        <v>993</v>
      </c>
      <c r="F817">
        <v>0</v>
      </c>
    </row>
    <row r="818" spans="1:6">
      <c r="A818" s="15">
        <v>45590</v>
      </c>
      <c r="B818" t="s">
        <v>2041</v>
      </c>
      <c r="C818" t="s">
        <v>2681</v>
      </c>
      <c r="D818" t="s">
        <v>70</v>
      </c>
      <c r="E818" t="s">
        <v>434</v>
      </c>
      <c r="F818">
        <v>5000</v>
      </c>
    </row>
    <row r="819" spans="1:6">
      <c r="A819" s="15">
        <v>45591</v>
      </c>
      <c r="B819" t="s">
        <v>663</v>
      </c>
      <c r="C819" t="s">
        <v>941</v>
      </c>
      <c r="D819" t="s">
        <v>130</v>
      </c>
      <c r="E819" t="s">
        <v>2029</v>
      </c>
      <c r="F819">
        <v>51019.37</v>
      </c>
    </row>
    <row r="820" spans="1:6">
      <c r="A820" s="15">
        <v>45593</v>
      </c>
      <c r="B820" t="s">
        <v>2041</v>
      </c>
      <c r="C820" t="s">
        <v>65</v>
      </c>
      <c r="D820" t="s">
        <v>70</v>
      </c>
      <c r="E820" t="s">
        <v>434</v>
      </c>
      <c r="F820">
        <v>5200</v>
      </c>
    </row>
    <row r="821" spans="1:6">
      <c r="A821" s="15">
        <v>45595</v>
      </c>
      <c r="B821" t="s">
        <v>663</v>
      </c>
      <c r="C821" t="s">
        <v>133</v>
      </c>
      <c r="D821" t="s">
        <v>130</v>
      </c>
      <c r="E821" t="s">
        <v>2029</v>
      </c>
      <c r="F821">
        <v>170100</v>
      </c>
    </row>
    <row r="822" spans="1:6">
      <c r="A822" s="15">
        <v>45598</v>
      </c>
      <c r="B822" t="s">
        <v>203</v>
      </c>
      <c r="C822" t="s">
        <v>65</v>
      </c>
      <c r="D822" t="s">
        <v>70</v>
      </c>
      <c r="E822" t="s">
        <v>434</v>
      </c>
      <c r="F822">
        <v>20000</v>
      </c>
    </row>
    <row r="823" spans="1:6">
      <c r="A823" s="15">
        <v>45600</v>
      </c>
      <c r="B823" t="s">
        <v>1569</v>
      </c>
      <c r="C823" t="s">
        <v>65</v>
      </c>
      <c r="D823" t="s">
        <v>70</v>
      </c>
      <c r="E823" t="s">
        <v>2060</v>
      </c>
      <c r="F823">
        <v>47100</v>
      </c>
    </row>
    <row r="824" spans="1:6">
      <c r="A824" s="15">
        <v>45602</v>
      </c>
      <c r="B824" t="s">
        <v>863</v>
      </c>
      <c r="C824" t="s">
        <v>30</v>
      </c>
      <c r="D824" t="s">
        <v>70</v>
      </c>
      <c r="E824" t="s">
        <v>993</v>
      </c>
      <c r="F824">
        <v>0</v>
      </c>
    </row>
    <row r="825" spans="1:6">
      <c r="A825" s="15">
        <v>45608</v>
      </c>
      <c r="B825" t="s">
        <v>1569</v>
      </c>
      <c r="C825" t="s">
        <v>30</v>
      </c>
      <c r="D825" t="s">
        <v>70</v>
      </c>
      <c r="E825" t="s">
        <v>993</v>
      </c>
      <c r="F825">
        <v>0</v>
      </c>
    </row>
    <row r="826" spans="1:6">
      <c r="A826" s="15">
        <v>45611</v>
      </c>
      <c r="B826" t="s">
        <v>1368</v>
      </c>
      <c r="C826" t="s">
        <v>30</v>
      </c>
      <c r="D826" t="s">
        <v>70</v>
      </c>
      <c r="E826" t="s">
        <v>993</v>
      </c>
      <c r="F826">
        <v>0</v>
      </c>
    </row>
    <row r="827" spans="1:6">
      <c r="A827" s="15">
        <v>45622</v>
      </c>
      <c r="B827" t="s">
        <v>2072</v>
      </c>
      <c r="C827" t="s">
        <v>30</v>
      </c>
      <c r="D827" t="s">
        <v>70</v>
      </c>
      <c r="E827" t="s">
        <v>993</v>
      </c>
      <c r="F827">
        <v>0</v>
      </c>
    </row>
    <row r="828" spans="1:6">
      <c r="A828" s="15">
        <v>45624</v>
      </c>
      <c r="B828" t="s">
        <v>2075</v>
      </c>
      <c r="C828" t="s">
        <v>30</v>
      </c>
      <c r="D828" t="s">
        <v>70</v>
      </c>
      <c r="E828" t="s">
        <v>993</v>
      </c>
      <c r="F828">
        <v>500</v>
      </c>
    </row>
    <row r="829" spans="1:6">
      <c r="A829" s="15">
        <v>45626</v>
      </c>
      <c r="B829" t="s">
        <v>215</v>
      </c>
      <c r="C829" t="s">
        <v>30</v>
      </c>
      <c r="D829" t="s">
        <v>130</v>
      </c>
      <c r="E829" t="s">
        <v>2029</v>
      </c>
      <c r="F829">
        <v>10000</v>
      </c>
    </row>
    <row r="830" spans="1:6">
      <c r="A830" s="15">
        <v>45636</v>
      </c>
      <c r="B830" t="s">
        <v>2080</v>
      </c>
      <c r="C830" t="s">
        <v>30</v>
      </c>
      <c r="D830" t="s">
        <v>130</v>
      </c>
      <c r="E830" t="s">
        <v>2029</v>
      </c>
      <c r="F830">
        <v>0</v>
      </c>
    </row>
    <row r="831" spans="1:6">
      <c r="A831" s="15">
        <v>45637</v>
      </c>
      <c r="B831" t="s">
        <v>2083</v>
      </c>
      <c r="C831" t="s">
        <v>65</v>
      </c>
      <c r="D831" t="s">
        <v>130</v>
      </c>
      <c r="E831" t="s">
        <v>2029</v>
      </c>
      <c r="F831">
        <v>71000</v>
      </c>
    </row>
    <row r="832" spans="1:6">
      <c r="A832" s="15">
        <v>45638</v>
      </c>
      <c r="B832" t="s">
        <v>2087</v>
      </c>
      <c r="C832" t="s">
        <v>65</v>
      </c>
      <c r="D832" t="s">
        <v>130</v>
      </c>
      <c r="E832" t="s">
        <v>2029</v>
      </c>
      <c r="F832">
        <v>5000</v>
      </c>
    </row>
    <row r="833" spans="1:6">
      <c r="A833" s="15">
        <v>45640</v>
      </c>
      <c r="B833" t="s">
        <v>366</v>
      </c>
      <c r="C833" t="s">
        <v>30</v>
      </c>
      <c r="D833" t="s">
        <v>130</v>
      </c>
      <c r="E833" t="s">
        <v>2029</v>
      </c>
      <c r="F833">
        <v>5000</v>
      </c>
    </row>
    <row r="834" spans="1:6">
      <c r="A834" s="15">
        <v>45642</v>
      </c>
      <c r="B834" t="s">
        <v>2092</v>
      </c>
      <c r="C834" t="s">
        <v>65</v>
      </c>
      <c r="D834" t="s">
        <v>70</v>
      </c>
      <c r="E834" t="s">
        <v>2060</v>
      </c>
      <c r="F834">
        <v>0</v>
      </c>
    </row>
    <row r="835" spans="1:6">
      <c r="A835" s="15">
        <v>45656</v>
      </c>
      <c r="B835" t="s">
        <v>2101</v>
      </c>
      <c r="C835" t="s">
        <v>941</v>
      </c>
      <c r="D835" t="s">
        <v>130</v>
      </c>
      <c r="E835" t="s">
        <v>2029</v>
      </c>
      <c r="F835">
        <v>6500</v>
      </c>
    </row>
    <row r="836" spans="1:6">
      <c r="A836" s="15">
        <v>45656</v>
      </c>
      <c r="B836" t="s">
        <v>215</v>
      </c>
      <c r="C836" t="s">
        <v>30</v>
      </c>
      <c r="D836" t="s">
        <v>130</v>
      </c>
      <c r="E836" t="s">
        <v>2029</v>
      </c>
      <c r="F836">
        <v>10000</v>
      </c>
    </row>
    <row r="837" spans="1:6">
      <c r="A837" s="15">
        <v>45656</v>
      </c>
      <c r="B837" t="s">
        <v>863</v>
      </c>
      <c r="C837" t="s">
        <v>65</v>
      </c>
      <c r="D837" t="s">
        <v>130</v>
      </c>
      <c r="E837" t="s">
        <v>2029</v>
      </c>
      <c r="F837">
        <v>6500</v>
      </c>
    </row>
    <row r="838" spans="1:6">
      <c r="A838" s="15">
        <v>45656</v>
      </c>
      <c r="B838" t="s">
        <v>863</v>
      </c>
      <c r="C838" t="s">
        <v>133</v>
      </c>
      <c r="D838" t="s">
        <v>130</v>
      </c>
      <c r="E838" t="s">
        <v>2029</v>
      </c>
      <c r="F838">
        <v>6500</v>
      </c>
    </row>
    <row r="839" spans="1:6">
      <c r="A839" s="15">
        <v>45660</v>
      </c>
      <c r="B839" t="s">
        <v>1318</v>
      </c>
      <c r="C839" t="s">
        <v>30</v>
      </c>
      <c r="D839" t="s">
        <v>130</v>
      </c>
      <c r="E839" t="s">
        <v>2029</v>
      </c>
      <c r="F839">
        <v>5000</v>
      </c>
    </row>
    <row r="840" spans="1:6">
      <c r="A840" s="15">
        <v>45663</v>
      </c>
      <c r="B840" t="s">
        <v>2087</v>
      </c>
      <c r="C840" t="s">
        <v>65</v>
      </c>
      <c r="D840" t="s">
        <v>130</v>
      </c>
      <c r="E840" t="s">
        <v>2029</v>
      </c>
      <c r="F840">
        <v>5000</v>
      </c>
    </row>
    <row r="841" spans="1:6">
      <c r="A841" s="15">
        <v>45670</v>
      </c>
      <c r="B841" t="s">
        <v>829</v>
      </c>
      <c r="C841" t="s">
        <v>65</v>
      </c>
      <c r="D841" t="s">
        <v>70</v>
      </c>
      <c r="E841" t="s">
        <v>2060</v>
      </c>
      <c r="F841">
        <v>3000</v>
      </c>
    </row>
    <row r="842" spans="1:6">
      <c r="A842" s="15">
        <v>45671</v>
      </c>
      <c r="B842" t="s">
        <v>863</v>
      </c>
      <c r="C842" t="s">
        <v>65</v>
      </c>
      <c r="D842" t="s">
        <v>130</v>
      </c>
      <c r="E842" t="s">
        <v>2029</v>
      </c>
      <c r="F842">
        <v>50000</v>
      </c>
    </row>
    <row r="843" spans="1:6">
      <c r="A843" s="15">
        <v>45671</v>
      </c>
      <c r="B843" t="s">
        <v>863</v>
      </c>
      <c r="C843" t="s">
        <v>133</v>
      </c>
      <c r="D843" t="s">
        <v>130</v>
      </c>
      <c r="E843" t="s">
        <v>2029</v>
      </c>
      <c r="F843">
        <v>50000</v>
      </c>
    </row>
    <row r="844" spans="1:6">
      <c r="A844" s="15">
        <v>45671</v>
      </c>
      <c r="B844" t="s">
        <v>2682</v>
      </c>
      <c r="C844" t="s">
        <v>941</v>
      </c>
      <c r="D844" t="s">
        <v>130</v>
      </c>
      <c r="E844" t="s">
        <v>2029</v>
      </c>
      <c r="F844">
        <v>50000</v>
      </c>
    </row>
    <row r="845" spans="1:6">
      <c r="A845" s="15">
        <v>45679</v>
      </c>
      <c r="B845" t="s">
        <v>2114</v>
      </c>
      <c r="C845" t="s">
        <v>30</v>
      </c>
      <c r="D845" t="s">
        <v>130</v>
      </c>
      <c r="E845" t="s">
        <v>2029</v>
      </c>
      <c r="F845">
        <v>10000</v>
      </c>
    </row>
    <row r="846" spans="1:6">
      <c r="A846" s="15">
        <v>45680</v>
      </c>
      <c r="B846" t="s">
        <v>1754</v>
      </c>
      <c r="C846" t="s">
        <v>30</v>
      </c>
      <c r="D846" t="s">
        <v>130</v>
      </c>
      <c r="E846" t="s">
        <v>2029</v>
      </c>
      <c r="F846">
        <v>15000</v>
      </c>
    </row>
    <row r="847" spans="1:6">
      <c r="A847" s="15">
        <v>45681</v>
      </c>
      <c r="B847" t="s">
        <v>2120</v>
      </c>
      <c r="C847" t="s">
        <v>30</v>
      </c>
      <c r="D847" t="s">
        <v>130</v>
      </c>
      <c r="E847" t="s">
        <v>993</v>
      </c>
      <c r="F847">
        <v>0</v>
      </c>
    </row>
    <row r="848" spans="1:6">
      <c r="A848" s="15">
        <v>45693</v>
      </c>
      <c r="B848" t="s">
        <v>863</v>
      </c>
      <c r="C848" t="s">
        <v>65</v>
      </c>
      <c r="D848" t="s">
        <v>130</v>
      </c>
      <c r="E848" t="s">
        <v>2029</v>
      </c>
      <c r="F848">
        <v>3675</v>
      </c>
    </row>
    <row r="849" spans="1:6">
      <c r="A849" s="15">
        <v>45693</v>
      </c>
      <c r="B849" t="s">
        <v>863</v>
      </c>
      <c r="C849" t="s">
        <v>133</v>
      </c>
      <c r="D849" t="s">
        <v>130</v>
      </c>
      <c r="E849" t="s">
        <v>2029</v>
      </c>
      <c r="F849">
        <v>3675</v>
      </c>
    </row>
    <row r="850" spans="1:6">
      <c r="A850" s="15">
        <v>45693</v>
      </c>
      <c r="B850" t="s">
        <v>2682</v>
      </c>
      <c r="C850" t="s">
        <v>941</v>
      </c>
      <c r="D850" t="s">
        <v>130</v>
      </c>
      <c r="E850" t="s">
        <v>2029</v>
      </c>
      <c r="F850">
        <v>3675</v>
      </c>
    </row>
    <row r="851" spans="1:6">
      <c r="A851" s="15">
        <v>45700</v>
      </c>
      <c r="B851" t="s">
        <v>2683</v>
      </c>
      <c r="C851" t="s">
        <v>30</v>
      </c>
      <c r="D851" t="s">
        <v>632</v>
      </c>
      <c r="E851" t="s">
        <v>450</v>
      </c>
      <c r="F851">
        <v>0</v>
      </c>
    </row>
    <row r="852" spans="1:6">
      <c r="A852" s="15">
        <v>45705</v>
      </c>
      <c r="B852" t="s">
        <v>2127</v>
      </c>
      <c r="C852" t="s">
        <v>30</v>
      </c>
      <c r="D852" t="s">
        <v>632</v>
      </c>
      <c r="E852" t="s">
        <v>450</v>
      </c>
      <c r="F852">
        <v>0</v>
      </c>
    </row>
    <row r="853" spans="1:6">
      <c r="A853" s="15">
        <v>45705</v>
      </c>
      <c r="B853" t="s">
        <v>2684</v>
      </c>
      <c r="C853" t="s">
        <v>30</v>
      </c>
      <c r="D853" t="s">
        <v>632</v>
      </c>
      <c r="E853" t="s">
        <v>450</v>
      </c>
      <c r="F853">
        <v>10000</v>
      </c>
    </row>
    <row r="854" spans="1:6">
      <c r="A854" s="15">
        <v>45706</v>
      </c>
      <c r="B854" t="s">
        <v>2130</v>
      </c>
      <c r="C854" t="s">
        <v>30</v>
      </c>
      <c r="D854" t="s">
        <v>632</v>
      </c>
      <c r="E854" t="s">
        <v>450</v>
      </c>
      <c r="F854">
        <v>50000</v>
      </c>
    </row>
    <row r="855" spans="1:6">
      <c r="A855" s="15">
        <v>45708</v>
      </c>
      <c r="B855" t="s">
        <v>863</v>
      </c>
      <c r="C855" t="s">
        <v>30</v>
      </c>
      <c r="D855" t="s">
        <v>632</v>
      </c>
      <c r="E855" t="s">
        <v>450</v>
      </c>
      <c r="F855">
        <v>12000</v>
      </c>
    </row>
    <row r="856" spans="1:6">
      <c r="A856" s="15">
        <v>45711</v>
      </c>
      <c r="B856" t="s">
        <v>215</v>
      </c>
      <c r="C856" t="s">
        <v>30</v>
      </c>
      <c r="D856" t="s">
        <v>632</v>
      </c>
      <c r="E856" t="s">
        <v>450</v>
      </c>
      <c r="F856">
        <v>10000</v>
      </c>
    </row>
    <row r="857" spans="1:6">
      <c r="A857" s="15">
        <v>45712</v>
      </c>
      <c r="B857" t="s">
        <v>2138</v>
      </c>
      <c r="C857" t="s">
        <v>30</v>
      </c>
      <c r="D857" t="s">
        <v>632</v>
      </c>
      <c r="E857" t="s">
        <v>450</v>
      </c>
      <c r="F857">
        <v>20000</v>
      </c>
    </row>
    <row r="858" spans="1:6">
      <c r="A858" s="15">
        <v>45712</v>
      </c>
      <c r="B858" t="s">
        <v>863</v>
      </c>
      <c r="C858" t="s">
        <v>30</v>
      </c>
      <c r="D858" t="s">
        <v>632</v>
      </c>
      <c r="E858" t="s">
        <v>450</v>
      </c>
      <c r="F858">
        <v>10000</v>
      </c>
    </row>
    <row r="859" spans="1:6">
      <c r="A859" s="15">
        <v>45715</v>
      </c>
      <c r="B859" t="s">
        <v>1888</v>
      </c>
      <c r="C859" t="s">
        <v>30</v>
      </c>
      <c r="D859" t="s">
        <v>632</v>
      </c>
      <c r="E859" t="s">
        <v>450</v>
      </c>
      <c r="F859">
        <v>35000</v>
      </c>
    </row>
    <row r="860" spans="1:6">
      <c r="A860" s="15">
        <v>45716</v>
      </c>
      <c r="B860" t="s">
        <v>2145</v>
      </c>
      <c r="C860" t="s">
        <v>30</v>
      </c>
      <c r="D860" t="s">
        <v>632</v>
      </c>
      <c r="E860" t="s">
        <v>450</v>
      </c>
      <c r="F860">
        <v>3000</v>
      </c>
    </row>
    <row r="861" spans="1:6">
      <c r="A861" s="15">
        <v>45716</v>
      </c>
      <c r="B861" t="s">
        <v>863</v>
      </c>
      <c r="C861" t="s">
        <v>30</v>
      </c>
      <c r="D861" t="s">
        <v>632</v>
      </c>
      <c r="E861" t="s">
        <v>450</v>
      </c>
      <c r="F861">
        <v>20000</v>
      </c>
    </row>
    <row r="862" spans="1:6">
      <c r="A862" t="s">
        <v>2680</v>
      </c>
      <c r="B862" t="s">
        <v>1169</v>
      </c>
      <c r="C862" t="s">
        <v>30</v>
      </c>
      <c r="D862" t="s">
        <v>632</v>
      </c>
      <c r="E862" t="s">
        <v>450</v>
      </c>
      <c r="F862">
        <v>0</v>
      </c>
    </row>
    <row r="863" spans="1:6">
      <c r="A863" t="s">
        <v>2680</v>
      </c>
      <c r="B863" t="s">
        <v>1487</v>
      </c>
      <c r="C863" t="s">
        <v>30</v>
      </c>
      <c r="D863" t="s">
        <v>632</v>
      </c>
      <c r="E863" t="s">
        <v>450</v>
      </c>
      <c r="F863">
        <v>0</v>
      </c>
    </row>
    <row r="864" spans="1:6">
      <c r="A864" t="s">
        <v>2680</v>
      </c>
      <c r="B864" t="s">
        <v>36</v>
      </c>
      <c r="C864" t="s">
        <v>30</v>
      </c>
      <c r="D864" t="s">
        <v>2680</v>
      </c>
      <c r="E864" t="s">
        <v>2680</v>
      </c>
      <c r="F864">
        <v>3000</v>
      </c>
    </row>
    <row r="865" spans="1:6">
      <c r="A865" t="s">
        <v>2680</v>
      </c>
      <c r="B865" t="s">
        <v>41</v>
      </c>
      <c r="C865" t="s">
        <v>30</v>
      </c>
      <c r="D865" t="s">
        <v>2680</v>
      </c>
      <c r="E865" t="s">
        <v>2680</v>
      </c>
      <c r="F865">
        <v>3800</v>
      </c>
    </row>
    <row r="866" spans="1:6">
      <c r="A866" t="s">
        <v>2680</v>
      </c>
      <c r="B866" t="s">
        <v>47</v>
      </c>
      <c r="C866" t="s">
        <v>30</v>
      </c>
      <c r="D866" t="s">
        <v>2680</v>
      </c>
      <c r="E866" t="s">
        <v>2680</v>
      </c>
      <c r="F866">
        <v>20000</v>
      </c>
    </row>
    <row r="867" spans="1:6">
      <c r="A867" t="s">
        <v>2680</v>
      </c>
      <c r="B867" t="s">
        <v>51</v>
      </c>
      <c r="C867" t="s">
        <v>30</v>
      </c>
      <c r="D867" t="s">
        <v>2680</v>
      </c>
      <c r="E867" t="s">
        <v>2680</v>
      </c>
      <c r="F867">
        <v>0</v>
      </c>
    </row>
    <row r="868" spans="1:6">
      <c r="A868" t="s">
        <v>2680</v>
      </c>
      <c r="B868" t="s">
        <v>27</v>
      </c>
      <c r="C868" t="s">
        <v>30</v>
      </c>
      <c r="D868" t="s">
        <v>2680</v>
      </c>
      <c r="E868" t="s">
        <v>2680</v>
      </c>
      <c r="F868">
        <v>1000</v>
      </c>
    </row>
    <row r="869" spans="1:6">
      <c r="A869" t="s">
        <v>2680</v>
      </c>
      <c r="B869" t="s">
        <v>797</v>
      </c>
      <c r="C869" t="s">
        <v>65</v>
      </c>
      <c r="D869" t="s">
        <v>70</v>
      </c>
      <c r="E869" t="s">
        <v>1977</v>
      </c>
      <c r="F869">
        <v>0</v>
      </c>
    </row>
    <row r="870" spans="1:6">
      <c r="A870" t="s">
        <v>2680</v>
      </c>
      <c r="B870" t="s">
        <v>1814</v>
      </c>
      <c r="C870" t="s">
        <v>30</v>
      </c>
      <c r="D870" t="s">
        <v>632</v>
      </c>
      <c r="E870" t="s">
        <v>450</v>
      </c>
      <c r="F870">
        <v>0</v>
      </c>
    </row>
    <row r="871" spans="1:6">
      <c r="A871" t="s">
        <v>2680</v>
      </c>
      <c r="B871" t="s">
        <v>34</v>
      </c>
      <c r="C871" t="s">
        <v>30</v>
      </c>
      <c r="D871" t="s">
        <v>2680</v>
      </c>
      <c r="E871" t="s">
        <v>2680</v>
      </c>
      <c r="F871">
        <v>0</v>
      </c>
    </row>
    <row r="872" spans="1:6">
      <c r="A872" t="s">
        <v>2685</v>
      </c>
      <c r="F872">
        <v>3270188.06</v>
      </c>
    </row>
  </sheetData>
  <sheetProtection formatCells="0" formatColumns="0" formatRows="0" insertRows="0" insertColumns="0" insertHyperlinks="0" deleteColumns="0" deleteRows="0" sort="0" autoFilter="0" pivotTables="0"/>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71"/>
  <sheetViews>
    <sheetView workbookViewId="0">
      <pane ySplit="1" topLeftCell="A554" activePane="bottomLeft" state="frozen"/>
      <selection/>
      <selection pane="bottomLeft" activeCell="F115" sqref="F115"/>
    </sheetView>
  </sheetViews>
  <sheetFormatPr defaultColWidth="9.64166666666667" defaultRowHeight="13.5" outlineLevelCol="5"/>
  <cols>
    <col min="1" max="1" width="16.75" style="4" customWidth="1"/>
    <col min="2" max="2" width="26.5083333333333" customWidth="1"/>
    <col min="3" max="3" width="27.875" customWidth="1"/>
    <col min="4" max="4" width="12.75" customWidth="1"/>
    <col min="6" max="6" width="28.5083333333333" customWidth="1"/>
  </cols>
  <sheetData>
    <row r="1" spans="1:6">
      <c r="A1" s="5" t="s">
        <v>5</v>
      </c>
      <c r="B1" s="6" t="s">
        <v>9</v>
      </c>
      <c r="C1" s="6" t="s">
        <v>13</v>
      </c>
      <c r="D1" s="6" t="s">
        <v>6</v>
      </c>
      <c r="E1" s="6" t="s">
        <v>7</v>
      </c>
      <c r="F1" s="6" t="s">
        <v>2679</v>
      </c>
    </row>
    <row r="2" spans="1:6">
      <c r="A2" s="7">
        <v>45468</v>
      </c>
      <c r="B2" t="s">
        <v>863</v>
      </c>
      <c r="C2" t="s">
        <v>133</v>
      </c>
      <c r="D2" t="s">
        <v>130</v>
      </c>
      <c r="E2" t="s">
        <v>1963</v>
      </c>
      <c r="F2">
        <v>6950</v>
      </c>
    </row>
    <row r="3" spans="1:6">
      <c r="A3" s="7">
        <v>45469</v>
      </c>
      <c r="B3" t="s">
        <v>1988</v>
      </c>
      <c r="C3" t="s">
        <v>30</v>
      </c>
      <c r="D3" t="s">
        <v>632</v>
      </c>
      <c r="E3" t="s">
        <v>450</v>
      </c>
      <c r="F3">
        <v>2000</v>
      </c>
    </row>
    <row r="4" spans="1:6">
      <c r="A4" s="8">
        <v>45470</v>
      </c>
      <c r="B4" s="9" t="s">
        <v>863</v>
      </c>
      <c r="C4" t="s">
        <v>65</v>
      </c>
      <c r="D4" s="10" t="s">
        <v>1992</v>
      </c>
      <c r="E4" t="s">
        <v>1977</v>
      </c>
      <c r="F4">
        <v>7000</v>
      </c>
    </row>
    <row r="5" spans="1:6">
      <c r="A5" s="8">
        <v>45470</v>
      </c>
      <c r="B5" s="9" t="s">
        <v>863</v>
      </c>
      <c r="C5" t="s">
        <v>941</v>
      </c>
      <c r="D5" s="10" t="s">
        <v>1992</v>
      </c>
      <c r="E5" t="s">
        <v>1977</v>
      </c>
      <c r="F5">
        <v>6950</v>
      </c>
    </row>
    <row r="6" spans="1:6">
      <c r="A6" s="11">
        <v>45474</v>
      </c>
      <c r="B6" s="9" t="s">
        <v>1814</v>
      </c>
      <c r="C6" t="s">
        <v>30</v>
      </c>
      <c r="D6" s="10" t="s">
        <v>632</v>
      </c>
      <c r="E6" t="s">
        <v>450</v>
      </c>
      <c r="F6">
        <v>0</v>
      </c>
    </row>
    <row r="7" spans="1:6">
      <c r="A7" s="8">
        <v>45492</v>
      </c>
      <c r="B7" s="9" t="s">
        <v>1569</v>
      </c>
      <c r="C7" t="s">
        <v>30</v>
      </c>
      <c r="D7" s="10" t="s">
        <v>632</v>
      </c>
      <c r="E7" t="s">
        <v>450</v>
      </c>
      <c r="F7">
        <v>0</v>
      </c>
    </row>
    <row r="8" spans="1:6">
      <c r="A8" s="8">
        <v>45497</v>
      </c>
      <c r="B8" s="9" t="s">
        <v>863</v>
      </c>
      <c r="C8" t="s">
        <v>30</v>
      </c>
      <c r="D8" s="10" t="s">
        <v>632</v>
      </c>
      <c r="E8" t="s">
        <v>450</v>
      </c>
      <c r="F8">
        <v>0</v>
      </c>
    </row>
    <row r="9" spans="1:6">
      <c r="A9" s="8">
        <v>45499</v>
      </c>
      <c r="B9" s="9" t="s">
        <v>325</v>
      </c>
      <c r="C9" t="s">
        <v>30</v>
      </c>
      <c r="D9" s="10" t="s">
        <v>632</v>
      </c>
      <c r="E9" t="s">
        <v>450</v>
      </c>
      <c r="F9">
        <v>0</v>
      </c>
    </row>
    <row r="10" spans="1:6">
      <c r="A10" s="8">
        <v>42390</v>
      </c>
      <c r="B10" s="9" t="s">
        <v>56</v>
      </c>
      <c r="C10" t="s">
        <v>30</v>
      </c>
      <c r="D10" s="10" t="s">
        <v>2680</v>
      </c>
      <c r="E10" t="s">
        <v>54</v>
      </c>
      <c r="F10">
        <v>20000</v>
      </c>
    </row>
    <row r="11" spans="1:6">
      <c r="A11" s="8">
        <v>42400</v>
      </c>
      <c r="B11" s="9" t="s">
        <v>60</v>
      </c>
      <c r="C11" t="s">
        <v>30</v>
      </c>
      <c r="D11" s="10" t="s">
        <v>2680</v>
      </c>
      <c r="E11" t="s">
        <v>2680</v>
      </c>
      <c r="F11">
        <v>10000</v>
      </c>
    </row>
    <row r="12" spans="1:6">
      <c r="A12" s="8">
        <v>42887</v>
      </c>
      <c r="B12" s="9" t="s">
        <v>60</v>
      </c>
      <c r="C12" t="s">
        <v>65</v>
      </c>
      <c r="D12" s="10" t="s">
        <v>2680</v>
      </c>
      <c r="E12" t="s">
        <v>2680</v>
      </c>
      <c r="F12">
        <v>10000</v>
      </c>
    </row>
    <row r="13" spans="1:6">
      <c r="A13" s="8">
        <v>43113</v>
      </c>
      <c r="B13" s="9" t="s">
        <v>72</v>
      </c>
      <c r="C13" t="s">
        <v>65</v>
      </c>
      <c r="D13" s="10" t="s">
        <v>70</v>
      </c>
      <c r="E13" t="s">
        <v>71</v>
      </c>
      <c r="F13">
        <v>0</v>
      </c>
    </row>
    <row r="14" spans="1:6">
      <c r="A14" s="8">
        <v>43124</v>
      </c>
      <c r="B14" s="9" t="s">
        <v>77</v>
      </c>
      <c r="C14" t="s">
        <v>65</v>
      </c>
      <c r="D14" s="10" t="s">
        <v>2680</v>
      </c>
      <c r="E14" t="s">
        <v>76</v>
      </c>
      <c r="F14">
        <v>7000</v>
      </c>
    </row>
    <row r="15" spans="1:6">
      <c r="A15" s="8">
        <v>43255</v>
      </c>
      <c r="B15" s="9" t="s">
        <v>84</v>
      </c>
      <c r="C15" t="s">
        <v>65</v>
      </c>
      <c r="D15" s="10" t="s">
        <v>82</v>
      </c>
      <c r="E15" t="s">
        <v>83</v>
      </c>
      <c r="F15">
        <v>0</v>
      </c>
    </row>
    <row r="16" spans="1:6">
      <c r="A16" s="8">
        <v>43330</v>
      </c>
      <c r="B16" s="9" t="s">
        <v>90</v>
      </c>
      <c r="C16" t="s">
        <v>65</v>
      </c>
      <c r="D16" s="10" t="s">
        <v>70</v>
      </c>
      <c r="E16" t="s">
        <v>89</v>
      </c>
      <c r="F16">
        <v>0</v>
      </c>
    </row>
    <row r="17" spans="1:6">
      <c r="A17" s="8">
        <v>43393</v>
      </c>
      <c r="B17" s="9" t="s">
        <v>93</v>
      </c>
      <c r="C17" t="s">
        <v>65</v>
      </c>
      <c r="D17" s="10" t="s">
        <v>70</v>
      </c>
      <c r="E17" t="s">
        <v>92</v>
      </c>
      <c r="F17">
        <v>0</v>
      </c>
    </row>
    <row r="18" spans="1:6">
      <c r="A18" s="8">
        <v>43404</v>
      </c>
      <c r="B18" s="9" t="s">
        <v>77</v>
      </c>
      <c r="C18" t="s">
        <v>65</v>
      </c>
      <c r="D18" s="10" t="s">
        <v>70</v>
      </c>
      <c r="E18" t="s">
        <v>76</v>
      </c>
      <c r="F18">
        <v>0</v>
      </c>
    </row>
    <row r="19" spans="1:6">
      <c r="A19" s="8">
        <v>43414</v>
      </c>
      <c r="B19" s="9" t="s">
        <v>98</v>
      </c>
      <c r="C19" t="s">
        <v>65</v>
      </c>
      <c r="D19" s="10" t="s">
        <v>70</v>
      </c>
      <c r="E19" t="s">
        <v>76</v>
      </c>
      <c r="F19">
        <v>0</v>
      </c>
    </row>
    <row r="20" spans="1:6">
      <c r="A20" s="8">
        <v>43446</v>
      </c>
      <c r="B20" s="9" t="s">
        <v>102</v>
      </c>
      <c r="C20" t="s">
        <v>65</v>
      </c>
      <c r="D20" s="10" t="s">
        <v>70</v>
      </c>
      <c r="E20" t="s">
        <v>101</v>
      </c>
      <c r="F20">
        <v>0</v>
      </c>
    </row>
    <row r="21" spans="1:6">
      <c r="A21" s="8">
        <v>43475</v>
      </c>
      <c r="B21" s="9" t="s">
        <v>60</v>
      </c>
      <c r="C21" t="s">
        <v>30</v>
      </c>
      <c r="D21" s="10" t="s">
        <v>2680</v>
      </c>
      <c r="E21" t="s">
        <v>68</v>
      </c>
      <c r="F21">
        <v>50000</v>
      </c>
    </row>
    <row r="22" spans="1:6">
      <c r="A22" s="8">
        <v>43493</v>
      </c>
      <c r="B22" s="9" t="s">
        <v>105</v>
      </c>
      <c r="C22" t="s">
        <v>65</v>
      </c>
      <c r="D22" s="10" t="s">
        <v>70</v>
      </c>
      <c r="E22" t="s">
        <v>104</v>
      </c>
      <c r="F22">
        <v>0</v>
      </c>
    </row>
    <row r="23" spans="1:6">
      <c r="A23" s="8">
        <v>43511</v>
      </c>
      <c r="B23" s="9" t="s">
        <v>107</v>
      </c>
      <c r="C23" t="s">
        <v>65</v>
      </c>
      <c r="D23" s="10" t="s">
        <v>70</v>
      </c>
      <c r="E23" t="s">
        <v>83</v>
      </c>
      <c r="F23">
        <v>0</v>
      </c>
    </row>
    <row r="24" spans="1:6">
      <c r="A24" s="8">
        <v>43516</v>
      </c>
      <c r="B24" s="9" t="s">
        <v>110</v>
      </c>
      <c r="C24" t="s">
        <v>65</v>
      </c>
      <c r="D24" s="10" t="s">
        <v>70</v>
      </c>
      <c r="E24" t="s">
        <v>109</v>
      </c>
      <c r="F24">
        <v>0</v>
      </c>
    </row>
    <row r="25" spans="1:6">
      <c r="A25" s="8">
        <v>43526</v>
      </c>
      <c r="B25" s="9" t="s">
        <v>113</v>
      </c>
      <c r="C25" t="s">
        <v>65</v>
      </c>
      <c r="D25" s="10" t="s">
        <v>70</v>
      </c>
      <c r="E25" t="s">
        <v>112</v>
      </c>
      <c r="F25">
        <v>0</v>
      </c>
    </row>
    <row r="26" spans="1:6">
      <c r="A26" s="8">
        <v>43530</v>
      </c>
      <c r="B26" s="9" t="s">
        <v>115</v>
      </c>
      <c r="C26" t="s">
        <v>65</v>
      </c>
      <c r="D26" s="10" t="s">
        <v>70</v>
      </c>
      <c r="E26" t="s">
        <v>112</v>
      </c>
      <c r="F26">
        <v>0</v>
      </c>
    </row>
    <row r="27" spans="1:6">
      <c r="A27" s="8">
        <v>43539</v>
      </c>
      <c r="B27" s="9" t="s">
        <v>117</v>
      </c>
      <c r="C27" t="s">
        <v>65</v>
      </c>
      <c r="D27" s="10" t="s">
        <v>70</v>
      </c>
      <c r="E27" t="s">
        <v>109</v>
      </c>
      <c r="F27">
        <v>0</v>
      </c>
    </row>
    <row r="28" spans="1:6">
      <c r="A28" s="8">
        <v>43557</v>
      </c>
      <c r="B28" s="9" t="s">
        <v>120</v>
      </c>
      <c r="C28" t="s">
        <v>65</v>
      </c>
      <c r="D28" s="10" t="s">
        <v>70</v>
      </c>
      <c r="E28" t="s">
        <v>119</v>
      </c>
      <c r="F28">
        <v>0</v>
      </c>
    </row>
    <row r="29" spans="1:6">
      <c r="A29" s="8">
        <v>43560</v>
      </c>
      <c r="B29" s="9" t="s">
        <v>123</v>
      </c>
      <c r="C29" t="s">
        <v>65</v>
      </c>
      <c r="D29" s="10" t="s">
        <v>122</v>
      </c>
      <c r="E29" t="s">
        <v>68</v>
      </c>
      <c r="F29">
        <v>0</v>
      </c>
    </row>
    <row r="30" spans="1:6">
      <c r="A30" s="8">
        <v>43570</v>
      </c>
      <c r="B30" s="9" t="s">
        <v>90</v>
      </c>
      <c r="C30" t="s">
        <v>30</v>
      </c>
      <c r="D30" s="10" t="s">
        <v>2680</v>
      </c>
      <c r="E30" t="s">
        <v>128</v>
      </c>
      <c r="F30">
        <v>0</v>
      </c>
    </row>
    <row r="31" spans="1:6">
      <c r="A31" s="8">
        <v>43585</v>
      </c>
      <c r="B31" s="9" t="s">
        <v>132</v>
      </c>
      <c r="C31" t="s">
        <v>133</v>
      </c>
      <c r="D31" s="10" t="s">
        <v>130</v>
      </c>
      <c r="E31" t="s">
        <v>131</v>
      </c>
      <c r="F31">
        <v>0</v>
      </c>
    </row>
    <row r="32" spans="1:6">
      <c r="A32" s="8">
        <v>43600</v>
      </c>
      <c r="B32" s="9" t="s">
        <v>136</v>
      </c>
      <c r="C32" t="s">
        <v>65</v>
      </c>
      <c r="D32" s="10" t="s">
        <v>70</v>
      </c>
      <c r="E32" t="s">
        <v>135</v>
      </c>
      <c r="F32">
        <v>0</v>
      </c>
    </row>
    <row r="33" spans="1:6">
      <c r="A33" s="8">
        <v>43601</v>
      </c>
      <c r="B33" s="9" t="s">
        <v>141</v>
      </c>
      <c r="C33" t="s">
        <v>65</v>
      </c>
      <c r="D33" s="10" t="s">
        <v>70</v>
      </c>
      <c r="E33" t="s">
        <v>140</v>
      </c>
      <c r="F33">
        <v>0</v>
      </c>
    </row>
    <row r="34" spans="1:6">
      <c r="A34" s="8">
        <v>43601</v>
      </c>
      <c r="B34" s="9" t="s">
        <v>138</v>
      </c>
      <c r="C34" t="s">
        <v>65</v>
      </c>
      <c r="D34" s="10" t="s">
        <v>70</v>
      </c>
      <c r="E34" t="s">
        <v>104</v>
      </c>
      <c r="F34">
        <v>0</v>
      </c>
    </row>
    <row r="35" spans="1:6">
      <c r="A35" s="11">
        <v>43621</v>
      </c>
      <c r="B35" s="9" t="s">
        <v>144</v>
      </c>
      <c r="C35" t="s">
        <v>65</v>
      </c>
      <c r="D35" s="10" t="s">
        <v>70</v>
      </c>
      <c r="E35" t="s">
        <v>143</v>
      </c>
      <c r="F35">
        <v>0</v>
      </c>
    </row>
    <row r="36" spans="1:6">
      <c r="A36" s="8">
        <v>43628</v>
      </c>
      <c r="B36" s="9" t="s">
        <v>147</v>
      </c>
      <c r="C36" t="s">
        <v>65</v>
      </c>
      <c r="D36" s="10" t="s">
        <v>70</v>
      </c>
      <c r="E36" t="s">
        <v>146</v>
      </c>
      <c r="F36">
        <v>0</v>
      </c>
    </row>
    <row r="37" spans="1:6">
      <c r="A37" s="8">
        <v>43635</v>
      </c>
      <c r="B37" s="9" t="s">
        <v>150</v>
      </c>
      <c r="C37" t="s">
        <v>65</v>
      </c>
      <c r="D37" s="10" t="s">
        <v>70</v>
      </c>
      <c r="E37" t="s">
        <v>149</v>
      </c>
      <c r="F37">
        <v>0</v>
      </c>
    </row>
    <row r="38" spans="1:6">
      <c r="A38" s="8">
        <v>43644</v>
      </c>
      <c r="B38" s="9" t="s">
        <v>152</v>
      </c>
      <c r="C38" t="s">
        <v>65</v>
      </c>
      <c r="D38" s="10" t="s">
        <v>70</v>
      </c>
      <c r="E38" t="s">
        <v>135</v>
      </c>
      <c r="F38">
        <v>0</v>
      </c>
    </row>
    <row r="39" spans="1:6">
      <c r="A39" s="8">
        <v>43657</v>
      </c>
      <c r="B39" s="9" t="s">
        <v>154</v>
      </c>
      <c r="C39" t="s">
        <v>65</v>
      </c>
      <c r="D39" s="10" t="s">
        <v>70</v>
      </c>
      <c r="E39" t="s">
        <v>104</v>
      </c>
      <c r="F39">
        <v>0</v>
      </c>
    </row>
    <row r="40" spans="1:6">
      <c r="A40" s="8">
        <v>43657</v>
      </c>
      <c r="B40" s="9" t="s">
        <v>157</v>
      </c>
      <c r="C40" t="s">
        <v>65</v>
      </c>
      <c r="D40" s="10" t="s">
        <v>70</v>
      </c>
      <c r="E40" t="s">
        <v>156</v>
      </c>
      <c r="F40">
        <v>0</v>
      </c>
    </row>
    <row r="41" spans="1:6">
      <c r="A41" s="11">
        <v>43664</v>
      </c>
      <c r="B41" s="9" t="s">
        <v>159</v>
      </c>
      <c r="C41" t="s">
        <v>65</v>
      </c>
      <c r="D41" s="10" t="s">
        <v>70</v>
      </c>
      <c r="E41" t="s">
        <v>104</v>
      </c>
      <c r="F41">
        <v>0</v>
      </c>
    </row>
    <row r="42" spans="1:6">
      <c r="A42" s="8">
        <v>43678</v>
      </c>
      <c r="B42" s="9" t="s">
        <v>162</v>
      </c>
      <c r="C42" t="s">
        <v>65</v>
      </c>
      <c r="D42" s="10" t="s">
        <v>70</v>
      </c>
      <c r="E42" t="s">
        <v>140</v>
      </c>
      <c r="F42">
        <v>0</v>
      </c>
    </row>
    <row r="43" spans="1:6">
      <c r="A43" s="8">
        <v>43685</v>
      </c>
      <c r="B43" s="9" t="s">
        <v>164</v>
      </c>
      <c r="C43" t="s">
        <v>65</v>
      </c>
      <c r="D43" s="10" t="s">
        <v>130</v>
      </c>
      <c r="E43" t="s">
        <v>54</v>
      </c>
      <c r="F43">
        <v>0</v>
      </c>
    </row>
    <row r="44" spans="1:6">
      <c r="A44" s="8">
        <v>43692</v>
      </c>
      <c r="B44" s="9" t="s">
        <v>167</v>
      </c>
      <c r="C44" t="s">
        <v>65</v>
      </c>
      <c r="D44" s="10" t="s">
        <v>70</v>
      </c>
      <c r="E44" t="s">
        <v>166</v>
      </c>
      <c r="F44">
        <v>0</v>
      </c>
    </row>
    <row r="45" spans="1:6">
      <c r="A45" s="8">
        <v>43696</v>
      </c>
      <c r="B45" s="9" t="s">
        <v>169</v>
      </c>
      <c r="C45" t="s">
        <v>65</v>
      </c>
      <c r="D45" s="10" t="s">
        <v>70</v>
      </c>
      <c r="E45" t="s">
        <v>89</v>
      </c>
      <c r="F45">
        <v>0</v>
      </c>
    </row>
    <row r="46" spans="1:6">
      <c r="A46" s="8">
        <v>43696</v>
      </c>
      <c r="B46" s="9" t="s">
        <v>174</v>
      </c>
      <c r="C46" t="s">
        <v>133</v>
      </c>
      <c r="D46" s="10" t="s">
        <v>130</v>
      </c>
      <c r="E46" t="s">
        <v>54</v>
      </c>
      <c r="F46">
        <v>0</v>
      </c>
    </row>
    <row r="47" spans="1:6">
      <c r="A47" s="11">
        <v>43698</v>
      </c>
      <c r="B47" s="9" t="s">
        <v>177</v>
      </c>
      <c r="C47" t="s">
        <v>65</v>
      </c>
      <c r="D47" s="10" t="s">
        <v>70</v>
      </c>
      <c r="E47" t="s">
        <v>135</v>
      </c>
      <c r="F47">
        <v>0</v>
      </c>
    </row>
    <row r="48" spans="1:6">
      <c r="A48" s="8">
        <v>43700</v>
      </c>
      <c r="B48" s="9" t="s">
        <v>179</v>
      </c>
      <c r="C48" t="s">
        <v>65</v>
      </c>
      <c r="D48" s="10" t="s">
        <v>70</v>
      </c>
      <c r="E48" t="s">
        <v>149</v>
      </c>
      <c r="F48">
        <v>0</v>
      </c>
    </row>
    <row r="49" spans="1:6">
      <c r="A49" s="8">
        <v>43710</v>
      </c>
      <c r="B49" s="9" t="s">
        <v>174</v>
      </c>
      <c r="C49" t="s">
        <v>65</v>
      </c>
      <c r="D49" s="10" t="s">
        <v>130</v>
      </c>
      <c r="E49" t="s">
        <v>54</v>
      </c>
      <c r="F49">
        <v>0</v>
      </c>
    </row>
    <row r="50" spans="1:6">
      <c r="A50" s="8">
        <v>43719</v>
      </c>
      <c r="B50" s="9" t="s">
        <v>184</v>
      </c>
      <c r="C50" t="s">
        <v>65</v>
      </c>
      <c r="D50" s="10" t="s">
        <v>70</v>
      </c>
      <c r="E50" t="s">
        <v>135</v>
      </c>
      <c r="F50">
        <v>0</v>
      </c>
    </row>
    <row r="51" spans="1:6">
      <c r="A51" s="8">
        <v>43727</v>
      </c>
      <c r="B51" s="9" t="s">
        <v>186</v>
      </c>
      <c r="C51" t="s">
        <v>65</v>
      </c>
      <c r="D51" s="10" t="s">
        <v>70</v>
      </c>
      <c r="E51" t="s">
        <v>104</v>
      </c>
      <c r="F51">
        <v>0</v>
      </c>
    </row>
    <row r="52" spans="1:6">
      <c r="A52" s="8">
        <v>43731</v>
      </c>
      <c r="B52" s="9" t="s">
        <v>191</v>
      </c>
      <c r="C52" t="s">
        <v>65</v>
      </c>
      <c r="D52" s="10" t="s">
        <v>70</v>
      </c>
      <c r="E52" t="s">
        <v>190</v>
      </c>
      <c r="F52">
        <v>0</v>
      </c>
    </row>
    <row r="53" spans="1:6">
      <c r="A53" s="8">
        <v>43731</v>
      </c>
      <c r="B53" s="9" t="s">
        <v>188</v>
      </c>
      <c r="C53" t="s">
        <v>65</v>
      </c>
      <c r="D53" s="10" t="s">
        <v>70</v>
      </c>
      <c r="E53" t="s">
        <v>83</v>
      </c>
      <c r="F53">
        <v>0</v>
      </c>
    </row>
    <row r="54" spans="1:6">
      <c r="A54" s="11">
        <v>43733</v>
      </c>
      <c r="B54" s="9" t="s">
        <v>193</v>
      </c>
      <c r="C54" t="s">
        <v>65</v>
      </c>
      <c r="D54" s="10" t="s">
        <v>70</v>
      </c>
      <c r="E54" t="s">
        <v>109</v>
      </c>
      <c r="F54">
        <v>0</v>
      </c>
    </row>
    <row r="55" spans="1:6">
      <c r="A55" s="8">
        <v>43749</v>
      </c>
      <c r="B55" s="9" t="s">
        <v>36</v>
      </c>
      <c r="C55" t="s">
        <v>65</v>
      </c>
      <c r="D55" s="10" t="s">
        <v>70</v>
      </c>
      <c r="E55" t="s">
        <v>195</v>
      </c>
      <c r="F55">
        <v>0</v>
      </c>
    </row>
    <row r="56" spans="1:6">
      <c r="A56" s="8">
        <v>43749</v>
      </c>
      <c r="B56" s="9" t="s">
        <v>157</v>
      </c>
      <c r="C56" t="s">
        <v>65</v>
      </c>
      <c r="D56" s="10" t="s">
        <v>70</v>
      </c>
      <c r="E56" t="s">
        <v>197</v>
      </c>
      <c r="F56">
        <v>0</v>
      </c>
    </row>
    <row r="57" spans="1:6">
      <c r="A57" s="11">
        <v>43759</v>
      </c>
      <c r="B57" s="9" t="s">
        <v>199</v>
      </c>
      <c r="C57" t="s">
        <v>65</v>
      </c>
      <c r="D57" s="10" t="s">
        <v>70</v>
      </c>
      <c r="E57" t="s">
        <v>149</v>
      </c>
      <c r="F57">
        <v>0</v>
      </c>
    </row>
    <row r="58" spans="1:6">
      <c r="A58" s="8">
        <v>43761</v>
      </c>
      <c r="B58" s="9" t="s">
        <v>201</v>
      </c>
      <c r="C58" t="s">
        <v>65</v>
      </c>
      <c r="D58" s="10" t="s">
        <v>70</v>
      </c>
      <c r="E58" t="s">
        <v>104</v>
      </c>
      <c r="F58">
        <v>0</v>
      </c>
    </row>
    <row r="59" spans="1:6">
      <c r="A59" s="8">
        <v>43766</v>
      </c>
      <c r="B59" s="9" t="s">
        <v>203</v>
      </c>
      <c r="C59" t="s">
        <v>65</v>
      </c>
      <c r="D59" s="10" t="s">
        <v>70</v>
      </c>
      <c r="E59" t="s">
        <v>92</v>
      </c>
      <c r="F59">
        <v>0</v>
      </c>
    </row>
    <row r="60" spans="1:6">
      <c r="A60" s="8">
        <v>43774</v>
      </c>
      <c r="B60" s="9" t="s">
        <v>206</v>
      </c>
      <c r="C60" t="s">
        <v>65</v>
      </c>
      <c r="D60" s="10" t="s">
        <v>70</v>
      </c>
      <c r="E60" t="s">
        <v>205</v>
      </c>
      <c r="F60">
        <v>0</v>
      </c>
    </row>
    <row r="61" spans="1:6">
      <c r="A61" s="8">
        <v>43774</v>
      </c>
      <c r="B61" s="9" t="s">
        <v>209</v>
      </c>
      <c r="C61" t="s">
        <v>30</v>
      </c>
      <c r="D61" s="10" t="s">
        <v>2680</v>
      </c>
      <c r="E61" t="s">
        <v>208</v>
      </c>
      <c r="F61">
        <v>0</v>
      </c>
    </row>
    <row r="62" spans="1:6">
      <c r="A62" s="11">
        <v>43775</v>
      </c>
      <c r="B62" s="9" t="s">
        <v>201</v>
      </c>
      <c r="C62" t="s">
        <v>65</v>
      </c>
      <c r="D62" s="10" t="s">
        <v>70</v>
      </c>
      <c r="E62" t="s">
        <v>190</v>
      </c>
      <c r="F62">
        <v>0</v>
      </c>
    </row>
    <row r="63" spans="1:6">
      <c r="A63" s="8">
        <v>43796</v>
      </c>
      <c r="B63" s="9" t="s">
        <v>186</v>
      </c>
      <c r="C63" t="s">
        <v>65</v>
      </c>
      <c r="D63" s="10" t="s">
        <v>70</v>
      </c>
      <c r="E63" t="s">
        <v>149</v>
      </c>
      <c r="F63">
        <v>0</v>
      </c>
    </row>
    <row r="64" spans="1:6">
      <c r="A64" s="8">
        <v>43804</v>
      </c>
      <c r="B64" s="9" t="s">
        <v>215</v>
      </c>
      <c r="C64" t="s">
        <v>30</v>
      </c>
      <c r="D64" s="10" t="s">
        <v>2680</v>
      </c>
      <c r="E64" t="s">
        <v>125</v>
      </c>
      <c r="F64">
        <v>0</v>
      </c>
    </row>
    <row r="65" spans="1:6">
      <c r="A65" s="8">
        <v>43805</v>
      </c>
      <c r="B65" s="9" t="s">
        <v>115</v>
      </c>
      <c r="C65" t="s">
        <v>65</v>
      </c>
      <c r="D65" s="10" t="s">
        <v>70</v>
      </c>
      <c r="E65" t="s">
        <v>190</v>
      </c>
      <c r="F65">
        <v>0</v>
      </c>
    </row>
    <row r="66" spans="1:6">
      <c r="A66" s="8">
        <v>43808</v>
      </c>
      <c r="B66" s="9" t="s">
        <v>179</v>
      </c>
      <c r="C66" t="s">
        <v>65</v>
      </c>
      <c r="D66" s="10" t="s">
        <v>70</v>
      </c>
      <c r="E66" t="s">
        <v>104</v>
      </c>
      <c r="F66">
        <v>0</v>
      </c>
    </row>
    <row r="67" spans="1:6">
      <c r="A67" s="8">
        <v>43812</v>
      </c>
      <c r="B67" s="9" t="s">
        <v>220</v>
      </c>
      <c r="C67" t="s">
        <v>65</v>
      </c>
      <c r="D67" s="10" t="s">
        <v>70</v>
      </c>
      <c r="E67" t="s">
        <v>219</v>
      </c>
      <c r="F67">
        <v>0</v>
      </c>
    </row>
    <row r="68" spans="1:6">
      <c r="A68" s="8">
        <v>43823</v>
      </c>
      <c r="B68" s="9" t="s">
        <v>222</v>
      </c>
      <c r="C68" t="s">
        <v>65</v>
      </c>
      <c r="D68" s="10" t="s">
        <v>70</v>
      </c>
      <c r="E68" t="s">
        <v>104</v>
      </c>
      <c r="F68">
        <v>0</v>
      </c>
    </row>
    <row r="69" spans="1:6">
      <c r="A69" s="8">
        <v>43825</v>
      </c>
      <c r="B69" s="9" t="s">
        <v>225</v>
      </c>
      <c r="C69" t="s">
        <v>65</v>
      </c>
      <c r="D69" s="10" t="s">
        <v>70</v>
      </c>
      <c r="E69" t="s">
        <v>224</v>
      </c>
      <c r="F69">
        <v>0</v>
      </c>
    </row>
    <row r="70" spans="1:6">
      <c r="A70" s="8">
        <v>43830</v>
      </c>
      <c r="B70" s="9" t="s">
        <v>60</v>
      </c>
      <c r="C70" t="s">
        <v>65</v>
      </c>
      <c r="D70" s="10" t="s">
        <v>130</v>
      </c>
      <c r="E70" t="s">
        <v>125</v>
      </c>
      <c r="F70">
        <v>900</v>
      </c>
    </row>
    <row r="71" spans="1:6">
      <c r="A71" s="8">
        <v>43840</v>
      </c>
      <c r="B71" s="9" t="s">
        <v>231</v>
      </c>
      <c r="C71" t="s">
        <v>65</v>
      </c>
      <c r="D71" s="10" t="s">
        <v>70</v>
      </c>
      <c r="E71" t="s">
        <v>230</v>
      </c>
      <c r="F71">
        <v>0</v>
      </c>
    </row>
    <row r="72" spans="1:6">
      <c r="A72" s="8">
        <v>43840</v>
      </c>
      <c r="B72" s="9" t="s">
        <v>234</v>
      </c>
      <c r="C72" t="s">
        <v>65</v>
      </c>
      <c r="D72" s="10" t="s">
        <v>70</v>
      </c>
      <c r="E72" t="s">
        <v>233</v>
      </c>
      <c r="F72">
        <v>0</v>
      </c>
    </row>
    <row r="73" spans="1:6">
      <c r="A73" s="11">
        <v>43840</v>
      </c>
      <c r="B73" s="9" t="s">
        <v>240</v>
      </c>
      <c r="C73" t="s">
        <v>30</v>
      </c>
      <c r="D73" s="10" t="s">
        <v>2680</v>
      </c>
      <c r="E73" t="s">
        <v>239</v>
      </c>
      <c r="F73">
        <v>0</v>
      </c>
    </row>
    <row r="74" spans="1:6">
      <c r="A74" s="11">
        <v>43843</v>
      </c>
      <c r="B74" s="9" t="s">
        <v>220</v>
      </c>
      <c r="C74" t="s">
        <v>65</v>
      </c>
      <c r="D74" s="10" t="s">
        <v>70</v>
      </c>
      <c r="E74" t="s">
        <v>146</v>
      </c>
      <c r="F74">
        <v>100</v>
      </c>
    </row>
    <row r="75" spans="1:6">
      <c r="A75" s="8">
        <v>43843</v>
      </c>
      <c r="B75" s="9" t="s">
        <v>244</v>
      </c>
      <c r="C75" t="s">
        <v>133</v>
      </c>
      <c r="D75" s="10" t="s">
        <v>130</v>
      </c>
      <c r="E75" t="s">
        <v>128</v>
      </c>
      <c r="F75">
        <v>0</v>
      </c>
    </row>
    <row r="76" spans="1:6">
      <c r="A76" s="11">
        <v>43920</v>
      </c>
      <c r="B76" s="9" t="s">
        <v>247</v>
      </c>
      <c r="C76" t="s">
        <v>65</v>
      </c>
      <c r="D76" s="10" t="s">
        <v>70</v>
      </c>
      <c r="E76" t="s">
        <v>246</v>
      </c>
      <c r="F76">
        <v>0</v>
      </c>
    </row>
    <row r="77" spans="1:6">
      <c r="A77" s="8">
        <v>43923</v>
      </c>
      <c r="B77" s="9" t="s">
        <v>167</v>
      </c>
      <c r="C77" t="s">
        <v>65</v>
      </c>
      <c r="D77" s="10" t="s">
        <v>70</v>
      </c>
      <c r="E77" t="s">
        <v>205</v>
      </c>
      <c r="F77">
        <v>10000</v>
      </c>
    </row>
    <row r="78" spans="1:6">
      <c r="A78" s="8">
        <v>43936</v>
      </c>
      <c r="B78" s="9" t="s">
        <v>253</v>
      </c>
      <c r="C78" t="s">
        <v>30</v>
      </c>
      <c r="D78" s="10" t="s">
        <v>2680</v>
      </c>
      <c r="E78" t="s">
        <v>54</v>
      </c>
      <c r="F78">
        <v>0</v>
      </c>
    </row>
    <row r="79" spans="1:6">
      <c r="A79" s="8">
        <v>43967</v>
      </c>
      <c r="B79" s="9" t="s">
        <v>150</v>
      </c>
      <c r="C79" t="s">
        <v>65</v>
      </c>
      <c r="D79" s="10" t="s">
        <v>70</v>
      </c>
      <c r="E79" t="s">
        <v>255</v>
      </c>
      <c r="F79">
        <v>0</v>
      </c>
    </row>
    <row r="80" spans="1:6">
      <c r="A80" s="8">
        <v>43969</v>
      </c>
      <c r="B80" s="9" t="s">
        <v>257</v>
      </c>
      <c r="C80" t="s">
        <v>65</v>
      </c>
      <c r="D80" s="10" t="s">
        <v>70</v>
      </c>
      <c r="E80" t="s">
        <v>83</v>
      </c>
      <c r="F80">
        <v>0</v>
      </c>
    </row>
    <row r="81" spans="1:6">
      <c r="A81" s="8">
        <v>43969</v>
      </c>
      <c r="B81" s="9" t="s">
        <v>136</v>
      </c>
      <c r="C81" t="s">
        <v>65</v>
      </c>
      <c r="D81" s="10" t="s">
        <v>70</v>
      </c>
      <c r="E81" t="s">
        <v>259</v>
      </c>
      <c r="F81">
        <v>0</v>
      </c>
    </row>
    <row r="82" spans="1:6">
      <c r="A82" s="11">
        <v>43977</v>
      </c>
      <c r="B82" s="9" t="s">
        <v>105</v>
      </c>
      <c r="C82" t="s">
        <v>65</v>
      </c>
      <c r="D82" s="10" t="s">
        <v>70</v>
      </c>
      <c r="E82" t="s">
        <v>224</v>
      </c>
      <c r="F82">
        <v>0</v>
      </c>
    </row>
    <row r="83" spans="1:6">
      <c r="A83" s="8">
        <v>43992</v>
      </c>
      <c r="B83" s="9" t="s">
        <v>115</v>
      </c>
      <c r="C83" t="s">
        <v>65</v>
      </c>
      <c r="D83" s="10" t="s">
        <v>70</v>
      </c>
      <c r="E83" t="s">
        <v>255</v>
      </c>
      <c r="F83">
        <v>0</v>
      </c>
    </row>
    <row r="84" spans="1:6">
      <c r="A84" s="8">
        <v>44010</v>
      </c>
      <c r="B84" s="9" t="s">
        <v>263</v>
      </c>
      <c r="C84" t="s">
        <v>65</v>
      </c>
      <c r="D84" s="10" t="s">
        <v>70</v>
      </c>
      <c r="E84" t="s">
        <v>233</v>
      </c>
      <c r="F84">
        <v>0</v>
      </c>
    </row>
    <row r="85" spans="1:6">
      <c r="A85" s="8">
        <v>44011</v>
      </c>
      <c r="B85" s="9" t="s">
        <v>90</v>
      </c>
      <c r="C85" t="s">
        <v>30</v>
      </c>
      <c r="D85" s="10" t="s">
        <v>2680</v>
      </c>
      <c r="E85" t="s">
        <v>128</v>
      </c>
      <c r="F85">
        <v>0</v>
      </c>
    </row>
    <row r="86" spans="1:6">
      <c r="A86" s="8">
        <v>44012</v>
      </c>
      <c r="B86" s="9" t="s">
        <v>269</v>
      </c>
      <c r="C86" t="s">
        <v>65</v>
      </c>
      <c r="D86" s="10" t="s">
        <v>130</v>
      </c>
      <c r="E86" t="s">
        <v>125</v>
      </c>
      <c r="F86">
        <v>0</v>
      </c>
    </row>
    <row r="87" spans="1:6">
      <c r="A87" s="8">
        <v>44018</v>
      </c>
      <c r="B87" s="9" t="s">
        <v>115</v>
      </c>
      <c r="C87" t="s">
        <v>65</v>
      </c>
      <c r="D87" s="10" t="s">
        <v>70</v>
      </c>
      <c r="E87" t="s">
        <v>230</v>
      </c>
      <c r="F87">
        <v>0</v>
      </c>
    </row>
    <row r="88" spans="1:6">
      <c r="A88" s="8">
        <v>44021</v>
      </c>
      <c r="B88" s="9" t="s">
        <v>272</v>
      </c>
      <c r="C88" t="s">
        <v>65</v>
      </c>
      <c r="D88" s="10" t="s">
        <v>70</v>
      </c>
      <c r="E88" t="s">
        <v>146</v>
      </c>
      <c r="F88">
        <v>0</v>
      </c>
    </row>
    <row r="89" spans="1:6">
      <c r="A89" s="8">
        <v>44025</v>
      </c>
      <c r="B89" s="9" t="s">
        <v>275</v>
      </c>
      <c r="C89" t="s">
        <v>65</v>
      </c>
      <c r="D89" s="10" t="s">
        <v>70</v>
      </c>
      <c r="E89" t="s">
        <v>149</v>
      </c>
      <c r="F89">
        <v>0</v>
      </c>
    </row>
    <row r="90" spans="1:6">
      <c r="A90" s="8">
        <v>44027</v>
      </c>
      <c r="B90" s="9" t="s">
        <v>278</v>
      </c>
      <c r="C90" t="s">
        <v>65</v>
      </c>
      <c r="D90" s="10" t="s">
        <v>70</v>
      </c>
      <c r="E90" t="s">
        <v>146</v>
      </c>
      <c r="F90">
        <v>0</v>
      </c>
    </row>
    <row r="91" spans="1:6">
      <c r="A91" s="8">
        <v>44034</v>
      </c>
      <c r="B91" s="9" t="s">
        <v>120</v>
      </c>
      <c r="C91" t="s">
        <v>65</v>
      </c>
      <c r="D91" s="10" t="s">
        <v>70</v>
      </c>
      <c r="E91" t="s">
        <v>149</v>
      </c>
      <c r="F91">
        <v>0</v>
      </c>
    </row>
    <row r="92" spans="1:6">
      <c r="A92" s="8">
        <v>44034</v>
      </c>
      <c r="B92" s="9" t="s">
        <v>286</v>
      </c>
      <c r="C92" t="s">
        <v>65</v>
      </c>
      <c r="D92" s="10" t="s">
        <v>70</v>
      </c>
      <c r="E92" t="s">
        <v>83</v>
      </c>
      <c r="F92">
        <v>0</v>
      </c>
    </row>
    <row r="93" spans="1:6">
      <c r="A93" s="11">
        <v>44034</v>
      </c>
      <c r="B93" s="9" t="s">
        <v>283</v>
      </c>
      <c r="C93" t="s">
        <v>65</v>
      </c>
      <c r="D93" s="10" t="s">
        <v>282</v>
      </c>
      <c r="E93" t="s">
        <v>233</v>
      </c>
      <c r="F93">
        <v>0</v>
      </c>
    </row>
    <row r="94" spans="1:6">
      <c r="A94" s="11">
        <v>44038</v>
      </c>
      <c r="B94" s="9" t="s">
        <v>98</v>
      </c>
      <c r="C94" t="s">
        <v>65</v>
      </c>
      <c r="D94" s="10" t="s">
        <v>70</v>
      </c>
      <c r="E94" t="s">
        <v>149</v>
      </c>
      <c r="F94">
        <v>0</v>
      </c>
    </row>
    <row r="95" spans="1:6">
      <c r="A95" s="8">
        <v>44048</v>
      </c>
      <c r="B95" s="9" t="s">
        <v>291</v>
      </c>
      <c r="C95" t="s">
        <v>65</v>
      </c>
      <c r="D95" s="10" t="s">
        <v>130</v>
      </c>
      <c r="E95" t="s">
        <v>128</v>
      </c>
      <c r="F95">
        <v>0</v>
      </c>
    </row>
    <row r="96" spans="1:6">
      <c r="A96" s="8">
        <v>44050</v>
      </c>
      <c r="B96" s="9" t="s">
        <v>298</v>
      </c>
      <c r="C96" t="s">
        <v>65</v>
      </c>
      <c r="D96" s="10" t="s">
        <v>130</v>
      </c>
      <c r="E96" t="s">
        <v>297</v>
      </c>
      <c r="F96">
        <v>0</v>
      </c>
    </row>
    <row r="97" spans="1:6">
      <c r="A97" s="8">
        <v>44053</v>
      </c>
      <c r="B97" s="9" t="s">
        <v>303</v>
      </c>
      <c r="C97" t="s">
        <v>65</v>
      </c>
      <c r="D97" s="10" t="s">
        <v>130</v>
      </c>
      <c r="E97" t="s">
        <v>128</v>
      </c>
      <c r="F97">
        <v>0</v>
      </c>
    </row>
    <row r="98" spans="1:6">
      <c r="A98" s="8">
        <v>44057</v>
      </c>
      <c r="B98" s="9" t="s">
        <v>305</v>
      </c>
      <c r="C98" t="s">
        <v>65</v>
      </c>
      <c r="D98" s="10" t="s">
        <v>130</v>
      </c>
      <c r="E98" t="s">
        <v>128</v>
      </c>
      <c r="F98">
        <v>0</v>
      </c>
    </row>
    <row r="99" spans="1:6">
      <c r="A99" s="8">
        <v>44063</v>
      </c>
      <c r="B99" s="9" t="s">
        <v>308</v>
      </c>
      <c r="C99" t="s">
        <v>65</v>
      </c>
      <c r="D99" s="10" t="s">
        <v>130</v>
      </c>
      <c r="E99" t="s">
        <v>307</v>
      </c>
      <c r="F99">
        <v>0</v>
      </c>
    </row>
    <row r="100" spans="1:6">
      <c r="A100" s="8">
        <v>44078</v>
      </c>
      <c r="B100" s="9" t="s">
        <v>34</v>
      </c>
      <c r="C100" t="s">
        <v>30</v>
      </c>
      <c r="D100" s="10" t="s">
        <v>2680</v>
      </c>
      <c r="E100" t="s">
        <v>307</v>
      </c>
      <c r="F100">
        <v>0</v>
      </c>
    </row>
    <row r="101" spans="1:6">
      <c r="A101" s="8">
        <v>44085</v>
      </c>
      <c r="B101" s="9" t="s">
        <v>313</v>
      </c>
      <c r="C101" t="s">
        <v>30</v>
      </c>
      <c r="D101" s="10" t="s">
        <v>2680</v>
      </c>
      <c r="E101" t="s">
        <v>54</v>
      </c>
      <c r="F101">
        <v>0</v>
      </c>
    </row>
    <row r="102" spans="1:6">
      <c r="A102" s="8">
        <v>44092</v>
      </c>
      <c r="B102" s="9" t="s">
        <v>315</v>
      </c>
      <c r="C102" t="s">
        <v>30</v>
      </c>
      <c r="D102" s="10" t="s">
        <v>2680</v>
      </c>
      <c r="E102" t="s">
        <v>297</v>
      </c>
      <c r="F102">
        <v>0</v>
      </c>
    </row>
    <row r="103" spans="1:6">
      <c r="A103" s="8">
        <v>44113</v>
      </c>
      <c r="B103" s="9" t="s">
        <v>317</v>
      </c>
      <c r="C103" t="s">
        <v>30</v>
      </c>
      <c r="D103" s="10" t="s">
        <v>2680</v>
      </c>
      <c r="E103" t="s">
        <v>301</v>
      </c>
      <c r="F103">
        <v>0</v>
      </c>
    </row>
    <row r="104" spans="1:6">
      <c r="A104" s="8">
        <v>44123</v>
      </c>
      <c r="B104" s="9" t="s">
        <v>320</v>
      </c>
      <c r="C104" t="s">
        <v>30</v>
      </c>
      <c r="D104" s="10" t="s">
        <v>2680</v>
      </c>
      <c r="E104" t="s">
        <v>54</v>
      </c>
      <c r="F104">
        <v>0</v>
      </c>
    </row>
    <row r="105" spans="1:6">
      <c r="A105" s="8">
        <v>44130</v>
      </c>
      <c r="B105" s="9" t="s">
        <v>323</v>
      </c>
      <c r="C105" t="s">
        <v>30</v>
      </c>
      <c r="D105" s="10" t="s">
        <v>2680</v>
      </c>
      <c r="E105" t="s">
        <v>322</v>
      </c>
      <c r="F105">
        <v>0</v>
      </c>
    </row>
    <row r="106" spans="1:6">
      <c r="A106" s="8">
        <v>44132</v>
      </c>
      <c r="B106" s="9" t="s">
        <v>325</v>
      </c>
      <c r="C106" t="s">
        <v>30</v>
      </c>
      <c r="D106" s="10" t="s">
        <v>2680</v>
      </c>
      <c r="E106" t="s">
        <v>54</v>
      </c>
      <c r="F106">
        <v>0</v>
      </c>
    </row>
    <row r="107" spans="1:6">
      <c r="A107" s="8">
        <v>44141</v>
      </c>
      <c r="B107" s="9" t="s">
        <v>327</v>
      </c>
      <c r="C107" t="s">
        <v>30</v>
      </c>
      <c r="D107" s="10" t="s">
        <v>2680</v>
      </c>
      <c r="E107" t="s">
        <v>294</v>
      </c>
      <c r="F107">
        <v>20000</v>
      </c>
    </row>
    <row r="108" spans="1:6">
      <c r="A108" s="8">
        <v>44148</v>
      </c>
      <c r="B108" s="9" t="s">
        <v>332</v>
      </c>
      <c r="C108" t="s">
        <v>65</v>
      </c>
      <c r="D108" s="10" t="s">
        <v>70</v>
      </c>
      <c r="E108" t="s">
        <v>190</v>
      </c>
      <c r="F108">
        <v>0</v>
      </c>
    </row>
    <row r="109" spans="1:6">
      <c r="A109" s="8">
        <v>44148</v>
      </c>
      <c r="B109" s="9" t="s">
        <v>98</v>
      </c>
      <c r="C109" t="s">
        <v>65</v>
      </c>
      <c r="D109" s="10" t="s">
        <v>70</v>
      </c>
      <c r="E109" t="s">
        <v>335</v>
      </c>
      <c r="F109">
        <v>0</v>
      </c>
    </row>
    <row r="110" spans="1:6">
      <c r="A110" s="11">
        <v>44162</v>
      </c>
      <c r="B110" s="9" t="s">
        <v>222</v>
      </c>
      <c r="C110" t="s">
        <v>65</v>
      </c>
      <c r="D110" s="10" t="s">
        <v>70</v>
      </c>
      <c r="E110" t="s">
        <v>259</v>
      </c>
      <c r="F110">
        <v>0</v>
      </c>
    </row>
    <row r="111" spans="1:6">
      <c r="A111" s="8">
        <v>44165</v>
      </c>
      <c r="B111" s="9" t="s">
        <v>209</v>
      </c>
      <c r="C111" t="s">
        <v>30</v>
      </c>
      <c r="D111" s="10" t="s">
        <v>2680</v>
      </c>
      <c r="E111" t="s">
        <v>2680</v>
      </c>
      <c r="F111">
        <v>0</v>
      </c>
    </row>
    <row r="112" spans="1:6">
      <c r="A112" s="8">
        <v>44172</v>
      </c>
      <c r="B112" s="9" t="s">
        <v>343</v>
      </c>
      <c r="C112" t="s">
        <v>65</v>
      </c>
      <c r="D112" s="10" t="s">
        <v>70</v>
      </c>
      <c r="E112" t="s">
        <v>149</v>
      </c>
      <c r="F112">
        <v>0</v>
      </c>
    </row>
    <row r="113" spans="1:6">
      <c r="A113" s="8">
        <v>44172</v>
      </c>
      <c r="B113" s="9" t="s">
        <v>341</v>
      </c>
      <c r="C113" t="s">
        <v>65</v>
      </c>
      <c r="D113" s="10" t="s">
        <v>70</v>
      </c>
      <c r="E113" t="s">
        <v>340</v>
      </c>
      <c r="F113">
        <v>0</v>
      </c>
    </row>
    <row r="114" spans="1:6">
      <c r="A114" s="11">
        <v>44176</v>
      </c>
      <c r="B114" s="9" t="s">
        <v>346</v>
      </c>
      <c r="C114" t="s">
        <v>133</v>
      </c>
      <c r="D114" s="10" t="s">
        <v>130</v>
      </c>
      <c r="E114" t="s">
        <v>125</v>
      </c>
      <c r="F114">
        <v>0</v>
      </c>
    </row>
    <row r="115" spans="1:6">
      <c r="A115" s="8">
        <v>44179</v>
      </c>
      <c r="B115" s="9" t="s">
        <v>348</v>
      </c>
      <c r="C115" t="s">
        <v>65</v>
      </c>
      <c r="D115" s="10" t="s">
        <v>70</v>
      </c>
      <c r="E115" t="s">
        <v>340</v>
      </c>
      <c r="F115">
        <v>200</v>
      </c>
    </row>
    <row r="116" spans="1:6">
      <c r="A116" s="8">
        <v>44181</v>
      </c>
      <c r="B116" s="9" t="s">
        <v>352</v>
      </c>
      <c r="C116" t="s">
        <v>30</v>
      </c>
      <c r="D116" s="10" t="s">
        <v>2680</v>
      </c>
      <c r="E116" t="s">
        <v>297</v>
      </c>
      <c r="F116">
        <v>0</v>
      </c>
    </row>
    <row r="117" spans="1:6">
      <c r="A117" s="8">
        <v>44181</v>
      </c>
      <c r="B117" s="9" t="s">
        <v>269</v>
      </c>
      <c r="C117" t="s">
        <v>65</v>
      </c>
      <c r="D117" s="10" t="s">
        <v>70</v>
      </c>
      <c r="E117" t="s">
        <v>119</v>
      </c>
      <c r="F117">
        <v>0</v>
      </c>
    </row>
    <row r="118" spans="1:6">
      <c r="A118" s="11">
        <v>44182</v>
      </c>
      <c r="B118" s="9" t="s">
        <v>179</v>
      </c>
      <c r="C118" t="s">
        <v>65</v>
      </c>
      <c r="D118" s="10" t="s">
        <v>70</v>
      </c>
      <c r="E118" t="s">
        <v>119</v>
      </c>
      <c r="F118">
        <v>0</v>
      </c>
    </row>
    <row r="119" spans="1:6">
      <c r="A119" s="8">
        <v>44182</v>
      </c>
      <c r="B119" s="9" t="s">
        <v>179</v>
      </c>
      <c r="C119" t="s">
        <v>65</v>
      </c>
      <c r="D119" s="10" t="s">
        <v>70</v>
      </c>
      <c r="E119" t="s">
        <v>219</v>
      </c>
      <c r="F119">
        <v>0</v>
      </c>
    </row>
    <row r="120" spans="1:6">
      <c r="A120" s="11">
        <v>44186</v>
      </c>
      <c r="B120" s="9" t="s">
        <v>325</v>
      </c>
      <c r="C120" t="s">
        <v>30</v>
      </c>
      <c r="D120" s="9" t="s">
        <v>2680</v>
      </c>
      <c r="E120" t="s">
        <v>54</v>
      </c>
      <c r="F120">
        <v>0</v>
      </c>
    </row>
    <row r="121" spans="1:6">
      <c r="A121" s="8">
        <v>44186</v>
      </c>
      <c r="B121" s="9" t="s">
        <v>360</v>
      </c>
      <c r="C121" t="s">
        <v>30</v>
      </c>
      <c r="D121" s="10" t="s">
        <v>2680</v>
      </c>
      <c r="E121" t="s">
        <v>54</v>
      </c>
      <c r="F121">
        <v>0</v>
      </c>
    </row>
    <row r="122" spans="1:6">
      <c r="A122" s="11">
        <v>44188</v>
      </c>
      <c r="B122" s="9" t="s">
        <v>362</v>
      </c>
      <c r="C122" t="s">
        <v>30</v>
      </c>
      <c r="D122" s="10" t="s">
        <v>2680</v>
      </c>
      <c r="E122" t="s">
        <v>239</v>
      </c>
      <c r="F122">
        <v>0</v>
      </c>
    </row>
    <row r="123" spans="1:6">
      <c r="A123" s="8">
        <v>44190</v>
      </c>
      <c r="B123" s="9" t="s">
        <v>152</v>
      </c>
      <c r="C123" t="s">
        <v>65</v>
      </c>
      <c r="D123" s="10" t="s">
        <v>70</v>
      </c>
      <c r="E123" t="s">
        <v>149</v>
      </c>
      <c r="F123">
        <v>0</v>
      </c>
    </row>
    <row r="124" spans="1:6">
      <c r="A124" s="8">
        <v>44193</v>
      </c>
      <c r="B124" s="9" t="s">
        <v>366</v>
      </c>
      <c r="C124" t="s">
        <v>65</v>
      </c>
      <c r="D124" s="10" t="s">
        <v>82</v>
      </c>
      <c r="E124" t="s">
        <v>119</v>
      </c>
      <c r="F124">
        <v>0</v>
      </c>
    </row>
    <row r="125" spans="1:6">
      <c r="A125" s="8">
        <v>44195</v>
      </c>
      <c r="B125" s="9" t="s">
        <v>313</v>
      </c>
      <c r="C125" t="s">
        <v>30</v>
      </c>
      <c r="D125" s="10" t="s">
        <v>2680</v>
      </c>
      <c r="E125" t="s">
        <v>54</v>
      </c>
      <c r="F125">
        <v>0</v>
      </c>
    </row>
    <row r="126" spans="1:6">
      <c r="A126" s="8">
        <v>44200</v>
      </c>
      <c r="B126" s="9" t="s">
        <v>231</v>
      </c>
      <c r="C126" t="s">
        <v>65</v>
      </c>
      <c r="D126" s="10" t="s">
        <v>70</v>
      </c>
      <c r="E126" t="s">
        <v>146</v>
      </c>
      <c r="F126">
        <v>0</v>
      </c>
    </row>
    <row r="127" spans="1:6">
      <c r="A127" s="8">
        <v>44202</v>
      </c>
      <c r="B127" s="9" t="s">
        <v>376</v>
      </c>
      <c r="C127" t="s">
        <v>30</v>
      </c>
      <c r="D127" s="10" t="s">
        <v>2680</v>
      </c>
      <c r="E127" t="s">
        <v>375</v>
      </c>
      <c r="F127">
        <v>0</v>
      </c>
    </row>
    <row r="128" spans="1:6">
      <c r="A128" s="8">
        <v>44202</v>
      </c>
      <c r="B128" s="9" t="s">
        <v>144</v>
      </c>
      <c r="C128" t="s">
        <v>65</v>
      </c>
      <c r="D128" s="10" t="s">
        <v>82</v>
      </c>
      <c r="E128" t="s">
        <v>340</v>
      </c>
      <c r="F128">
        <v>0</v>
      </c>
    </row>
    <row r="129" spans="1:6">
      <c r="A129" s="11">
        <v>44210</v>
      </c>
      <c r="B129" s="9" t="s">
        <v>379</v>
      </c>
      <c r="C129" t="s">
        <v>65</v>
      </c>
      <c r="D129" s="10" t="s">
        <v>282</v>
      </c>
      <c r="E129" t="s">
        <v>378</v>
      </c>
      <c r="F129">
        <v>500</v>
      </c>
    </row>
    <row r="130" spans="1:6">
      <c r="A130" s="8">
        <v>44214</v>
      </c>
      <c r="B130" s="9" t="s">
        <v>383</v>
      </c>
      <c r="C130" t="s">
        <v>65</v>
      </c>
      <c r="D130" s="10" t="s">
        <v>70</v>
      </c>
      <c r="E130" t="s">
        <v>219</v>
      </c>
      <c r="F130">
        <v>0</v>
      </c>
    </row>
    <row r="131" spans="1:6">
      <c r="A131" s="8">
        <v>44216</v>
      </c>
      <c r="B131" s="9" t="s">
        <v>385</v>
      </c>
      <c r="C131" t="s">
        <v>30</v>
      </c>
      <c r="D131" s="10" t="s">
        <v>2680</v>
      </c>
      <c r="E131" t="s">
        <v>239</v>
      </c>
      <c r="F131">
        <v>5000</v>
      </c>
    </row>
    <row r="132" spans="1:6">
      <c r="A132" s="8">
        <v>44218</v>
      </c>
      <c r="B132" s="9" t="s">
        <v>179</v>
      </c>
      <c r="C132" t="s">
        <v>65</v>
      </c>
      <c r="D132" s="10" t="s">
        <v>70</v>
      </c>
      <c r="E132" t="s">
        <v>119</v>
      </c>
      <c r="F132">
        <v>0</v>
      </c>
    </row>
    <row r="133" spans="1:6">
      <c r="A133" s="8">
        <v>44221</v>
      </c>
      <c r="B133" s="9" t="s">
        <v>132</v>
      </c>
      <c r="C133" t="s">
        <v>133</v>
      </c>
      <c r="D133" s="10" t="s">
        <v>130</v>
      </c>
      <c r="E133" t="s">
        <v>125</v>
      </c>
      <c r="F133">
        <v>0</v>
      </c>
    </row>
    <row r="134" spans="1:6">
      <c r="A134" s="8">
        <v>44223</v>
      </c>
      <c r="B134" s="9" t="s">
        <v>393</v>
      </c>
      <c r="C134" t="s">
        <v>65</v>
      </c>
      <c r="D134" s="10" t="s">
        <v>82</v>
      </c>
      <c r="E134" t="s">
        <v>392</v>
      </c>
      <c r="F134">
        <v>0</v>
      </c>
    </row>
    <row r="135" spans="1:6">
      <c r="A135" s="8">
        <v>44225</v>
      </c>
      <c r="B135" s="9" t="s">
        <v>399</v>
      </c>
      <c r="C135" t="s">
        <v>65</v>
      </c>
      <c r="D135" s="10" t="s">
        <v>82</v>
      </c>
      <c r="E135" t="s">
        <v>224</v>
      </c>
      <c r="F135">
        <v>0</v>
      </c>
    </row>
    <row r="136" spans="1:6">
      <c r="A136" s="8">
        <v>44228</v>
      </c>
      <c r="B136" s="9" t="s">
        <v>406</v>
      </c>
      <c r="C136" t="s">
        <v>30</v>
      </c>
      <c r="D136" s="10" t="s">
        <v>2680</v>
      </c>
      <c r="E136" t="s">
        <v>401</v>
      </c>
      <c r="F136">
        <v>0</v>
      </c>
    </row>
    <row r="137" spans="1:6">
      <c r="A137" s="8">
        <v>44228</v>
      </c>
      <c r="B137" s="9" t="s">
        <v>404</v>
      </c>
      <c r="C137" t="s">
        <v>65</v>
      </c>
      <c r="D137" s="10" t="s">
        <v>70</v>
      </c>
      <c r="E137" t="s">
        <v>403</v>
      </c>
      <c r="F137">
        <v>0</v>
      </c>
    </row>
    <row r="138" spans="1:6">
      <c r="A138" s="11">
        <v>44245</v>
      </c>
      <c r="B138" s="9" t="s">
        <v>269</v>
      </c>
      <c r="C138" t="s">
        <v>65</v>
      </c>
      <c r="D138" s="10" t="s">
        <v>409</v>
      </c>
      <c r="E138" t="s">
        <v>410</v>
      </c>
      <c r="F138">
        <v>0</v>
      </c>
    </row>
    <row r="139" spans="1:6">
      <c r="A139" s="8">
        <v>44246</v>
      </c>
      <c r="B139" s="9" t="s">
        <v>332</v>
      </c>
      <c r="C139" t="s">
        <v>65</v>
      </c>
      <c r="D139" s="10" t="s">
        <v>70</v>
      </c>
      <c r="E139" t="s">
        <v>224</v>
      </c>
      <c r="F139">
        <v>0</v>
      </c>
    </row>
    <row r="140" spans="1:6">
      <c r="A140" s="8">
        <v>44246</v>
      </c>
      <c r="B140" s="9" t="s">
        <v>422</v>
      </c>
      <c r="C140" t="s">
        <v>30</v>
      </c>
      <c r="D140" s="10" t="s">
        <v>2680</v>
      </c>
      <c r="E140" t="s">
        <v>125</v>
      </c>
      <c r="F140">
        <v>0</v>
      </c>
    </row>
    <row r="141" spans="1:6">
      <c r="A141" s="11">
        <v>44246</v>
      </c>
      <c r="B141" s="9" t="s">
        <v>413</v>
      </c>
      <c r="C141" t="s">
        <v>65</v>
      </c>
      <c r="D141" s="10" t="s">
        <v>82</v>
      </c>
      <c r="E141" t="s">
        <v>412</v>
      </c>
      <c r="F141">
        <v>0</v>
      </c>
    </row>
    <row r="142" spans="1:6">
      <c r="A142" s="11">
        <v>44246</v>
      </c>
      <c r="B142" s="9" t="s">
        <v>419</v>
      </c>
      <c r="C142" t="s">
        <v>65</v>
      </c>
      <c r="D142" s="10" t="s">
        <v>82</v>
      </c>
      <c r="E142" t="s">
        <v>340</v>
      </c>
      <c r="F142">
        <v>0</v>
      </c>
    </row>
    <row r="143" spans="1:6">
      <c r="A143" s="11">
        <v>44251</v>
      </c>
      <c r="B143" s="9" t="s">
        <v>424</v>
      </c>
      <c r="C143" t="s">
        <v>65</v>
      </c>
      <c r="D143" s="10" t="s">
        <v>82</v>
      </c>
      <c r="E143" t="s">
        <v>340</v>
      </c>
      <c r="F143">
        <v>0</v>
      </c>
    </row>
    <row r="144" spans="1:6">
      <c r="A144" s="8">
        <v>44251</v>
      </c>
      <c r="B144" s="9" t="s">
        <v>115</v>
      </c>
      <c r="C144" t="s">
        <v>65</v>
      </c>
      <c r="D144" s="10" t="s">
        <v>70</v>
      </c>
      <c r="E144" t="s">
        <v>259</v>
      </c>
      <c r="F144">
        <v>0</v>
      </c>
    </row>
    <row r="145" spans="1:6">
      <c r="A145" s="11">
        <v>44252</v>
      </c>
      <c r="B145" s="9" t="s">
        <v>428</v>
      </c>
      <c r="C145" t="s">
        <v>65</v>
      </c>
      <c r="D145" s="10" t="s">
        <v>70</v>
      </c>
      <c r="E145" t="s">
        <v>92</v>
      </c>
      <c r="F145">
        <v>0</v>
      </c>
    </row>
    <row r="146" spans="1:6">
      <c r="A146" s="8">
        <v>44252</v>
      </c>
      <c r="B146" s="9" t="s">
        <v>430</v>
      </c>
      <c r="C146" t="s">
        <v>133</v>
      </c>
      <c r="D146" s="10" t="s">
        <v>130</v>
      </c>
      <c r="E146" t="s">
        <v>401</v>
      </c>
      <c r="F146">
        <v>0</v>
      </c>
    </row>
    <row r="147" spans="1:6">
      <c r="A147" s="11">
        <v>44255</v>
      </c>
      <c r="B147" s="9" t="s">
        <v>179</v>
      </c>
      <c r="C147" t="s">
        <v>65</v>
      </c>
      <c r="D147" s="10" t="s">
        <v>70</v>
      </c>
      <c r="E147" t="s">
        <v>119</v>
      </c>
      <c r="F147">
        <v>0</v>
      </c>
    </row>
    <row r="148" spans="1:6">
      <c r="A148" s="8">
        <v>44256</v>
      </c>
      <c r="B148" s="9" t="s">
        <v>435</v>
      </c>
      <c r="C148" t="s">
        <v>65</v>
      </c>
      <c r="D148" s="10" t="s">
        <v>70</v>
      </c>
      <c r="E148" t="s">
        <v>434</v>
      </c>
      <c r="F148">
        <v>0</v>
      </c>
    </row>
    <row r="149" spans="1:6">
      <c r="A149" s="8">
        <v>44258</v>
      </c>
      <c r="B149" s="9" t="s">
        <v>136</v>
      </c>
      <c r="C149" t="s">
        <v>65</v>
      </c>
      <c r="D149" s="10" t="s">
        <v>70</v>
      </c>
      <c r="E149" t="s">
        <v>143</v>
      </c>
      <c r="F149">
        <v>0</v>
      </c>
    </row>
    <row r="150" spans="1:6">
      <c r="A150" s="8">
        <v>44259</v>
      </c>
      <c r="B150" s="9" t="s">
        <v>438</v>
      </c>
      <c r="C150" t="s">
        <v>65</v>
      </c>
      <c r="D150" s="10" t="s">
        <v>130</v>
      </c>
      <c r="E150" t="s">
        <v>239</v>
      </c>
      <c r="F150">
        <v>0</v>
      </c>
    </row>
    <row r="151" spans="1:6">
      <c r="A151" s="8">
        <v>44265</v>
      </c>
      <c r="B151" s="9" t="s">
        <v>313</v>
      </c>
      <c r="C151" t="s">
        <v>65</v>
      </c>
      <c r="D151" s="10" t="s">
        <v>82</v>
      </c>
      <c r="E151" t="s">
        <v>412</v>
      </c>
      <c r="F151">
        <v>0</v>
      </c>
    </row>
    <row r="152" spans="1:6">
      <c r="A152" s="8">
        <v>44270</v>
      </c>
      <c r="B152" s="9" t="s">
        <v>443</v>
      </c>
      <c r="C152" t="s">
        <v>65</v>
      </c>
      <c r="D152" s="10" t="s">
        <v>70</v>
      </c>
      <c r="E152" t="s">
        <v>146</v>
      </c>
      <c r="F152">
        <v>0</v>
      </c>
    </row>
    <row r="153" spans="1:6">
      <c r="A153" s="8">
        <v>44270</v>
      </c>
      <c r="B153" s="9" t="s">
        <v>177</v>
      </c>
      <c r="C153" t="s">
        <v>65</v>
      </c>
      <c r="D153" s="10" t="s">
        <v>282</v>
      </c>
      <c r="E153" t="s">
        <v>434</v>
      </c>
      <c r="F153">
        <v>0</v>
      </c>
    </row>
    <row r="154" spans="1:6">
      <c r="A154" s="11">
        <v>44271</v>
      </c>
      <c r="B154" s="9" t="s">
        <v>275</v>
      </c>
      <c r="C154" t="s">
        <v>65</v>
      </c>
      <c r="D154" s="10" t="s">
        <v>70</v>
      </c>
      <c r="E154" t="s">
        <v>434</v>
      </c>
      <c r="F154">
        <v>0</v>
      </c>
    </row>
    <row r="155" spans="1:6">
      <c r="A155" s="8">
        <v>44280</v>
      </c>
      <c r="B155" s="9" t="s">
        <v>448</v>
      </c>
      <c r="C155" t="s">
        <v>65</v>
      </c>
      <c r="D155" s="10" t="s">
        <v>70</v>
      </c>
      <c r="E155" t="s">
        <v>233</v>
      </c>
      <c r="F155">
        <v>0</v>
      </c>
    </row>
    <row r="156" spans="1:6">
      <c r="A156" s="8">
        <v>44283</v>
      </c>
      <c r="B156" s="9" t="s">
        <v>430</v>
      </c>
      <c r="C156" t="s">
        <v>30</v>
      </c>
      <c r="D156" s="10" t="s">
        <v>2680</v>
      </c>
      <c r="E156" t="s">
        <v>450</v>
      </c>
      <c r="F156">
        <v>0</v>
      </c>
    </row>
    <row r="157" spans="1:6">
      <c r="A157" s="8">
        <v>44300</v>
      </c>
      <c r="B157" s="9" t="s">
        <v>247</v>
      </c>
      <c r="C157" t="s">
        <v>65</v>
      </c>
      <c r="D157" s="10" t="s">
        <v>70</v>
      </c>
      <c r="E157" t="s">
        <v>452</v>
      </c>
      <c r="F157">
        <v>0</v>
      </c>
    </row>
    <row r="158" spans="1:6">
      <c r="A158" s="8">
        <v>44301</v>
      </c>
      <c r="B158" s="9" t="s">
        <v>454</v>
      </c>
      <c r="C158" t="s">
        <v>65</v>
      </c>
      <c r="D158" s="10" t="s">
        <v>70</v>
      </c>
      <c r="E158" t="s">
        <v>104</v>
      </c>
      <c r="F158">
        <v>0</v>
      </c>
    </row>
    <row r="159" spans="1:6">
      <c r="A159" s="8">
        <v>44314</v>
      </c>
      <c r="B159" s="9" t="s">
        <v>457</v>
      </c>
      <c r="C159" t="s">
        <v>133</v>
      </c>
      <c r="D159" s="10" t="s">
        <v>130</v>
      </c>
      <c r="E159" t="s">
        <v>456</v>
      </c>
      <c r="F159">
        <v>0</v>
      </c>
    </row>
    <row r="160" spans="1:6">
      <c r="A160" s="8">
        <v>44326</v>
      </c>
      <c r="B160" s="9" t="s">
        <v>406</v>
      </c>
      <c r="C160" t="s">
        <v>65</v>
      </c>
      <c r="D160" s="10" t="s">
        <v>282</v>
      </c>
      <c r="E160" t="s">
        <v>460</v>
      </c>
      <c r="F160">
        <v>1000</v>
      </c>
    </row>
    <row r="161" spans="1:6">
      <c r="A161" s="8">
        <v>44333</v>
      </c>
      <c r="B161" s="9" t="s">
        <v>275</v>
      </c>
      <c r="C161" t="s">
        <v>65</v>
      </c>
      <c r="D161" s="10" t="s">
        <v>70</v>
      </c>
      <c r="E161" t="s">
        <v>149</v>
      </c>
      <c r="F161">
        <v>0</v>
      </c>
    </row>
    <row r="162" spans="1:6">
      <c r="A162" s="8">
        <v>44335</v>
      </c>
      <c r="B162" s="9" t="s">
        <v>138</v>
      </c>
      <c r="C162" t="s">
        <v>65</v>
      </c>
      <c r="D162" s="10" t="s">
        <v>70</v>
      </c>
      <c r="E162" t="s">
        <v>190</v>
      </c>
      <c r="F162">
        <v>0</v>
      </c>
    </row>
    <row r="163" spans="1:6">
      <c r="A163" s="8">
        <v>44340</v>
      </c>
      <c r="B163" s="9" t="s">
        <v>215</v>
      </c>
      <c r="C163" t="s">
        <v>30</v>
      </c>
      <c r="D163" s="10" t="s">
        <v>2680</v>
      </c>
      <c r="E163" t="s">
        <v>450</v>
      </c>
      <c r="F163">
        <v>0</v>
      </c>
    </row>
    <row r="164" spans="1:6">
      <c r="A164" s="8">
        <v>44357</v>
      </c>
      <c r="B164" s="9" t="s">
        <v>325</v>
      </c>
      <c r="C164" t="s">
        <v>30</v>
      </c>
      <c r="D164" s="10" t="s">
        <v>2680</v>
      </c>
      <c r="E164" t="s">
        <v>239</v>
      </c>
      <c r="F164">
        <v>0</v>
      </c>
    </row>
    <row r="165" spans="1:6">
      <c r="A165" s="8">
        <v>44365</v>
      </c>
      <c r="B165" s="9" t="s">
        <v>470</v>
      </c>
      <c r="C165" t="s">
        <v>65</v>
      </c>
      <c r="D165" s="10" t="s">
        <v>70</v>
      </c>
      <c r="E165" t="s">
        <v>146</v>
      </c>
      <c r="F165">
        <v>0</v>
      </c>
    </row>
    <row r="166" spans="1:6">
      <c r="A166" s="8">
        <v>44375</v>
      </c>
      <c r="B166" s="9" t="s">
        <v>366</v>
      </c>
      <c r="C166" t="s">
        <v>30</v>
      </c>
      <c r="D166" s="10" t="s">
        <v>2680</v>
      </c>
      <c r="E166" t="s">
        <v>54</v>
      </c>
      <c r="F166">
        <v>0</v>
      </c>
    </row>
    <row r="167" spans="1:6">
      <c r="A167" s="8">
        <v>44375</v>
      </c>
      <c r="B167" s="9" t="s">
        <v>472</v>
      </c>
      <c r="C167" t="s">
        <v>65</v>
      </c>
      <c r="D167" s="10" t="s">
        <v>70</v>
      </c>
      <c r="E167" t="s">
        <v>104</v>
      </c>
      <c r="F167">
        <v>0</v>
      </c>
    </row>
    <row r="168" spans="1:6">
      <c r="A168" s="11">
        <v>44384</v>
      </c>
      <c r="B168" s="9" t="s">
        <v>476</v>
      </c>
      <c r="C168" t="s">
        <v>30</v>
      </c>
      <c r="D168" s="10" t="s">
        <v>2680</v>
      </c>
      <c r="E168" t="s">
        <v>239</v>
      </c>
      <c r="F168">
        <v>0</v>
      </c>
    </row>
    <row r="169" spans="1:6">
      <c r="A169" s="8">
        <v>44391</v>
      </c>
      <c r="B169" s="9" t="s">
        <v>188</v>
      </c>
      <c r="C169" t="s">
        <v>65</v>
      </c>
      <c r="D169" s="10" t="s">
        <v>70</v>
      </c>
      <c r="E169" t="s">
        <v>340</v>
      </c>
      <c r="F169">
        <v>0</v>
      </c>
    </row>
    <row r="170" spans="1:6">
      <c r="A170" s="8">
        <v>44400</v>
      </c>
      <c r="B170" s="9" t="s">
        <v>40</v>
      </c>
      <c r="C170" t="s">
        <v>30</v>
      </c>
      <c r="D170" s="10" t="s">
        <v>2680</v>
      </c>
      <c r="E170" t="s">
        <v>479</v>
      </c>
      <c r="F170">
        <v>0</v>
      </c>
    </row>
    <row r="171" spans="1:6">
      <c r="A171" s="8">
        <v>44403</v>
      </c>
      <c r="B171" s="9" t="s">
        <v>483</v>
      </c>
      <c r="C171" t="s">
        <v>65</v>
      </c>
      <c r="D171" s="10" t="s">
        <v>82</v>
      </c>
      <c r="E171" t="s">
        <v>146</v>
      </c>
      <c r="F171">
        <v>0</v>
      </c>
    </row>
    <row r="172" spans="1:6">
      <c r="A172" s="8">
        <v>44406</v>
      </c>
      <c r="B172" s="9" t="s">
        <v>428</v>
      </c>
      <c r="C172" t="s">
        <v>65</v>
      </c>
      <c r="D172" s="10" t="s">
        <v>70</v>
      </c>
      <c r="E172" t="s">
        <v>487</v>
      </c>
      <c r="F172">
        <v>0</v>
      </c>
    </row>
    <row r="173" spans="1:6">
      <c r="A173" s="8">
        <v>44417</v>
      </c>
      <c r="B173" s="9" t="s">
        <v>490</v>
      </c>
      <c r="C173" t="s">
        <v>133</v>
      </c>
      <c r="D173" s="10" t="s">
        <v>130</v>
      </c>
      <c r="E173" t="s">
        <v>301</v>
      </c>
      <c r="F173">
        <v>0</v>
      </c>
    </row>
    <row r="174" spans="1:6">
      <c r="A174" s="8">
        <v>44417</v>
      </c>
      <c r="B174" s="9" t="s">
        <v>490</v>
      </c>
      <c r="C174" t="s">
        <v>30</v>
      </c>
      <c r="D174" s="10" t="s">
        <v>2680</v>
      </c>
      <c r="E174" t="s">
        <v>301</v>
      </c>
      <c r="F174">
        <v>0</v>
      </c>
    </row>
    <row r="175" spans="1:6">
      <c r="A175" s="11">
        <v>44419</v>
      </c>
      <c r="B175" s="9" t="s">
        <v>490</v>
      </c>
      <c r="C175" t="s">
        <v>30</v>
      </c>
      <c r="D175" s="10" t="s">
        <v>2680</v>
      </c>
      <c r="E175" t="s">
        <v>301</v>
      </c>
      <c r="F175">
        <v>0</v>
      </c>
    </row>
    <row r="176" spans="1:6">
      <c r="A176" s="8">
        <v>44419</v>
      </c>
      <c r="B176" s="9" t="s">
        <v>495</v>
      </c>
      <c r="C176" t="s">
        <v>65</v>
      </c>
      <c r="D176" s="10" t="s">
        <v>82</v>
      </c>
      <c r="E176" t="s">
        <v>146</v>
      </c>
      <c r="F176">
        <v>0</v>
      </c>
    </row>
    <row r="177" spans="1:6">
      <c r="A177" s="11">
        <v>44424</v>
      </c>
      <c r="B177" s="9" t="s">
        <v>366</v>
      </c>
      <c r="C177" t="s">
        <v>30</v>
      </c>
      <c r="D177" s="10" t="s">
        <v>2680</v>
      </c>
      <c r="E177" t="s">
        <v>54</v>
      </c>
      <c r="F177">
        <v>0</v>
      </c>
    </row>
    <row r="178" spans="1:6">
      <c r="A178" s="8">
        <v>44428</v>
      </c>
      <c r="B178" s="9" t="s">
        <v>132</v>
      </c>
      <c r="C178" t="s">
        <v>133</v>
      </c>
      <c r="D178" s="10" t="s">
        <v>130</v>
      </c>
      <c r="E178" t="s">
        <v>125</v>
      </c>
      <c r="F178">
        <v>0</v>
      </c>
    </row>
    <row r="179" spans="1:6">
      <c r="A179" s="8">
        <v>44428</v>
      </c>
      <c r="B179" s="9" t="s">
        <v>505</v>
      </c>
      <c r="C179" t="s">
        <v>65</v>
      </c>
      <c r="D179" s="10" t="s">
        <v>82</v>
      </c>
      <c r="E179" t="s">
        <v>452</v>
      </c>
      <c r="F179">
        <v>0</v>
      </c>
    </row>
    <row r="180" spans="1:6">
      <c r="A180" s="11">
        <v>44433</v>
      </c>
      <c r="B180" s="9" t="s">
        <v>509</v>
      </c>
      <c r="C180" t="s">
        <v>30</v>
      </c>
      <c r="D180" s="10" t="s">
        <v>2680</v>
      </c>
      <c r="E180" t="s">
        <v>301</v>
      </c>
      <c r="F180">
        <v>0</v>
      </c>
    </row>
    <row r="181" spans="1:6">
      <c r="A181" s="8">
        <v>44434</v>
      </c>
      <c r="B181" s="9" t="s">
        <v>514</v>
      </c>
      <c r="C181" t="s">
        <v>515</v>
      </c>
      <c r="D181" s="10" t="s">
        <v>2680</v>
      </c>
      <c r="E181" t="s">
        <v>513</v>
      </c>
      <c r="F181">
        <v>0</v>
      </c>
    </row>
    <row r="182" spans="1:6">
      <c r="A182" s="8">
        <v>44434</v>
      </c>
      <c r="B182" s="9" t="s">
        <v>113</v>
      </c>
      <c r="C182" t="s">
        <v>65</v>
      </c>
      <c r="D182" s="10" t="s">
        <v>70</v>
      </c>
      <c r="E182" t="s">
        <v>119</v>
      </c>
      <c r="F182">
        <v>0</v>
      </c>
    </row>
    <row r="183" spans="1:6">
      <c r="A183" s="11">
        <v>44438</v>
      </c>
      <c r="B183" s="9" t="s">
        <v>517</v>
      </c>
      <c r="C183" t="s">
        <v>65</v>
      </c>
      <c r="D183" s="10" t="s">
        <v>70</v>
      </c>
      <c r="E183" t="s">
        <v>233</v>
      </c>
      <c r="F183">
        <v>0</v>
      </c>
    </row>
    <row r="184" spans="1:6">
      <c r="A184" s="8">
        <v>44440</v>
      </c>
      <c r="B184" s="9" t="s">
        <v>520</v>
      </c>
      <c r="C184" t="s">
        <v>30</v>
      </c>
      <c r="D184" s="10" t="s">
        <v>2680</v>
      </c>
      <c r="E184" t="s">
        <v>519</v>
      </c>
      <c r="F184">
        <v>0</v>
      </c>
    </row>
    <row r="185" spans="1:6">
      <c r="A185" s="8">
        <v>44448</v>
      </c>
      <c r="B185" s="9" t="s">
        <v>490</v>
      </c>
      <c r="C185" t="s">
        <v>65</v>
      </c>
      <c r="D185" s="10" t="s">
        <v>282</v>
      </c>
      <c r="E185" t="s">
        <v>525</v>
      </c>
      <c r="F185">
        <v>0</v>
      </c>
    </row>
    <row r="186" spans="1:6">
      <c r="A186" s="8">
        <v>44449</v>
      </c>
      <c r="B186" s="9" t="s">
        <v>154</v>
      </c>
      <c r="C186" t="s">
        <v>65</v>
      </c>
      <c r="D186" s="10" t="s">
        <v>70</v>
      </c>
      <c r="E186" t="s">
        <v>224</v>
      </c>
      <c r="F186">
        <v>0</v>
      </c>
    </row>
    <row r="187" spans="1:6">
      <c r="A187" s="8">
        <v>44454</v>
      </c>
      <c r="B187" s="9" t="s">
        <v>509</v>
      </c>
      <c r="C187" t="s">
        <v>30</v>
      </c>
      <c r="D187" s="10" t="s">
        <v>2680</v>
      </c>
      <c r="E187" t="s">
        <v>301</v>
      </c>
      <c r="F187">
        <v>0</v>
      </c>
    </row>
    <row r="188" spans="1:6">
      <c r="A188" s="8">
        <v>44455</v>
      </c>
      <c r="B188" s="9" t="s">
        <v>60</v>
      </c>
      <c r="C188" t="s">
        <v>515</v>
      </c>
      <c r="D188" s="10" t="s">
        <v>2680</v>
      </c>
      <c r="E188" t="s">
        <v>54</v>
      </c>
      <c r="F188">
        <v>0</v>
      </c>
    </row>
    <row r="189" spans="1:6">
      <c r="A189" s="8">
        <v>44456</v>
      </c>
      <c r="B189" s="9" t="s">
        <v>193</v>
      </c>
      <c r="C189" t="s">
        <v>30</v>
      </c>
      <c r="D189" s="10" t="s">
        <v>2680</v>
      </c>
      <c r="E189" t="s">
        <v>54</v>
      </c>
      <c r="F189">
        <v>0</v>
      </c>
    </row>
    <row r="190" spans="1:6">
      <c r="A190" s="8">
        <v>44456</v>
      </c>
      <c r="B190" s="9" t="s">
        <v>90</v>
      </c>
      <c r="C190" t="s">
        <v>30</v>
      </c>
      <c r="D190" s="10" t="s">
        <v>2680</v>
      </c>
      <c r="E190" t="s">
        <v>294</v>
      </c>
      <c r="F190">
        <v>0</v>
      </c>
    </row>
    <row r="191" spans="1:6">
      <c r="A191" s="11">
        <v>44457</v>
      </c>
      <c r="B191" s="9" t="s">
        <v>34</v>
      </c>
      <c r="C191" t="s">
        <v>30</v>
      </c>
      <c r="D191" s="10" t="s">
        <v>2680</v>
      </c>
      <c r="E191" t="s">
        <v>534</v>
      </c>
      <c r="F191">
        <v>0</v>
      </c>
    </row>
    <row r="192" spans="1:6">
      <c r="A192" s="8">
        <v>44457</v>
      </c>
      <c r="B192" s="9" t="s">
        <v>34</v>
      </c>
      <c r="C192" t="s">
        <v>30</v>
      </c>
      <c r="D192" s="10" t="s">
        <v>2680</v>
      </c>
      <c r="E192" t="s">
        <v>537</v>
      </c>
      <c r="F192">
        <v>0</v>
      </c>
    </row>
    <row r="193" spans="1:6">
      <c r="A193" s="11">
        <v>44461</v>
      </c>
      <c r="B193" s="9" t="s">
        <v>543</v>
      </c>
      <c r="C193" t="s">
        <v>515</v>
      </c>
      <c r="D193" s="9" t="s">
        <v>2680</v>
      </c>
      <c r="E193" t="s">
        <v>537</v>
      </c>
      <c r="F193">
        <v>0</v>
      </c>
    </row>
    <row r="194" spans="1:6">
      <c r="A194" s="8">
        <v>44461</v>
      </c>
      <c r="B194" s="9" t="s">
        <v>540</v>
      </c>
      <c r="C194" t="s">
        <v>30</v>
      </c>
      <c r="D194" s="10" t="s">
        <v>2680</v>
      </c>
      <c r="E194" t="s">
        <v>537</v>
      </c>
      <c r="F194">
        <v>0</v>
      </c>
    </row>
    <row r="195" spans="1:6">
      <c r="A195" s="11">
        <v>44466</v>
      </c>
      <c r="B195" s="9" t="s">
        <v>546</v>
      </c>
      <c r="C195" t="s">
        <v>515</v>
      </c>
      <c r="D195" s="10" t="s">
        <v>2680</v>
      </c>
      <c r="E195" t="s">
        <v>87</v>
      </c>
      <c r="F195">
        <v>0</v>
      </c>
    </row>
    <row r="196" spans="1:6">
      <c r="A196" s="8">
        <v>44466</v>
      </c>
      <c r="B196" s="9" t="s">
        <v>546</v>
      </c>
      <c r="C196" t="s">
        <v>515</v>
      </c>
      <c r="D196" s="10" t="s">
        <v>2680</v>
      </c>
      <c r="E196" t="s">
        <v>537</v>
      </c>
      <c r="F196">
        <v>0</v>
      </c>
    </row>
    <row r="197" spans="1:6">
      <c r="A197" s="11">
        <v>44467</v>
      </c>
      <c r="B197" s="9" t="s">
        <v>113</v>
      </c>
      <c r="C197" t="s">
        <v>65</v>
      </c>
      <c r="D197" s="9" t="s">
        <v>70</v>
      </c>
      <c r="E197" t="s">
        <v>119</v>
      </c>
      <c r="F197">
        <v>0</v>
      </c>
    </row>
    <row r="198" spans="1:6">
      <c r="A198" s="8">
        <v>44467</v>
      </c>
      <c r="B198" s="9" t="s">
        <v>546</v>
      </c>
      <c r="C198" t="s">
        <v>515</v>
      </c>
      <c r="D198" s="10" t="s">
        <v>2680</v>
      </c>
      <c r="E198" t="s">
        <v>87</v>
      </c>
      <c r="F198">
        <v>0</v>
      </c>
    </row>
    <row r="199" spans="1:6">
      <c r="A199" s="11">
        <v>44467</v>
      </c>
      <c r="B199" s="9" t="s">
        <v>546</v>
      </c>
      <c r="C199" t="s">
        <v>515</v>
      </c>
      <c r="D199" s="10" t="s">
        <v>2680</v>
      </c>
      <c r="E199" t="s">
        <v>537</v>
      </c>
      <c r="F199">
        <v>0</v>
      </c>
    </row>
    <row r="200" spans="1:6">
      <c r="A200" s="11">
        <v>44469</v>
      </c>
      <c r="B200" s="9" t="s">
        <v>209</v>
      </c>
      <c r="C200" t="s">
        <v>515</v>
      </c>
      <c r="D200" s="9" t="s">
        <v>2680</v>
      </c>
      <c r="E200" t="s">
        <v>172</v>
      </c>
      <c r="F200">
        <v>0</v>
      </c>
    </row>
    <row r="201" spans="1:6">
      <c r="A201" s="8">
        <v>44469</v>
      </c>
      <c r="B201" s="9" t="s">
        <v>209</v>
      </c>
      <c r="C201" t="s">
        <v>515</v>
      </c>
      <c r="D201" s="10" t="s">
        <v>2680</v>
      </c>
      <c r="E201" t="s">
        <v>537</v>
      </c>
      <c r="F201">
        <v>0</v>
      </c>
    </row>
    <row r="202" spans="1:6">
      <c r="A202" s="11">
        <v>44469</v>
      </c>
      <c r="B202" s="9" t="s">
        <v>209</v>
      </c>
      <c r="C202" t="s">
        <v>30</v>
      </c>
      <c r="D202" s="9" t="s">
        <v>2680</v>
      </c>
      <c r="E202" t="s">
        <v>172</v>
      </c>
      <c r="F202">
        <v>0</v>
      </c>
    </row>
    <row r="203" spans="1:6">
      <c r="A203" s="11">
        <v>44469</v>
      </c>
      <c r="B203" s="9" t="s">
        <v>555</v>
      </c>
      <c r="C203" t="s">
        <v>30</v>
      </c>
      <c r="D203" s="10" t="s">
        <v>2680</v>
      </c>
      <c r="E203" t="s">
        <v>87</v>
      </c>
      <c r="F203">
        <v>0</v>
      </c>
    </row>
    <row r="204" spans="1:6">
      <c r="A204" s="11">
        <v>44480</v>
      </c>
      <c r="B204" s="9" t="s">
        <v>40</v>
      </c>
      <c r="C204" t="s">
        <v>515</v>
      </c>
      <c r="D204" s="10" t="s">
        <v>2680</v>
      </c>
      <c r="E204" t="s">
        <v>537</v>
      </c>
      <c r="F204">
        <v>0</v>
      </c>
    </row>
    <row r="205" spans="1:6">
      <c r="A205" s="8">
        <v>44480</v>
      </c>
      <c r="B205" s="9" t="s">
        <v>40</v>
      </c>
      <c r="C205" t="s">
        <v>30</v>
      </c>
      <c r="D205" s="10" t="s">
        <v>2680</v>
      </c>
      <c r="E205" t="s">
        <v>537</v>
      </c>
      <c r="F205">
        <v>0</v>
      </c>
    </row>
    <row r="206" spans="1:6">
      <c r="A206" s="11">
        <v>44481</v>
      </c>
      <c r="B206" s="9" t="s">
        <v>564</v>
      </c>
      <c r="C206" t="s">
        <v>30</v>
      </c>
      <c r="D206" s="10" t="s">
        <v>2680</v>
      </c>
      <c r="E206" t="s">
        <v>54</v>
      </c>
      <c r="F206">
        <v>0</v>
      </c>
    </row>
    <row r="207" spans="1:6">
      <c r="A207" s="8">
        <v>44487</v>
      </c>
      <c r="B207" s="9" t="s">
        <v>483</v>
      </c>
      <c r="C207" t="s">
        <v>30</v>
      </c>
      <c r="D207" s="10" t="s">
        <v>2680</v>
      </c>
      <c r="E207" t="s">
        <v>371</v>
      </c>
      <c r="F207">
        <v>0</v>
      </c>
    </row>
    <row r="208" spans="1:6">
      <c r="A208" s="8">
        <v>44487</v>
      </c>
      <c r="B208" s="9" t="s">
        <v>517</v>
      </c>
      <c r="C208" t="s">
        <v>65</v>
      </c>
      <c r="D208" s="10" t="s">
        <v>70</v>
      </c>
      <c r="E208" t="s">
        <v>487</v>
      </c>
      <c r="F208">
        <v>0</v>
      </c>
    </row>
    <row r="209" spans="1:6">
      <c r="A209" s="11">
        <v>44487</v>
      </c>
      <c r="B209" s="9" t="s">
        <v>570</v>
      </c>
      <c r="C209" t="s">
        <v>30</v>
      </c>
      <c r="D209" s="10" t="s">
        <v>2680</v>
      </c>
      <c r="E209" t="s">
        <v>569</v>
      </c>
      <c r="F209">
        <v>0</v>
      </c>
    </row>
    <row r="210" spans="1:6">
      <c r="A210" s="11">
        <v>44494</v>
      </c>
      <c r="B210" s="9" t="s">
        <v>325</v>
      </c>
      <c r="C210" t="s">
        <v>30</v>
      </c>
      <c r="D210" s="10" t="s">
        <v>2680</v>
      </c>
      <c r="E210" t="s">
        <v>506</v>
      </c>
      <c r="F210">
        <v>0</v>
      </c>
    </row>
    <row r="211" spans="1:6">
      <c r="A211" s="8">
        <v>44495</v>
      </c>
      <c r="B211" s="9" t="s">
        <v>574</v>
      </c>
      <c r="C211" t="s">
        <v>133</v>
      </c>
      <c r="D211" s="10" t="s">
        <v>130</v>
      </c>
      <c r="E211" t="s">
        <v>456</v>
      </c>
      <c r="F211">
        <v>0</v>
      </c>
    </row>
    <row r="212" spans="1:6">
      <c r="A212" s="8">
        <v>44498</v>
      </c>
      <c r="B212" s="9" t="s">
        <v>583</v>
      </c>
      <c r="C212" t="s">
        <v>515</v>
      </c>
      <c r="D212" s="10" t="s">
        <v>2680</v>
      </c>
      <c r="E212" t="s">
        <v>537</v>
      </c>
      <c r="F212">
        <v>0</v>
      </c>
    </row>
    <row r="213" spans="1:6">
      <c r="A213" s="8">
        <v>44498</v>
      </c>
      <c r="B213" s="9" t="s">
        <v>583</v>
      </c>
      <c r="C213" t="s">
        <v>515</v>
      </c>
      <c r="D213" s="10" t="s">
        <v>2680</v>
      </c>
      <c r="E213" t="s">
        <v>208</v>
      </c>
      <c r="F213">
        <v>0</v>
      </c>
    </row>
    <row r="214" spans="1:6">
      <c r="A214" s="11">
        <v>44498</v>
      </c>
      <c r="B214" s="9" t="s">
        <v>578</v>
      </c>
      <c r="C214" t="s">
        <v>30</v>
      </c>
      <c r="D214" s="9" t="s">
        <v>130</v>
      </c>
      <c r="E214" t="s">
        <v>301</v>
      </c>
      <c r="F214">
        <v>10000</v>
      </c>
    </row>
    <row r="215" spans="1:6">
      <c r="A215" s="11">
        <v>44498</v>
      </c>
      <c r="B215" s="9" t="s">
        <v>578</v>
      </c>
      <c r="C215" t="s">
        <v>30</v>
      </c>
      <c r="D215" s="10" t="s">
        <v>2680</v>
      </c>
      <c r="E215" t="s">
        <v>239</v>
      </c>
      <c r="F215">
        <v>0</v>
      </c>
    </row>
    <row r="216" spans="1:6">
      <c r="A216" s="11">
        <v>44501</v>
      </c>
      <c r="B216" s="9" t="s">
        <v>578</v>
      </c>
      <c r="C216" t="s">
        <v>30</v>
      </c>
      <c r="D216" s="10" t="s">
        <v>2680</v>
      </c>
      <c r="E216" t="s">
        <v>239</v>
      </c>
      <c r="F216">
        <v>0</v>
      </c>
    </row>
    <row r="217" spans="1:6">
      <c r="A217" s="8">
        <v>44503</v>
      </c>
      <c r="B217" s="9" t="s">
        <v>592</v>
      </c>
      <c r="C217" t="s">
        <v>515</v>
      </c>
      <c r="D217" s="10" t="s">
        <v>2680</v>
      </c>
      <c r="E217" t="s">
        <v>591</v>
      </c>
      <c r="F217">
        <v>0</v>
      </c>
    </row>
    <row r="218" spans="1:6">
      <c r="A218" s="8">
        <v>44503</v>
      </c>
      <c r="B218" s="9" t="s">
        <v>555</v>
      </c>
      <c r="C218" t="s">
        <v>133</v>
      </c>
      <c r="D218" s="10" t="s">
        <v>130</v>
      </c>
      <c r="E218" t="s">
        <v>87</v>
      </c>
      <c r="F218">
        <v>0</v>
      </c>
    </row>
    <row r="219" spans="1:6">
      <c r="A219" s="11">
        <v>44508</v>
      </c>
      <c r="B219" s="9" t="s">
        <v>596</v>
      </c>
      <c r="C219" t="s">
        <v>30</v>
      </c>
      <c r="D219" s="10" t="s">
        <v>130</v>
      </c>
      <c r="E219" t="s">
        <v>591</v>
      </c>
      <c r="F219">
        <v>0</v>
      </c>
    </row>
    <row r="220" spans="1:6">
      <c r="A220" s="8">
        <v>44508</v>
      </c>
      <c r="B220" s="9" t="s">
        <v>594</v>
      </c>
      <c r="C220" t="s">
        <v>65</v>
      </c>
      <c r="D220" s="10" t="s">
        <v>282</v>
      </c>
      <c r="E220" t="s">
        <v>233</v>
      </c>
      <c r="F220">
        <v>0</v>
      </c>
    </row>
    <row r="221" spans="1:6">
      <c r="A221" s="11">
        <v>44510</v>
      </c>
      <c r="B221" s="9" t="s">
        <v>578</v>
      </c>
      <c r="C221" t="s">
        <v>65</v>
      </c>
      <c r="D221" s="10" t="s">
        <v>282</v>
      </c>
      <c r="E221" t="s">
        <v>340</v>
      </c>
      <c r="F221">
        <v>0</v>
      </c>
    </row>
    <row r="222" spans="1:6">
      <c r="A222" s="8">
        <v>44512</v>
      </c>
      <c r="B222" s="9" t="s">
        <v>603</v>
      </c>
      <c r="C222" t="s">
        <v>30</v>
      </c>
      <c r="D222" s="10" t="s">
        <v>2680</v>
      </c>
      <c r="E222" t="s">
        <v>450</v>
      </c>
      <c r="F222">
        <v>0</v>
      </c>
    </row>
    <row r="223" spans="1:6">
      <c r="A223" s="8">
        <v>44512</v>
      </c>
      <c r="B223" s="9" t="s">
        <v>600</v>
      </c>
      <c r="C223" t="s">
        <v>65</v>
      </c>
      <c r="D223" s="10" t="s">
        <v>130</v>
      </c>
      <c r="E223" t="s">
        <v>537</v>
      </c>
      <c r="F223">
        <v>0</v>
      </c>
    </row>
    <row r="224" spans="1:6">
      <c r="A224" s="11">
        <v>44514</v>
      </c>
      <c r="B224" s="9" t="s">
        <v>605</v>
      </c>
      <c r="C224" t="s">
        <v>65</v>
      </c>
      <c r="D224" s="10" t="s">
        <v>282</v>
      </c>
      <c r="E224" t="s">
        <v>487</v>
      </c>
      <c r="F224">
        <v>0</v>
      </c>
    </row>
    <row r="225" spans="1:6">
      <c r="A225" s="8">
        <v>44514</v>
      </c>
      <c r="B225" s="9" t="s">
        <v>605</v>
      </c>
      <c r="C225" t="s">
        <v>65</v>
      </c>
      <c r="D225" s="10" t="s">
        <v>82</v>
      </c>
      <c r="E225" t="s">
        <v>608</v>
      </c>
      <c r="F225">
        <v>0</v>
      </c>
    </row>
    <row r="226" spans="1:6">
      <c r="A226" s="11">
        <v>44515</v>
      </c>
      <c r="B226" s="9" t="s">
        <v>615</v>
      </c>
      <c r="C226" t="s">
        <v>30</v>
      </c>
      <c r="D226" s="10" t="s">
        <v>2680</v>
      </c>
      <c r="E226" t="s">
        <v>614</v>
      </c>
      <c r="F226">
        <v>0</v>
      </c>
    </row>
    <row r="227" spans="1:6">
      <c r="A227" s="8">
        <v>44515</v>
      </c>
      <c r="B227" s="9" t="s">
        <v>612</v>
      </c>
      <c r="C227" t="s">
        <v>65</v>
      </c>
      <c r="D227" s="10" t="s">
        <v>70</v>
      </c>
      <c r="E227" t="s">
        <v>611</v>
      </c>
      <c r="F227">
        <v>0</v>
      </c>
    </row>
    <row r="228" spans="1:6">
      <c r="A228" s="11">
        <v>44515</v>
      </c>
      <c r="B228" s="9" t="s">
        <v>34</v>
      </c>
      <c r="C228" t="s">
        <v>515</v>
      </c>
      <c r="D228" s="10" t="s">
        <v>2680</v>
      </c>
      <c r="E228" t="s">
        <v>450</v>
      </c>
      <c r="F228">
        <v>0</v>
      </c>
    </row>
    <row r="229" spans="1:6">
      <c r="A229" s="11">
        <v>44515</v>
      </c>
      <c r="B229" s="9" t="s">
        <v>34</v>
      </c>
      <c r="C229" t="s">
        <v>30</v>
      </c>
      <c r="D229" s="10" t="s">
        <v>2680</v>
      </c>
      <c r="E229" t="s">
        <v>450</v>
      </c>
      <c r="F229">
        <v>0</v>
      </c>
    </row>
    <row r="230" spans="1:6">
      <c r="A230" s="11">
        <v>44517</v>
      </c>
      <c r="B230" s="9" t="s">
        <v>634</v>
      </c>
      <c r="C230" t="s">
        <v>515</v>
      </c>
      <c r="D230" s="10" t="s">
        <v>130</v>
      </c>
      <c r="E230" t="s">
        <v>239</v>
      </c>
      <c r="F230">
        <v>0</v>
      </c>
    </row>
    <row r="231" spans="1:6">
      <c r="A231" s="8">
        <v>44517</v>
      </c>
      <c r="B231" s="9" t="s">
        <v>352</v>
      </c>
      <c r="C231" t="s">
        <v>515</v>
      </c>
      <c r="D231" s="10" t="s">
        <v>632</v>
      </c>
      <c r="E231" t="s">
        <v>614</v>
      </c>
      <c r="F231">
        <v>0</v>
      </c>
    </row>
    <row r="232" spans="1:6">
      <c r="A232" s="11">
        <v>44517</v>
      </c>
      <c r="B232" s="9" t="s">
        <v>352</v>
      </c>
      <c r="C232" t="s">
        <v>515</v>
      </c>
      <c r="D232" s="10" t="s">
        <v>2680</v>
      </c>
      <c r="E232" t="s">
        <v>614</v>
      </c>
      <c r="F232">
        <v>0</v>
      </c>
    </row>
    <row r="233" spans="1:6">
      <c r="A233" s="11">
        <v>44517</v>
      </c>
      <c r="B233" s="9" t="s">
        <v>352</v>
      </c>
      <c r="C233" t="s">
        <v>30</v>
      </c>
      <c r="D233" s="10" t="s">
        <v>2680</v>
      </c>
      <c r="E233" t="s">
        <v>614</v>
      </c>
      <c r="F233">
        <v>0</v>
      </c>
    </row>
    <row r="234" spans="1:6">
      <c r="A234" s="11">
        <v>44517</v>
      </c>
      <c r="B234" s="9" t="s">
        <v>366</v>
      </c>
      <c r="C234" t="s">
        <v>65</v>
      </c>
      <c r="D234" s="10" t="s">
        <v>70</v>
      </c>
      <c r="E234" t="s">
        <v>621</v>
      </c>
      <c r="F234">
        <v>0</v>
      </c>
    </row>
    <row r="235" spans="1:6">
      <c r="A235" s="11">
        <v>44517</v>
      </c>
      <c r="B235" s="9" t="s">
        <v>564</v>
      </c>
      <c r="C235" t="s">
        <v>30</v>
      </c>
      <c r="D235" s="10" t="s">
        <v>2680</v>
      </c>
      <c r="E235" t="s">
        <v>614</v>
      </c>
      <c r="F235">
        <v>0</v>
      </c>
    </row>
    <row r="236" spans="1:6">
      <c r="A236" s="11">
        <v>44518</v>
      </c>
      <c r="B236" s="9" t="s">
        <v>637</v>
      </c>
      <c r="C236" t="s">
        <v>30</v>
      </c>
      <c r="D236" s="10" t="s">
        <v>2680</v>
      </c>
      <c r="E236" t="s">
        <v>614</v>
      </c>
      <c r="F236">
        <v>0</v>
      </c>
    </row>
    <row r="237" spans="1:6">
      <c r="A237" s="8">
        <v>44518</v>
      </c>
      <c r="B237" s="9" t="s">
        <v>362</v>
      </c>
      <c r="C237" t="s">
        <v>30</v>
      </c>
      <c r="D237" s="10" t="s">
        <v>2680</v>
      </c>
      <c r="E237" t="s">
        <v>450</v>
      </c>
      <c r="F237">
        <v>0</v>
      </c>
    </row>
    <row r="238" spans="1:6">
      <c r="A238" s="11">
        <v>44519</v>
      </c>
      <c r="B238" s="9" t="s">
        <v>639</v>
      </c>
      <c r="C238" t="s">
        <v>30</v>
      </c>
      <c r="D238" s="10" t="s">
        <v>2680</v>
      </c>
      <c r="E238" t="s">
        <v>614</v>
      </c>
      <c r="F238">
        <v>0</v>
      </c>
    </row>
    <row r="239" spans="1:6">
      <c r="A239" s="8">
        <v>44522</v>
      </c>
      <c r="B239" s="9" t="s">
        <v>643</v>
      </c>
      <c r="C239" t="s">
        <v>515</v>
      </c>
      <c r="D239" s="10" t="s">
        <v>632</v>
      </c>
      <c r="E239" t="s">
        <v>450</v>
      </c>
      <c r="F239">
        <v>0</v>
      </c>
    </row>
    <row r="240" spans="1:6">
      <c r="A240" s="8">
        <v>44522</v>
      </c>
      <c r="B240" s="9" t="s">
        <v>641</v>
      </c>
      <c r="C240" t="s">
        <v>515</v>
      </c>
      <c r="D240" s="10" t="s">
        <v>632</v>
      </c>
      <c r="E240" t="s">
        <v>450</v>
      </c>
      <c r="F240">
        <v>0</v>
      </c>
    </row>
    <row r="241" spans="1:6">
      <c r="A241" s="11">
        <v>44523</v>
      </c>
      <c r="B241" s="9" t="s">
        <v>639</v>
      </c>
      <c r="C241" t="s">
        <v>30</v>
      </c>
      <c r="D241" s="10" t="s">
        <v>2680</v>
      </c>
      <c r="E241" t="s">
        <v>614</v>
      </c>
      <c r="F241">
        <v>0</v>
      </c>
    </row>
    <row r="242" spans="1:6">
      <c r="A242" s="8">
        <v>44523</v>
      </c>
      <c r="B242" s="9" t="s">
        <v>657</v>
      </c>
      <c r="C242" t="s">
        <v>30</v>
      </c>
      <c r="D242" s="10" t="s">
        <v>2680</v>
      </c>
      <c r="E242" t="s">
        <v>614</v>
      </c>
      <c r="F242">
        <v>0</v>
      </c>
    </row>
    <row r="243" spans="1:6">
      <c r="A243" s="11">
        <v>44523</v>
      </c>
      <c r="B243" s="9" t="s">
        <v>648</v>
      </c>
      <c r="C243" t="s">
        <v>30</v>
      </c>
      <c r="D243" s="10" t="s">
        <v>2680</v>
      </c>
      <c r="E243" t="s">
        <v>450</v>
      </c>
      <c r="F243">
        <v>0</v>
      </c>
    </row>
    <row r="244" spans="1:6">
      <c r="A244" s="11">
        <v>44523</v>
      </c>
      <c r="B244" s="9" t="s">
        <v>643</v>
      </c>
      <c r="C244" t="s">
        <v>30</v>
      </c>
      <c r="D244" s="10" t="s">
        <v>2680</v>
      </c>
      <c r="E244" t="s">
        <v>450</v>
      </c>
      <c r="F244">
        <v>0</v>
      </c>
    </row>
    <row r="245" spans="1:6">
      <c r="A245" s="11">
        <v>44523</v>
      </c>
      <c r="B245" s="9" t="s">
        <v>641</v>
      </c>
      <c r="C245" t="s">
        <v>30</v>
      </c>
      <c r="D245" s="10" t="s">
        <v>2680</v>
      </c>
      <c r="E245" t="s">
        <v>450</v>
      </c>
      <c r="F245">
        <v>0</v>
      </c>
    </row>
    <row r="246" spans="1:6">
      <c r="A246" s="11">
        <v>44523</v>
      </c>
      <c r="B246" s="9" t="s">
        <v>651</v>
      </c>
      <c r="C246" t="s">
        <v>30</v>
      </c>
      <c r="D246" s="10" t="s">
        <v>632</v>
      </c>
      <c r="E246" t="s">
        <v>450</v>
      </c>
      <c r="F246">
        <v>1500</v>
      </c>
    </row>
    <row r="247" spans="1:6">
      <c r="A247" s="11">
        <v>44524</v>
      </c>
      <c r="B247" s="9" t="s">
        <v>650</v>
      </c>
      <c r="C247" t="s">
        <v>30</v>
      </c>
      <c r="D247" s="10" t="s">
        <v>2680</v>
      </c>
      <c r="E247" t="s">
        <v>450</v>
      </c>
      <c r="F247">
        <v>0</v>
      </c>
    </row>
    <row r="248" spans="1:6">
      <c r="A248" s="8">
        <v>44525</v>
      </c>
      <c r="B248" s="9" t="s">
        <v>660</v>
      </c>
      <c r="C248" t="s">
        <v>515</v>
      </c>
      <c r="D248" s="10" t="s">
        <v>632</v>
      </c>
      <c r="E248" t="s">
        <v>450</v>
      </c>
      <c r="F248">
        <v>0</v>
      </c>
    </row>
    <row r="249" spans="1:6">
      <c r="A249" s="8">
        <v>44526</v>
      </c>
      <c r="B249" s="9" t="s">
        <v>663</v>
      </c>
      <c r="C249" t="s">
        <v>65</v>
      </c>
      <c r="D249" s="10" t="s">
        <v>282</v>
      </c>
      <c r="E249" t="s">
        <v>340</v>
      </c>
      <c r="F249">
        <v>0</v>
      </c>
    </row>
    <row r="250" spans="1:6">
      <c r="A250" s="8">
        <v>44529</v>
      </c>
      <c r="B250" s="9" t="s">
        <v>667</v>
      </c>
      <c r="C250" t="s">
        <v>30</v>
      </c>
      <c r="D250" s="10" t="s">
        <v>2680</v>
      </c>
      <c r="E250" t="s">
        <v>614</v>
      </c>
      <c r="F250">
        <v>0</v>
      </c>
    </row>
    <row r="251" spans="1:6">
      <c r="A251" s="8">
        <v>44529</v>
      </c>
      <c r="B251" s="9" t="s">
        <v>672</v>
      </c>
      <c r="C251" t="s">
        <v>30</v>
      </c>
      <c r="D251" s="10" t="s">
        <v>2680</v>
      </c>
      <c r="E251" t="s">
        <v>450</v>
      </c>
      <c r="F251">
        <v>0</v>
      </c>
    </row>
    <row r="252" spans="1:6">
      <c r="A252" s="11">
        <v>44529</v>
      </c>
      <c r="B252" s="9" t="s">
        <v>674</v>
      </c>
      <c r="C252" t="s">
        <v>30</v>
      </c>
      <c r="D252" s="10" t="s">
        <v>2680</v>
      </c>
      <c r="E252" t="s">
        <v>450</v>
      </c>
      <c r="F252">
        <v>0</v>
      </c>
    </row>
    <row r="253" spans="1:6">
      <c r="A253" s="11">
        <v>44529</v>
      </c>
      <c r="B253" s="9" t="s">
        <v>665</v>
      </c>
      <c r="C253" t="s">
        <v>30</v>
      </c>
      <c r="D253" s="10" t="s">
        <v>2680</v>
      </c>
      <c r="E253" t="s">
        <v>614</v>
      </c>
      <c r="F253">
        <v>0</v>
      </c>
    </row>
    <row r="254" spans="1:6">
      <c r="A254" s="11">
        <v>44529</v>
      </c>
      <c r="B254" s="9" t="s">
        <v>679</v>
      </c>
      <c r="C254" t="s">
        <v>515</v>
      </c>
      <c r="D254" s="10" t="s">
        <v>632</v>
      </c>
      <c r="E254" t="s">
        <v>614</v>
      </c>
      <c r="F254">
        <v>0</v>
      </c>
    </row>
    <row r="255" spans="1:6">
      <c r="A255" s="11">
        <v>44529</v>
      </c>
      <c r="B255" s="9" t="s">
        <v>669</v>
      </c>
      <c r="C255" t="s">
        <v>515</v>
      </c>
      <c r="D255" s="10" t="s">
        <v>632</v>
      </c>
      <c r="E255" t="s">
        <v>450</v>
      </c>
      <c r="F255">
        <v>0</v>
      </c>
    </row>
    <row r="256" spans="1:6">
      <c r="A256" s="11">
        <v>44529</v>
      </c>
      <c r="B256" s="9" t="s">
        <v>669</v>
      </c>
      <c r="C256" t="s">
        <v>30</v>
      </c>
      <c r="D256" s="10" t="s">
        <v>2680</v>
      </c>
      <c r="E256" t="s">
        <v>450</v>
      </c>
      <c r="F256">
        <v>0</v>
      </c>
    </row>
    <row r="257" spans="1:6">
      <c r="A257" s="11">
        <v>44529</v>
      </c>
      <c r="B257" s="9" t="s">
        <v>677</v>
      </c>
      <c r="C257" t="s">
        <v>515</v>
      </c>
      <c r="D257" s="10" t="s">
        <v>632</v>
      </c>
      <c r="E257" t="s">
        <v>450</v>
      </c>
      <c r="F257">
        <v>0</v>
      </c>
    </row>
    <row r="258" spans="1:6">
      <c r="A258" s="11">
        <v>44531</v>
      </c>
      <c r="B258" s="9" t="s">
        <v>362</v>
      </c>
      <c r="C258" t="s">
        <v>30</v>
      </c>
      <c r="D258" s="10" t="s">
        <v>632</v>
      </c>
      <c r="E258" t="s">
        <v>450</v>
      </c>
      <c r="F258">
        <v>10000</v>
      </c>
    </row>
    <row r="259" spans="1:6">
      <c r="A259" s="8">
        <v>44532</v>
      </c>
      <c r="B259" s="9" t="s">
        <v>115</v>
      </c>
      <c r="C259" t="s">
        <v>65</v>
      </c>
      <c r="D259" s="10" t="s">
        <v>282</v>
      </c>
      <c r="E259" t="s">
        <v>233</v>
      </c>
      <c r="F259">
        <v>0</v>
      </c>
    </row>
    <row r="260" spans="1:6">
      <c r="A260" s="8">
        <v>44532</v>
      </c>
      <c r="B260" s="9" t="s">
        <v>683</v>
      </c>
      <c r="C260" t="s">
        <v>30</v>
      </c>
      <c r="D260" s="10" t="s">
        <v>2680</v>
      </c>
      <c r="E260" t="s">
        <v>450</v>
      </c>
      <c r="F260">
        <v>0</v>
      </c>
    </row>
    <row r="261" spans="1:6">
      <c r="A261" s="11">
        <v>44533</v>
      </c>
      <c r="B261" s="9" t="s">
        <v>686</v>
      </c>
      <c r="C261" t="s">
        <v>30</v>
      </c>
      <c r="D261" s="10" t="s">
        <v>2680</v>
      </c>
      <c r="E261" t="s">
        <v>614</v>
      </c>
      <c r="F261">
        <v>0</v>
      </c>
    </row>
    <row r="262" spans="1:6">
      <c r="A262" s="8">
        <v>44533</v>
      </c>
      <c r="B262" s="9" t="s">
        <v>679</v>
      </c>
      <c r="C262" t="s">
        <v>515</v>
      </c>
      <c r="D262" s="10" t="s">
        <v>632</v>
      </c>
      <c r="E262" t="s">
        <v>614</v>
      </c>
      <c r="F262">
        <v>0</v>
      </c>
    </row>
    <row r="263" spans="1:6">
      <c r="A263" s="11">
        <v>44533</v>
      </c>
      <c r="B263" s="9" t="s">
        <v>689</v>
      </c>
      <c r="C263" t="s">
        <v>515</v>
      </c>
      <c r="D263" s="10" t="s">
        <v>632</v>
      </c>
      <c r="E263" t="s">
        <v>614</v>
      </c>
      <c r="F263">
        <v>0</v>
      </c>
    </row>
    <row r="264" spans="1:6">
      <c r="A264" s="11">
        <v>44533</v>
      </c>
      <c r="B264" s="9" t="s">
        <v>677</v>
      </c>
      <c r="C264" t="s">
        <v>30</v>
      </c>
      <c r="D264" s="10" t="s">
        <v>632</v>
      </c>
      <c r="E264" t="s">
        <v>450</v>
      </c>
      <c r="F264">
        <v>0</v>
      </c>
    </row>
    <row r="265" spans="1:6">
      <c r="A265" s="11">
        <v>44536</v>
      </c>
      <c r="B265" s="9" t="s">
        <v>691</v>
      </c>
      <c r="C265" t="s">
        <v>30</v>
      </c>
      <c r="D265" s="10" t="s">
        <v>2680</v>
      </c>
      <c r="E265" t="s">
        <v>614</v>
      </c>
      <c r="F265">
        <v>0</v>
      </c>
    </row>
    <row r="266" spans="1:6">
      <c r="A266" s="8">
        <v>44538</v>
      </c>
      <c r="B266" s="9" t="s">
        <v>634</v>
      </c>
      <c r="C266" t="s">
        <v>30</v>
      </c>
      <c r="D266" s="10" t="s">
        <v>2680</v>
      </c>
      <c r="E266" t="s">
        <v>450</v>
      </c>
      <c r="F266">
        <v>0</v>
      </c>
    </row>
    <row r="267" spans="1:6">
      <c r="A267" s="8">
        <v>44538</v>
      </c>
      <c r="B267" s="9" t="s">
        <v>578</v>
      </c>
      <c r="C267" t="s">
        <v>30</v>
      </c>
      <c r="D267" s="10" t="s">
        <v>2680</v>
      </c>
      <c r="E267" t="s">
        <v>450</v>
      </c>
      <c r="F267">
        <v>0</v>
      </c>
    </row>
    <row r="268" spans="1:6">
      <c r="A268" s="11">
        <v>44539</v>
      </c>
      <c r="B268" s="9" t="s">
        <v>696</v>
      </c>
      <c r="C268" t="s">
        <v>30</v>
      </c>
      <c r="D268" s="10" t="s">
        <v>2680</v>
      </c>
      <c r="E268" t="s">
        <v>614</v>
      </c>
      <c r="F268">
        <v>0</v>
      </c>
    </row>
    <row r="269" spans="1:6">
      <c r="A269" s="8">
        <v>44540</v>
      </c>
      <c r="B269" s="9" t="s">
        <v>193</v>
      </c>
      <c r="C269" t="s">
        <v>30</v>
      </c>
      <c r="D269" s="10" t="s">
        <v>2680</v>
      </c>
      <c r="E269" t="s">
        <v>614</v>
      </c>
      <c r="F269">
        <v>5000</v>
      </c>
    </row>
    <row r="270" spans="1:6">
      <c r="A270" s="8">
        <v>44546</v>
      </c>
      <c r="B270" s="9" t="s">
        <v>706</v>
      </c>
      <c r="C270" t="s">
        <v>30</v>
      </c>
      <c r="D270" s="10" t="s">
        <v>2680</v>
      </c>
      <c r="E270" t="s">
        <v>614</v>
      </c>
      <c r="F270">
        <v>0</v>
      </c>
    </row>
    <row r="271" spans="1:6">
      <c r="A271" s="8">
        <v>44546</v>
      </c>
      <c r="B271" s="9" t="s">
        <v>174</v>
      </c>
      <c r="C271" t="s">
        <v>65</v>
      </c>
      <c r="D271" s="10" t="s">
        <v>282</v>
      </c>
      <c r="E271" t="s">
        <v>109</v>
      </c>
      <c r="F271">
        <v>2000</v>
      </c>
    </row>
    <row r="272" spans="1:6">
      <c r="A272" s="11">
        <v>44547</v>
      </c>
      <c r="B272" s="9" t="s">
        <v>708</v>
      </c>
      <c r="C272" t="s">
        <v>515</v>
      </c>
      <c r="D272" s="10" t="s">
        <v>632</v>
      </c>
      <c r="E272" t="s">
        <v>450</v>
      </c>
      <c r="F272">
        <v>0</v>
      </c>
    </row>
    <row r="273" spans="1:6">
      <c r="A273" s="8">
        <v>44547</v>
      </c>
      <c r="B273" s="9" t="s">
        <v>708</v>
      </c>
      <c r="C273" t="s">
        <v>30</v>
      </c>
      <c r="D273" s="10" t="s">
        <v>2680</v>
      </c>
      <c r="E273" t="s">
        <v>450</v>
      </c>
      <c r="F273">
        <v>0</v>
      </c>
    </row>
    <row r="274" spans="1:6">
      <c r="A274" s="11">
        <v>44548</v>
      </c>
      <c r="B274" s="9" t="s">
        <v>696</v>
      </c>
      <c r="C274" t="s">
        <v>65</v>
      </c>
      <c r="D274" s="10" t="s">
        <v>282</v>
      </c>
      <c r="E274" t="s">
        <v>224</v>
      </c>
      <c r="F274">
        <v>0</v>
      </c>
    </row>
    <row r="275" spans="1:6">
      <c r="A275" s="8">
        <v>44548</v>
      </c>
      <c r="B275" s="9" t="s">
        <v>578</v>
      </c>
      <c r="C275" t="s">
        <v>65</v>
      </c>
      <c r="D275" s="10" t="s">
        <v>282</v>
      </c>
      <c r="E275" t="s">
        <v>219</v>
      </c>
      <c r="F275">
        <v>0</v>
      </c>
    </row>
    <row r="276" spans="1:6">
      <c r="A276" s="11">
        <v>44550</v>
      </c>
      <c r="B276" s="9" t="s">
        <v>634</v>
      </c>
      <c r="C276" t="s">
        <v>515</v>
      </c>
      <c r="D276" s="10" t="s">
        <v>632</v>
      </c>
      <c r="E276" t="s">
        <v>450</v>
      </c>
      <c r="F276">
        <v>0</v>
      </c>
    </row>
    <row r="277" spans="1:6">
      <c r="A277" s="8">
        <v>44550</v>
      </c>
      <c r="B277" s="9" t="s">
        <v>634</v>
      </c>
      <c r="C277" t="s">
        <v>30</v>
      </c>
      <c r="D277" s="10" t="s">
        <v>2680</v>
      </c>
      <c r="E277" t="s">
        <v>450</v>
      </c>
      <c r="F277">
        <v>0</v>
      </c>
    </row>
    <row r="278" spans="1:6">
      <c r="A278" s="11">
        <v>44550</v>
      </c>
      <c r="B278" s="9" t="s">
        <v>689</v>
      </c>
      <c r="C278" t="s">
        <v>30</v>
      </c>
      <c r="D278" s="10" t="s">
        <v>2680</v>
      </c>
      <c r="E278" t="s">
        <v>614</v>
      </c>
      <c r="F278">
        <v>0</v>
      </c>
    </row>
    <row r="279" spans="1:6">
      <c r="A279" s="11">
        <v>44552</v>
      </c>
      <c r="B279" s="9" t="s">
        <v>689</v>
      </c>
      <c r="C279" t="s">
        <v>30</v>
      </c>
      <c r="D279" s="10" t="s">
        <v>2680</v>
      </c>
      <c r="E279" t="s">
        <v>614</v>
      </c>
      <c r="F279">
        <v>10000</v>
      </c>
    </row>
    <row r="280" spans="1:6">
      <c r="A280" s="8">
        <v>44552</v>
      </c>
      <c r="B280" s="9" t="s">
        <v>722</v>
      </c>
      <c r="C280" t="s">
        <v>30</v>
      </c>
      <c r="D280" s="10" t="s">
        <v>2680</v>
      </c>
      <c r="E280" t="s">
        <v>614</v>
      </c>
      <c r="F280">
        <v>0</v>
      </c>
    </row>
    <row r="281" spans="1:6">
      <c r="A281" s="11">
        <v>44553</v>
      </c>
      <c r="B281" s="9" t="s">
        <v>727</v>
      </c>
      <c r="C281" t="s">
        <v>30</v>
      </c>
      <c r="D281" s="10" t="s">
        <v>2680</v>
      </c>
      <c r="E281" t="s">
        <v>450</v>
      </c>
      <c r="F281">
        <v>400</v>
      </c>
    </row>
    <row r="282" spans="1:6">
      <c r="A282" s="8">
        <v>44553</v>
      </c>
      <c r="B282" s="9" t="s">
        <v>325</v>
      </c>
      <c r="C282" t="s">
        <v>30</v>
      </c>
      <c r="D282" s="10" t="s">
        <v>2680</v>
      </c>
      <c r="E282" t="s">
        <v>614</v>
      </c>
      <c r="F282">
        <v>0</v>
      </c>
    </row>
    <row r="283" spans="1:6">
      <c r="A283" s="11">
        <v>44553</v>
      </c>
      <c r="B283" s="9" t="s">
        <v>657</v>
      </c>
      <c r="C283" t="s">
        <v>65</v>
      </c>
      <c r="D283" s="10" t="s">
        <v>70</v>
      </c>
      <c r="E283" t="s">
        <v>83</v>
      </c>
      <c r="F283">
        <v>0</v>
      </c>
    </row>
    <row r="284" spans="1:6">
      <c r="A284" s="11">
        <v>44557</v>
      </c>
      <c r="B284" s="9" t="s">
        <v>706</v>
      </c>
      <c r="C284" t="s">
        <v>30</v>
      </c>
      <c r="D284" s="10" t="s">
        <v>2680</v>
      </c>
      <c r="E284" t="s">
        <v>614</v>
      </c>
      <c r="F284">
        <v>0</v>
      </c>
    </row>
    <row r="285" spans="1:6">
      <c r="A285" s="8">
        <v>44558</v>
      </c>
      <c r="B285" s="9" t="s">
        <v>141</v>
      </c>
      <c r="C285" t="s">
        <v>65</v>
      </c>
      <c r="D285" s="10" t="s">
        <v>70</v>
      </c>
      <c r="E285" t="s">
        <v>434</v>
      </c>
      <c r="F285">
        <v>500</v>
      </c>
    </row>
    <row r="286" spans="1:6">
      <c r="A286" s="8">
        <v>44559</v>
      </c>
      <c r="B286" s="9" t="s">
        <v>739</v>
      </c>
      <c r="C286" t="s">
        <v>133</v>
      </c>
      <c r="D286" s="10" t="s">
        <v>130</v>
      </c>
      <c r="E286" t="s">
        <v>208</v>
      </c>
      <c r="F286">
        <v>0</v>
      </c>
    </row>
    <row r="287" spans="1:6">
      <c r="A287" s="8">
        <v>44565</v>
      </c>
      <c r="B287" s="9" t="s">
        <v>742</v>
      </c>
      <c r="C287" t="s">
        <v>65</v>
      </c>
      <c r="D287" s="10" t="s">
        <v>70</v>
      </c>
      <c r="E287" t="s">
        <v>119</v>
      </c>
      <c r="F287">
        <v>10000</v>
      </c>
    </row>
    <row r="288" spans="1:6">
      <c r="A288" s="8">
        <v>44565</v>
      </c>
      <c r="B288" s="9" t="s">
        <v>706</v>
      </c>
      <c r="C288" t="s">
        <v>30</v>
      </c>
      <c r="D288" s="10" t="s">
        <v>2680</v>
      </c>
      <c r="E288" t="s">
        <v>614</v>
      </c>
      <c r="F288">
        <v>0</v>
      </c>
    </row>
    <row r="289" spans="1:6">
      <c r="A289" s="11">
        <v>44567</v>
      </c>
      <c r="B289" s="9" t="s">
        <v>706</v>
      </c>
      <c r="C289" t="s">
        <v>30</v>
      </c>
      <c r="D289" s="10" t="s">
        <v>2680</v>
      </c>
      <c r="E289" t="s">
        <v>614</v>
      </c>
      <c r="F289">
        <v>0</v>
      </c>
    </row>
    <row r="290" spans="1:6">
      <c r="A290" s="8">
        <v>44571</v>
      </c>
      <c r="B290" s="9" t="s">
        <v>283</v>
      </c>
      <c r="C290" t="s">
        <v>30</v>
      </c>
      <c r="D290" s="10" t="s">
        <v>2680</v>
      </c>
      <c r="E290" t="s">
        <v>614</v>
      </c>
      <c r="F290">
        <v>0</v>
      </c>
    </row>
    <row r="291" spans="1:6">
      <c r="A291" s="8">
        <v>44572</v>
      </c>
      <c r="B291" s="9" t="s">
        <v>325</v>
      </c>
      <c r="C291" t="s">
        <v>65</v>
      </c>
      <c r="D291" s="10" t="s">
        <v>282</v>
      </c>
      <c r="E291" t="s">
        <v>104</v>
      </c>
      <c r="F291">
        <v>0</v>
      </c>
    </row>
    <row r="292" spans="1:6">
      <c r="A292" s="8">
        <v>44572</v>
      </c>
      <c r="B292" s="9" t="s">
        <v>753</v>
      </c>
      <c r="C292" t="s">
        <v>515</v>
      </c>
      <c r="D292" s="10" t="s">
        <v>632</v>
      </c>
      <c r="E292" t="s">
        <v>450</v>
      </c>
      <c r="F292">
        <v>0</v>
      </c>
    </row>
    <row r="293" spans="1:6">
      <c r="A293" s="11">
        <v>44573</v>
      </c>
      <c r="B293" s="9" t="s">
        <v>234</v>
      </c>
      <c r="C293" t="s">
        <v>65</v>
      </c>
      <c r="D293" s="10" t="s">
        <v>282</v>
      </c>
      <c r="E293" t="s">
        <v>756</v>
      </c>
      <c r="F293">
        <v>0</v>
      </c>
    </row>
    <row r="294" spans="1:6">
      <c r="A294" s="8">
        <v>44573</v>
      </c>
      <c r="B294" s="9" t="s">
        <v>759</v>
      </c>
      <c r="C294" t="s">
        <v>30</v>
      </c>
      <c r="D294" s="10" t="s">
        <v>2680</v>
      </c>
      <c r="E294" t="s">
        <v>450</v>
      </c>
      <c r="F294">
        <v>0</v>
      </c>
    </row>
    <row r="295" spans="1:6">
      <c r="A295" s="11">
        <v>44575</v>
      </c>
      <c r="B295" s="9" t="s">
        <v>419</v>
      </c>
      <c r="C295" t="s">
        <v>65</v>
      </c>
      <c r="D295" s="10" t="s">
        <v>122</v>
      </c>
      <c r="E295" t="s">
        <v>762</v>
      </c>
      <c r="F295">
        <v>0</v>
      </c>
    </row>
    <row r="296" spans="1:6">
      <c r="A296" s="8">
        <v>44575</v>
      </c>
      <c r="B296" s="9" t="s">
        <v>188</v>
      </c>
      <c r="C296" t="s">
        <v>30</v>
      </c>
      <c r="D296" s="10" t="s">
        <v>2680</v>
      </c>
      <c r="E296" t="s">
        <v>450</v>
      </c>
      <c r="F296">
        <v>0</v>
      </c>
    </row>
    <row r="297" spans="1:6">
      <c r="A297" s="11">
        <v>44576</v>
      </c>
      <c r="B297" s="9" t="s">
        <v>188</v>
      </c>
      <c r="C297" t="s">
        <v>30</v>
      </c>
      <c r="D297" s="10" t="s">
        <v>2680</v>
      </c>
      <c r="E297" t="s">
        <v>450</v>
      </c>
      <c r="F297">
        <v>0</v>
      </c>
    </row>
    <row r="298" spans="1:6">
      <c r="A298" s="8">
        <v>44578</v>
      </c>
      <c r="B298" s="9" t="s">
        <v>634</v>
      </c>
      <c r="C298" t="s">
        <v>30</v>
      </c>
      <c r="D298" s="10" t="s">
        <v>632</v>
      </c>
      <c r="E298" t="s">
        <v>450</v>
      </c>
      <c r="F298">
        <v>0</v>
      </c>
    </row>
    <row r="299" spans="1:6">
      <c r="A299" s="8">
        <v>44578</v>
      </c>
      <c r="B299" s="9" t="s">
        <v>770</v>
      </c>
      <c r="C299" t="s">
        <v>65</v>
      </c>
      <c r="D299" s="10" t="s">
        <v>70</v>
      </c>
      <c r="E299" t="s">
        <v>259</v>
      </c>
      <c r="F299">
        <v>0</v>
      </c>
    </row>
    <row r="300" spans="1:6">
      <c r="A300" s="11">
        <v>44578</v>
      </c>
      <c r="B300" s="9" t="s">
        <v>706</v>
      </c>
      <c r="C300" t="s">
        <v>30</v>
      </c>
      <c r="D300" s="10" t="s">
        <v>2680</v>
      </c>
      <c r="E300" t="s">
        <v>614</v>
      </c>
      <c r="F300">
        <v>0</v>
      </c>
    </row>
    <row r="301" spans="1:6">
      <c r="A301" s="11">
        <v>44578</v>
      </c>
      <c r="B301" s="9" t="s">
        <v>768</v>
      </c>
      <c r="C301" t="s">
        <v>65</v>
      </c>
      <c r="D301" s="10" t="s">
        <v>282</v>
      </c>
      <c r="E301" t="s">
        <v>340</v>
      </c>
      <c r="F301">
        <v>0</v>
      </c>
    </row>
    <row r="302" spans="1:6">
      <c r="A302" s="11">
        <v>44581</v>
      </c>
      <c r="B302" s="9" t="s">
        <v>774</v>
      </c>
      <c r="C302" t="s">
        <v>30</v>
      </c>
      <c r="D302" s="10" t="s">
        <v>2680</v>
      </c>
      <c r="E302" t="s">
        <v>614</v>
      </c>
      <c r="F302">
        <v>0</v>
      </c>
    </row>
    <row r="303" spans="1:6">
      <c r="A303" s="8">
        <v>44585</v>
      </c>
      <c r="B303" s="9" t="s">
        <v>777</v>
      </c>
      <c r="C303" t="s">
        <v>133</v>
      </c>
      <c r="D303" s="10" t="s">
        <v>130</v>
      </c>
      <c r="E303" t="s">
        <v>322</v>
      </c>
      <c r="F303">
        <v>0</v>
      </c>
    </row>
    <row r="304" spans="1:6">
      <c r="A304" s="8">
        <v>44588</v>
      </c>
      <c r="B304" s="9" t="s">
        <v>780</v>
      </c>
      <c r="C304" t="s">
        <v>30</v>
      </c>
      <c r="D304" s="10" t="s">
        <v>2680</v>
      </c>
      <c r="E304" t="s">
        <v>450</v>
      </c>
      <c r="F304">
        <v>0</v>
      </c>
    </row>
    <row r="305" spans="1:6">
      <c r="A305" s="8">
        <v>44588</v>
      </c>
      <c r="B305" s="9" t="s">
        <v>784</v>
      </c>
      <c r="C305" t="s">
        <v>30</v>
      </c>
      <c r="D305" s="10" t="s">
        <v>2680</v>
      </c>
      <c r="E305" t="s">
        <v>450</v>
      </c>
      <c r="F305">
        <v>0</v>
      </c>
    </row>
    <row r="306" spans="1:6">
      <c r="A306" s="11">
        <v>44590</v>
      </c>
      <c r="B306" s="9" t="s">
        <v>787</v>
      </c>
      <c r="C306" t="s">
        <v>65</v>
      </c>
      <c r="D306" s="10" t="s">
        <v>82</v>
      </c>
      <c r="E306" t="s">
        <v>786</v>
      </c>
      <c r="F306">
        <v>0</v>
      </c>
    </row>
    <row r="307" spans="1:6">
      <c r="A307" s="8">
        <v>44601</v>
      </c>
      <c r="B307" s="9" t="s">
        <v>790</v>
      </c>
      <c r="C307" t="s">
        <v>133</v>
      </c>
      <c r="D307" s="10" t="s">
        <v>632</v>
      </c>
      <c r="E307" t="s">
        <v>614</v>
      </c>
      <c r="F307">
        <v>0</v>
      </c>
    </row>
    <row r="308" spans="1:6">
      <c r="A308" s="8">
        <v>44602</v>
      </c>
      <c r="B308" s="9" t="s">
        <v>193</v>
      </c>
      <c r="C308" t="s">
        <v>30</v>
      </c>
      <c r="D308" s="10" t="s">
        <v>2680</v>
      </c>
      <c r="E308" t="s">
        <v>614</v>
      </c>
      <c r="F308">
        <v>10000</v>
      </c>
    </row>
    <row r="309" spans="1:6">
      <c r="A309" s="8">
        <v>44606</v>
      </c>
      <c r="B309" s="9" t="s">
        <v>406</v>
      </c>
      <c r="C309" t="s">
        <v>515</v>
      </c>
      <c r="D309" s="10" t="s">
        <v>632</v>
      </c>
      <c r="E309" t="s">
        <v>450</v>
      </c>
      <c r="F309">
        <v>0</v>
      </c>
    </row>
    <row r="310" spans="1:6">
      <c r="A310" s="8">
        <v>44606</v>
      </c>
      <c r="B310" s="9" t="s">
        <v>797</v>
      </c>
      <c r="C310" t="s">
        <v>65</v>
      </c>
      <c r="D310" s="10" t="s">
        <v>82</v>
      </c>
      <c r="E310" t="s">
        <v>83</v>
      </c>
      <c r="F310">
        <v>0</v>
      </c>
    </row>
    <row r="311" spans="1:6">
      <c r="A311" s="11">
        <v>44607</v>
      </c>
      <c r="B311" s="9" t="s">
        <v>801</v>
      </c>
      <c r="C311" t="s">
        <v>65</v>
      </c>
      <c r="D311" s="10" t="s">
        <v>82</v>
      </c>
      <c r="E311" t="s">
        <v>800</v>
      </c>
      <c r="F311">
        <v>0</v>
      </c>
    </row>
    <row r="312" spans="1:6">
      <c r="A312" s="8">
        <v>44607</v>
      </c>
      <c r="B312" s="9" t="s">
        <v>188</v>
      </c>
      <c r="C312" t="s">
        <v>65</v>
      </c>
      <c r="D312" s="10" t="s">
        <v>282</v>
      </c>
      <c r="E312" t="s">
        <v>611</v>
      </c>
      <c r="F312">
        <v>0</v>
      </c>
    </row>
    <row r="313" spans="1:6">
      <c r="A313" s="11">
        <v>44608</v>
      </c>
      <c r="B313" s="9" t="s">
        <v>797</v>
      </c>
      <c r="C313" t="s">
        <v>65</v>
      </c>
      <c r="D313" s="10" t="s">
        <v>82</v>
      </c>
      <c r="E313" t="s">
        <v>83</v>
      </c>
      <c r="F313">
        <v>0</v>
      </c>
    </row>
    <row r="314" spans="1:6">
      <c r="A314" s="8">
        <v>44609</v>
      </c>
      <c r="B314" s="9" t="s">
        <v>406</v>
      </c>
      <c r="C314" t="s">
        <v>515</v>
      </c>
      <c r="D314" s="10" t="s">
        <v>632</v>
      </c>
      <c r="E314" t="s">
        <v>450</v>
      </c>
      <c r="F314">
        <v>0</v>
      </c>
    </row>
    <row r="315" spans="1:6">
      <c r="A315" s="8">
        <v>44609</v>
      </c>
      <c r="B315" s="9" t="s">
        <v>406</v>
      </c>
      <c r="C315" t="s">
        <v>30</v>
      </c>
      <c r="D315" s="10" t="s">
        <v>2680</v>
      </c>
      <c r="E315" t="s">
        <v>450</v>
      </c>
      <c r="F315">
        <v>0</v>
      </c>
    </row>
    <row r="316" spans="1:6">
      <c r="A316" s="11">
        <v>44609</v>
      </c>
      <c r="B316" s="9" t="s">
        <v>812</v>
      </c>
      <c r="C316" t="s">
        <v>515</v>
      </c>
      <c r="D316" s="10" t="s">
        <v>632</v>
      </c>
      <c r="E316" t="s">
        <v>614</v>
      </c>
      <c r="F316">
        <v>0</v>
      </c>
    </row>
    <row r="317" spans="1:6">
      <c r="A317" s="11">
        <v>44609</v>
      </c>
      <c r="B317" s="9" t="s">
        <v>807</v>
      </c>
      <c r="C317" t="s">
        <v>65</v>
      </c>
      <c r="D317" s="10" t="s">
        <v>282</v>
      </c>
      <c r="E317" t="s">
        <v>806</v>
      </c>
      <c r="F317">
        <v>0</v>
      </c>
    </row>
    <row r="318" spans="1:6">
      <c r="A318" s="11">
        <v>44609</v>
      </c>
      <c r="B318" s="9" t="s">
        <v>797</v>
      </c>
      <c r="C318" t="s">
        <v>65</v>
      </c>
      <c r="D318" s="10" t="s">
        <v>70</v>
      </c>
      <c r="E318" t="s">
        <v>83</v>
      </c>
      <c r="F318">
        <v>0</v>
      </c>
    </row>
    <row r="319" spans="1:6">
      <c r="A319" s="11">
        <v>44615</v>
      </c>
      <c r="B319" s="9">
        <v>0</v>
      </c>
      <c r="C319" t="s">
        <v>30</v>
      </c>
      <c r="D319" s="10" t="s">
        <v>2680</v>
      </c>
      <c r="E319" t="s">
        <v>450</v>
      </c>
      <c r="F319">
        <v>0</v>
      </c>
    </row>
    <row r="320" spans="1:6">
      <c r="A320" s="8">
        <v>44615</v>
      </c>
      <c r="B320" s="9" t="s">
        <v>815</v>
      </c>
      <c r="C320" t="s">
        <v>30</v>
      </c>
      <c r="D320" s="10" t="s">
        <v>2680</v>
      </c>
      <c r="E320" t="s">
        <v>450</v>
      </c>
      <c r="F320">
        <v>0</v>
      </c>
    </row>
    <row r="321" spans="1:6">
      <c r="A321" s="11">
        <v>44617</v>
      </c>
      <c r="B321" s="9" t="s">
        <v>822</v>
      </c>
      <c r="C321" t="s">
        <v>30</v>
      </c>
      <c r="D321" s="10" t="s">
        <v>2680</v>
      </c>
      <c r="E321" t="s">
        <v>614</v>
      </c>
      <c r="F321">
        <v>0</v>
      </c>
    </row>
    <row r="322" spans="1:6">
      <c r="A322" s="8">
        <v>44617</v>
      </c>
      <c r="B322" s="9" t="s">
        <v>824</v>
      </c>
      <c r="C322" t="s">
        <v>515</v>
      </c>
      <c r="D322" s="10" t="s">
        <v>632</v>
      </c>
      <c r="E322" t="s">
        <v>614</v>
      </c>
      <c r="F322">
        <v>0</v>
      </c>
    </row>
    <row r="323" spans="1:6">
      <c r="A323" s="11">
        <v>44617</v>
      </c>
      <c r="B323" s="9" t="s">
        <v>677</v>
      </c>
      <c r="C323" t="s">
        <v>65</v>
      </c>
      <c r="D323" s="10" t="s">
        <v>130</v>
      </c>
      <c r="E323" t="s">
        <v>371</v>
      </c>
      <c r="F323">
        <v>2000</v>
      </c>
    </row>
    <row r="324" spans="1:6">
      <c r="A324" s="11">
        <v>44617</v>
      </c>
      <c r="B324" s="9" t="s">
        <v>817</v>
      </c>
      <c r="C324" t="s">
        <v>65</v>
      </c>
      <c r="D324" s="10" t="s">
        <v>282</v>
      </c>
      <c r="E324" t="s">
        <v>611</v>
      </c>
      <c r="F324">
        <v>0</v>
      </c>
    </row>
    <row r="325" spans="1:6">
      <c r="A325" s="11">
        <v>44620</v>
      </c>
      <c r="B325" s="9" t="s">
        <v>154</v>
      </c>
      <c r="C325" t="s">
        <v>65</v>
      </c>
      <c r="D325" s="10" t="s">
        <v>70</v>
      </c>
      <c r="E325" t="s">
        <v>149</v>
      </c>
      <c r="F325">
        <v>0</v>
      </c>
    </row>
    <row r="326" spans="1:6">
      <c r="A326" s="8">
        <v>44622</v>
      </c>
      <c r="B326" s="9" t="s">
        <v>829</v>
      </c>
      <c r="C326" t="s">
        <v>65</v>
      </c>
      <c r="D326" s="10" t="s">
        <v>70</v>
      </c>
      <c r="E326" t="s">
        <v>828</v>
      </c>
      <c r="F326">
        <v>0</v>
      </c>
    </row>
    <row r="327" spans="1:6">
      <c r="A327" s="8">
        <v>44623</v>
      </c>
      <c r="B327" s="9" t="s">
        <v>305</v>
      </c>
      <c r="C327" t="s">
        <v>65</v>
      </c>
      <c r="D327" s="10" t="s">
        <v>70</v>
      </c>
      <c r="E327" t="s">
        <v>149</v>
      </c>
      <c r="F327">
        <v>0</v>
      </c>
    </row>
    <row r="328" spans="1:6">
      <c r="A328" s="8">
        <v>44624</v>
      </c>
      <c r="B328" s="9" t="s">
        <v>832</v>
      </c>
      <c r="C328" t="s">
        <v>30</v>
      </c>
      <c r="D328" s="10" t="s">
        <v>2680</v>
      </c>
      <c r="E328" t="s">
        <v>614</v>
      </c>
      <c r="F328">
        <v>0</v>
      </c>
    </row>
    <row r="329" spans="1:6">
      <c r="A329" s="8">
        <v>44627</v>
      </c>
      <c r="B329" s="9" t="s">
        <v>834</v>
      </c>
      <c r="C329" t="s">
        <v>30</v>
      </c>
      <c r="D329" s="10" t="s">
        <v>2680</v>
      </c>
      <c r="E329" t="s">
        <v>450</v>
      </c>
      <c r="F329">
        <v>0</v>
      </c>
    </row>
    <row r="330" spans="1:6">
      <c r="A330" s="8">
        <v>44628</v>
      </c>
      <c r="B330" s="9" t="s">
        <v>832</v>
      </c>
      <c r="C330" t="s">
        <v>515</v>
      </c>
      <c r="D330" s="10" t="s">
        <v>632</v>
      </c>
      <c r="E330" t="s">
        <v>614</v>
      </c>
      <c r="F330">
        <v>0</v>
      </c>
    </row>
    <row r="331" spans="1:6">
      <c r="A331" s="8">
        <v>44630</v>
      </c>
      <c r="B331" s="9" t="s">
        <v>839</v>
      </c>
      <c r="C331" t="s">
        <v>515</v>
      </c>
      <c r="D331" s="10" t="s">
        <v>130</v>
      </c>
      <c r="E331" t="s">
        <v>239</v>
      </c>
      <c r="F331">
        <v>0</v>
      </c>
    </row>
    <row r="332" spans="1:6">
      <c r="A332" s="8">
        <v>44630</v>
      </c>
      <c r="B332" s="9" t="s">
        <v>612</v>
      </c>
      <c r="C332" t="s">
        <v>65</v>
      </c>
      <c r="D332" s="10" t="s">
        <v>70</v>
      </c>
      <c r="E332" t="s">
        <v>119</v>
      </c>
      <c r="F332">
        <v>0</v>
      </c>
    </row>
    <row r="333" spans="1:6">
      <c r="A333" s="11">
        <v>44631</v>
      </c>
      <c r="B333" s="9" t="s">
        <v>812</v>
      </c>
      <c r="C333" t="s">
        <v>30</v>
      </c>
      <c r="D333" s="10" t="s">
        <v>2680</v>
      </c>
      <c r="E333" t="s">
        <v>614</v>
      </c>
      <c r="F333">
        <v>0</v>
      </c>
    </row>
    <row r="334" spans="1:6">
      <c r="A334" s="8">
        <v>44631</v>
      </c>
      <c r="B334" s="9" t="s">
        <v>842</v>
      </c>
      <c r="C334" t="s">
        <v>515</v>
      </c>
      <c r="D334" s="10" t="s">
        <v>632</v>
      </c>
      <c r="E334" t="s">
        <v>450</v>
      </c>
      <c r="F334">
        <v>0</v>
      </c>
    </row>
    <row r="335" spans="1:6">
      <c r="A335" s="11">
        <v>44635</v>
      </c>
      <c r="B335" s="9" t="s">
        <v>846</v>
      </c>
      <c r="C335" t="s">
        <v>30</v>
      </c>
      <c r="D335" s="10" t="s">
        <v>2680</v>
      </c>
      <c r="E335" t="s">
        <v>614</v>
      </c>
      <c r="F335">
        <v>0</v>
      </c>
    </row>
    <row r="336" spans="1:6">
      <c r="A336" s="8">
        <v>44635</v>
      </c>
      <c r="B336" s="9" t="s">
        <v>472</v>
      </c>
      <c r="C336" t="s">
        <v>65</v>
      </c>
      <c r="D336" s="10" t="s">
        <v>70</v>
      </c>
      <c r="E336" t="s">
        <v>844</v>
      </c>
      <c r="F336">
        <v>0</v>
      </c>
    </row>
    <row r="337" spans="1:6">
      <c r="A337" s="11">
        <v>44636</v>
      </c>
      <c r="B337" s="9" t="s">
        <v>605</v>
      </c>
      <c r="C337" t="s">
        <v>65</v>
      </c>
      <c r="D337" s="10" t="s">
        <v>82</v>
      </c>
      <c r="E337" t="s">
        <v>608</v>
      </c>
      <c r="F337">
        <v>0</v>
      </c>
    </row>
    <row r="338" spans="1:6">
      <c r="A338" s="8">
        <v>44643</v>
      </c>
      <c r="B338" s="9" t="s">
        <v>667</v>
      </c>
      <c r="C338" t="s">
        <v>65</v>
      </c>
      <c r="D338" s="10" t="s">
        <v>70</v>
      </c>
      <c r="E338" t="s">
        <v>849</v>
      </c>
      <c r="F338">
        <v>0</v>
      </c>
    </row>
    <row r="339" spans="1:6">
      <c r="A339" s="8">
        <v>44643</v>
      </c>
      <c r="B339" s="9" t="s">
        <v>851</v>
      </c>
      <c r="C339" t="s">
        <v>30</v>
      </c>
      <c r="D339" s="10" t="s">
        <v>632</v>
      </c>
      <c r="E339" t="s">
        <v>450</v>
      </c>
      <c r="F339">
        <v>0</v>
      </c>
    </row>
    <row r="340" spans="1:6">
      <c r="A340" s="11">
        <v>44644</v>
      </c>
      <c r="B340" s="9" t="s">
        <v>667</v>
      </c>
      <c r="C340" t="s">
        <v>65</v>
      </c>
      <c r="D340" s="10" t="s">
        <v>70</v>
      </c>
      <c r="E340" t="s">
        <v>849</v>
      </c>
      <c r="F340">
        <v>0</v>
      </c>
    </row>
    <row r="341" spans="1:6">
      <c r="A341" s="8">
        <v>44644</v>
      </c>
      <c r="B341" s="9" t="s">
        <v>842</v>
      </c>
      <c r="C341" t="s">
        <v>515</v>
      </c>
      <c r="D341" s="10" t="s">
        <v>632</v>
      </c>
      <c r="E341" t="s">
        <v>450</v>
      </c>
      <c r="F341">
        <v>0</v>
      </c>
    </row>
    <row r="342" spans="1:6">
      <c r="A342" s="11">
        <v>44648</v>
      </c>
      <c r="B342" s="9" t="s">
        <v>858</v>
      </c>
      <c r="C342" t="s">
        <v>65</v>
      </c>
      <c r="D342" s="10" t="s">
        <v>70</v>
      </c>
      <c r="E342" t="s">
        <v>104</v>
      </c>
      <c r="F342">
        <v>0</v>
      </c>
    </row>
    <row r="343" spans="1:6">
      <c r="A343" s="8">
        <v>44648</v>
      </c>
      <c r="B343" s="9" t="s">
        <v>686</v>
      </c>
      <c r="C343" t="s">
        <v>65</v>
      </c>
      <c r="D343" s="10" t="s">
        <v>70</v>
      </c>
      <c r="E343" t="s">
        <v>460</v>
      </c>
      <c r="F343">
        <v>0</v>
      </c>
    </row>
    <row r="344" spans="1:6">
      <c r="A344" s="11">
        <v>44648</v>
      </c>
      <c r="B344" s="9" t="s">
        <v>600</v>
      </c>
      <c r="C344" t="s">
        <v>65</v>
      </c>
      <c r="D344" s="10" t="s">
        <v>70</v>
      </c>
      <c r="E344" t="s">
        <v>149</v>
      </c>
      <c r="F344">
        <v>0</v>
      </c>
    </row>
    <row r="345" spans="1:6">
      <c r="A345" s="11">
        <v>44649</v>
      </c>
      <c r="B345" s="9" t="s">
        <v>860</v>
      </c>
      <c r="C345" t="s">
        <v>133</v>
      </c>
      <c r="D345" s="10" t="s">
        <v>130</v>
      </c>
      <c r="E345" t="s">
        <v>87</v>
      </c>
      <c r="F345">
        <v>0</v>
      </c>
    </row>
    <row r="346" spans="1:6">
      <c r="A346" s="8">
        <v>44651</v>
      </c>
      <c r="B346" s="9" t="s">
        <v>863</v>
      </c>
      <c r="C346" t="s">
        <v>133</v>
      </c>
      <c r="D346" s="10" t="s">
        <v>130</v>
      </c>
      <c r="E346" t="s">
        <v>569</v>
      </c>
      <c r="F346">
        <v>0</v>
      </c>
    </row>
    <row r="347" spans="1:6">
      <c r="A347" s="8">
        <v>44657</v>
      </c>
      <c r="B347" s="9" t="s">
        <v>315</v>
      </c>
      <c r="C347" t="s">
        <v>30</v>
      </c>
      <c r="D347" s="10" t="s">
        <v>2680</v>
      </c>
      <c r="E347" t="s">
        <v>614</v>
      </c>
      <c r="F347">
        <v>0</v>
      </c>
    </row>
    <row r="348" spans="1:6">
      <c r="A348" s="8">
        <v>44657</v>
      </c>
      <c r="B348" s="9" t="s">
        <v>867</v>
      </c>
      <c r="C348" t="s">
        <v>30</v>
      </c>
      <c r="D348" s="10" t="s">
        <v>2680</v>
      </c>
      <c r="E348" t="s">
        <v>614</v>
      </c>
      <c r="F348">
        <v>0</v>
      </c>
    </row>
    <row r="349" spans="1:6">
      <c r="A349" s="11">
        <v>44658</v>
      </c>
      <c r="B349" s="9" t="s">
        <v>325</v>
      </c>
      <c r="C349" t="s">
        <v>30</v>
      </c>
      <c r="D349" s="10" t="s">
        <v>2680</v>
      </c>
      <c r="E349" t="s">
        <v>614</v>
      </c>
      <c r="F349">
        <v>0</v>
      </c>
    </row>
    <row r="350" spans="1:6">
      <c r="A350" s="8">
        <v>44658</v>
      </c>
      <c r="B350" s="9" t="s">
        <v>863</v>
      </c>
      <c r="C350" t="s">
        <v>515</v>
      </c>
      <c r="D350" s="10" t="s">
        <v>632</v>
      </c>
      <c r="E350" t="s">
        <v>450</v>
      </c>
      <c r="F350">
        <v>0</v>
      </c>
    </row>
    <row r="351" spans="1:6">
      <c r="A351" s="11">
        <v>44664</v>
      </c>
      <c r="B351" s="9" t="s">
        <v>872</v>
      </c>
      <c r="C351" t="s">
        <v>515</v>
      </c>
      <c r="D351" s="10" t="s">
        <v>632</v>
      </c>
      <c r="E351" t="s">
        <v>614</v>
      </c>
      <c r="F351">
        <v>0</v>
      </c>
    </row>
    <row r="352" spans="1:6">
      <c r="A352" s="8">
        <v>44671</v>
      </c>
      <c r="B352" s="9" t="s">
        <v>600</v>
      </c>
      <c r="C352" t="s">
        <v>65</v>
      </c>
      <c r="D352" s="10" t="s">
        <v>70</v>
      </c>
      <c r="E352" t="s">
        <v>149</v>
      </c>
      <c r="F352">
        <v>0</v>
      </c>
    </row>
    <row r="353" spans="1:6">
      <c r="A353" s="8">
        <v>44672</v>
      </c>
      <c r="B353" s="9" t="s">
        <v>876</v>
      </c>
      <c r="C353" t="s">
        <v>30</v>
      </c>
      <c r="D353" s="10" t="s">
        <v>2680</v>
      </c>
      <c r="E353" t="s">
        <v>614</v>
      </c>
      <c r="F353">
        <v>0</v>
      </c>
    </row>
    <row r="354" spans="1:6">
      <c r="A354" s="8">
        <v>44672</v>
      </c>
      <c r="B354" s="9" t="s">
        <v>872</v>
      </c>
      <c r="C354" t="s">
        <v>515</v>
      </c>
      <c r="D354" s="10" t="s">
        <v>632</v>
      </c>
      <c r="E354" t="s">
        <v>614</v>
      </c>
      <c r="F354">
        <v>0</v>
      </c>
    </row>
    <row r="355" spans="1:6">
      <c r="A355" s="11">
        <v>44673</v>
      </c>
      <c r="B355" s="9" t="s">
        <v>115</v>
      </c>
      <c r="C355" t="s">
        <v>30</v>
      </c>
      <c r="D355" s="10" t="s">
        <v>2680</v>
      </c>
      <c r="E355" t="s">
        <v>614</v>
      </c>
      <c r="F355">
        <v>0</v>
      </c>
    </row>
    <row r="356" spans="1:6">
      <c r="A356" s="8">
        <v>44677</v>
      </c>
      <c r="B356" s="9" t="s">
        <v>325</v>
      </c>
      <c r="C356" t="s">
        <v>30</v>
      </c>
      <c r="D356" s="10" t="s">
        <v>2680</v>
      </c>
      <c r="E356" t="s">
        <v>614</v>
      </c>
      <c r="F356">
        <v>0</v>
      </c>
    </row>
    <row r="357" spans="1:6">
      <c r="A357" s="8">
        <v>44677</v>
      </c>
      <c r="B357" s="9" t="s">
        <v>872</v>
      </c>
      <c r="C357" t="s">
        <v>30</v>
      </c>
      <c r="D357" s="10" t="s">
        <v>2680</v>
      </c>
      <c r="E357" t="s">
        <v>614</v>
      </c>
      <c r="F357">
        <v>0</v>
      </c>
    </row>
    <row r="358" spans="1:6">
      <c r="A358" s="11">
        <v>44678</v>
      </c>
      <c r="B358" s="9" t="s">
        <v>366</v>
      </c>
      <c r="C358" t="s">
        <v>30</v>
      </c>
      <c r="D358" s="10" t="s">
        <v>2680</v>
      </c>
      <c r="E358" t="s">
        <v>614</v>
      </c>
      <c r="F358">
        <v>0</v>
      </c>
    </row>
    <row r="359" spans="1:6">
      <c r="A359" s="8">
        <v>44679</v>
      </c>
      <c r="B359" s="9" t="s">
        <v>851</v>
      </c>
      <c r="C359" t="s">
        <v>30</v>
      </c>
      <c r="D359" s="10" t="s">
        <v>632</v>
      </c>
      <c r="E359" t="s">
        <v>450</v>
      </c>
      <c r="F359">
        <v>0</v>
      </c>
    </row>
    <row r="360" spans="1:6">
      <c r="A360" s="8">
        <v>44687</v>
      </c>
      <c r="B360" s="9" t="s">
        <v>555</v>
      </c>
      <c r="C360" t="s">
        <v>515</v>
      </c>
      <c r="D360" s="10" t="s">
        <v>632</v>
      </c>
      <c r="E360" t="s">
        <v>450</v>
      </c>
      <c r="F360">
        <v>0</v>
      </c>
    </row>
    <row r="361" spans="1:6">
      <c r="A361" s="8">
        <v>44690</v>
      </c>
      <c r="B361" s="9" t="s">
        <v>490</v>
      </c>
      <c r="C361" t="s">
        <v>30</v>
      </c>
      <c r="D361" s="10" t="s">
        <v>2680</v>
      </c>
      <c r="E361" t="s">
        <v>614</v>
      </c>
      <c r="F361">
        <v>0</v>
      </c>
    </row>
    <row r="362" spans="1:6">
      <c r="A362" s="8">
        <v>44690</v>
      </c>
      <c r="B362" s="9" t="s">
        <v>863</v>
      </c>
      <c r="C362" t="s">
        <v>515</v>
      </c>
      <c r="D362" s="10" t="s">
        <v>632</v>
      </c>
      <c r="E362" t="s">
        <v>614</v>
      </c>
      <c r="F362">
        <v>0</v>
      </c>
    </row>
    <row r="363" spans="1:6">
      <c r="A363" s="11">
        <v>44690</v>
      </c>
      <c r="B363" s="9" t="s">
        <v>894</v>
      </c>
      <c r="C363" t="s">
        <v>515</v>
      </c>
      <c r="D363" s="10" t="s">
        <v>632</v>
      </c>
      <c r="E363" t="s">
        <v>450</v>
      </c>
      <c r="F363">
        <v>0</v>
      </c>
    </row>
    <row r="364" spans="1:6">
      <c r="A364" s="11">
        <v>44690</v>
      </c>
      <c r="B364" s="9" t="s">
        <v>890</v>
      </c>
      <c r="C364" t="s">
        <v>30</v>
      </c>
      <c r="D364" s="10" t="s">
        <v>2680</v>
      </c>
      <c r="E364" t="s">
        <v>450</v>
      </c>
      <c r="F364">
        <v>0</v>
      </c>
    </row>
    <row r="365" spans="1:6">
      <c r="A365" s="11">
        <v>44691</v>
      </c>
      <c r="B365" s="9" t="s">
        <v>894</v>
      </c>
      <c r="C365" t="s">
        <v>515</v>
      </c>
      <c r="D365" s="10" t="s">
        <v>632</v>
      </c>
      <c r="E365" t="s">
        <v>450</v>
      </c>
      <c r="F365">
        <v>0</v>
      </c>
    </row>
    <row r="366" spans="1:6">
      <c r="A366" s="8">
        <v>44691</v>
      </c>
      <c r="B366" s="9" t="s">
        <v>890</v>
      </c>
      <c r="C366" t="s">
        <v>30</v>
      </c>
      <c r="D366" s="10" t="s">
        <v>2680</v>
      </c>
      <c r="E366" t="s">
        <v>897</v>
      </c>
      <c r="F366">
        <v>0</v>
      </c>
    </row>
    <row r="367" spans="1:6">
      <c r="A367" s="11">
        <v>44694</v>
      </c>
      <c r="B367" s="9" t="s">
        <v>253</v>
      </c>
      <c r="C367" t="s">
        <v>30</v>
      </c>
      <c r="D367" s="10" t="s">
        <v>2680</v>
      </c>
      <c r="E367" t="s">
        <v>450</v>
      </c>
      <c r="F367">
        <v>0</v>
      </c>
    </row>
    <row r="368" spans="1:6">
      <c r="A368" s="8">
        <v>44694</v>
      </c>
      <c r="B368" s="9" t="s">
        <v>555</v>
      </c>
      <c r="C368" t="s">
        <v>30</v>
      </c>
      <c r="D368" s="10" t="s">
        <v>2680</v>
      </c>
      <c r="E368" t="s">
        <v>450</v>
      </c>
      <c r="F368">
        <v>0</v>
      </c>
    </row>
    <row r="369" spans="1:6">
      <c r="A369" s="11">
        <v>44698</v>
      </c>
      <c r="B369" s="9" t="s">
        <v>132</v>
      </c>
      <c r="C369" t="s">
        <v>133</v>
      </c>
      <c r="D369" s="10" t="s">
        <v>130</v>
      </c>
      <c r="E369" t="s">
        <v>208</v>
      </c>
      <c r="F369">
        <v>0</v>
      </c>
    </row>
    <row r="370" spans="1:6">
      <c r="A370" s="8">
        <v>44698</v>
      </c>
      <c r="B370" s="9" t="s">
        <v>908</v>
      </c>
      <c r="C370" t="s">
        <v>515</v>
      </c>
      <c r="D370" s="10" t="s">
        <v>632</v>
      </c>
      <c r="E370" t="s">
        <v>450</v>
      </c>
      <c r="F370">
        <v>0</v>
      </c>
    </row>
    <row r="371" spans="1:6">
      <c r="A371" s="11">
        <v>44698</v>
      </c>
      <c r="B371" s="9" t="s">
        <v>912</v>
      </c>
      <c r="C371" t="s">
        <v>515</v>
      </c>
      <c r="D371" s="10" t="s">
        <v>632</v>
      </c>
      <c r="E371" t="s">
        <v>450</v>
      </c>
      <c r="F371">
        <v>0</v>
      </c>
    </row>
    <row r="372" spans="1:6">
      <c r="A372" s="11">
        <v>44699</v>
      </c>
      <c r="B372" s="9" t="s">
        <v>872</v>
      </c>
      <c r="C372" t="s">
        <v>515</v>
      </c>
      <c r="D372" s="10" t="s">
        <v>632</v>
      </c>
      <c r="E372" t="s">
        <v>614</v>
      </c>
      <c r="F372">
        <v>0</v>
      </c>
    </row>
    <row r="373" spans="1:6">
      <c r="A373" s="8">
        <v>44699</v>
      </c>
      <c r="B373" s="9" t="s">
        <v>916</v>
      </c>
      <c r="C373" t="s">
        <v>30</v>
      </c>
      <c r="D373" s="10" t="s">
        <v>2680</v>
      </c>
      <c r="E373" t="s">
        <v>450</v>
      </c>
      <c r="F373">
        <v>0</v>
      </c>
    </row>
    <row r="374" spans="1:6">
      <c r="A374" s="11">
        <v>44699</v>
      </c>
      <c r="B374" s="9" t="s">
        <v>912</v>
      </c>
      <c r="C374" t="s">
        <v>30</v>
      </c>
      <c r="D374" s="10" t="s">
        <v>632</v>
      </c>
      <c r="E374" t="s">
        <v>450</v>
      </c>
      <c r="F374">
        <v>0</v>
      </c>
    </row>
    <row r="375" spans="1:6">
      <c r="A375" s="11">
        <v>44705</v>
      </c>
      <c r="B375" s="9" t="s">
        <v>193</v>
      </c>
      <c r="C375" t="s">
        <v>30</v>
      </c>
      <c r="D375" s="10" t="s">
        <v>2680</v>
      </c>
      <c r="E375" t="s">
        <v>614</v>
      </c>
      <c r="F375">
        <v>5000</v>
      </c>
    </row>
    <row r="376" spans="1:6">
      <c r="A376" s="8">
        <v>44706</v>
      </c>
      <c r="B376" s="9" t="s">
        <v>922</v>
      </c>
      <c r="C376" t="s">
        <v>65</v>
      </c>
      <c r="D376" s="10" t="s">
        <v>70</v>
      </c>
      <c r="E376" t="s">
        <v>921</v>
      </c>
      <c r="F376">
        <v>0</v>
      </c>
    </row>
    <row r="377" spans="1:6">
      <c r="A377" s="8">
        <v>44706</v>
      </c>
      <c r="B377" s="9" t="s">
        <v>926</v>
      </c>
      <c r="C377" t="s">
        <v>30</v>
      </c>
      <c r="D377" s="10" t="s">
        <v>2680</v>
      </c>
      <c r="E377" t="s">
        <v>614</v>
      </c>
      <c r="F377">
        <v>0</v>
      </c>
    </row>
    <row r="378" spans="1:6">
      <c r="A378" s="11">
        <v>44707</v>
      </c>
      <c r="B378" s="9" t="s">
        <v>863</v>
      </c>
      <c r="C378" t="s">
        <v>30</v>
      </c>
      <c r="D378" s="10" t="s">
        <v>632</v>
      </c>
      <c r="E378" t="s">
        <v>450</v>
      </c>
      <c r="F378">
        <v>0</v>
      </c>
    </row>
    <row r="379" spans="1:6">
      <c r="A379" s="8">
        <v>44708</v>
      </c>
      <c r="B379" s="9" t="s">
        <v>863</v>
      </c>
      <c r="C379" t="s">
        <v>133</v>
      </c>
      <c r="D379" s="10" t="s">
        <v>130</v>
      </c>
      <c r="E379" t="s">
        <v>569</v>
      </c>
      <c r="F379">
        <v>0</v>
      </c>
    </row>
    <row r="380" spans="1:6">
      <c r="A380" s="8">
        <v>44708</v>
      </c>
      <c r="B380" s="9" t="s">
        <v>930</v>
      </c>
      <c r="C380" t="s">
        <v>65</v>
      </c>
      <c r="D380" s="10" t="s">
        <v>70</v>
      </c>
      <c r="E380" t="s">
        <v>434</v>
      </c>
      <c r="F380">
        <v>0</v>
      </c>
    </row>
    <row r="381" spans="1:6">
      <c r="A381" s="11">
        <v>44711</v>
      </c>
      <c r="B381" s="9" t="s">
        <v>938</v>
      </c>
      <c r="C381" t="s">
        <v>30</v>
      </c>
      <c r="D381" s="10" t="s">
        <v>2680</v>
      </c>
      <c r="E381" t="s">
        <v>450</v>
      </c>
      <c r="F381">
        <v>0</v>
      </c>
    </row>
    <row r="382" spans="1:6">
      <c r="A382" s="8">
        <v>44712</v>
      </c>
      <c r="B382" s="9" t="s">
        <v>863</v>
      </c>
      <c r="C382" t="s">
        <v>65</v>
      </c>
      <c r="D382" s="10" t="s">
        <v>70</v>
      </c>
      <c r="E382" t="s">
        <v>940</v>
      </c>
      <c r="F382">
        <v>0</v>
      </c>
    </row>
    <row r="383" spans="1:6">
      <c r="A383" s="8">
        <v>44712</v>
      </c>
      <c r="B383" s="9" t="s">
        <v>863</v>
      </c>
      <c r="C383" t="s">
        <v>941</v>
      </c>
      <c r="D383" s="10" t="s">
        <v>70</v>
      </c>
      <c r="E383" t="s">
        <v>940</v>
      </c>
      <c r="F383">
        <v>0</v>
      </c>
    </row>
    <row r="384" spans="1:6">
      <c r="A384" s="11">
        <v>44713</v>
      </c>
      <c r="B384" s="9" t="s">
        <v>948</v>
      </c>
      <c r="C384" t="s">
        <v>65</v>
      </c>
      <c r="D384" s="10" t="s">
        <v>70</v>
      </c>
      <c r="E384" t="s">
        <v>947</v>
      </c>
      <c r="F384">
        <v>0</v>
      </c>
    </row>
    <row r="385" spans="1:6">
      <c r="A385" s="8">
        <v>44714</v>
      </c>
      <c r="B385" s="9" t="s">
        <v>950</v>
      </c>
      <c r="C385" t="s">
        <v>515</v>
      </c>
      <c r="D385" s="10" t="s">
        <v>632</v>
      </c>
      <c r="E385" t="s">
        <v>450</v>
      </c>
      <c r="F385">
        <v>0</v>
      </c>
    </row>
    <row r="386" spans="1:6">
      <c r="A386" s="8">
        <v>44718</v>
      </c>
      <c r="B386" s="9" t="s">
        <v>325</v>
      </c>
      <c r="C386" t="s">
        <v>65</v>
      </c>
      <c r="D386" s="10" t="s">
        <v>70</v>
      </c>
      <c r="E386" t="s">
        <v>378</v>
      </c>
      <c r="F386">
        <v>0</v>
      </c>
    </row>
    <row r="387" spans="1:6">
      <c r="A387" s="8">
        <v>44718</v>
      </c>
      <c r="B387" s="9" t="s">
        <v>954</v>
      </c>
      <c r="C387" t="s">
        <v>65</v>
      </c>
      <c r="D387" s="10" t="s">
        <v>70</v>
      </c>
      <c r="E387" t="s">
        <v>233</v>
      </c>
      <c r="F387">
        <v>0</v>
      </c>
    </row>
    <row r="388" spans="1:6">
      <c r="A388" s="11">
        <v>44718</v>
      </c>
      <c r="B388" s="9" t="s">
        <v>115</v>
      </c>
      <c r="C388" t="s">
        <v>65</v>
      </c>
      <c r="D388" s="10" t="s">
        <v>70</v>
      </c>
      <c r="E388" t="s">
        <v>434</v>
      </c>
      <c r="F388">
        <v>0</v>
      </c>
    </row>
    <row r="389" spans="1:6">
      <c r="A389" s="11">
        <v>44718</v>
      </c>
      <c r="B389" s="9" t="s">
        <v>842</v>
      </c>
      <c r="C389" t="s">
        <v>515</v>
      </c>
      <c r="D389" s="10" t="s">
        <v>632</v>
      </c>
      <c r="E389" t="s">
        <v>450</v>
      </c>
      <c r="F389">
        <v>0</v>
      </c>
    </row>
    <row r="390" spans="1:6">
      <c r="A390" s="11">
        <v>44719</v>
      </c>
      <c r="B390" s="9" t="s">
        <v>315</v>
      </c>
      <c r="C390" t="s">
        <v>30</v>
      </c>
      <c r="D390" s="10" t="s">
        <v>2680</v>
      </c>
      <c r="E390" t="s">
        <v>614</v>
      </c>
      <c r="F390">
        <v>0</v>
      </c>
    </row>
    <row r="391" spans="1:6">
      <c r="A391" s="8">
        <v>44720</v>
      </c>
      <c r="B391" s="9" t="s">
        <v>963</v>
      </c>
      <c r="C391" t="s">
        <v>65</v>
      </c>
      <c r="D391" s="10" t="s">
        <v>70</v>
      </c>
      <c r="E391" t="s">
        <v>962</v>
      </c>
      <c r="F391">
        <v>0</v>
      </c>
    </row>
    <row r="392" spans="1:6">
      <c r="A392" s="8">
        <v>44725</v>
      </c>
      <c r="B392" s="9" t="s">
        <v>851</v>
      </c>
      <c r="C392" t="s">
        <v>30</v>
      </c>
      <c r="D392" s="10" t="s">
        <v>632</v>
      </c>
      <c r="E392" t="s">
        <v>450</v>
      </c>
      <c r="F392">
        <v>0</v>
      </c>
    </row>
    <row r="393" spans="1:6">
      <c r="A393" s="8">
        <v>44727</v>
      </c>
      <c r="B393" s="9" t="s">
        <v>967</v>
      </c>
      <c r="C393" t="s">
        <v>968</v>
      </c>
      <c r="D393" s="10" t="s">
        <v>632</v>
      </c>
      <c r="E393" t="s">
        <v>450</v>
      </c>
      <c r="F393">
        <v>0</v>
      </c>
    </row>
    <row r="394" spans="1:6">
      <c r="A394" s="8">
        <v>44733</v>
      </c>
      <c r="B394" s="9" t="s">
        <v>863</v>
      </c>
      <c r="C394" t="s">
        <v>65</v>
      </c>
      <c r="D394" s="10" t="s">
        <v>70</v>
      </c>
      <c r="E394" t="s">
        <v>756</v>
      </c>
      <c r="F394">
        <v>0</v>
      </c>
    </row>
    <row r="395" spans="1:6">
      <c r="A395" s="8">
        <v>44739</v>
      </c>
      <c r="B395" s="9" t="s">
        <v>975</v>
      </c>
      <c r="C395" t="s">
        <v>515</v>
      </c>
      <c r="D395" s="10" t="s">
        <v>632</v>
      </c>
      <c r="E395" t="s">
        <v>450</v>
      </c>
      <c r="F395">
        <v>0</v>
      </c>
    </row>
    <row r="396" spans="1:6">
      <c r="A396" s="8">
        <v>44739</v>
      </c>
      <c r="B396" s="9" t="s">
        <v>975</v>
      </c>
      <c r="C396" t="s">
        <v>30</v>
      </c>
      <c r="D396" s="10" t="s">
        <v>632</v>
      </c>
      <c r="E396" t="s">
        <v>450</v>
      </c>
      <c r="F396">
        <v>0</v>
      </c>
    </row>
    <row r="397" spans="1:6">
      <c r="A397" s="11">
        <v>44740</v>
      </c>
      <c r="B397" s="9" t="s">
        <v>912</v>
      </c>
      <c r="C397" t="s">
        <v>515</v>
      </c>
      <c r="D397" s="10" t="s">
        <v>632</v>
      </c>
      <c r="E397" t="s">
        <v>450</v>
      </c>
      <c r="F397">
        <v>0</v>
      </c>
    </row>
    <row r="398" spans="1:6">
      <c r="A398" s="8">
        <v>44740</v>
      </c>
      <c r="B398" s="9" t="s">
        <v>912</v>
      </c>
      <c r="C398" t="s">
        <v>30</v>
      </c>
      <c r="D398" s="10" t="s">
        <v>632</v>
      </c>
      <c r="E398" t="s">
        <v>450</v>
      </c>
      <c r="F398">
        <v>0</v>
      </c>
    </row>
    <row r="399" spans="1:6">
      <c r="A399" s="11">
        <v>44743</v>
      </c>
      <c r="B399" s="9" t="s">
        <v>188</v>
      </c>
      <c r="C399" t="s">
        <v>65</v>
      </c>
      <c r="D399" s="10" t="s">
        <v>70</v>
      </c>
      <c r="E399" t="s">
        <v>981</v>
      </c>
      <c r="F399">
        <v>0</v>
      </c>
    </row>
    <row r="400" spans="1:6">
      <c r="A400" s="8">
        <v>44747</v>
      </c>
      <c r="B400" s="9" t="s">
        <v>27</v>
      </c>
      <c r="C400" t="s">
        <v>65</v>
      </c>
      <c r="D400" s="10" t="s">
        <v>70</v>
      </c>
      <c r="E400" t="s">
        <v>986</v>
      </c>
      <c r="F400">
        <v>0</v>
      </c>
    </row>
    <row r="401" spans="1:6">
      <c r="A401" s="8">
        <v>44749</v>
      </c>
      <c r="B401" s="9" t="s">
        <v>842</v>
      </c>
      <c r="C401" t="s">
        <v>515</v>
      </c>
      <c r="D401" s="10" t="s">
        <v>632</v>
      </c>
      <c r="E401" t="s">
        <v>450</v>
      </c>
      <c r="F401">
        <v>0</v>
      </c>
    </row>
    <row r="402" spans="1:6">
      <c r="A402" s="8">
        <v>44757</v>
      </c>
      <c r="B402" s="9" t="s">
        <v>215</v>
      </c>
      <c r="C402" t="s">
        <v>30</v>
      </c>
      <c r="D402" s="10" t="s">
        <v>632</v>
      </c>
      <c r="E402" t="s">
        <v>993</v>
      </c>
      <c r="F402">
        <v>0</v>
      </c>
    </row>
    <row r="403" spans="1:6">
      <c r="A403" s="8">
        <v>44757</v>
      </c>
      <c r="B403" s="9" t="s">
        <v>867</v>
      </c>
      <c r="C403" t="s">
        <v>65</v>
      </c>
      <c r="D403" s="10" t="s">
        <v>70</v>
      </c>
      <c r="E403" t="s">
        <v>104</v>
      </c>
      <c r="F403">
        <v>0</v>
      </c>
    </row>
    <row r="404" spans="1:6">
      <c r="A404" s="11">
        <v>44760</v>
      </c>
      <c r="B404" s="9" t="s">
        <v>996</v>
      </c>
      <c r="C404" t="s">
        <v>133</v>
      </c>
      <c r="D404" s="10" t="s">
        <v>632</v>
      </c>
      <c r="E404" t="s">
        <v>993</v>
      </c>
      <c r="F404">
        <v>0</v>
      </c>
    </row>
    <row r="405" spans="1:6">
      <c r="A405" s="8">
        <v>44761</v>
      </c>
      <c r="B405" s="9" t="s">
        <v>605</v>
      </c>
      <c r="C405" t="s">
        <v>65</v>
      </c>
      <c r="D405" s="10" t="s">
        <v>70</v>
      </c>
      <c r="E405" t="s">
        <v>608</v>
      </c>
      <c r="F405">
        <v>0</v>
      </c>
    </row>
    <row r="406" spans="1:6">
      <c r="A406" s="8">
        <v>44763</v>
      </c>
      <c r="B406" s="9" t="s">
        <v>1002</v>
      </c>
      <c r="C406" t="s">
        <v>30</v>
      </c>
      <c r="D406" s="10" t="s">
        <v>632</v>
      </c>
      <c r="E406" t="s">
        <v>993</v>
      </c>
      <c r="F406">
        <v>0</v>
      </c>
    </row>
    <row r="407" spans="1:6">
      <c r="A407" s="8">
        <v>44764</v>
      </c>
      <c r="B407" s="9" t="s">
        <v>948</v>
      </c>
      <c r="C407" t="s">
        <v>30</v>
      </c>
      <c r="D407" s="10" t="s">
        <v>632</v>
      </c>
      <c r="E407" t="s">
        <v>993</v>
      </c>
      <c r="F407">
        <v>0</v>
      </c>
    </row>
    <row r="408" spans="1:6">
      <c r="A408" s="8">
        <v>44770</v>
      </c>
      <c r="B408" s="9" t="s">
        <v>1005</v>
      </c>
      <c r="C408" t="s">
        <v>30</v>
      </c>
      <c r="D408" s="10" t="s">
        <v>632</v>
      </c>
      <c r="E408" t="s">
        <v>993</v>
      </c>
      <c r="F408">
        <v>0</v>
      </c>
    </row>
    <row r="409" spans="1:6">
      <c r="A409" s="8">
        <v>44771</v>
      </c>
      <c r="B409" s="9" t="s">
        <v>1008</v>
      </c>
      <c r="C409" t="s">
        <v>515</v>
      </c>
      <c r="D409" s="10" t="s">
        <v>632</v>
      </c>
      <c r="E409" t="s">
        <v>993</v>
      </c>
      <c r="F409">
        <v>0</v>
      </c>
    </row>
    <row r="410" spans="1:6">
      <c r="A410" s="8">
        <v>44774</v>
      </c>
      <c r="B410" s="9" t="s">
        <v>379</v>
      </c>
      <c r="C410" t="s">
        <v>30</v>
      </c>
      <c r="D410" s="10" t="s">
        <v>632</v>
      </c>
      <c r="E410" t="s">
        <v>450</v>
      </c>
      <c r="F410">
        <v>0</v>
      </c>
    </row>
    <row r="411" spans="1:6">
      <c r="A411" s="8">
        <v>44777</v>
      </c>
      <c r="B411" s="9" t="s">
        <v>1012</v>
      </c>
      <c r="C411" t="s">
        <v>30</v>
      </c>
      <c r="D411" s="10" t="s">
        <v>632</v>
      </c>
      <c r="E411" t="s">
        <v>993</v>
      </c>
      <c r="F411">
        <v>0</v>
      </c>
    </row>
    <row r="412" spans="1:6">
      <c r="A412" s="8">
        <v>44778</v>
      </c>
      <c r="B412" s="9" t="s">
        <v>938</v>
      </c>
      <c r="C412" t="s">
        <v>30</v>
      </c>
      <c r="D412" s="10" t="s">
        <v>632</v>
      </c>
      <c r="E412" t="s">
        <v>450</v>
      </c>
      <c r="F412">
        <v>0</v>
      </c>
    </row>
    <row r="413" spans="1:6">
      <c r="A413" s="8">
        <v>44783</v>
      </c>
      <c r="B413" s="9" t="s">
        <v>1015</v>
      </c>
      <c r="C413" t="s">
        <v>836</v>
      </c>
      <c r="D413" s="10" t="s">
        <v>130</v>
      </c>
      <c r="E413" t="s">
        <v>371</v>
      </c>
      <c r="F413">
        <v>0</v>
      </c>
    </row>
    <row r="414" spans="1:6">
      <c r="A414" s="8">
        <v>44784</v>
      </c>
      <c r="B414" s="9" t="s">
        <v>1008</v>
      </c>
      <c r="C414" t="s">
        <v>515</v>
      </c>
      <c r="D414" s="10" t="s">
        <v>632</v>
      </c>
      <c r="E414" t="s">
        <v>450</v>
      </c>
      <c r="F414">
        <v>0</v>
      </c>
    </row>
    <row r="415" spans="1:6">
      <c r="A415" s="8">
        <v>44785</v>
      </c>
      <c r="B415" s="9" t="s">
        <v>842</v>
      </c>
      <c r="C415" t="s">
        <v>515</v>
      </c>
      <c r="D415" s="10" t="s">
        <v>632</v>
      </c>
      <c r="E415" t="s">
        <v>450</v>
      </c>
      <c r="F415">
        <v>0</v>
      </c>
    </row>
    <row r="416" spans="1:6">
      <c r="A416" s="8">
        <v>44792</v>
      </c>
      <c r="B416" s="9" t="s">
        <v>1023</v>
      </c>
      <c r="C416" t="s">
        <v>65</v>
      </c>
      <c r="D416" s="10" t="s">
        <v>70</v>
      </c>
      <c r="E416" t="s">
        <v>1022</v>
      </c>
      <c r="F416">
        <v>0</v>
      </c>
    </row>
    <row r="417" spans="1:6">
      <c r="A417" s="8">
        <v>44795</v>
      </c>
      <c r="B417" s="9" t="s">
        <v>291</v>
      </c>
      <c r="C417" t="s">
        <v>65</v>
      </c>
      <c r="D417" s="10" t="s">
        <v>70</v>
      </c>
      <c r="E417" t="s">
        <v>104</v>
      </c>
      <c r="F417">
        <v>0</v>
      </c>
    </row>
    <row r="418" spans="1:6">
      <c r="A418" s="8">
        <v>44795</v>
      </c>
      <c r="B418" s="9" t="s">
        <v>1028</v>
      </c>
      <c r="C418" t="s">
        <v>515</v>
      </c>
      <c r="D418" s="10" t="s">
        <v>632</v>
      </c>
      <c r="E418" t="s">
        <v>450</v>
      </c>
      <c r="F418">
        <v>0</v>
      </c>
    </row>
    <row r="419" spans="1:6">
      <c r="A419" s="11">
        <v>44795</v>
      </c>
      <c r="B419" s="9" t="s">
        <v>1028</v>
      </c>
      <c r="C419" t="s">
        <v>30</v>
      </c>
      <c r="D419" s="10" t="s">
        <v>632</v>
      </c>
      <c r="E419" t="s">
        <v>450</v>
      </c>
      <c r="F419">
        <v>0</v>
      </c>
    </row>
    <row r="420" spans="1:6">
      <c r="A420" s="11">
        <v>44796</v>
      </c>
      <c r="B420" s="9" t="s">
        <v>926</v>
      </c>
      <c r="C420" t="s">
        <v>30</v>
      </c>
      <c r="D420" s="10" t="s">
        <v>632</v>
      </c>
      <c r="E420" t="s">
        <v>993</v>
      </c>
      <c r="F420">
        <v>0</v>
      </c>
    </row>
    <row r="421" spans="1:6">
      <c r="A421" s="8">
        <v>44796</v>
      </c>
      <c r="B421" s="9" t="s">
        <v>1034</v>
      </c>
      <c r="C421" t="s">
        <v>515</v>
      </c>
      <c r="D421" s="10" t="s">
        <v>632</v>
      </c>
      <c r="E421" t="s">
        <v>450</v>
      </c>
      <c r="F421">
        <v>0</v>
      </c>
    </row>
    <row r="422" spans="1:6">
      <c r="A422" s="11">
        <v>44796</v>
      </c>
      <c r="B422" s="9" t="s">
        <v>1031</v>
      </c>
      <c r="C422" t="s">
        <v>515</v>
      </c>
      <c r="D422" s="10" t="s">
        <v>632</v>
      </c>
      <c r="E422" t="s">
        <v>450</v>
      </c>
      <c r="F422">
        <v>0</v>
      </c>
    </row>
    <row r="423" spans="1:6">
      <c r="A423" s="11">
        <v>44796</v>
      </c>
      <c r="B423" s="9" t="s">
        <v>1031</v>
      </c>
      <c r="C423" t="s">
        <v>30</v>
      </c>
      <c r="D423" s="10" t="s">
        <v>632</v>
      </c>
      <c r="E423" t="s">
        <v>450</v>
      </c>
      <c r="F423">
        <v>0</v>
      </c>
    </row>
    <row r="424" spans="1:6">
      <c r="A424" s="11">
        <v>44797</v>
      </c>
      <c r="B424" s="9" t="s">
        <v>1043</v>
      </c>
      <c r="C424" t="s">
        <v>133</v>
      </c>
      <c r="D424" s="10" t="s">
        <v>632</v>
      </c>
      <c r="E424" t="s">
        <v>1042</v>
      </c>
      <c r="F424">
        <v>0</v>
      </c>
    </row>
    <row r="425" spans="1:6">
      <c r="A425" s="8">
        <v>44797</v>
      </c>
      <c r="B425" s="9" t="s">
        <v>1037</v>
      </c>
      <c r="C425" t="s">
        <v>515</v>
      </c>
      <c r="D425" s="10" t="s">
        <v>632</v>
      </c>
      <c r="E425" t="s">
        <v>450</v>
      </c>
      <c r="F425">
        <v>0</v>
      </c>
    </row>
    <row r="426" spans="1:6">
      <c r="A426" s="11">
        <v>44797</v>
      </c>
      <c r="B426" s="9" t="s">
        <v>1037</v>
      </c>
      <c r="C426" t="s">
        <v>30</v>
      </c>
      <c r="D426" s="10" t="s">
        <v>632</v>
      </c>
      <c r="E426" t="s">
        <v>450</v>
      </c>
      <c r="F426">
        <v>0</v>
      </c>
    </row>
    <row r="427" spans="1:6">
      <c r="A427" s="11">
        <v>44797</v>
      </c>
      <c r="B427" s="9" t="s">
        <v>1040</v>
      </c>
      <c r="C427" t="s">
        <v>30</v>
      </c>
      <c r="D427" s="10" t="s">
        <v>632</v>
      </c>
      <c r="E427" t="s">
        <v>450</v>
      </c>
      <c r="F427">
        <v>0</v>
      </c>
    </row>
    <row r="428" spans="1:6">
      <c r="A428" s="11">
        <v>44802</v>
      </c>
      <c r="B428" s="9" t="s">
        <v>863</v>
      </c>
      <c r="C428" t="s">
        <v>515</v>
      </c>
      <c r="D428" s="10" t="s">
        <v>632</v>
      </c>
      <c r="E428" t="s">
        <v>993</v>
      </c>
      <c r="F428">
        <v>0</v>
      </c>
    </row>
    <row r="429" spans="1:6">
      <c r="A429" s="8">
        <v>44805</v>
      </c>
      <c r="B429" s="9" t="s">
        <v>1046</v>
      </c>
      <c r="C429" t="s">
        <v>30</v>
      </c>
      <c r="D429" s="10" t="s">
        <v>632</v>
      </c>
      <c r="E429" t="s">
        <v>993</v>
      </c>
      <c r="F429">
        <v>0</v>
      </c>
    </row>
    <row r="430" spans="1:6">
      <c r="A430" s="8">
        <v>44806</v>
      </c>
      <c r="B430" s="9" t="s">
        <v>1048</v>
      </c>
      <c r="C430" t="s">
        <v>30</v>
      </c>
      <c r="D430" s="10" t="s">
        <v>632</v>
      </c>
      <c r="E430" t="s">
        <v>993</v>
      </c>
      <c r="F430">
        <v>0</v>
      </c>
    </row>
    <row r="431" spans="1:6">
      <c r="A431" s="8">
        <v>44806</v>
      </c>
      <c r="B431" s="9" t="s">
        <v>1043</v>
      </c>
      <c r="C431" t="s">
        <v>65</v>
      </c>
      <c r="D431" s="10" t="s">
        <v>70</v>
      </c>
      <c r="E431" t="s">
        <v>1054</v>
      </c>
      <c r="F431">
        <v>0</v>
      </c>
    </row>
    <row r="432" spans="1:6">
      <c r="A432" s="11">
        <v>44806</v>
      </c>
      <c r="B432" s="9" t="s">
        <v>1051</v>
      </c>
      <c r="C432" t="s">
        <v>30</v>
      </c>
      <c r="D432" s="10" t="s">
        <v>632</v>
      </c>
      <c r="E432" t="s">
        <v>450</v>
      </c>
      <c r="F432">
        <v>0</v>
      </c>
    </row>
    <row r="433" spans="1:6">
      <c r="A433" s="11">
        <v>44809</v>
      </c>
      <c r="B433" s="9" t="s">
        <v>505</v>
      </c>
      <c r="C433" t="s">
        <v>65</v>
      </c>
      <c r="D433" s="10" t="s">
        <v>70</v>
      </c>
      <c r="E433" t="s">
        <v>335</v>
      </c>
      <c r="F433">
        <v>0</v>
      </c>
    </row>
    <row r="434" spans="1:6">
      <c r="A434" s="8">
        <v>44809</v>
      </c>
      <c r="B434" s="9" t="s">
        <v>863</v>
      </c>
      <c r="C434" t="s">
        <v>30</v>
      </c>
      <c r="D434" s="10" t="s">
        <v>632</v>
      </c>
      <c r="E434" t="s">
        <v>993</v>
      </c>
      <c r="F434">
        <v>0</v>
      </c>
    </row>
    <row r="435" spans="1:6">
      <c r="A435" s="11">
        <v>44812</v>
      </c>
      <c r="B435" s="9" t="s">
        <v>1012</v>
      </c>
      <c r="C435" t="s">
        <v>515</v>
      </c>
      <c r="D435" s="10" t="s">
        <v>632</v>
      </c>
      <c r="E435" t="s">
        <v>993</v>
      </c>
      <c r="F435">
        <v>0</v>
      </c>
    </row>
    <row r="436" spans="1:6">
      <c r="A436" s="8">
        <v>44812</v>
      </c>
      <c r="B436" s="9" t="s">
        <v>1012</v>
      </c>
      <c r="C436" t="s">
        <v>30</v>
      </c>
      <c r="D436" s="10" t="s">
        <v>632</v>
      </c>
      <c r="E436" t="s">
        <v>993</v>
      </c>
      <c r="F436">
        <v>2000</v>
      </c>
    </row>
    <row r="437" spans="1:6">
      <c r="A437" s="11">
        <v>44812</v>
      </c>
      <c r="B437" s="9" t="s">
        <v>578</v>
      </c>
      <c r="C437" t="s">
        <v>30</v>
      </c>
      <c r="D437" s="10" t="s">
        <v>632</v>
      </c>
      <c r="E437" t="s">
        <v>450</v>
      </c>
      <c r="F437">
        <v>0</v>
      </c>
    </row>
    <row r="438" spans="1:6">
      <c r="A438" s="11">
        <v>44817</v>
      </c>
      <c r="B438" s="9" t="s">
        <v>996</v>
      </c>
      <c r="C438" t="s">
        <v>1067</v>
      </c>
      <c r="D438" s="10" t="s">
        <v>130</v>
      </c>
      <c r="E438" t="s">
        <v>993</v>
      </c>
      <c r="F438">
        <v>0</v>
      </c>
    </row>
    <row r="439" spans="1:6">
      <c r="A439" s="8">
        <v>44819</v>
      </c>
      <c r="B439" s="9" t="s">
        <v>1070</v>
      </c>
      <c r="C439" t="s">
        <v>515</v>
      </c>
      <c r="D439" s="10" t="s">
        <v>632</v>
      </c>
      <c r="E439" t="s">
        <v>450</v>
      </c>
      <c r="F439">
        <v>0</v>
      </c>
    </row>
    <row r="440" spans="1:6">
      <c r="A440" s="8">
        <v>44819</v>
      </c>
      <c r="B440" s="9" t="s">
        <v>863</v>
      </c>
      <c r="C440" t="s">
        <v>133</v>
      </c>
      <c r="D440" s="10" t="s">
        <v>130</v>
      </c>
      <c r="E440" t="s">
        <v>569</v>
      </c>
      <c r="F440">
        <v>0</v>
      </c>
    </row>
    <row r="441" spans="1:6">
      <c r="A441" s="11">
        <v>44819</v>
      </c>
      <c r="B441" s="9" t="s">
        <v>863</v>
      </c>
      <c r="C441" t="s">
        <v>941</v>
      </c>
      <c r="D441" s="10" t="s">
        <v>130</v>
      </c>
      <c r="E441" t="s">
        <v>569</v>
      </c>
      <c r="F441">
        <v>0</v>
      </c>
    </row>
    <row r="442" spans="1:6">
      <c r="A442" s="11">
        <v>44820</v>
      </c>
      <c r="B442" s="9" t="s">
        <v>1084</v>
      </c>
      <c r="C442" t="s">
        <v>30</v>
      </c>
      <c r="D442" s="10" t="s">
        <v>632</v>
      </c>
      <c r="E442" t="s">
        <v>450</v>
      </c>
      <c r="F442">
        <v>0</v>
      </c>
    </row>
    <row r="443" spans="1:6">
      <c r="A443" s="8">
        <v>44824</v>
      </c>
      <c r="B443" s="9" t="s">
        <v>346</v>
      </c>
      <c r="C443" t="s">
        <v>133</v>
      </c>
      <c r="D443" s="10" t="s">
        <v>130</v>
      </c>
      <c r="E443" t="s">
        <v>208</v>
      </c>
      <c r="F443">
        <v>0</v>
      </c>
    </row>
    <row r="444" spans="1:6">
      <c r="A444" s="8">
        <v>44824</v>
      </c>
      <c r="B444" s="9" t="s">
        <v>1089</v>
      </c>
      <c r="C444" t="s">
        <v>515</v>
      </c>
      <c r="D444" s="10" t="s">
        <v>130</v>
      </c>
      <c r="E444" t="s">
        <v>1088</v>
      </c>
      <c r="F444">
        <v>0</v>
      </c>
    </row>
    <row r="445" spans="1:6">
      <c r="A445" s="11">
        <v>44824</v>
      </c>
      <c r="B445" s="9" t="s">
        <v>379</v>
      </c>
      <c r="C445" t="s">
        <v>30</v>
      </c>
      <c r="D445" s="10" t="s">
        <v>632</v>
      </c>
      <c r="E445" t="s">
        <v>450</v>
      </c>
      <c r="F445">
        <v>0</v>
      </c>
    </row>
    <row r="446" spans="1:6">
      <c r="A446" s="11">
        <v>44824</v>
      </c>
      <c r="B446" s="9" t="s">
        <v>34</v>
      </c>
      <c r="C446" t="s">
        <v>30</v>
      </c>
      <c r="D446" s="10" t="s">
        <v>632</v>
      </c>
      <c r="E446" t="s">
        <v>450</v>
      </c>
      <c r="F446">
        <v>0</v>
      </c>
    </row>
    <row r="447" spans="1:6">
      <c r="A447" s="11">
        <v>44826</v>
      </c>
      <c r="B447" s="9" t="s">
        <v>366</v>
      </c>
      <c r="C447" t="s">
        <v>30</v>
      </c>
      <c r="D447" s="10" t="s">
        <v>632</v>
      </c>
      <c r="E447" t="s">
        <v>450</v>
      </c>
      <c r="F447">
        <v>0</v>
      </c>
    </row>
    <row r="448" spans="1:6">
      <c r="A448" s="8">
        <v>44826</v>
      </c>
      <c r="B448" s="9" t="s">
        <v>1096</v>
      </c>
      <c r="C448" t="s">
        <v>968</v>
      </c>
      <c r="D448" s="10" t="s">
        <v>632</v>
      </c>
      <c r="E448" t="s">
        <v>450</v>
      </c>
      <c r="F448">
        <v>0</v>
      </c>
    </row>
    <row r="449" spans="1:6">
      <c r="A449" s="11">
        <v>44827</v>
      </c>
      <c r="B449" s="9" t="s">
        <v>1101</v>
      </c>
      <c r="C449" t="s">
        <v>30</v>
      </c>
      <c r="D449" s="10" t="s">
        <v>632</v>
      </c>
      <c r="E449" t="s">
        <v>450</v>
      </c>
      <c r="F449">
        <v>0</v>
      </c>
    </row>
    <row r="450" spans="1:6">
      <c r="A450" s="8">
        <v>44827</v>
      </c>
      <c r="B450" s="9" t="s">
        <v>1104</v>
      </c>
      <c r="C450" t="s">
        <v>30</v>
      </c>
      <c r="D450" s="10" t="s">
        <v>632</v>
      </c>
      <c r="E450" t="s">
        <v>450</v>
      </c>
      <c r="F450">
        <v>0</v>
      </c>
    </row>
    <row r="451" spans="1:6">
      <c r="A451" s="11">
        <v>44827</v>
      </c>
      <c r="B451" s="9" t="s">
        <v>648</v>
      </c>
      <c r="C451" t="s">
        <v>30</v>
      </c>
      <c r="D451" s="10" t="s">
        <v>632</v>
      </c>
      <c r="E451" t="s">
        <v>450</v>
      </c>
      <c r="F451">
        <v>0</v>
      </c>
    </row>
    <row r="452" spans="1:6">
      <c r="A452" s="11">
        <v>44830</v>
      </c>
      <c r="B452" s="9" t="s">
        <v>209</v>
      </c>
      <c r="C452" t="s">
        <v>515</v>
      </c>
      <c r="D452" s="10" t="s">
        <v>632</v>
      </c>
      <c r="E452" t="s">
        <v>450</v>
      </c>
      <c r="F452">
        <v>1000</v>
      </c>
    </row>
    <row r="453" spans="1:6">
      <c r="A453" s="8">
        <v>44830</v>
      </c>
      <c r="B453" s="9" t="s">
        <v>476</v>
      </c>
      <c r="C453" t="s">
        <v>30</v>
      </c>
      <c r="D453" s="10" t="s">
        <v>632</v>
      </c>
      <c r="E453" t="s">
        <v>993</v>
      </c>
      <c r="F453">
        <v>0</v>
      </c>
    </row>
    <row r="454" spans="1:6">
      <c r="A454" s="11">
        <v>44831</v>
      </c>
      <c r="B454" s="9" t="s">
        <v>1101</v>
      </c>
      <c r="C454" t="s">
        <v>30</v>
      </c>
      <c r="D454" s="10" t="s">
        <v>632</v>
      </c>
      <c r="E454" t="s">
        <v>450</v>
      </c>
      <c r="F454">
        <v>0</v>
      </c>
    </row>
    <row r="455" spans="1:6">
      <c r="A455" s="8">
        <v>44832</v>
      </c>
      <c r="B455" s="9" t="s">
        <v>1101</v>
      </c>
      <c r="C455" t="s">
        <v>30</v>
      </c>
      <c r="D455" s="10" t="s">
        <v>632</v>
      </c>
      <c r="E455" t="s">
        <v>993</v>
      </c>
      <c r="F455">
        <v>0</v>
      </c>
    </row>
    <row r="456" spans="1:6">
      <c r="A456" s="8">
        <v>44833</v>
      </c>
      <c r="B456" s="9" t="s">
        <v>209</v>
      </c>
      <c r="C456" t="s">
        <v>30</v>
      </c>
      <c r="D456" s="10" t="s">
        <v>632</v>
      </c>
      <c r="E456" t="s">
        <v>450</v>
      </c>
      <c r="F456">
        <v>0</v>
      </c>
    </row>
    <row r="457" spans="1:6">
      <c r="A457" s="8">
        <v>44834</v>
      </c>
      <c r="B457" s="9" t="s">
        <v>863</v>
      </c>
      <c r="C457" t="s">
        <v>515</v>
      </c>
      <c r="D457" s="10" t="s">
        <v>632</v>
      </c>
      <c r="E457" t="s">
        <v>993</v>
      </c>
      <c r="F457">
        <v>0</v>
      </c>
    </row>
    <row r="458" spans="1:6">
      <c r="A458" s="8">
        <v>44841</v>
      </c>
      <c r="B458" s="9" t="s">
        <v>863</v>
      </c>
      <c r="C458" t="s">
        <v>30</v>
      </c>
      <c r="D458" s="10" t="s">
        <v>632</v>
      </c>
      <c r="E458" t="s">
        <v>993</v>
      </c>
      <c r="F458">
        <v>0</v>
      </c>
    </row>
    <row r="459" spans="1:6">
      <c r="A459" s="8">
        <v>44848</v>
      </c>
      <c r="B459" s="9" t="s">
        <v>1121</v>
      </c>
      <c r="C459" t="s">
        <v>515</v>
      </c>
      <c r="D459" s="10" t="s">
        <v>632</v>
      </c>
      <c r="E459" t="s">
        <v>450</v>
      </c>
      <c r="F459">
        <v>0</v>
      </c>
    </row>
    <row r="460" spans="1:6">
      <c r="A460" s="8">
        <v>44851</v>
      </c>
      <c r="B460" s="9" t="s">
        <v>1123</v>
      </c>
      <c r="C460" t="s">
        <v>968</v>
      </c>
      <c r="D460" s="10" t="s">
        <v>632</v>
      </c>
      <c r="E460" t="s">
        <v>450</v>
      </c>
      <c r="F460">
        <v>0</v>
      </c>
    </row>
    <row r="461" spans="1:6">
      <c r="A461" s="8">
        <v>44851</v>
      </c>
      <c r="B461" s="9" t="s">
        <v>1125</v>
      </c>
      <c r="C461" t="s">
        <v>30</v>
      </c>
      <c r="D461" s="10" t="s">
        <v>632</v>
      </c>
      <c r="E461" t="s">
        <v>450</v>
      </c>
      <c r="F461">
        <v>0</v>
      </c>
    </row>
    <row r="462" spans="1:6">
      <c r="A462" s="11">
        <v>44851</v>
      </c>
      <c r="B462" s="9" t="s">
        <v>1135</v>
      </c>
      <c r="C462" t="s">
        <v>30</v>
      </c>
      <c r="D462" s="10" t="s">
        <v>632</v>
      </c>
      <c r="E462" t="s">
        <v>450</v>
      </c>
      <c r="F462">
        <v>0</v>
      </c>
    </row>
    <row r="463" spans="1:6">
      <c r="A463" s="11">
        <v>44852</v>
      </c>
      <c r="B463" s="9" t="s">
        <v>1141</v>
      </c>
      <c r="C463" t="s">
        <v>515</v>
      </c>
      <c r="D463" s="10" t="s">
        <v>632</v>
      </c>
      <c r="E463" t="s">
        <v>993</v>
      </c>
      <c r="F463">
        <v>0</v>
      </c>
    </row>
    <row r="464" spans="1:6">
      <c r="A464" s="8">
        <v>44854</v>
      </c>
      <c r="B464" s="9" t="s">
        <v>863</v>
      </c>
      <c r="C464" t="s">
        <v>515</v>
      </c>
      <c r="D464" s="10" t="s">
        <v>632</v>
      </c>
      <c r="E464" t="s">
        <v>993</v>
      </c>
      <c r="F464">
        <v>0</v>
      </c>
    </row>
    <row r="465" spans="1:6">
      <c r="A465" s="8">
        <v>44855</v>
      </c>
      <c r="B465" s="9" t="s">
        <v>863</v>
      </c>
      <c r="C465" t="s">
        <v>30</v>
      </c>
      <c r="D465" s="10" t="s">
        <v>632</v>
      </c>
      <c r="E465" t="s">
        <v>993</v>
      </c>
      <c r="F465">
        <v>0</v>
      </c>
    </row>
    <row r="466" spans="1:6">
      <c r="A466" s="8">
        <v>44858</v>
      </c>
      <c r="B466" s="9" t="s">
        <v>1150</v>
      </c>
      <c r="C466" t="s">
        <v>65</v>
      </c>
      <c r="D466" s="10" t="s">
        <v>70</v>
      </c>
      <c r="E466" t="s">
        <v>146</v>
      </c>
      <c r="F466">
        <v>0</v>
      </c>
    </row>
    <row r="467" spans="1:6">
      <c r="A467" s="8">
        <v>44858</v>
      </c>
      <c r="B467" s="9" t="s">
        <v>315</v>
      </c>
      <c r="C467" t="s">
        <v>30</v>
      </c>
      <c r="D467" s="10" t="s">
        <v>632</v>
      </c>
      <c r="E467" t="s">
        <v>993</v>
      </c>
      <c r="F467">
        <v>0</v>
      </c>
    </row>
    <row r="468" spans="1:6">
      <c r="A468" s="11">
        <v>44858</v>
      </c>
      <c r="B468" s="9" t="s">
        <v>1154</v>
      </c>
      <c r="C468" t="s">
        <v>515</v>
      </c>
      <c r="D468" s="10" t="s">
        <v>632</v>
      </c>
      <c r="E468" t="s">
        <v>993</v>
      </c>
      <c r="F468">
        <v>0</v>
      </c>
    </row>
    <row r="469" spans="1:6">
      <c r="A469" s="11">
        <v>44860</v>
      </c>
      <c r="B469" s="9" t="s">
        <v>1157</v>
      </c>
      <c r="C469" t="s">
        <v>30</v>
      </c>
      <c r="D469" s="10" t="s">
        <v>632</v>
      </c>
      <c r="E469" t="s">
        <v>450</v>
      </c>
      <c r="F469">
        <v>0</v>
      </c>
    </row>
    <row r="470" spans="1:6">
      <c r="A470" s="8">
        <v>44860</v>
      </c>
      <c r="B470" s="9" t="s">
        <v>1154</v>
      </c>
      <c r="C470" t="s">
        <v>30</v>
      </c>
      <c r="D470" s="10" t="s">
        <v>632</v>
      </c>
      <c r="E470" t="s">
        <v>993</v>
      </c>
      <c r="F470">
        <v>0</v>
      </c>
    </row>
    <row r="471" spans="1:6">
      <c r="A471" s="11">
        <v>44861</v>
      </c>
      <c r="B471" s="9" t="s">
        <v>1141</v>
      </c>
      <c r="C471" t="s">
        <v>30</v>
      </c>
      <c r="D471" s="10" t="s">
        <v>632</v>
      </c>
      <c r="E471" t="s">
        <v>993</v>
      </c>
      <c r="F471">
        <v>0</v>
      </c>
    </row>
    <row r="472" spans="1:6">
      <c r="A472" s="8">
        <v>44862</v>
      </c>
      <c r="B472" s="9" t="s">
        <v>634</v>
      </c>
      <c r="C472" t="s">
        <v>515</v>
      </c>
      <c r="D472" s="10" t="s">
        <v>632</v>
      </c>
      <c r="E472" t="s">
        <v>450</v>
      </c>
      <c r="F472">
        <v>0</v>
      </c>
    </row>
    <row r="473" spans="1:6">
      <c r="A473" s="8">
        <v>44862</v>
      </c>
      <c r="B473" s="9" t="s">
        <v>634</v>
      </c>
      <c r="C473" t="s">
        <v>30</v>
      </c>
      <c r="D473" s="10" t="s">
        <v>632</v>
      </c>
      <c r="E473" t="s">
        <v>450</v>
      </c>
      <c r="F473">
        <v>0</v>
      </c>
    </row>
    <row r="474" spans="1:6">
      <c r="A474" s="11">
        <v>44862</v>
      </c>
      <c r="B474" s="9" t="s">
        <v>1166</v>
      </c>
      <c r="C474" t="s">
        <v>30</v>
      </c>
      <c r="D474" s="10" t="s">
        <v>632</v>
      </c>
      <c r="E474" t="s">
        <v>450</v>
      </c>
      <c r="F474">
        <v>0</v>
      </c>
    </row>
    <row r="475" spans="1:6">
      <c r="A475" s="11">
        <v>44865</v>
      </c>
      <c r="B475" s="9" t="s">
        <v>1169</v>
      </c>
      <c r="C475" t="s">
        <v>30</v>
      </c>
      <c r="D475" s="10" t="s">
        <v>632</v>
      </c>
      <c r="E475" t="s">
        <v>993</v>
      </c>
      <c r="F475">
        <v>0</v>
      </c>
    </row>
    <row r="476" spans="1:6">
      <c r="A476" s="8">
        <v>44869</v>
      </c>
      <c r="B476" s="9" t="s">
        <v>1172</v>
      </c>
      <c r="C476" t="s">
        <v>30</v>
      </c>
      <c r="D476" s="10" t="s">
        <v>632</v>
      </c>
      <c r="E476" t="s">
        <v>450</v>
      </c>
      <c r="F476">
        <v>0</v>
      </c>
    </row>
    <row r="477" spans="1:6">
      <c r="A477" s="8">
        <v>44872</v>
      </c>
      <c r="B477" s="9" t="s">
        <v>366</v>
      </c>
      <c r="C477" t="s">
        <v>30</v>
      </c>
      <c r="D477" s="10" t="s">
        <v>632</v>
      </c>
      <c r="E477" t="s">
        <v>450</v>
      </c>
      <c r="F477">
        <v>0</v>
      </c>
    </row>
    <row r="478" spans="1:6">
      <c r="A478" s="8">
        <v>44872</v>
      </c>
      <c r="B478" s="9" t="s">
        <v>1178</v>
      </c>
      <c r="C478" t="s">
        <v>515</v>
      </c>
      <c r="D478" s="10" t="s">
        <v>632</v>
      </c>
      <c r="E478" t="s">
        <v>450</v>
      </c>
      <c r="F478">
        <v>0</v>
      </c>
    </row>
    <row r="479" spans="1:6">
      <c r="A479" s="11">
        <v>44872</v>
      </c>
      <c r="B479" s="9" t="s">
        <v>1178</v>
      </c>
      <c r="C479" t="s">
        <v>30</v>
      </c>
      <c r="D479" s="10" t="s">
        <v>632</v>
      </c>
      <c r="E479" t="s">
        <v>450</v>
      </c>
      <c r="F479">
        <v>0</v>
      </c>
    </row>
    <row r="480" spans="1:6">
      <c r="A480" s="11">
        <v>44872</v>
      </c>
      <c r="B480" s="9" t="s">
        <v>863</v>
      </c>
      <c r="C480" t="s">
        <v>133</v>
      </c>
      <c r="D480" s="10" t="s">
        <v>130</v>
      </c>
      <c r="E480" t="s">
        <v>569</v>
      </c>
      <c r="F480">
        <v>0</v>
      </c>
    </row>
    <row r="481" spans="1:6">
      <c r="A481" s="11">
        <v>44872</v>
      </c>
      <c r="B481" s="9" t="s">
        <v>578</v>
      </c>
      <c r="C481" t="s">
        <v>515</v>
      </c>
      <c r="D481" s="10" t="s">
        <v>632</v>
      </c>
      <c r="E481" t="s">
        <v>450</v>
      </c>
      <c r="F481">
        <v>0</v>
      </c>
    </row>
    <row r="482" spans="1:6">
      <c r="A482" s="11">
        <v>44872</v>
      </c>
      <c r="B482" s="9" t="s">
        <v>578</v>
      </c>
      <c r="C482" t="s">
        <v>30</v>
      </c>
      <c r="D482" s="10" t="s">
        <v>632</v>
      </c>
      <c r="E482" t="s">
        <v>450</v>
      </c>
      <c r="F482">
        <v>0</v>
      </c>
    </row>
    <row r="483" spans="1:6">
      <c r="A483" s="11">
        <v>44872</v>
      </c>
      <c r="B483" s="9" t="s">
        <v>305</v>
      </c>
      <c r="C483" t="s">
        <v>65</v>
      </c>
      <c r="D483" s="10" t="s">
        <v>70</v>
      </c>
      <c r="E483" t="s">
        <v>146</v>
      </c>
      <c r="F483">
        <v>0</v>
      </c>
    </row>
    <row r="484" spans="1:6">
      <c r="A484" s="11">
        <v>44873</v>
      </c>
      <c r="B484" s="9" t="s">
        <v>674</v>
      </c>
      <c r="C484" t="s">
        <v>515</v>
      </c>
      <c r="D484" s="10" t="s">
        <v>632</v>
      </c>
      <c r="E484" t="s">
        <v>450</v>
      </c>
      <c r="F484">
        <v>0</v>
      </c>
    </row>
    <row r="485" spans="1:6">
      <c r="A485" s="8">
        <v>44873</v>
      </c>
      <c r="B485" s="9" t="s">
        <v>1188</v>
      </c>
      <c r="C485" t="s">
        <v>30</v>
      </c>
      <c r="D485" s="10" t="s">
        <v>632</v>
      </c>
      <c r="E485" t="s">
        <v>450</v>
      </c>
      <c r="F485">
        <v>0</v>
      </c>
    </row>
    <row r="486" spans="1:6">
      <c r="A486" s="11">
        <v>44874</v>
      </c>
      <c r="B486" s="9" t="s">
        <v>1101</v>
      </c>
      <c r="C486" t="s">
        <v>30</v>
      </c>
      <c r="D486" s="10" t="s">
        <v>632</v>
      </c>
      <c r="E486" t="s">
        <v>450</v>
      </c>
      <c r="F486">
        <v>9000</v>
      </c>
    </row>
    <row r="487" spans="1:6">
      <c r="A487" s="8">
        <v>44874</v>
      </c>
      <c r="B487" s="9" t="s">
        <v>495</v>
      </c>
      <c r="C487" t="s">
        <v>30</v>
      </c>
      <c r="D487" s="10" t="s">
        <v>632</v>
      </c>
      <c r="E487" t="s">
        <v>450</v>
      </c>
      <c r="F487">
        <v>0</v>
      </c>
    </row>
    <row r="488" spans="1:6">
      <c r="A488" s="11">
        <v>44875</v>
      </c>
      <c r="B488" s="9" t="s">
        <v>1200</v>
      </c>
      <c r="C488" t="s">
        <v>968</v>
      </c>
      <c r="D488" s="10" t="s">
        <v>632</v>
      </c>
      <c r="E488" t="s">
        <v>450</v>
      </c>
      <c r="F488">
        <v>0</v>
      </c>
    </row>
    <row r="489" spans="1:6">
      <c r="A489" s="8">
        <v>44875</v>
      </c>
      <c r="B489" s="9" t="s">
        <v>1203</v>
      </c>
      <c r="C489" t="s">
        <v>65</v>
      </c>
      <c r="D489" s="10" t="s">
        <v>70</v>
      </c>
      <c r="E489" t="s">
        <v>1202</v>
      </c>
      <c r="F489">
        <v>0</v>
      </c>
    </row>
    <row r="490" spans="1:6">
      <c r="A490" s="11">
        <v>44879</v>
      </c>
      <c r="B490" s="9" t="s">
        <v>696</v>
      </c>
      <c r="C490" t="s">
        <v>30</v>
      </c>
      <c r="D490" s="10" t="s">
        <v>632</v>
      </c>
      <c r="E490" t="s">
        <v>450</v>
      </c>
      <c r="F490">
        <v>0</v>
      </c>
    </row>
    <row r="491" spans="1:6">
      <c r="A491" s="8">
        <v>44879</v>
      </c>
      <c r="B491" s="9" t="s">
        <v>1005</v>
      </c>
      <c r="C491" t="s">
        <v>30</v>
      </c>
      <c r="D491" s="10" t="s">
        <v>130</v>
      </c>
      <c r="E491" t="s">
        <v>239</v>
      </c>
      <c r="F491">
        <v>0</v>
      </c>
    </row>
    <row r="492" spans="1:6">
      <c r="A492" s="11">
        <v>44880</v>
      </c>
      <c r="B492" s="9" t="s">
        <v>1101</v>
      </c>
      <c r="C492" t="s">
        <v>30</v>
      </c>
      <c r="D492" s="10" t="s">
        <v>632</v>
      </c>
      <c r="E492" t="s">
        <v>450</v>
      </c>
      <c r="F492">
        <v>0</v>
      </c>
    </row>
    <row r="493" spans="1:6">
      <c r="A493" s="8">
        <v>44880</v>
      </c>
      <c r="B493" s="9" t="s">
        <v>863</v>
      </c>
      <c r="C493" t="s">
        <v>941</v>
      </c>
      <c r="D493" s="10" t="s">
        <v>70</v>
      </c>
      <c r="E493" t="s">
        <v>940</v>
      </c>
      <c r="F493">
        <v>0</v>
      </c>
    </row>
    <row r="494" spans="1:6">
      <c r="A494" s="11">
        <v>44880</v>
      </c>
      <c r="B494" s="9" t="s">
        <v>283</v>
      </c>
      <c r="C494" t="s">
        <v>65</v>
      </c>
      <c r="D494" s="10" t="s">
        <v>70</v>
      </c>
      <c r="E494" t="s">
        <v>149</v>
      </c>
      <c r="F494">
        <v>0</v>
      </c>
    </row>
    <row r="495" spans="1:6">
      <c r="A495" s="11">
        <v>44886</v>
      </c>
      <c r="B495" s="9" t="s">
        <v>1101</v>
      </c>
      <c r="C495" t="s">
        <v>30</v>
      </c>
      <c r="D495" s="10" t="s">
        <v>632</v>
      </c>
      <c r="E495" t="s">
        <v>450</v>
      </c>
      <c r="F495">
        <v>0</v>
      </c>
    </row>
    <row r="496" spans="1:6">
      <c r="A496" s="8">
        <v>44887</v>
      </c>
      <c r="B496" s="9" t="s">
        <v>1221</v>
      </c>
      <c r="C496" t="s">
        <v>30</v>
      </c>
      <c r="D496" s="10" t="s">
        <v>632</v>
      </c>
      <c r="E496" t="s">
        <v>993</v>
      </c>
      <c r="F496">
        <v>0</v>
      </c>
    </row>
    <row r="497" spans="1:6">
      <c r="A497" s="8">
        <v>44890</v>
      </c>
      <c r="B497" s="9" t="s">
        <v>346</v>
      </c>
      <c r="C497" t="s">
        <v>30</v>
      </c>
      <c r="D497" s="10" t="s">
        <v>632</v>
      </c>
      <c r="E497" t="s">
        <v>1088</v>
      </c>
      <c r="F497">
        <v>0</v>
      </c>
    </row>
    <row r="498" spans="1:6">
      <c r="A498" s="8">
        <v>44893</v>
      </c>
      <c r="B498" s="9" t="s">
        <v>1227</v>
      </c>
      <c r="C498" t="s">
        <v>65</v>
      </c>
      <c r="D498" s="10" t="s">
        <v>70</v>
      </c>
      <c r="E498" t="s">
        <v>1226</v>
      </c>
      <c r="F498">
        <v>0</v>
      </c>
    </row>
    <row r="499" spans="1:6">
      <c r="A499" s="8">
        <v>44894</v>
      </c>
      <c r="B499" s="9" t="s">
        <v>1230</v>
      </c>
      <c r="C499" t="s">
        <v>515</v>
      </c>
      <c r="D499" s="10" t="s">
        <v>632</v>
      </c>
      <c r="E499" t="s">
        <v>1088</v>
      </c>
      <c r="F499">
        <v>900</v>
      </c>
    </row>
    <row r="500" spans="1:6">
      <c r="A500" s="8">
        <v>44894</v>
      </c>
      <c r="B500" s="9" t="s">
        <v>1230</v>
      </c>
      <c r="C500" t="s">
        <v>30</v>
      </c>
      <c r="D500" s="10" t="s">
        <v>632</v>
      </c>
      <c r="E500" t="s">
        <v>1088</v>
      </c>
      <c r="F500">
        <v>0</v>
      </c>
    </row>
    <row r="501" spans="1:6">
      <c r="A501" s="11">
        <v>44896</v>
      </c>
      <c r="B501" s="9" t="s">
        <v>1240</v>
      </c>
      <c r="C501" t="s">
        <v>968</v>
      </c>
      <c r="D501" s="10" t="s">
        <v>632</v>
      </c>
      <c r="E501" t="s">
        <v>1088</v>
      </c>
      <c r="F501">
        <v>0</v>
      </c>
    </row>
    <row r="502" spans="1:6">
      <c r="A502" s="8">
        <v>44896</v>
      </c>
      <c r="B502" s="9" t="s">
        <v>578</v>
      </c>
      <c r="C502" t="s">
        <v>515</v>
      </c>
      <c r="D502" s="10" t="s">
        <v>632</v>
      </c>
      <c r="E502" t="s">
        <v>993</v>
      </c>
      <c r="F502">
        <v>0</v>
      </c>
    </row>
    <row r="503" spans="1:6">
      <c r="A503" s="11">
        <v>44896</v>
      </c>
      <c r="B503" s="9" t="s">
        <v>578</v>
      </c>
      <c r="C503" t="s">
        <v>30</v>
      </c>
      <c r="D503" s="10" t="s">
        <v>632</v>
      </c>
      <c r="E503" t="s">
        <v>993</v>
      </c>
      <c r="F503">
        <v>0</v>
      </c>
    </row>
    <row r="504" spans="1:6">
      <c r="A504" s="11">
        <v>44896</v>
      </c>
      <c r="B504" s="9" t="s">
        <v>1244</v>
      </c>
      <c r="C504" t="s">
        <v>515</v>
      </c>
      <c r="D504" s="10" t="s">
        <v>632</v>
      </c>
      <c r="E504" t="s">
        <v>993</v>
      </c>
      <c r="F504">
        <v>0</v>
      </c>
    </row>
    <row r="505" spans="1:6">
      <c r="A505" s="11">
        <v>44896</v>
      </c>
      <c r="B505" s="9" t="s">
        <v>1244</v>
      </c>
      <c r="C505" t="s">
        <v>30</v>
      </c>
      <c r="D505" s="10" t="s">
        <v>632</v>
      </c>
      <c r="E505" t="s">
        <v>993</v>
      </c>
      <c r="F505">
        <v>0</v>
      </c>
    </row>
    <row r="506" spans="1:6">
      <c r="A506" s="11">
        <v>44900</v>
      </c>
      <c r="B506" s="9" t="s">
        <v>1101</v>
      </c>
      <c r="C506" t="s">
        <v>65</v>
      </c>
      <c r="D506" s="10" t="s">
        <v>632</v>
      </c>
      <c r="E506" t="s">
        <v>83</v>
      </c>
      <c r="F506">
        <v>0</v>
      </c>
    </row>
    <row r="507" spans="1:6">
      <c r="A507" s="8">
        <v>44900</v>
      </c>
      <c r="B507" s="9" t="s">
        <v>1252</v>
      </c>
      <c r="C507" t="s">
        <v>515</v>
      </c>
      <c r="D507" s="10" t="s">
        <v>632</v>
      </c>
      <c r="E507" t="s">
        <v>450</v>
      </c>
      <c r="F507">
        <v>0</v>
      </c>
    </row>
    <row r="508" spans="1:6">
      <c r="A508" s="11">
        <v>44900</v>
      </c>
      <c r="B508" s="9" t="s">
        <v>1263</v>
      </c>
      <c r="C508" t="s">
        <v>968</v>
      </c>
      <c r="D508" s="10" t="s">
        <v>632</v>
      </c>
      <c r="E508" t="s">
        <v>450</v>
      </c>
      <c r="F508">
        <v>0</v>
      </c>
    </row>
    <row r="509" spans="1:6">
      <c r="A509" s="11">
        <v>44900</v>
      </c>
      <c r="B509" s="9" t="s">
        <v>650</v>
      </c>
      <c r="C509" t="s">
        <v>515</v>
      </c>
      <c r="D509" s="10" t="s">
        <v>632</v>
      </c>
      <c r="E509" t="s">
        <v>993</v>
      </c>
      <c r="F509">
        <v>0</v>
      </c>
    </row>
    <row r="510" spans="1:6">
      <c r="A510" s="11">
        <v>44900</v>
      </c>
      <c r="B510" s="9" t="s">
        <v>650</v>
      </c>
      <c r="C510" t="s">
        <v>515</v>
      </c>
      <c r="D510" s="10" t="s">
        <v>130</v>
      </c>
      <c r="E510" t="s">
        <v>239</v>
      </c>
      <c r="F510">
        <v>0</v>
      </c>
    </row>
    <row r="511" spans="1:6">
      <c r="A511" s="11">
        <v>44900</v>
      </c>
      <c r="B511" s="9" t="s">
        <v>1259</v>
      </c>
      <c r="C511" t="s">
        <v>30</v>
      </c>
      <c r="D511" s="10" t="s">
        <v>632</v>
      </c>
      <c r="E511" t="s">
        <v>1088</v>
      </c>
      <c r="F511">
        <v>0</v>
      </c>
    </row>
    <row r="512" spans="1:6">
      <c r="A512" s="11">
        <v>44900</v>
      </c>
      <c r="B512" s="9" t="s">
        <v>1266</v>
      </c>
      <c r="C512" t="s">
        <v>30</v>
      </c>
      <c r="D512" s="10" t="s">
        <v>632</v>
      </c>
      <c r="E512" t="s">
        <v>993</v>
      </c>
      <c r="F512">
        <v>0</v>
      </c>
    </row>
    <row r="513" spans="1:6">
      <c r="A513" s="11">
        <v>44901</v>
      </c>
      <c r="B513" s="9" t="s">
        <v>650</v>
      </c>
      <c r="C513" t="s">
        <v>515</v>
      </c>
      <c r="D513" s="10" t="s">
        <v>130</v>
      </c>
      <c r="E513" t="s">
        <v>239</v>
      </c>
      <c r="F513">
        <v>0</v>
      </c>
    </row>
    <row r="514" spans="1:6">
      <c r="A514" s="8">
        <v>44901</v>
      </c>
      <c r="B514" s="9" t="s">
        <v>651</v>
      </c>
      <c r="C514" t="s">
        <v>30</v>
      </c>
      <c r="D514" s="10" t="s">
        <v>632</v>
      </c>
      <c r="E514" t="s">
        <v>993</v>
      </c>
      <c r="F514">
        <v>4000</v>
      </c>
    </row>
    <row r="515" spans="1:6">
      <c r="A515" s="11">
        <v>44901</v>
      </c>
      <c r="B515" s="9" t="s">
        <v>1274</v>
      </c>
      <c r="C515" t="s">
        <v>515</v>
      </c>
      <c r="D515" s="10" t="s">
        <v>632</v>
      </c>
      <c r="E515" t="s">
        <v>993</v>
      </c>
      <c r="F515">
        <v>0</v>
      </c>
    </row>
    <row r="516" spans="1:6">
      <c r="A516" s="11">
        <v>44901</v>
      </c>
      <c r="B516" s="9" t="s">
        <v>1274</v>
      </c>
      <c r="C516" t="s">
        <v>30</v>
      </c>
      <c r="D516" s="10" t="s">
        <v>632</v>
      </c>
      <c r="E516" t="s">
        <v>993</v>
      </c>
      <c r="F516">
        <v>0</v>
      </c>
    </row>
    <row r="517" spans="1:6">
      <c r="A517" s="11">
        <v>44902</v>
      </c>
      <c r="B517" s="9" t="s">
        <v>209</v>
      </c>
      <c r="C517" t="s">
        <v>133</v>
      </c>
      <c r="D517" s="10" t="s">
        <v>632</v>
      </c>
      <c r="E517" t="s">
        <v>450</v>
      </c>
      <c r="F517">
        <v>50000</v>
      </c>
    </row>
    <row r="518" spans="1:6">
      <c r="A518" s="8">
        <v>44904</v>
      </c>
      <c r="B518" s="9" t="s">
        <v>1252</v>
      </c>
      <c r="C518" t="s">
        <v>836</v>
      </c>
      <c r="D518" s="10" t="s">
        <v>632</v>
      </c>
      <c r="E518" t="s">
        <v>450</v>
      </c>
      <c r="F518">
        <v>0</v>
      </c>
    </row>
    <row r="519" spans="1:6">
      <c r="A519" s="8">
        <v>44904</v>
      </c>
      <c r="B519" s="9" t="s">
        <v>362</v>
      </c>
      <c r="C519" t="s">
        <v>515</v>
      </c>
      <c r="D519" s="10" t="s">
        <v>632</v>
      </c>
      <c r="E519" t="s">
        <v>993</v>
      </c>
      <c r="F519">
        <v>0</v>
      </c>
    </row>
    <row r="520" spans="1:6">
      <c r="A520" s="11">
        <v>44904</v>
      </c>
      <c r="B520" s="9" t="s">
        <v>362</v>
      </c>
      <c r="C520" t="s">
        <v>30</v>
      </c>
      <c r="D520" s="10" t="s">
        <v>632</v>
      </c>
      <c r="E520" t="s">
        <v>993</v>
      </c>
      <c r="F520">
        <v>0</v>
      </c>
    </row>
    <row r="521" spans="1:6">
      <c r="A521" s="11">
        <v>44907</v>
      </c>
      <c r="B521" s="9" t="s">
        <v>362</v>
      </c>
      <c r="C521" t="s">
        <v>515</v>
      </c>
      <c r="D521" s="10" t="s">
        <v>632</v>
      </c>
      <c r="E521" t="s">
        <v>993</v>
      </c>
      <c r="F521">
        <v>0</v>
      </c>
    </row>
    <row r="522" spans="1:6">
      <c r="A522" s="8">
        <v>44907</v>
      </c>
      <c r="B522" s="9" t="s">
        <v>362</v>
      </c>
      <c r="C522" t="s">
        <v>30</v>
      </c>
      <c r="D522" s="10" t="s">
        <v>632</v>
      </c>
      <c r="E522" t="s">
        <v>993</v>
      </c>
      <c r="F522">
        <v>0</v>
      </c>
    </row>
    <row r="523" spans="1:6">
      <c r="A523" s="11">
        <v>44915</v>
      </c>
      <c r="B523" s="9" t="s">
        <v>1288</v>
      </c>
      <c r="C523" t="s">
        <v>515</v>
      </c>
      <c r="D523" s="10" t="s">
        <v>632</v>
      </c>
      <c r="E523" t="s">
        <v>450</v>
      </c>
      <c r="F523">
        <v>0</v>
      </c>
    </row>
    <row r="524" spans="1:6">
      <c r="A524" s="8">
        <v>44916</v>
      </c>
      <c r="B524" s="9" t="s">
        <v>1290</v>
      </c>
      <c r="C524" t="s">
        <v>515</v>
      </c>
      <c r="D524" s="10" t="s">
        <v>632</v>
      </c>
      <c r="E524" t="s">
        <v>450</v>
      </c>
      <c r="F524">
        <v>0</v>
      </c>
    </row>
    <row r="525" spans="1:6">
      <c r="A525" s="8">
        <v>44916</v>
      </c>
      <c r="B525" s="9" t="s">
        <v>1290</v>
      </c>
      <c r="C525" t="s">
        <v>30</v>
      </c>
      <c r="D525" s="10" t="s">
        <v>632</v>
      </c>
      <c r="E525" t="s">
        <v>450</v>
      </c>
      <c r="F525">
        <v>0</v>
      </c>
    </row>
    <row r="526" spans="1:6">
      <c r="A526" s="11">
        <v>44918</v>
      </c>
      <c r="B526" s="9" t="s">
        <v>495</v>
      </c>
      <c r="C526" t="s">
        <v>30</v>
      </c>
      <c r="D526" s="10" t="s">
        <v>632</v>
      </c>
      <c r="E526" t="s">
        <v>450</v>
      </c>
      <c r="F526">
        <v>0</v>
      </c>
    </row>
    <row r="527" spans="1:6">
      <c r="A527" s="8">
        <v>44922</v>
      </c>
      <c r="B527" s="9" t="s">
        <v>1252</v>
      </c>
      <c r="C527" t="s">
        <v>65</v>
      </c>
      <c r="D527" s="10" t="s">
        <v>70</v>
      </c>
      <c r="E527" t="s">
        <v>1202</v>
      </c>
      <c r="F527">
        <v>50000</v>
      </c>
    </row>
    <row r="528" spans="1:6">
      <c r="A528" s="8">
        <v>44925</v>
      </c>
      <c r="B528" s="9" t="s">
        <v>867</v>
      </c>
      <c r="C528" t="s">
        <v>65</v>
      </c>
      <c r="D528" s="10" t="s">
        <v>70</v>
      </c>
      <c r="E528" t="s">
        <v>460</v>
      </c>
      <c r="F528">
        <v>0</v>
      </c>
    </row>
    <row r="529" spans="1:6">
      <c r="A529" s="8">
        <v>44935</v>
      </c>
      <c r="B529" s="9" t="s">
        <v>996</v>
      </c>
      <c r="C529" t="s">
        <v>30</v>
      </c>
      <c r="D529" s="10" t="s">
        <v>632</v>
      </c>
      <c r="E529" t="s">
        <v>993</v>
      </c>
      <c r="F529">
        <v>0</v>
      </c>
    </row>
    <row r="530" spans="1:6">
      <c r="A530" s="8">
        <v>44935</v>
      </c>
      <c r="B530" s="9" t="s">
        <v>1306</v>
      </c>
      <c r="C530" t="s">
        <v>515</v>
      </c>
      <c r="D530" s="10" t="s">
        <v>632</v>
      </c>
      <c r="E530" t="s">
        <v>993</v>
      </c>
      <c r="F530">
        <v>0</v>
      </c>
    </row>
    <row r="531" spans="1:6">
      <c r="A531" s="11">
        <v>44935</v>
      </c>
      <c r="B531" s="9" t="s">
        <v>1306</v>
      </c>
      <c r="C531" t="s">
        <v>30</v>
      </c>
      <c r="D531" s="10" t="s">
        <v>632</v>
      </c>
      <c r="E531" t="s">
        <v>993</v>
      </c>
      <c r="F531">
        <v>0</v>
      </c>
    </row>
    <row r="532" spans="1:6">
      <c r="A532" s="11">
        <v>44935</v>
      </c>
      <c r="B532" s="9" t="s">
        <v>1302</v>
      </c>
      <c r="C532" t="s">
        <v>30</v>
      </c>
      <c r="D532" s="10" t="s">
        <v>632</v>
      </c>
      <c r="E532" t="s">
        <v>993</v>
      </c>
      <c r="F532">
        <v>0</v>
      </c>
    </row>
    <row r="533" spans="1:6">
      <c r="A533" s="11">
        <v>44936</v>
      </c>
      <c r="B533" s="9" t="s">
        <v>863</v>
      </c>
      <c r="C533" t="s">
        <v>133</v>
      </c>
      <c r="D533" s="10" t="s">
        <v>130</v>
      </c>
      <c r="E533" t="s">
        <v>569</v>
      </c>
      <c r="F533">
        <v>0</v>
      </c>
    </row>
    <row r="534" spans="1:6">
      <c r="A534" s="8">
        <v>44937</v>
      </c>
      <c r="B534" s="9" t="s">
        <v>1313</v>
      </c>
      <c r="C534" t="s">
        <v>65</v>
      </c>
      <c r="D534" s="10" t="s">
        <v>70</v>
      </c>
      <c r="E534" t="s">
        <v>1312</v>
      </c>
      <c r="F534">
        <v>0</v>
      </c>
    </row>
    <row r="535" spans="1:6">
      <c r="A535" s="8">
        <v>44939</v>
      </c>
      <c r="B535" s="9" t="s">
        <v>1315</v>
      </c>
      <c r="C535" t="s">
        <v>30</v>
      </c>
      <c r="D535" s="10" t="s">
        <v>632</v>
      </c>
      <c r="E535" t="s">
        <v>450</v>
      </c>
      <c r="F535">
        <v>0</v>
      </c>
    </row>
    <row r="536" spans="1:6">
      <c r="A536" s="8">
        <v>44943</v>
      </c>
      <c r="B536" s="9" t="s">
        <v>1318</v>
      </c>
      <c r="C536" t="s">
        <v>30</v>
      </c>
      <c r="D536" s="10" t="s">
        <v>632</v>
      </c>
      <c r="E536" t="s">
        <v>993</v>
      </c>
      <c r="F536">
        <v>0</v>
      </c>
    </row>
    <row r="537" spans="1:6">
      <c r="A537" s="8">
        <v>44944</v>
      </c>
      <c r="B537" s="9" t="s">
        <v>132</v>
      </c>
      <c r="C537" t="s">
        <v>133</v>
      </c>
      <c r="D537" s="10" t="s">
        <v>130</v>
      </c>
      <c r="E537" t="s">
        <v>208</v>
      </c>
      <c r="F537">
        <v>0</v>
      </c>
    </row>
    <row r="538" spans="1:6">
      <c r="A538" s="8">
        <v>44945</v>
      </c>
      <c r="B538" s="9" t="s">
        <v>863</v>
      </c>
      <c r="C538" t="s">
        <v>515</v>
      </c>
      <c r="D538" s="10" t="s">
        <v>632</v>
      </c>
      <c r="E538" t="s">
        <v>993</v>
      </c>
      <c r="F538">
        <v>500</v>
      </c>
    </row>
    <row r="539" spans="1:6">
      <c r="A539" s="8">
        <v>44953</v>
      </c>
      <c r="B539" s="9" t="s">
        <v>406</v>
      </c>
      <c r="C539" t="s">
        <v>515</v>
      </c>
      <c r="D539" s="10" t="s">
        <v>632</v>
      </c>
      <c r="E539" t="s">
        <v>450</v>
      </c>
      <c r="F539">
        <v>0</v>
      </c>
    </row>
    <row r="540" spans="1:6">
      <c r="A540" s="8">
        <v>44954</v>
      </c>
      <c r="B540" s="9" t="s">
        <v>708</v>
      </c>
      <c r="C540" t="s">
        <v>515</v>
      </c>
      <c r="D540" s="10" t="s">
        <v>632</v>
      </c>
      <c r="E540" t="s">
        <v>450</v>
      </c>
      <c r="F540">
        <v>0</v>
      </c>
    </row>
    <row r="541" spans="1:6">
      <c r="A541" s="8">
        <v>44954</v>
      </c>
      <c r="B541" s="9" t="s">
        <v>1328</v>
      </c>
      <c r="C541" t="s">
        <v>65</v>
      </c>
      <c r="D541" s="10" t="s">
        <v>70</v>
      </c>
      <c r="E541" t="s">
        <v>119</v>
      </c>
      <c r="F541">
        <v>0</v>
      </c>
    </row>
    <row r="542" spans="1:6">
      <c r="A542" s="11">
        <v>44955</v>
      </c>
      <c r="B542" s="9" t="s">
        <v>863</v>
      </c>
      <c r="C542" t="s">
        <v>30</v>
      </c>
      <c r="D542" s="10" t="s">
        <v>632</v>
      </c>
      <c r="E542" t="s">
        <v>450</v>
      </c>
      <c r="F542">
        <v>0</v>
      </c>
    </row>
    <row r="543" spans="1:6">
      <c r="A543" s="8">
        <v>44956</v>
      </c>
      <c r="B543" s="9" t="s">
        <v>179</v>
      </c>
      <c r="C543" t="s">
        <v>65</v>
      </c>
      <c r="D543" s="10" t="s">
        <v>70</v>
      </c>
      <c r="E543" t="s">
        <v>1333</v>
      </c>
      <c r="F543">
        <v>0</v>
      </c>
    </row>
    <row r="544" spans="1:6">
      <c r="A544" s="8">
        <v>44958</v>
      </c>
      <c r="B544" s="9" t="s">
        <v>1336</v>
      </c>
      <c r="C544" t="s">
        <v>515</v>
      </c>
      <c r="D544" s="10" t="s">
        <v>632</v>
      </c>
      <c r="E544" t="s">
        <v>450</v>
      </c>
      <c r="F544">
        <v>0</v>
      </c>
    </row>
    <row r="545" spans="1:6">
      <c r="A545" s="8">
        <v>44959</v>
      </c>
      <c r="B545" s="9" t="s">
        <v>495</v>
      </c>
      <c r="C545" t="s">
        <v>30</v>
      </c>
      <c r="D545" s="10" t="s">
        <v>632</v>
      </c>
      <c r="E545" t="s">
        <v>450</v>
      </c>
      <c r="F545">
        <v>0</v>
      </c>
    </row>
    <row r="546" spans="1:6">
      <c r="A546" s="8">
        <v>44960</v>
      </c>
      <c r="B546" s="9" t="s">
        <v>967</v>
      </c>
      <c r="C546" t="s">
        <v>968</v>
      </c>
      <c r="D546" s="10" t="s">
        <v>632</v>
      </c>
      <c r="E546" t="s">
        <v>450</v>
      </c>
      <c r="F546">
        <v>0</v>
      </c>
    </row>
    <row r="547" spans="1:6">
      <c r="A547" s="8">
        <v>44963</v>
      </c>
      <c r="B547" s="9" t="s">
        <v>1318</v>
      </c>
      <c r="C547" t="s">
        <v>30</v>
      </c>
      <c r="D547" s="10" t="s">
        <v>632</v>
      </c>
      <c r="E547" t="s">
        <v>993</v>
      </c>
      <c r="F547">
        <v>0</v>
      </c>
    </row>
    <row r="548" spans="1:6">
      <c r="A548" s="8">
        <v>44963</v>
      </c>
      <c r="B548" s="9" t="s">
        <v>1343</v>
      </c>
      <c r="C548" t="s">
        <v>65</v>
      </c>
      <c r="D548" s="10" t="s">
        <v>70</v>
      </c>
      <c r="E548" t="s">
        <v>1342</v>
      </c>
      <c r="F548">
        <v>0</v>
      </c>
    </row>
    <row r="549" spans="1:6">
      <c r="A549" s="11">
        <v>44964</v>
      </c>
      <c r="B549" s="9" t="s">
        <v>1351</v>
      </c>
      <c r="C549" t="s">
        <v>968</v>
      </c>
      <c r="D549" s="10" t="s">
        <v>632</v>
      </c>
      <c r="E549" t="s">
        <v>450</v>
      </c>
      <c r="F549">
        <v>0</v>
      </c>
    </row>
    <row r="550" spans="1:6">
      <c r="A550" s="8">
        <v>44964</v>
      </c>
      <c r="B550" s="9" t="s">
        <v>679</v>
      </c>
      <c r="C550" t="s">
        <v>515</v>
      </c>
      <c r="D550" s="10" t="s">
        <v>632</v>
      </c>
      <c r="E550" t="s">
        <v>450</v>
      </c>
      <c r="F550">
        <v>500</v>
      </c>
    </row>
    <row r="551" spans="1:6">
      <c r="A551" s="11">
        <v>44964</v>
      </c>
      <c r="B551" s="9" t="s">
        <v>679</v>
      </c>
      <c r="C551" t="s">
        <v>30</v>
      </c>
      <c r="D551" s="10" t="s">
        <v>632</v>
      </c>
      <c r="E551" t="s">
        <v>450</v>
      </c>
      <c r="F551">
        <v>0</v>
      </c>
    </row>
    <row r="552" spans="1:6">
      <c r="A552" s="11">
        <v>44967</v>
      </c>
      <c r="B552" s="9" t="s">
        <v>1355</v>
      </c>
      <c r="C552" t="s">
        <v>30</v>
      </c>
      <c r="D552" s="10" t="s">
        <v>632</v>
      </c>
      <c r="E552" t="s">
        <v>450</v>
      </c>
      <c r="F552">
        <v>0</v>
      </c>
    </row>
    <row r="553" spans="1:6">
      <c r="A553" s="8">
        <v>44973</v>
      </c>
      <c r="B553" s="9" t="s">
        <v>578</v>
      </c>
      <c r="C553" t="s">
        <v>515</v>
      </c>
      <c r="D553" s="10" t="s">
        <v>632</v>
      </c>
      <c r="E553" t="s">
        <v>450</v>
      </c>
      <c r="F553">
        <v>0</v>
      </c>
    </row>
    <row r="554" spans="1:6">
      <c r="A554" s="8">
        <v>44973</v>
      </c>
      <c r="B554" s="9" t="s">
        <v>578</v>
      </c>
      <c r="C554" t="s">
        <v>30</v>
      </c>
      <c r="D554" s="10" t="s">
        <v>632</v>
      </c>
      <c r="E554" t="s">
        <v>450</v>
      </c>
      <c r="F554">
        <v>0</v>
      </c>
    </row>
    <row r="555" spans="1:6">
      <c r="A555" s="11">
        <v>44974</v>
      </c>
      <c r="B555" s="9" t="s">
        <v>341</v>
      </c>
      <c r="C555" t="s">
        <v>65</v>
      </c>
      <c r="D555" s="10" t="s">
        <v>70</v>
      </c>
      <c r="E555" t="s">
        <v>246</v>
      </c>
      <c r="F555">
        <v>0</v>
      </c>
    </row>
    <row r="556" spans="1:6">
      <c r="A556" s="8">
        <v>44978</v>
      </c>
      <c r="B556" s="9" t="s">
        <v>1368</v>
      </c>
      <c r="C556" t="s">
        <v>968</v>
      </c>
      <c r="D556" s="10" t="s">
        <v>632</v>
      </c>
      <c r="E556" t="s">
        <v>450</v>
      </c>
      <c r="F556">
        <v>0</v>
      </c>
    </row>
    <row r="557" spans="1:6">
      <c r="A557" s="8">
        <v>44978</v>
      </c>
      <c r="B557" s="9" t="s">
        <v>1362</v>
      </c>
      <c r="C557" t="s">
        <v>515</v>
      </c>
      <c r="D557" s="10" t="s">
        <v>632</v>
      </c>
      <c r="E557" t="s">
        <v>450</v>
      </c>
      <c r="F557">
        <v>0</v>
      </c>
    </row>
    <row r="558" spans="1:6">
      <c r="A558" s="11">
        <v>44978</v>
      </c>
      <c r="B558" s="9" t="s">
        <v>1363</v>
      </c>
      <c r="C558" t="s">
        <v>30</v>
      </c>
      <c r="D558" s="10" t="s">
        <v>632</v>
      </c>
      <c r="E558" t="s">
        <v>450</v>
      </c>
      <c r="F558">
        <v>0</v>
      </c>
    </row>
    <row r="559" spans="1:6">
      <c r="A559" s="11">
        <v>44978</v>
      </c>
      <c r="B559" s="9" t="s">
        <v>495</v>
      </c>
      <c r="C559" t="s">
        <v>30</v>
      </c>
      <c r="D559" s="10" t="s">
        <v>632</v>
      </c>
      <c r="E559" t="s">
        <v>450</v>
      </c>
      <c r="F559">
        <v>0</v>
      </c>
    </row>
    <row r="560" spans="1:6">
      <c r="A560" s="11">
        <v>44979</v>
      </c>
      <c r="B560" s="9" t="s">
        <v>1382</v>
      </c>
      <c r="C560" t="s">
        <v>133</v>
      </c>
      <c r="D560" s="10" t="s">
        <v>130</v>
      </c>
      <c r="E560" t="s">
        <v>456</v>
      </c>
      <c r="F560">
        <v>15800</v>
      </c>
    </row>
    <row r="561" spans="1:6">
      <c r="A561" s="8">
        <v>44979</v>
      </c>
      <c r="B561" s="9" t="s">
        <v>1385</v>
      </c>
      <c r="C561" t="s">
        <v>968</v>
      </c>
      <c r="D561" s="10" t="s">
        <v>632</v>
      </c>
      <c r="E561" t="s">
        <v>450</v>
      </c>
      <c r="F561">
        <v>0</v>
      </c>
    </row>
    <row r="562" spans="1:6">
      <c r="A562" s="11">
        <v>44979</v>
      </c>
      <c r="B562" s="9" t="s">
        <v>863</v>
      </c>
      <c r="C562" t="s">
        <v>133</v>
      </c>
      <c r="D562" s="10" t="s">
        <v>130</v>
      </c>
      <c r="E562" t="s">
        <v>1372</v>
      </c>
      <c r="F562">
        <v>0</v>
      </c>
    </row>
    <row r="563" spans="1:6">
      <c r="A563" s="11">
        <v>44980</v>
      </c>
      <c r="B563" s="9" t="s">
        <v>1391</v>
      </c>
      <c r="C563" t="s">
        <v>968</v>
      </c>
      <c r="D563" s="10" t="s">
        <v>632</v>
      </c>
      <c r="E563" t="s">
        <v>450</v>
      </c>
      <c r="F563">
        <v>3400</v>
      </c>
    </row>
    <row r="564" spans="1:6">
      <c r="A564" s="8">
        <v>44980</v>
      </c>
      <c r="B564" s="9" t="s">
        <v>1388</v>
      </c>
      <c r="C564" t="s">
        <v>968</v>
      </c>
      <c r="D564" s="10" t="s">
        <v>632</v>
      </c>
      <c r="E564" t="s">
        <v>450</v>
      </c>
      <c r="F564">
        <v>0</v>
      </c>
    </row>
    <row r="565" spans="1:6">
      <c r="A565" s="11">
        <v>44984</v>
      </c>
      <c r="B565" s="9" t="s">
        <v>1336</v>
      </c>
      <c r="C565" t="s">
        <v>30</v>
      </c>
      <c r="D565" s="10" t="s">
        <v>632</v>
      </c>
      <c r="E565" t="s">
        <v>450</v>
      </c>
      <c r="F565">
        <v>0</v>
      </c>
    </row>
    <row r="566" spans="1:6">
      <c r="A566" s="8">
        <v>44985</v>
      </c>
      <c r="B566" s="9" t="s">
        <v>1302</v>
      </c>
      <c r="C566" t="s">
        <v>30</v>
      </c>
      <c r="D566" s="10" t="s">
        <v>632</v>
      </c>
      <c r="E566" t="s">
        <v>450</v>
      </c>
      <c r="F566">
        <v>0</v>
      </c>
    </row>
    <row r="567" spans="1:6">
      <c r="A567" s="8">
        <v>44987</v>
      </c>
      <c r="B567" s="9" t="s">
        <v>967</v>
      </c>
      <c r="C567" t="s">
        <v>968</v>
      </c>
      <c r="D567" s="10" t="s">
        <v>632</v>
      </c>
      <c r="E567" t="s">
        <v>450</v>
      </c>
      <c r="F567">
        <v>1000</v>
      </c>
    </row>
    <row r="568" spans="1:6">
      <c r="A568" s="8">
        <v>44987</v>
      </c>
      <c r="B568" s="9" t="s">
        <v>842</v>
      </c>
      <c r="C568" t="s">
        <v>968</v>
      </c>
      <c r="D568" s="10" t="s">
        <v>632</v>
      </c>
      <c r="E568" t="s">
        <v>450</v>
      </c>
      <c r="F568">
        <v>0</v>
      </c>
    </row>
    <row r="569" spans="1:6">
      <c r="A569" s="11">
        <v>44988</v>
      </c>
      <c r="B569" s="9" t="s">
        <v>286</v>
      </c>
      <c r="C569" t="s">
        <v>65</v>
      </c>
      <c r="D569" s="10" t="s">
        <v>70</v>
      </c>
      <c r="E569" t="s">
        <v>1405</v>
      </c>
      <c r="F569">
        <v>0</v>
      </c>
    </row>
    <row r="570" spans="1:6">
      <c r="A570" s="8">
        <v>44989</v>
      </c>
      <c r="B570" s="9" t="s">
        <v>1408</v>
      </c>
      <c r="C570" t="s">
        <v>65</v>
      </c>
      <c r="D570" s="10" t="s">
        <v>70</v>
      </c>
      <c r="E570" t="s">
        <v>1407</v>
      </c>
      <c r="F570">
        <v>0</v>
      </c>
    </row>
    <row r="571" spans="1:6">
      <c r="A571" s="8">
        <v>44991</v>
      </c>
      <c r="B571" s="9" t="s">
        <v>1419</v>
      </c>
      <c r="C571" t="s">
        <v>30</v>
      </c>
      <c r="D571" s="10" t="s">
        <v>632</v>
      </c>
      <c r="E571" t="s">
        <v>450</v>
      </c>
      <c r="F571">
        <v>0</v>
      </c>
    </row>
    <row r="572" spans="1:6">
      <c r="A572" s="8">
        <v>44991</v>
      </c>
      <c r="B572" s="9" t="s">
        <v>1422</v>
      </c>
      <c r="C572" t="s">
        <v>515</v>
      </c>
      <c r="D572" s="10" t="s">
        <v>632</v>
      </c>
      <c r="E572" t="s">
        <v>450</v>
      </c>
      <c r="F572">
        <v>0</v>
      </c>
    </row>
    <row r="573" spans="1:6">
      <c r="A573" s="11">
        <v>44991</v>
      </c>
      <c r="B573" s="9" t="s">
        <v>1422</v>
      </c>
      <c r="C573" t="s">
        <v>30</v>
      </c>
      <c r="D573" s="10" t="s">
        <v>632</v>
      </c>
      <c r="E573" t="s">
        <v>450</v>
      </c>
      <c r="F573">
        <v>0</v>
      </c>
    </row>
    <row r="574" spans="1:6">
      <c r="A574" s="11">
        <v>44991</v>
      </c>
      <c r="B574" s="9" t="s">
        <v>1413</v>
      </c>
      <c r="C574" t="s">
        <v>515</v>
      </c>
      <c r="D574" s="10" t="s">
        <v>632</v>
      </c>
      <c r="E574" t="s">
        <v>993</v>
      </c>
      <c r="F574">
        <v>1000</v>
      </c>
    </row>
    <row r="575" spans="1:6">
      <c r="A575" s="11">
        <v>44992</v>
      </c>
      <c r="B575" s="9" t="s">
        <v>1426</v>
      </c>
      <c r="C575" t="s">
        <v>515</v>
      </c>
      <c r="D575" s="10" t="s">
        <v>632</v>
      </c>
      <c r="E575" t="s">
        <v>450</v>
      </c>
      <c r="F575">
        <v>0</v>
      </c>
    </row>
    <row r="576" spans="1:6">
      <c r="A576" s="8">
        <v>44992</v>
      </c>
      <c r="B576" s="9" t="s">
        <v>1426</v>
      </c>
      <c r="C576" t="s">
        <v>30</v>
      </c>
      <c r="D576" s="10" t="s">
        <v>632</v>
      </c>
      <c r="E576" t="s">
        <v>450</v>
      </c>
      <c r="F576">
        <v>0</v>
      </c>
    </row>
    <row r="577" spans="1:6">
      <c r="A577" s="11">
        <v>44992</v>
      </c>
      <c r="B577" s="9" t="s">
        <v>1430</v>
      </c>
      <c r="C577" t="s">
        <v>30</v>
      </c>
      <c r="D577" s="10" t="s">
        <v>632</v>
      </c>
      <c r="E577" t="s">
        <v>450</v>
      </c>
      <c r="F577">
        <v>0</v>
      </c>
    </row>
    <row r="578" spans="1:6">
      <c r="A578" s="11">
        <v>44994</v>
      </c>
      <c r="B578" s="9" t="s">
        <v>1436</v>
      </c>
      <c r="C578" t="s">
        <v>968</v>
      </c>
      <c r="D578" s="10" t="s">
        <v>632</v>
      </c>
      <c r="E578" t="s">
        <v>450</v>
      </c>
      <c r="F578">
        <v>0</v>
      </c>
    </row>
    <row r="579" spans="1:6">
      <c r="A579" s="8">
        <v>44994</v>
      </c>
      <c r="B579" s="9" t="s">
        <v>863</v>
      </c>
      <c r="C579" t="s">
        <v>515</v>
      </c>
      <c r="D579" s="10" t="s">
        <v>632</v>
      </c>
      <c r="E579" t="s">
        <v>450</v>
      </c>
      <c r="F579">
        <v>500</v>
      </c>
    </row>
    <row r="580" spans="1:6">
      <c r="A580" s="11">
        <v>44996</v>
      </c>
      <c r="B580" s="9" t="s">
        <v>867</v>
      </c>
      <c r="C580" t="s">
        <v>30</v>
      </c>
      <c r="D580" s="10" t="s">
        <v>632</v>
      </c>
      <c r="E580" t="s">
        <v>450</v>
      </c>
      <c r="F580">
        <v>0</v>
      </c>
    </row>
    <row r="581" spans="1:6">
      <c r="A581" s="8">
        <v>44998</v>
      </c>
      <c r="B581" s="9" t="s">
        <v>1413</v>
      </c>
      <c r="C581" t="s">
        <v>30</v>
      </c>
      <c r="D581" s="10" t="s">
        <v>632</v>
      </c>
      <c r="E581" t="s">
        <v>450</v>
      </c>
      <c r="F581">
        <v>0</v>
      </c>
    </row>
    <row r="582" spans="1:6">
      <c r="A582" s="8">
        <v>44999</v>
      </c>
      <c r="B582" s="9" t="s">
        <v>1444</v>
      </c>
      <c r="C582" t="s">
        <v>30</v>
      </c>
      <c r="D582" s="10" t="s">
        <v>632</v>
      </c>
      <c r="E582" t="s">
        <v>450</v>
      </c>
      <c r="F582">
        <v>0</v>
      </c>
    </row>
    <row r="583" spans="1:6">
      <c r="A583" s="8">
        <v>44999</v>
      </c>
      <c r="B583" s="9" t="s">
        <v>863</v>
      </c>
      <c r="C583" t="s">
        <v>30</v>
      </c>
      <c r="D583" s="10" t="s">
        <v>632</v>
      </c>
      <c r="E583" t="s">
        <v>450</v>
      </c>
      <c r="F583">
        <v>0</v>
      </c>
    </row>
    <row r="584" spans="1:6">
      <c r="A584" s="11">
        <v>45002</v>
      </c>
      <c r="B584" s="9" t="s">
        <v>996</v>
      </c>
      <c r="C584" t="s">
        <v>133</v>
      </c>
      <c r="D584" s="10" t="s">
        <v>632</v>
      </c>
      <c r="E584" t="s">
        <v>239</v>
      </c>
      <c r="F584">
        <v>0</v>
      </c>
    </row>
    <row r="585" spans="1:6">
      <c r="A585" s="8">
        <v>45006</v>
      </c>
      <c r="B585" s="9" t="s">
        <v>495</v>
      </c>
      <c r="C585" t="s">
        <v>30</v>
      </c>
      <c r="D585" s="10" t="s">
        <v>632</v>
      </c>
      <c r="E585" t="s">
        <v>450</v>
      </c>
      <c r="F585">
        <v>0</v>
      </c>
    </row>
    <row r="586" spans="1:6">
      <c r="A586" s="8">
        <v>45009</v>
      </c>
      <c r="B586" s="9" t="s">
        <v>1450</v>
      </c>
      <c r="C586" t="s">
        <v>515</v>
      </c>
      <c r="D586" s="10" t="s">
        <v>632</v>
      </c>
      <c r="E586" t="s">
        <v>450</v>
      </c>
      <c r="F586">
        <v>0</v>
      </c>
    </row>
    <row r="587" spans="1:6">
      <c r="A587" s="8">
        <v>45009</v>
      </c>
      <c r="B587" s="9" t="s">
        <v>1450</v>
      </c>
      <c r="C587" t="s">
        <v>30</v>
      </c>
      <c r="D587" s="10" t="s">
        <v>632</v>
      </c>
      <c r="E587" t="s">
        <v>450</v>
      </c>
      <c r="F587">
        <v>0</v>
      </c>
    </row>
    <row r="588" spans="1:6">
      <c r="A588" s="11">
        <v>45012</v>
      </c>
      <c r="B588" s="9" t="s">
        <v>863</v>
      </c>
      <c r="C588" t="s">
        <v>133</v>
      </c>
      <c r="D588" s="10" t="s">
        <v>130</v>
      </c>
      <c r="E588" t="s">
        <v>1372</v>
      </c>
      <c r="F588">
        <v>0</v>
      </c>
    </row>
    <row r="589" spans="1:6">
      <c r="A589" s="8">
        <v>45012</v>
      </c>
      <c r="B589" s="9" t="s">
        <v>851</v>
      </c>
      <c r="C589" t="s">
        <v>30</v>
      </c>
      <c r="D589" s="10" t="s">
        <v>632</v>
      </c>
      <c r="E589" t="s">
        <v>450</v>
      </c>
      <c r="F589">
        <v>0</v>
      </c>
    </row>
    <row r="590" spans="1:6">
      <c r="A590" s="11">
        <v>45013</v>
      </c>
      <c r="B590" s="9" t="s">
        <v>1460</v>
      </c>
      <c r="C590" t="s">
        <v>30</v>
      </c>
      <c r="D590" s="10" t="s">
        <v>130</v>
      </c>
      <c r="E590" t="s">
        <v>450</v>
      </c>
      <c r="F590">
        <v>0</v>
      </c>
    </row>
    <row r="591" spans="1:6">
      <c r="A591" s="8">
        <v>45014</v>
      </c>
      <c r="B591" s="9" t="s">
        <v>867</v>
      </c>
      <c r="C591" t="s">
        <v>30</v>
      </c>
      <c r="D591" s="10" t="s">
        <v>632</v>
      </c>
      <c r="E591" t="s">
        <v>450</v>
      </c>
      <c r="F591">
        <v>0</v>
      </c>
    </row>
    <row r="592" spans="1:6">
      <c r="A592" s="8">
        <v>45016</v>
      </c>
      <c r="B592" s="9" t="s">
        <v>1430</v>
      </c>
      <c r="C592" t="s">
        <v>133</v>
      </c>
      <c r="D592" s="10" t="s">
        <v>130</v>
      </c>
      <c r="E592" t="s">
        <v>1465</v>
      </c>
      <c r="F592">
        <v>20</v>
      </c>
    </row>
    <row r="593" spans="1:6">
      <c r="A593" s="8">
        <v>45019</v>
      </c>
      <c r="B593" s="9" t="s">
        <v>863</v>
      </c>
      <c r="C593" t="s">
        <v>30</v>
      </c>
      <c r="D593" s="10" t="s">
        <v>632</v>
      </c>
      <c r="E593" t="s">
        <v>450</v>
      </c>
      <c r="F593">
        <v>0</v>
      </c>
    </row>
    <row r="594" spans="1:6">
      <c r="A594" s="8">
        <v>45023</v>
      </c>
      <c r="B594" s="9" t="s">
        <v>863</v>
      </c>
      <c r="C594" t="s">
        <v>133</v>
      </c>
      <c r="D594" s="10" t="s">
        <v>130</v>
      </c>
      <c r="E594" t="s">
        <v>1372</v>
      </c>
      <c r="F594">
        <v>0</v>
      </c>
    </row>
    <row r="595" spans="1:6">
      <c r="A595" s="8">
        <v>45028</v>
      </c>
      <c r="B595" s="9" t="s">
        <v>967</v>
      </c>
      <c r="C595" t="s">
        <v>836</v>
      </c>
      <c r="D595" s="10" t="s">
        <v>632</v>
      </c>
      <c r="E595" t="s">
        <v>450</v>
      </c>
      <c r="F595">
        <v>4160</v>
      </c>
    </row>
    <row r="596" spans="1:6">
      <c r="A596" s="8">
        <v>45028</v>
      </c>
      <c r="B596" s="9" t="s">
        <v>1473</v>
      </c>
      <c r="C596" t="s">
        <v>30</v>
      </c>
      <c r="D596" s="10" t="s">
        <v>632</v>
      </c>
      <c r="E596" t="s">
        <v>450</v>
      </c>
      <c r="F596">
        <v>0</v>
      </c>
    </row>
    <row r="597" spans="1:6">
      <c r="A597" s="11">
        <v>45028</v>
      </c>
      <c r="B597" s="9" t="s">
        <v>315</v>
      </c>
      <c r="C597" t="s">
        <v>30</v>
      </c>
      <c r="D597" s="10" t="s">
        <v>632</v>
      </c>
      <c r="E597" t="s">
        <v>450</v>
      </c>
      <c r="F597">
        <v>0</v>
      </c>
    </row>
    <row r="598" spans="1:6">
      <c r="A598" s="11">
        <v>45030</v>
      </c>
      <c r="B598" s="9" t="s">
        <v>323</v>
      </c>
      <c r="C598" t="s">
        <v>30</v>
      </c>
      <c r="D598" s="10" t="s">
        <v>632</v>
      </c>
      <c r="E598" t="s">
        <v>450</v>
      </c>
      <c r="F598">
        <v>0</v>
      </c>
    </row>
    <row r="599" spans="1:6">
      <c r="A599" s="8">
        <v>45030</v>
      </c>
      <c r="B599" s="9" t="s">
        <v>1482</v>
      </c>
      <c r="C599" t="s">
        <v>30</v>
      </c>
      <c r="D599" s="10" t="s">
        <v>632</v>
      </c>
      <c r="E599" t="s">
        <v>450</v>
      </c>
      <c r="F599">
        <v>0</v>
      </c>
    </row>
    <row r="600" spans="1:6">
      <c r="A600" s="11">
        <v>45033</v>
      </c>
      <c r="B600" s="9" t="s">
        <v>1487</v>
      </c>
      <c r="C600" t="s">
        <v>30</v>
      </c>
      <c r="D600" s="10" t="s">
        <v>632</v>
      </c>
      <c r="E600" t="s">
        <v>450</v>
      </c>
      <c r="F600">
        <v>0</v>
      </c>
    </row>
    <row r="601" spans="1:6">
      <c r="A601" s="8">
        <v>45034</v>
      </c>
      <c r="B601" s="9" t="s">
        <v>1490</v>
      </c>
      <c r="C601" t="s">
        <v>30</v>
      </c>
      <c r="D601" s="10" t="s">
        <v>632</v>
      </c>
      <c r="E601" t="s">
        <v>450</v>
      </c>
      <c r="F601">
        <v>0</v>
      </c>
    </row>
    <row r="602" spans="1:6">
      <c r="A602" s="8">
        <v>45035</v>
      </c>
      <c r="B602" s="9" t="s">
        <v>801</v>
      </c>
      <c r="C602" t="s">
        <v>836</v>
      </c>
      <c r="D602" s="10" t="s">
        <v>130</v>
      </c>
      <c r="E602" t="s">
        <v>456</v>
      </c>
      <c r="F602">
        <v>0</v>
      </c>
    </row>
    <row r="603" spans="1:6">
      <c r="A603" s="8">
        <v>45035</v>
      </c>
      <c r="B603" s="9" t="s">
        <v>863</v>
      </c>
      <c r="C603" t="s">
        <v>133</v>
      </c>
      <c r="D603" s="10" t="s">
        <v>130</v>
      </c>
      <c r="E603" t="s">
        <v>1372</v>
      </c>
      <c r="F603">
        <v>0</v>
      </c>
    </row>
    <row r="604" spans="1:6">
      <c r="A604" s="11">
        <v>45040</v>
      </c>
      <c r="B604" s="9" t="s">
        <v>1508</v>
      </c>
      <c r="C604" t="s">
        <v>515</v>
      </c>
      <c r="D604" s="10" t="s">
        <v>632</v>
      </c>
      <c r="E604" t="s">
        <v>450</v>
      </c>
      <c r="F604">
        <v>30</v>
      </c>
    </row>
    <row r="605" spans="1:6">
      <c r="A605" s="8">
        <v>45040</v>
      </c>
      <c r="B605" s="9" t="s">
        <v>1505</v>
      </c>
      <c r="C605" t="s">
        <v>30</v>
      </c>
      <c r="D605" s="10" t="s">
        <v>632</v>
      </c>
      <c r="E605" t="s">
        <v>450</v>
      </c>
      <c r="F605">
        <v>0</v>
      </c>
    </row>
    <row r="606" spans="1:6">
      <c r="A606" s="11">
        <v>45040</v>
      </c>
      <c r="B606" s="9" t="s">
        <v>1487</v>
      </c>
      <c r="C606" t="s">
        <v>30</v>
      </c>
      <c r="D606" s="10" t="s">
        <v>632</v>
      </c>
      <c r="E606" t="s">
        <v>993</v>
      </c>
      <c r="F606">
        <v>0</v>
      </c>
    </row>
    <row r="607" spans="1:6">
      <c r="A607" s="11">
        <v>45040</v>
      </c>
      <c r="B607" s="9" t="s">
        <v>1501</v>
      </c>
      <c r="C607" t="s">
        <v>515</v>
      </c>
      <c r="D607" s="10" t="s">
        <v>632</v>
      </c>
      <c r="E607" t="s">
        <v>450</v>
      </c>
      <c r="F607">
        <v>200</v>
      </c>
    </row>
    <row r="608" spans="1:6">
      <c r="A608" s="11">
        <v>45040</v>
      </c>
      <c r="B608" s="9" t="s">
        <v>1501</v>
      </c>
      <c r="C608" t="s">
        <v>30</v>
      </c>
      <c r="D608" s="10" t="s">
        <v>632</v>
      </c>
      <c r="E608" t="s">
        <v>450</v>
      </c>
      <c r="F608">
        <v>0</v>
      </c>
    </row>
    <row r="609" spans="1:6">
      <c r="A609" s="11">
        <v>45040</v>
      </c>
      <c r="B609" s="9" t="s">
        <v>1511</v>
      </c>
      <c r="C609" t="s">
        <v>968</v>
      </c>
      <c r="D609" s="10" t="s">
        <v>632</v>
      </c>
      <c r="E609" t="s">
        <v>450</v>
      </c>
      <c r="F609">
        <v>3500</v>
      </c>
    </row>
    <row r="610" spans="1:6">
      <c r="A610" s="11">
        <v>45052</v>
      </c>
      <c r="B610" s="9" t="s">
        <v>1150</v>
      </c>
      <c r="C610" t="s">
        <v>65</v>
      </c>
      <c r="D610" s="10" t="s">
        <v>70</v>
      </c>
      <c r="E610" t="s">
        <v>1515</v>
      </c>
      <c r="F610">
        <v>0</v>
      </c>
    </row>
    <row r="611" spans="1:6">
      <c r="A611" s="8">
        <v>45056</v>
      </c>
      <c r="B611" s="9" t="s">
        <v>863</v>
      </c>
      <c r="C611" t="s">
        <v>133</v>
      </c>
      <c r="D611" s="10" t="s">
        <v>130</v>
      </c>
      <c r="E611" t="s">
        <v>1372</v>
      </c>
      <c r="F611">
        <v>0</v>
      </c>
    </row>
    <row r="612" spans="1:6">
      <c r="A612" s="8">
        <v>45057</v>
      </c>
      <c r="B612" s="9" t="s">
        <v>1519</v>
      </c>
      <c r="C612" t="s">
        <v>968</v>
      </c>
      <c r="D612" s="10" t="s">
        <v>632</v>
      </c>
      <c r="E612" t="s">
        <v>450</v>
      </c>
      <c r="F612">
        <v>0</v>
      </c>
    </row>
    <row r="613" spans="1:6">
      <c r="A613" s="8">
        <v>45058</v>
      </c>
      <c r="B613" s="9" t="s">
        <v>1522</v>
      </c>
      <c r="C613" t="s">
        <v>941</v>
      </c>
      <c r="D613" s="10" t="s">
        <v>70</v>
      </c>
      <c r="E613" t="s">
        <v>239</v>
      </c>
      <c r="F613">
        <v>32300</v>
      </c>
    </row>
    <row r="614" spans="1:6">
      <c r="A614" s="8">
        <v>45058</v>
      </c>
      <c r="B614" s="9" t="s">
        <v>612</v>
      </c>
      <c r="C614" t="s">
        <v>65</v>
      </c>
      <c r="D614" s="10" t="s">
        <v>70</v>
      </c>
      <c r="E614" t="s">
        <v>149</v>
      </c>
      <c r="F614">
        <v>0</v>
      </c>
    </row>
    <row r="615" spans="1:6">
      <c r="A615" s="11">
        <v>45062</v>
      </c>
      <c r="B615" s="9" t="s">
        <v>1527</v>
      </c>
      <c r="C615" t="s">
        <v>30</v>
      </c>
      <c r="D615" s="10" t="s">
        <v>632</v>
      </c>
      <c r="E615" t="s">
        <v>993</v>
      </c>
      <c r="F615">
        <v>0</v>
      </c>
    </row>
    <row r="616" spans="1:6">
      <c r="A616" s="8">
        <v>45065</v>
      </c>
      <c r="B616" s="9" t="s">
        <v>215</v>
      </c>
      <c r="C616" t="s">
        <v>30</v>
      </c>
      <c r="D616" s="10" t="s">
        <v>632</v>
      </c>
      <c r="E616" t="s">
        <v>450</v>
      </c>
      <c r="F616">
        <v>0</v>
      </c>
    </row>
    <row r="617" spans="1:6">
      <c r="A617" s="8">
        <v>45068</v>
      </c>
      <c r="B617" s="9" t="s">
        <v>1005</v>
      </c>
      <c r="C617" t="s">
        <v>30</v>
      </c>
      <c r="D617" s="10" t="s">
        <v>632</v>
      </c>
      <c r="E617" t="s">
        <v>993</v>
      </c>
      <c r="F617">
        <v>0</v>
      </c>
    </row>
    <row r="618" spans="1:6">
      <c r="A618" s="8">
        <v>45068</v>
      </c>
      <c r="B618" s="9" t="s">
        <v>115</v>
      </c>
      <c r="C618" t="s">
        <v>30</v>
      </c>
      <c r="D618" s="10" t="s">
        <v>632</v>
      </c>
      <c r="E618" t="s">
        <v>993</v>
      </c>
      <c r="F618">
        <v>0</v>
      </c>
    </row>
    <row r="619" spans="1:6">
      <c r="A619" s="11">
        <v>45070</v>
      </c>
      <c r="B619" s="9" t="s">
        <v>1537</v>
      </c>
      <c r="C619" t="s">
        <v>30</v>
      </c>
      <c r="D619" s="10" t="s">
        <v>632</v>
      </c>
      <c r="E619" t="s">
        <v>450</v>
      </c>
      <c r="F619">
        <v>0</v>
      </c>
    </row>
    <row r="620" spans="1:6">
      <c r="A620" s="8">
        <v>45077</v>
      </c>
      <c r="B620" s="9" t="s">
        <v>1541</v>
      </c>
      <c r="C620" t="s">
        <v>30</v>
      </c>
      <c r="D620" s="10" t="s">
        <v>632</v>
      </c>
      <c r="E620" t="s">
        <v>993</v>
      </c>
      <c r="F620">
        <v>0</v>
      </c>
    </row>
    <row r="621" spans="1:6">
      <c r="A621" s="8">
        <v>45086</v>
      </c>
      <c r="B621" s="9" t="s">
        <v>1505</v>
      </c>
      <c r="C621" t="s">
        <v>30</v>
      </c>
      <c r="D621" s="10" t="s">
        <v>632</v>
      </c>
      <c r="E621" t="s">
        <v>450</v>
      </c>
      <c r="F621">
        <v>0</v>
      </c>
    </row>
    <row r="622" spans="1:6">
      <c r="A622" s="8">
        <v>45087</v>
      </c>
      <c r="B622" s="9" t="s">
        <v>1547</v>
      </c>
      <c r="C622" t="s">
        <v>515</v>
      </c>
      <c r="D622" s="10" t="s">
        <v>632</v>
      </c>
      <c r="E622" t="s">
        <v>450</v>
      </c>
      <c r="F622">
        <v>200</v>
      </c>
    </row>
    <row r="623" spans="1:6">
      <c r="A623" s="8">
        <v>45087</v>
      </c>
      <c r="B623" s="9" t="s">
        <v>1547</v>
      </c>
      <c r="C623" t="s">
        <v>30</v>
      </c>
      <c r="D623" s="10" t="s">
        <v>632</v>
      </c>
      <c r="E623" t="s">
        <v>450</v>
      </c>
      <c r="F623">
        <v>0</v>
      </c>
    </row>
    <row r="624" spans="1:6">
      <c r="A624" s="11">
        <v>45090</v>
      </c>
      <c r="B624" s="9" t="s">
        <v>1551</v>
      </c>
      <c r="C624" t="s">
        <v>30</v>
      </c>
      <c r="D624" s="10" t="s">
        <v>632</v>
      </c>
      <c r="E624" t="s">
        <v>450</v>
      </c>
      <c r="F624">
        <v>0</v>
      </c>
    </row>
    <row r="625" spans="1:6">
      <c r="A625" s="8">
        <v>45092</v>
      </c>
      <c r="B625" s="9" t="s">
        <v>325</v>
      </c>
      <c r="C625" t="s">
        <v>30</v>
      </c>
      <c r="D625" s="10" t="s">
        <v>632</v>
      </c>
      <c r="E625" t="s">
        <v>450</v>
      </c>
      <c r="F625">
        <v>1000</v>
      </c>
    </row>
    <row r="626" spans="1:6">
      <c r="A626" s="8">
        <v>45092</v>
      </c>
      <c r="B626" s="9" t="s">
        <v>1556</v>
      </c>
      <c r="C626" t="s">
        <v>515</v>
      </c>
      <c r="D626" s="10" t="s">
        <v>632</v>
      </c>
      <c r="E626" t="s">
        <v>450</v>
      </c>
      <c r="F626">
        <v>220</v>
      </c>
    </row>
    <row r="627" spans="1:6">
      <c r="A627" s="11">
        <v>45092</v>
      </c>
      <c r="B627" s="9" t="s">
        <v>1556</v>
      </c>
      <c r="C627" t="s">
        <v>30</v>
      </c>
      <c r="D627" s="10" t="s">
        <v>632</v>
      </c>
      <c r="E627" t="s">
        <v>450</v>
      </c>
      <c r="F627">
        <v>0</v>
      </c>
    </row>
    <row r="628" spans="1:6">
      <c r="A628" s="11">
        <v>45098</v>
      </c>
      <c r="B628" s="9" t="s">
        <v>912</v>
      </c>
      <c r="C628" t="s">
        <v>515</v>
      </c>
      <c r="D628" s="10" t="s">
        <v>632</v>
      </c>
      <c r="E628" t="s">
        <v>450</v>
      </c>
      <c r="F628">
        <v>200</v>
      </c>
    </row>
    <row r="629" spans="1:6">
      <c r="A629" s="8">
        <v>45098</v>
      </c>
      <c r="B629" s="9" t="s">
        <v>912</v>
      </c>
      <c r="C629" t="s">
        <v>30</v>
      </c>
      <c r="D629" s="10" t="s">
        <v>632</v>
      </c>
      <c r="E629" t="s">
        <v>450</v>
      </c>
      <c r="F629">
        <v>0</v>
      </c>
    </row>
    <row r="630" spans="1:6">
      <c r="A630" s="11">
        <v>45098</v>
      </c>
      <c r="B630" s="9" t="s">
        <v>578</v>
      </c>
      <c r="C630" t="s">
        <v>65</v>
      </c>
      <c r="D630" s="10" t="s">
        <v>70</v>
      </c>
      <c r="E630" t="s">
        <v>1563</v>
      </c>
      <c r="F630">
        <v>10000</v>
      </c>
    </row>
    <row r="631" spans="1:6">
      <c r="A631" s="11">
        <v>45103</v>
      </c>
      <c r="B631" s="9" t="s">
        <v>1569</v>
      </c>
      <c r="C631" t="s">
        <v>30</v>
      </c>
      <c r="D631" s="10" t="s">
        <v>632</v>
      </c>
      <c r="E631" t="s">
        <v>450</v>
      </c>
      <c r="F631">
        <v>0</v>
      </c>
    </row>
    <row r="632" spans="1:6">
      <c r="A632" s="8">
        <v>45103</v>
      </c>
      <c r="B632" s="9" t="s">
        <v>1505</v>
      </c>
      <c r="C632" t="s">
        <v>30</v>
      </c>
      <c r="D632" s="10" t="s">
        <v>632</v>
      </c>
      <c r="E632" t="s">
        <v>450</v>
      </c>
      <c r="F632">
        <v>0</v>
      </c>
    </row>
    <row r="633" spans="1:6">
      <c r="A633" s="11">
        <v>45105</v>
      </c>
      <c r="B633" s="9" t="s">
        <v>605</v>
      </c>
      <c r="C633" t="s">
        <v>65</v>
      </c>
      <c r="D633" s="10" t="s">
        <v>70</v>
      </c>
      <c r="E633" t="s">
        <v>434</v>
      </c>
      <c r="F633">
        <v>0</v>
      </c>
    </row>
    <row r="634" spans="1:6">
      <c r="A634" s="8">
        <v>45109</v>
      </c>
      <c r="B634" s="9" t="s">
        <v>188</v>
      </c>
      <c r="C634" t="s">
        <v>30</v>
      </c>
      <c r="D634" s="10" t="s">
        <v>632</v>
      </c>
      <c r="E634" t="s">
        <v>450</v>
      </c>
      <c r="F634">
        <v>0</v>
      </c>
    </row>
    <row r="635" spans="1:6">
      <c r="A635" s="8">
        <v>45112</v>
      </c>
      <c r="B635" s="9" t="s">
        <v>665</v>
      </c>
      <c r="C635" t="s">
        <v>30</v>
      </c>
      <c r="D635" s="10" t="s">
        <v>632</v>
      </c>
      <c r="E635" t="s">
        <v>993</v>
      </c>
      <c r="F635">
        <v>0</v>
      </c>
    </row>
    <row r="636" spans="1:6">
      <c r="A636" s="8">
        <v>45112</v>
      </c>
      <c r="B636" s="9" t="s">
        <v>1290</v>
      </c>
      <c r="C636" t="s">
        <v>515</v>
      </c>
      <c r="D636" s="10" t="s">
        <v>632</v>
      </c>
      <c r="E636" t="s">
        <v>993</v>
      </c>
      <c r="F636">
        <v>500</v>
      </c>
    </row>
    <row r="637" spans="1:6">
      <c r="A637" s="11">
        <v>45114</v>
      </c>
      <c r="B637" s="9" t="s">
        <v>325</v>
      </c>
      <c r="C637" t="s">
        <v>30</v>
      </c>
      <c r="D637" s="10" t="s">
        <v>632</v>
      </c>
      <c r="E637" t="s">
        <v>450</v>
      </c>
      <c r="F637">
        <v>0</v>
      </c>
    </row>
    <row r="638" spans="1:6">
      <c r="A638" s="8">
        <v>45114</v>
      </c>
      <c r="B638" s="9" t="s">
        <v>1259</v>
      </c>
      <c r="C638" t="s">
        <v>30</v>
      </c>
      <c r="D638" s="10" t="s">
        <v>632</v>
      </c>
      <c r="E638" t="s">
        <v>450</v>
      </c>
      <c r="F638">
        <v>2000</v>
      </c>
    </row>
    <row r="639" spans="1:6">
      <c r="A639" s="11">
        <v>45124</v>
      </c>
      <c r="B639" s="9" t="s">
        <v>1586</v>
      </c>
      <c r="C639" t="s">
        <v>30</v>
      </c>
      <c r="D639" s="10" t="s">
        <v>632</v>
      </c>
      <c r="E639" t="s">
        <v>450</v>
      </c>
      <c r="F639">
        <v>0</v>
      </c>
    </row>
    <row r="640" spans="1:6">
      <c r="A640" s="8">
        <v>45124</v>
      </c>
      <c r="B640" s="9" t="s">
        <v>517</v>
      </c>
      <c r="C640" t="s">
        <v>65</v>
      </c>
      <c r="D640" s="10" t="s">
        <v>70</v>
      </c>
      <c r="E640" t="s">
        <v>146</v>
      </c>
      <c r="F640">
        <v>0</v>
      </c>
    </row>
    <row r="641" spans="1:6">
      <c r="A641" s="11">
        <v>45126</v>
      </c>
      <c r="B641" s="9" t="s">
        <v>341</v>
      </c>
      <c r="C641" t="s">
        <v>65</v>
      </c>
      <c r="D641" s="10" t="s">
        <v>70</v>
      </c>
      <c r="E641" t="s">
        <v>1515</v>
      </c>
      <c r="F641">
        <v>0</v>
      </c>
    </row>
    <row r="642" spans="1:6">
      <c r="A642" s="8">
        <v>45126</v>
      </c>
      <c r="B642" s="9" t="s">
        <v>115</v>
      </c>
      <c r="C642" t="s">
        <v>65</v>
      </c>
      <c r="D642" s="10" t="s">
        <v>70</v>
      </c>
      <c r="E642" t="s">
        <v>1591</v>
      </c>
      <c r="F642">
        <v>0</v>
      </c>
    </row>
    <row r="643" spans="1:6">
      <c r="A643" s="11">
        <v>45134</v>
      </c>
      <c r="B643" s="9" t="s">
        <v>863</v>
      </c>
      <c r="C643" t="s">
        <v>65</v>
      </c>
      <c r="D643" s="10" t="s">
        <v>70</v>
      </c>
      <c r="E643" t="s">
        <v>1515</v>
      </c>
      <c r="F643">
        <v>0</v>
      </c>
    </row>
    <row r="644" spans="1:6">
      <c r="A644" s="8">
        <v>45142</v>
      </c>
      <c r="B644" s="9" t="s">
        <v>863</v>
      </c>
      <c r="C644" t="s">
        <v>133</v>
      </c>
      <c r="D644" s="10" t="s">
        <v>130</v>
      </c>
      <c r="E644" t="s">
        <v>1596</v>
      </c>
      <c r="F644">
        <v>0</v>
      </c>
    </row>
    <row r="645" spans="1:6">
      <c r="A645" s="8">
        <v>45145</v>
      </c>
      <c r="B645" s="9" t="s">
        <v>1101</v>
      </c>
      <c r="C645" t="s">
        <v>30</v>
      </c>
      <c r="D645" s="10" t="s">
        <v>632</v>
      </c>
      <c r="E645" t="s">
        <v>993</v>
      </c>
      <c r="F645">
        <v>4000</v>
      </c>
    </row>
    <row r="646" spans="1:6">
      <c r="A646" s="8">
        <v>45145</v>
      </c>
      <c r="B646" s="9" t="s">
        <v>863</v>
      </c>
      <c r="C646" t="s">
        <v>65</v>
      </c>
      <c r="D646" s="10" t="s">
        <v>70</v>
      </c>
      <c r="E646" t="s">
        <v>1591</v>
      </c>
      <c r="F646">
        <v>0</v>
      </c>
    </row>
    <row r="647" spans="1:6">
      <c r="A647" s="11">
        <v>45148</v>
      </c>
      <c r="B647" s="9" t="s">
        <v>863</v>
      </c>
      <c r="C647" t="s">
        <v>65</v>
      </c>
      <c r="D647" s="10" t="s">
        <v>70</v>
      </c>
      <c r="E647" t="s">
        <v>1591</v>
      </c>
      <c r="F647">
        <v>0</v>
      </c>
    </row>
    <row r="648" spans="1:6">
      <c r="A648" s="8">
        <v>45153</v>
      </c>
      <c r="B648" s="9" t="s">
        <v>1610</v>
      </c>
      <c r="C648" t="s">
        <v>65</v>
      </c>
      <c r="D648" s="10" t="s">
        <v>70</v>
      </c>
      <c r="E648" t="s">
        <v>1591</v>
      </c>
      <c r="F648">
        <v>0</v>
      </c>
    </row>
    <row r="649" spans="1:6">
      <c r="A649" s="8">
        <v>45153</v>
      </c>
      <c r="B649" s="9" t="s">
        <v>863</v>
      </c>
      <c r="C649" t="s">
        <v>65</v>
      </c>
      <c r="D649" s="10" t="s">
        <v>70</v>
      </c>
      <c r="E649" t="s">
        <v>1591</v>
      </c>
      <c r="F649">
        <v>0</v>
      </c>
    </row>
    <row r="650" spans="1:6">
      <c r="A650" s="11">
        <v>45166</v>
      </c>
      <c r="B650" s="9" t="s">
        <v>1615</v>
      </c>
      <c r="C650" t="s">
        <v>515</v>
      </c>
      <c r="D650" s="10" t="s">
        <v>632</v>
      </c>
      <c r="E650" t="s">
        <v>450</v>
      </c>
      <c r="F650">
        <v>500</v>
      </c>
    </row>
    <row r="651" spans="1:6">
      <c r="A651" s="8">
        <v>45166</v>
      </c>
      <c r="B651" s="9" t="s">
        <v>863</v>
      </c>
      <c r="C651" t="s">
        <v>515</v>
      </c>
      <c r="D651" s="10" t="s">
        <v>632</v>
      </c>
      <c r="E651" t="s">
        <v>450</v>
      </c>
      <c r="F651">
        <v>500</v>
      </c>
    </row>
    <row r="652" spans="1:6">
      <c r="A652" s="11">
        <v>45167</v>
      </c>
      <c r="B652" s="9" t="s">
        <v>863</v>
      </c>
      <c r="C652" t="s">
        <v>133</v>
      </c>
      <c r="D652" s="10" t="s">
        <v>632</v>
      </c>
      <c r="E652" t="s">
        <v>1372</v>
      </c>
      <c r="F652">
        <v>0</v>
      </c>
    </row>
    <row r="653" spans="1:6">
      <c r="A653" s="8">
        <v>45172</v>
      </c>
      <c r="B653" s="9" t="s">
        <v>863</v>
      </c>
      <c r="C653" t="s">
        <v>515</v>
      </c>
      <c r="D653" s="10" t="s">
        <v>632</v>
      </c>
      <c r="E653" t="s">
        <v>1372</v>
      </c>
      <c r="F653">
        <v>500</v>
      </c>
    </row>
    <row r="654" spans="1:6">
      <c r="A654" s="8">
        <v>45173</v>
      </c>
      <c r="B654" s="9" t="s">
        <v>863</v>
      </c>
      <c r="C654" t="s">
        <v>30</v>
      </c>
      <c r="D654" s="10" t="s">
        <v>632</v>
      </c>
      <c r="E654" t="s">
        <v>450</v>
      </c>
      <c r="F654">
        <v>0</v>
      </c>
    </row>
    <row r="655" spans="1:6">
      <c r="A655" s="8">
        <v>45174</v>
      </c>
      <c r="B655" s="9" t="s">
        <v>851</v>
      </c>
      <c r="C655" t="s">
        <v>30</v>
      </c>
      <c r="D655" s="10" t="s">
        <v>632</v>
      </c>
      <c r="E655" t="s">
        <v>450</v>
      </c>
      <c r="F655">
        <v>0</v>
      </c>
    </row>
    <row r="656" spans="1:6">
      <c r="A656" s="8">
        <v>45177</v>
      </c>
      <c r="B656" s="9" t="s">
        <v>291</v>
      </c>
      <c r="C656" t="s">
        <v>65</v>
      </c>
      <c r="D656" s="10" t="s">
        <v>70</v>
      </c>
      <c r="E656" t="s">
        <v>1591</v>
      </c>
      <c r="F656">
        <v>0</v>
      </c>
    </row>
    <row r="657" spans="1:6">
      <c r="A657" s="8">
        <v>45181</v>
      </c>
      <c r="B657" s="9" t="s">
        <v>863</v>
      </c>
      <c r="C657" t="s">
        <v>133</v>
      </c>
      <c r="D657" s="10" t="s">
        <v>130</v>
      </c>
      <c r="E657" t="s">
        <v>1372</v>
      </c>
      <c r="F657">
        <v>0</v>
      </c>
    </row>
    <row r="658" spans="1:6">
      <c r="A658" s="8">
        <v>45182</v>
      </c>
      <c r="B658" s="9" t="s">
        <v>863</v>
      </c>
      <c r="C658" t="s">
        <v>30</v>
      </c>
      <c r="D658" s="10" t="s">
        <v>130</v>
      </c>
      <c r="E658" t="s">
        <v>1372</v>
      </c>
      <c r="F658">
        <v>0</v>
      </c>
    </row>
    <row r="659" spans="1:6">
      <c r="A659" s="8">
        <v>45186</v>
      </c>
      <c r="B659" s="9" t="s">
        <v>1631</v>
      </c>
      <c r="C659" t="s">
        <v>30</v>
      </c>
      <c r="D659" s="10" t="s">
        <v>632</v>
      </c>
      <c r="E659" t="s">
        <v>450</v>
      </c>
      <c r="F659">
        <v>4000</v>
      </c>
    </row>
    <row r="660" spans="1:6">
      <c r="A660" s="8">
        <v>45186</v>
      </c>
      <c r="B660" s="9" t="s">
        <v>1636</v>
      </c>
      <c r="C660" t="s">
        <v>30</v>
      </c>
      <c r="D660" s="10" t="s">
        <v>632</v>
      </c>
      <c r="E660" t="s">
        <v>450</v>
      </c>
      <c r="F660">
        <v>0</v>
      </c>
    </row>
    <row r="661" spans="1:6">
      <c r="A661" s="11">
        <v>45189</v>
      </c>
      <c r="B661" s="9" t="s">
        <v>1639</v>
      </c>
      <c r="C661" t="s">
        <v>65</v>
      </c>
      <c r="D661" s="10" t="s">
        <v>70</v>
      </c>
      <c r="E661" t="s">
        <v>1591</v>
      </c>
      <c r="F661">
        <v>0</v>
      </c>
    </row>
    <row r="662" spans="1:6">
      <c r="A662" s="8">
        <v>45190</v>
      </c>
      <c r="B662" s="9" t="s">
        <v>34</v>
      </c>
      <c r="C662" t="s">
        <v>30</v>
      </c>
      <c r="D662" s="10" t="s">
        <v>632</v>
      </c>
      <c r="E662" t="s">
        <v>450</v>
      </c>
      <c r="F662">
        <v>0</v>
      </c>
    </row>
    <row r="663" spans="1:6">
      <c r="A663" s="8">
        <v>45194</v>
      </c>
      <c r="B663" s="9" t="s">
        <v>1315</v>
      </c>
      <c r="C663" t="s">
        <v>30</v>
      </c>
      <c r="D663" s="10" t="s">
        <v>632</v>
      </c>
      <c r="E663" t="s">
        <v>450</v>
      </c>
      <c r="F663">
        <v>0</v>
      </c>
    </row>
    <row r="664" spans="1:6">
      <c r="A664" s="8">
        <v>45194</v>
      </c>
      <c r="B664" s="9" t="s">
        <v>863</v>
      </c>
      <c r="C664" t="s">
        <v>133</v>
      </c>
      <c r="D664" s="10" t="s">
        <v>130</v>
      </c>
      <c r="E664" t="s">
        <v>1372</v>
      </c>
      <c r="F664">
        <v>0</v>
      </c>
    </row>
    <row r="665" spans="1:6">
      <c r="A665" s="11">
        <v>45195</v>
      </c>
      <c r="B665" s="9" t="s">
        <v>332</v>
      </c>
      <c r="C665" t="s">
        <v>65</v>
      </c>
      <c r="D665" s="10" t="s">
        <v>70</v>
      </c>
      <c r="E665" t="s">
        <v>1591</v>
      </c>
      <c r="F665">
        <v>0</v>
      </c>
    </row>
    <row r="666" spans="1:6">
      <c r="A666" s="8">
        <v>45196</v>
      </c>
      <c r="B666" s="9" t="s">
        <v>1101</v>
      </c>
      <c r="C666" t="s">
        <v>30</v>
      </c>
      <c r="D666" s="10" t="s">
        <v>632</v>
      </c>
      <c r="E666" t="s">
        <v>450</v>
      </c>
      <c r="F666">
        <v>0</v>
      </c>
    </row>
    <row r="667" spans="1:6">
      <c r="A667" s="8">
        <v>45211</v>
      </c>
      <c r="B667" s="9" t="s">
        <v>399</v>
      </c>
      <c r="C667" t="s">
        <v>65</v>
      </c>
      <c r="D667" s="10" t="s">
        <v>70</v>
      </c>
      <c r="E667" t="s">
        <v>1591</v>
      </c>
      <c r="F667">
        <v>0</v>
      </c>
    </row>
    <row r="668" spans="1:6">
      <c r="A668" s="8">
        <v>45211</v>
      </c>
      <c r="B668" s="9" t="s">
        <v>215</v>
      </c>
      <c r="C668" t="s">
        <v>30</v>
      </c>
      <c r="D668" s="10" t="s">
        <v>632</v>
      </c>
      <c r="E668" t="s">
        <v>450</v>
      </c>
      <c r="F668">
        <v>0</v>
      </c>
    </row>
    <row r="669" spans="1:6">
      <c r="A669" s="11">
        <v>45217</v>
      </c>
      <c r="B669" s="9" t="s">
        <v>398</v>
      </c>
      <c r="C669" t="s">
        <v>30</v>
      </c>
      <c r="D669" s="10" t="s">
        <v>632</v>
      </c>
      <c r="E669" t="s">
        <v>450</v>
      </c>
      <c r="F669">
        <v>10000</v>
      </c>
    </row>
    <row r="670" spans="1:6">
      <c r="A670" s="8">
        <v>45217</v>
      </c>
      <c r="B670" s="9" t="s">
        <v>1657</v>
      </c>
      <c r="C670" t="s">
        <v>515</v>
      </c>
      <c r="D670" s="10" t="s">
        <v>632</v>
      </c>
      <c r="E670" t="s">
        <v>450</v>
      </c>
      <c r="F670">
        <v>100</v>
      </c>
    </row>
    <row r="671" spans="1:6">
      <c r="A671" s="11">
        <v>45226</v>
      </c>
      <c r="B671" s="9" t="s">
        <v>1665</v>
      </c>
      <c r="C671" t="s">
        <v>515</v>
      </c>
      <c r="D671" s="10" t="s">
        <v>632</v>
      </c>
      <c r="E671" t="s">
        <v>450</v>
      </c>
      <c r="F671">
        <v>500</v>
      </c>
    </row>
    <row r="672" spans="1:6">
      <c r="A672" s="8">
        <v>45226</v>
      </c>
      <c r="B672" s="9" t="s">
        <v>1662</v>
      </c>
      <c r="C672" t="s">
        <v>30</v>
      </c>
      <c r="D672" s="10" t="s">
        <v>632</v>
      </c>
      <c r="E672" t="s">
        <v>450</v>
      </c>
      <c r="F672">
        <v>0</v>
      </c>
    </row>
    <row r="673" spans="1:6">
      <c r="A673" s="11">
        <v>45235</v>
      </c>
      <c r="B673" s="9" t="s">
        <v>1669</v>
      </c>
      <c r="C673" t="s">
        <v>30</v>
      </c>
      <c r="D673" s="10" t="s">
        <v>632</v>
      </c>
      <c r="E673" t="s">
        <v>450</v>
      </c>
      <c r="F673">
        <v>0</v>
      </c>
    </row>
    <row r="674" spans="1:6">
      <c r="A674" s="8">
        <v>45238</v>
      </c>
      <c r="B674" s="9" t="s">
        <v>1676</v>
      </c>
      <c r="C674" t="s">
        <v>515</v>
      </c>
      <c r="D674" s="10" t="s">
        <v>632</v>
      </c>
      <c r="E674" t="s">
        <v>450</v>
      </c>
      <c r="F674">
        <v>218</v>
      </c>
    </row>
    <row r="675" spans="1:6">
      <c r="A675" s="8">
        <v>45238</v>
      </c>
      <c r="B675" s="9" t="s">
        <v>1715</v>
      </c>
      <c r="C675" t="s">
        <v>968</v>
      </c>
      <c r="D675" s="10" t="s">
        <v>632</v>
      </c>
      <c r="E675" t="s">
        <v>993</v>
      </c>
      <c r="F675">
        <v>12800</v>
      </c>
    </row>
    <row r="676" spans="1:6">
      <c r="A676" s="11">
        <v>45238</v>
      </c>
      <c r="B676" s="9" t="s">
        <v>1673</v>
      </c>
      <c r="C676" t="s">
        <v>65</v>
      </c>
      <c r="D676" s="10" t="s">
        <v>70</v>
      </c>
      <c r="E676" t="s">
        <v>1672</v>
      </c>
      <c r="F676">
        <v>5000</v>
      </c>
    </row>
    <row r="677" spans="1:6">
      <c r="A677" s="11">
        <v>45241</v>
      </c>
      <c r="B677" s="9" t="s">
        <v>1679</v>
      </c>
      <c r="C677" t="s">
        <v>515</v>
      </c>
      <c r="D677" s="10" t="s">
        <v>632</v>
      </c>
      <c r="E677" t="s">
        <v>450</v>
      </c>
      <c r="F677">
        <v>0</v>
      </c>
    </row>
    <row r="678" spans="1:6">
      <c r="A678" s="8">
        <v>45243</v>
      </c>
      <c r="B678" s="9" t="s">
        <v>657</v>
      </c>
      <c r="C678" t="s">
        <v>30</v>
      </c>
      <c r="D678" s="10" t="s">
        <v>632</v>
      </c>
      <c r="E678" t="s">
        <v>450</v>
      </c>
      <c r="F678">
        <v>0</v>
      </c>
    </row>
    <row r="679" spans="1:6">
      <c r="A679" s="8">
        <v>45243</v>
      </c>
      <c r="B679" s="9" t="s">
        <v>1679</v>
      </c>
      <c r="C679" t="s">
        <v>30</v>
      </c>
      <c r="D679" s="10" t="s">
        <v>632</v>
      </c>
      <c r="E679" t="s">
        <v>450</v>
      </c>
      <c r="F679">
        <v>0</v>
      </c>
    </row>
    <row r="680" spans="1:6">
      <c r="A680" s="11">
        <v>45245</v>
      </c>
      <c r="B680" s="9" t="s">
        <v>1684</v>
      </c>
      <c r="C680" t="s">
        <v>30</v>
      </c>
      <c r="D680" s="10" t="s">
        <v>632</v>
      </c>
      <c r="E680" t="s">
        <v>450</v>
      </c>
      <c r="F680">
        <v>0</v>
      </c>
    </row>
    <row r="681" spans="1:6">
      <c r="A681" s="8">
        <v>45246</v>
      </c>
      <c r="B681" s="9" t="s">
        <v>592</v>
      </c>
      <c r="C681" t="s">
        <v>515</v>
      </c>
      <c r="D681" s="10" t="s">
        <v>632</v>
      </c>
      <c r="E681" t="s">
        <v>450</v>
      </c>
      <c r="F681">
        <v>600</v>
      </c>
    </row>
    <row r="682" spans="1:6">
      <c r="A682" s="8">
        <v>45247</v>
      </c>
      <c r="B682" s="9" t="s">
        <v>708</v>
      </c>
      <c r="C682" t="s">
        <v>30</v>
      </c>
      <c r="D682" s="10" t="s">
        <v>632</v>
      </c>
      <c r="E682" t="s">
        <v>450</v>
      </c>
      <c r="F682">
        <v>0</v>
      </c>
    </row>
    <row r="683" spans="1:6">
      <c r="A683" s="8">
        <v>45247</v>
      </c>
      <c r="B683" s="9" t="s">
        <v>1689</v>
      </c>
      <c r="C683" t="s">
        <v>968</v>
      </c>
      <c r="D683" s="10" t="s">
        <v>632</v>
      </c>
      <c r="E683" t="s">
        <v>450</v>
      </c>
      <c r="F683">
        <v>3600</v>
      </c>
    </row>
    <row r="684" spans="1:6">
      <c r="A684" s="11">
        <v>45250</v>
      </c>
      <c r="B684" s="9" t="s">
        <v>863</v>
      </c>
      <c r="C684" t="s">
        <v>133</v>
      </c>
      <c r="D684" s="10" t="s">
        <v>130</v>
      </c>
      <c r="E684" t="s">
        <v>1465</v>
      </c>
      <c r="F684">
        <v>6000</v>
      </c>
    </row>
    <row r="685" spans="1:6">
      <c r="A685" s="8">
        <v>45251</v>
      </c>
      <c r="B685" s="9" t="s">
        <v>1676</v>
      </c>
      <c r="C685" t="s">
        <v>30</v>
      </c>
      <c r="D685" s="10" t="s">
        <v>632</v>
      </c>
      <c r="E685" t="s">
        <v>450</v>
      </c>
      <c r="F685">
        <v>0</v>
      </c>
    </row>
    <row r="686" spans="1:6">
      <c r="A686" s="8">
        <v>45252</v>
      </c>
      <c r="B686" s="9" t="s">
        <v>1703</v>
      </c>
      <c r="C686" t="s">
        <v>515</v>
      </c>
      <c r="D686" s="10" t="s">
        <v>632</v>
      </c>
      <c r="E686" t="s">
        <v>450</v>
      </c>
      <c r="F686">
        <v>200</v>
      </c>
    </row>
    <row r="687" spans="1:6">
      <c r="A687" s="8">
        <v>45252</v>
      </c>
      <c r="B687" s="9" t="s">
        <v>1698</v>
      </c>
      <c r="C687" t="s">
        <v>515</v>
      </c>
      <c r="D687" s="10" t="s">
        <v>632</v>
      </c>
      <c r="E687" t="s">
        <v>450</v>
      </c>
      <c r="F687">
        <v>400</v>
      </c>
    </row>
    <row r="688" spans="1:6">
      <c r="A688" s="11">
        <v>45254</v>
      </c>
      <c r="B688" s="9" t="s">
        <v>1711</v>
      </c>
      <c r="C688" t="s">
        <v>968</v>
      </c>
      <c r="D688" s="10" t="s">
        <v>632</v>
      </c>
      <c r="E688" t="s">
        <v>450</v>
      </c>
      <c r="F688">
        <v>0</v>
      </c>
    </row>
    <row r="689" spans="1:6">
      <c r="A689" s="8">
        <v>45254</v>
      </c>
      <c r="B689" s="9" t="s">
        <v>863</v>
      </c>
      <c r="C689" t="s">
        <v>30</v>
      </c>
      <c r="D689" s="10" t="s">
        <v>632</v>
      </c>
      <c r="E689" t="s">
        <v>450</v>
      </c>
      <c r="F689">
        <v>0</v>
      </c>
    </row>
    <row r="690" spans="1:6">
      <c r="A690" s="11">
        <v>45254</v>
      </c>
      <c r="B690" s="9" t="s">
        <v>1689</v>
      </c>
      <c r="C690" t="s">
        <v>968</v>
      </c>
      <c r="D690" s="10" t="s">
        <v>632</v>
      </c>
      <c r="E690" t="s">
        <v>450</v>
      </c>
      <c r="F690">
        <v>0</v>
      </c>
    </row>
    <row r="691" spans="1:6">
      <c r="A691" s="11">
        <v>45258</v>
      </c>
      <c r="B691" s="9" t="s">
        <v>863</v>
      </c>
      <c r="C691" t="s">
        <v>65</v>
      </c>
      <c r="D691" s="10" t="s">
        <v>70</v>
      </c>
      <c r="E691" t="s">
        <v>1672</v>
      </c>
      <c r="F691">
        <v>9000</v>
      </c>
    </row>
    <row r="692" spans="1:6">
      <c r="A692" s="8">
        <v>45258</v>
      </c>
      <c r="B692" s="9" t="s">
        <v>863</v>
      </c>
      <c r="C692" t="s">
        <v>133</v>
      </c>
      <c r="D692" s="10" t="s">
        <v>130</v>
      </c>
      <c r="E692" t="s">
        <v>1465</v>
      </c>
      <c r="F692">
        <v>9000</v>
      </c>
    </row>
    <row r="693" spans="1:6">
      <c r="A693" s="11">
        <v>45258</v>
      </c>
      <c r="B693" s="9" t="s">
        <v>1703</v>
      </c>
      <c r="C693" t="s">
        <v>30</v>
      </c>
      <c r="D693" s="10" t="s">
        <v>632</v>
      </c>
      <c r="E693" t="s">
        <v>450</v>
      </c>
      <c r="F693">
        <v>0</v>
      </c>
    </row>
    <row r="694" spans="1:6">
      <c r="A694" s="11">
        <v>45258</v>
      </c>
      <c r="B694" s="9" t="s">
        <v>663</v>
      </c>
      <c r="C694" t="s">
        <v>65</v>
      </c>
      <c r="D694" s="10" t="s">
        <v>70</v>
      </c>
      <c r="E694" t="s">
        <v>1672</v>
      </c>
      <c r="F694">
        <v>20000</v>
      </c>
    </row>
    <row r="695" spans="1:6">
      <c r="A695" s="11">
        <v>45258</v>
      </c>
      <c r="B695" s="9" t="s">
        <v>663</v>
      </c>
      <c r="C695" t="s">
        <v>941</v>
      </c>
      <c r="D695" s="10" t="s">
        <v>70</v>
      </c>
      <c r="E695" t="s">
        <v>1672</v>
      </c>
      <c r="F695">
        <v>136202</v>
      </c>
    </row>
    <row r="696" spans="1:6">
      <c r="A696" s="11">
        <v>45260</v>
      </c>
      <c r="B696" s="9" t="s">
        <v>406</v>
      </c>
      <c r="C696" t="s">
        <v>30</v>
      </c>
      <c r="D696" s="10" t="s">
        <v>632</v>
      </c>
      <c r="E696" t="s">
        <v>450</v>
      </c>
      <c r="F696">
        <v>0</v>
      </c>
    </row>
    <row r="697" spans="1:6">
      <c r="A697" s="8">
        <v>45260</v>
      </c>
      <c r="B697" s="9" t="s">
        <v>1729</v>
      </c>
      <c r="C697" t="s">
        <v>515</v>
      </c>
      <c r="D697" s="10" t="s">
        <v>632</v>
      </c>
      <c r="E697" t="s">
        <v>450</v>
      </c>
      <c r="F697">
        <v>200</v>
      </c>
    </row>
    <row r="698" spans="1:6">
      <c r="A698" s="11">
        <v>45260</v>
      </c>
      <c r="B698" s="9" t="s">
        <v>1729</v>
      </c>
      <c r="C698" t="s">
        <v>30</v>
      </c>
      <c r="D698" s="10" t="s">
        <v>632</v>
      </c>
      <c r="E698" t="s">
        <v>450</v>
      </c>
      <c r="F698">
        <v>12000</v>
      </c>
    </row>
    <row r="699" spans="1:6">
      <c r="A699" s="11">
        <v>45260</v>
      </c>
      <c r="B699" s="9" t="s">
        <v>663</v>
      </c>
      <c r="C699" t="s">
        <v>30</v>
      </c>
      <c r="D699" s="10" t="s">
        <v>632</v>
      </c>
      <c r="E699" t="s">
        <v>450</v>
      </c>
      <c r="F699">
        <v>0</v>
      </c>
    </row>
    <row r="700" spans="1:6">
      <c r="A700" s="11">
        <v>45260</v>
      </c>
      <c r="B700" s="9" t="s">
        <v>1734</v>
      </c>
      <c r="C700" t="s">
        <v>968</v>
      </c>
      <c r="D700" s="10" t="s">
        <v>632</v>
      </c>
      <c r="E700" t="s">
        <v>993</v>
      </c>
      <c r="F700">
        <v>0</v>
      </c>
    </row>
    <row r="701" spans="1:6">
      <c r="A701" s="11">
        <v>45261</v>
      </c>
      <c r="B701" s="9" t="s">
        <v>863</v>
      </c>
      <c r="C701" t="s">
        <v>941</v>
      </c>
      <c r="D701" s="10" t="s">
        <v>70</v>
      </c>
      <c r="E701" t="s">
        <v>1672</v>
      </c>
      <c r="F701">
        <v>9000</v>
      </c>
    </row>
    <row r="702" spans="1:6">
      <c r="A702" s="8">
        <v>45261</v>
      </c>
      <c r="B702" s="9" t="s">
        <v>1746</v>
      </c>
      <c r="C702" t="s">
        <v>133</v>
      </c>
      <c r="D702" s="10" t="s">
        <v>130</v>
      </c>
      <c r="E702" t="s">
        <v>1596</v>
      </c>
      <c r="F702">
        <v>50000</v>
      </c>
    </row>
    <row r="703" spans="1:6">
      <c r="A703" s="11">
        <v>45264</v>
      </c>
      <c r="B703" s="9" t="s">
        <v>1676</v>
      </c>
      <c r="C703" t="s">
        <v>968</v>
      </c>
      <c r="D703" s="10" t="s">
        <v>632</v>
      </c>
      <c r="E703" t="s">
        <v>450</v>
      </c>
      <c r="F703">
        <v>1000</v>
      </c>
    </row>
    <row r="704" spans="1:6">
      <c r="A704" s="8">
        <v>45266</v>
      </c>
      <c r="B704" s="9" t="s">
        <v>1759</v>
      </c>
      <c r="C704" t="s">
        <v>515</v>
      </c>
      <c r="D704" s="10" t="s">
        <v>632</v>
      </c>
      <c r="E704" t="s">
        <v>450</v>
      </c>
      <c r="F704">
        <v>0</v>
      </c>
    </row>
    <row r="705" spans="1:6">
      <c r="A705" s="8">
        <v>45266</v>
      </c>
      <c r="B705" s="9" t="s">
        <v>1759</v>
      </c>
      <c r="C705" t="s">
        <v>30</v>
      </c>
      <c r="D705" s="10" t="s">
        <v>632</v>
      </c>
      <c r="E705" t="s">
        <v>450</v>
      </c>
      <c r="F705">
        <v>0</v>
      </c>
    </row>
    <row r="706" spans="1:6">
      <c r="A706" s="11">
        <v>45266</v>
      </c>
      <c r="B706" s="9" t="s">
        <v>1754</v>
      </c>
      <c r="C706" t="s">
        <v>515</v>
      </c>
      <c r="D706" s="10" t="s">
        <v>632</v>
      </c>
      <c r="E706" t="s">
        <v>993</v>
      </c>
      <c r="F706">
        <v>0</v>
      </c>
    </row>
    <row r="707" spans="1:6">
      <c r="A707" s="11">
        <v>45266</v>
      </c>
      <c r="B707" s="9" t="s">
        <v>1754</v>
      </c>
      <c r="C707" t="s">
        <v>30</v>
      </c>
      <c r="D707" s="10" t="s">
        <v>632</v>
      </c>
      <c r="E707" t="s">
        <v>993</v>
      </c>
      <c r="F707">
        <v>0</v>
      </c>
    </row>
    <row r="708" spans="1:6">
      <c r="A708" s="11">
        <v>45266</v>
      </c>
      <c r="B708" s="9" t="s">
        <v>1746</v>
      </c>
      <c r="C708" t="s">
        <v>65</v>
      </c>
      <c r="D708" s="10" t="s">
        <v>70</v>
      </c>
      <c r="E708" t="s">
        <v>1672</v>
      </c>
      <c r="F708">
        <v>1000</v>
      </c>
    </row>
    <row r="709" spans="1:6">
      <c r="A709" s="11">
        <v>45268</v>
      </c>
      <c r="B709" s="9" t="s">
        <v>863</v>
      </c>
      <c r="C709" t="s">
        <v>133</v>
      </c>
      <c r="D709" s="10" t="s">
        <v>130</v>
      </c>
      <c r="E709" t="s">
        <v>1596</v>
      </c>
      <c r="F709">
        <v>11500</v>
      </c>
    </row>
    <row r="710" spans="1:6">
      <c r="A710" s="8">
        <v>45272</v>
      </c>
      <c r="B710" s="9" t="s">
        <v>863</v>
      </c>
      <c r="C710" t="s">
        <v>65</v>
      </c>
      <c r="D710" s="10" t="s">
        <v>70</v>
      </c>
      <c r="E710" t="s">
        <v>1672</v>
      </c>
      <c r="F710">
        <v>12000</v>
      </c>
    </row>
    <row r="711" spans="1:6">
      <c r="A711" s="8">
        <v>45274</v>
      </c>
      <c r="B711" s="9" t="s">
        <v>1729</v>
      </c>
      <c r="C711" t="s">
        <v>133</v>
      </c>
      <c r="D711" s="10" t="s">
        <v>130</v>
      </c>
      <c r="E711" t="s">
        <v>1596</v>
      </c>
      <c r="F711">
        <v>17100</v>
      </c>
    </row>
    <row r="712" spans="1:6">
      <c r="A712" s="8">
        <v>45274</v>
      </c>
      <c r="B712" s="9" t="s">
        <v>863</v>
      </c>
      <c r="C712" t="s">
        <v>65</v>
      </c>
      <c r="D712" s="10" t="s">
        <v>70</v>
      </c>
      <c r="E712" t="s">
        <v>1672</v>
      </c>
      <c r="F712">
        <v>0</v>
      </c>
    </row>
    <row r="713" spans="1:6">
      <c r="A713" s="11">
        <v>45282</v>
      </c>
      <c r="B713" s="9" t="s">
        <v>863</v>
      </c>
      <c r="C713" t="s">
        <v>515</v>
      </c>
      <c r="D713" s="10" t="s">
        <v>632</v>
      </c>
      <c r="E713" t="s">
        <v>993</v>
      </c>
      <c r="F713">
        <v>500</v>
      </c>
    </row>
    <row r="714" spans="1:6">
      <c r="A714" s="8">
        <v>45282</v>
      </c>
      <c r="B714" s="9" t="s">
        <v>863</v>
      </c>
      <c r="C714" t="s">
        <v>30</v>
      </c>
      <c r="D714" s="10" t="s">
        <v>632</v>
      </c>
      <c r="E714" t="s">
        <v>993</v>
      </c>
      <c r="F714">
        <v>0</v>
      </c>
    </row>
    <row r="715" spans="1:6">
      <c r="A715" s="11">
        <v>45282</v>
      </c>
      <c r="B715" s="9" t="s">
        <v>663</v>
      </c>
      <c r="C715" t="s">
        <v>941</v>
      </c>
      <c r="D715" s="10" t="s">
        <v>70</v>
      </c>
      <c r="E715" t="s">
        <v>1777</v>
      </c>
      <c r="F715">
        <v>39390</v>
      </c>
    </row>
    <row r="716" spans="1:6">
      <c r="A716" s="11">
        <v>45282</v>
      </c>
      <c r="B716" s="9" t="s">
        <v>1734</v>
      </c>
      <c r="C716" t="s">
        <v>968</v>
      </c>
      <c r="D716" s="10" t="s">
        <v>632</v>
      </c>
      <c r="E716" t="s">
        <v>993</v>
      </c>
      <c r="F716">
        <v>1500</v>
      </c>
    </row>
    <row r="717" spans="1:6">
      <c r="A717" s="11">
        <v>45285</v>
      </c>
      <c r="B717" s="9" t="s">
        <v>863</v>
      </c>
      <c r="C717" t="s">
        <v>30</v>
      </c>
      <c r="D717" s="10" t="s">
        <v>632</v>
      </c>
      <c r="E717" t="s">
        <v>993</v>
      </c>
      <c r="F717">
        <v>0</v>
      </c>
    </row>
    <row r="718" spans="1:6">
      <c r="A718" s="8">
        <v>45295</v>
      </c>
      <c r="B718" s="9" t="s">
        <v>863</v>
      </c>
      <c r="C718" t="s">
        <v>133</v>
      </c>
      <c r="D718" s="10" t="s">
        <v>130</v>
      </c>
      <c r="E718" t="s">
        <v>1596</v>
      </c>
      <c r="F718">
        <v>27999</v>
      </c>
    </row>
    <row r="719" spans="1:6">
      <c r="A719" s="8">
        <v>45296</v>
      </c>
      <c r="B719" s="9" t="s">
        <v>863</v>
      </c>
      <c r="C719" t="s">
        <v>941</v>
      </c>
      <c r="D719" s="10" t="s">
        <v>70</v>
      </c>
      <c r="E719" t="s">
        <v>1777</v>
      </c>
      <c r="F719">
        <v>27999</v>
      </c>
    </row>
    <row r="720" spans="1:6">
      <c r="A720" s="8">
        <v>45299</v>
      </c>
      <c r="B720" s="9" t="s">
        <v>863</v>
      </c>
      <c r="C720" t="s">
        <v>65</v>
      </c>
      <c r="D720" s="10" t="s">
        <v>70</v>
      </c>
      <c r="E720" t="s">
        <v>1777</v>
      </c>
      <c r="F720">
        <v>0</v>
      </c>
    </row>
    <row r="721" spans="1:6">
      <c r="A721" s="8">
        <v>45299</v>
      </c>
      <c r="B721" s="9" t="s">
        <v>2680</v>
      </c>
      <c r="C721" t="s">
        <v>515</v>
      </c>
      <c r="D721" s="10" t="s">
        <v>632</v>
      </c>
      <c r="E721" t="s">
        <v>450</v>
      </c>
      <c r="F721">
        <v>500</v>
      </c>
    </row>
    <row r="722" spans="1:6">
      <c r="A722" s="11">
        <v>45300</v>
      </c>
      <c r="B722" s="9" t="s">
        <v>863</v>
      </c>
      <c r="C722" t="s">
        <v>133</v>
      </c>
      <c r="D722" s="10" t="s">
        <v>130</v>
      </c>
      <c r="E722" t="s">
        <v>1596</v>
      </c>
      <c r="F722">
        <v>47850</v>
      </c>
    </row>
    <row r="723" spans="1:6">
      <c r="A723" s="8">
        <v>45300</v>
      </c>
      <c r="B723" s="9" t="s">
        <v>863</v>
      </c>
      <c r="C723" t="s">
        <v>941</v>
      </c>
      <c r="D723" s="10" t="s">
        <v>70</v>
      </c>
      <c r="E723" t="s">
        <v>1777</v>
      </c>
      <c r="F723">
        <v>0</v>
      </c>
    </row>
    <row r="724" spans="1:6">
      <c r="A724" s="11">
        <v>45300</v>
      </c>
      <c r="B724" s="9" t="s">
        <v>863</v>
      </c>
      <c r="C724" t="s">
        <v>30</v>
      </c>
      <c r="D724" s="10" t="s">
        <v>632</v>
      </c>
      <c r="E724" t="s">
        <v>450</v>
      </c>
      <c r="F724">
        <v>0</v>
      </c>
    </row>
    <row r="725" spans="1:6">
      <c r="A725" s="11">
        <v>45302</v>
      </c>
      <c r="B725" s="9" t="s">
        <v>1801</v>
      </c>
      <c r="C725" t="s">
        <v>30</v>
      </c>
      <c r="D725" s="10" t="s">
        <v>632</v>
      </c>
      <c r="E725" t="s">
        <v>450</v>
      </c>
      <c r="F725">
        <v>30000</v>
      </c>
    </row>
    <row r="726" spans="1:6">
      <c r="A726" s="8">
        <v>45306</v>
      </c>
      <c r="B726" s="9" t="s">
        <v>1343</v>
      </c>
      <c r="C726" t="s">
        <v>30</v>
      </c>
      <c r="D726" s="10" t="s">
        <v>632</v>
      </c>
      <c r="E726" t="s">
        <v>450</v>
      </c>
      <c r="F726">
        <v>0</v>
      </c>
    </row>
    <row r="727" spans="1:6">
      <c r="A727" s="8">
        <v>45306</v>
      </c>
      <c r="B727" s="9" t="s">
        <v>863</v>
      </c>
      <c r="C727" t="s">
        <v>133</v>
      </c>
      <c r="D727" s="10" t="s">
        <v>130</v>
      </c>
      <c r="E727" t="s">
        <v>1596</v>
      </c>
      <c r="F727">
        <v>0</v>
      </c>
    </row>
    <row r="728" spans="1:6">
      <c r="A728" s="11">
        <v>45306</v>
      </c>
      <c r="B728" s="9" t="s">
        <v>863</v>
      </c>
      <c r="C728" t="s">
        <v>30</v>
      </c>
      <c r="D728" s="10" t="s">
        <v>632</v>
      </c>
      <c r="E728" t="s">
        <v>450</v>
      </c>
      <c r="F728">
        <v>0</v>
      </c>
    </row>
    <row r="729" spans="1:6">
      <c r="A729" s="11">
        <v>45307</v>
      </c>
      <c r="B729" s="9" t="s">
        <v>863</v>
      </c>
      <c r="C729" t="s">
        <v>65</v>
      </c>
      <c r="D729" s="10" t="s">
        <v>70</v>
      </c>
      <c r="E729" t="s">
        <v>1817</v>
      </c>
      <c r="F729">
        <v>92050</v>
      </c>
    </row>
    <row r="730" spans="1:6">
      <c r="A730" s="8">
        <v>45307</v>
      </c>
      <c r="B730" s="9" t="s">
        <v>863</v>
      </c>
      <c r="C730" t="s">
        <v>941</v>
      </c>
      <c r="D730" s="10" t="s">
        <v>70</v>
      </c>
      <c r="E730" t="s">
        <v>1817</v>
      </c>
      <c r="F730">
        <v>0</v>
      </c>
    </row>
    <row r="731" spans="1:6">
      <c r="A731" s="11">
        <v>45308</v>
      </c>
      <c r="B731" s="9" t="s">
        <v>1801</v>
      </c>
      <c r="C731" t="s">
        <v>133</v>
      </c>
      <c r="D731" s="10" t="s">
        <v>130</v>
      </c>
      <c r="E731" t="s">
        <v>1596</v>
      </c>
      <c r="F731">
        <v>32000</v>
      </c>
    </row>
    <row r="732" spans="1:6">
      <c r="A732" s="8">
        <v>45309</v>
      </c>
      <c r="B732" s="9" t="s">
        <v>863</v>
      </c>
      <c r="C732" t="s">
        <v>133</v>
      </c>
      <c r="D732" s="10" t="s">
        <v>130</v>
      </c>
      <c r="E732" t="s">
        <v>1596</v>
      </c>
      <c r="F732">
        <v>0</v>
      </c>
    </row>
    <row r="733" spans="1:6">
      <c r="A733" s="8">
        <v>45309</v>
      </c>
      <c r="B733" s="9" t="s">
        <v>2680</v>
      </c>
      <c r="C733" t="s">
        <v>515</v>
      </c>
      <c r="D733" s="10" t="s">
        <v>632</v>
      </c>
      <c r="E733" t="s">
        <v>450</v>
      </c>
      <c r="F733">
        <v>500</v>
      </c>
    </row>
    <row r="734" spans="1:6">
      <c r="A734" s="11">
        <v>45310</v>
      </c>
      <c r="B734" s="9" t="s">
        <v>863</v>
      </c>
      <c r="C734" t="s">
        <v>30</v>
      </c>
      <c r="D734" s="10" t="s">
        <v>632</v>
      </c>
      <c r="E734" t="s">
        <v>993</v>
      </c>
      <c r="F734">
        <v>0</v>
      </c>
    </row>
    <row r="735" spans="1:6">
      <c r="A735" s="8">
        <v>45313</v>
      </c>
      <c r="B735" s="9" t="s">
        <v>2680</v>
      </c>
      <c r="C735" t="s">
        <v>515</v>
      </c>
      <c r="D735" s="10" t="s">
        <v>632</v>
      </c>
      <c r="E735" t="s">
        <v>450</v>
      </c>
      <c r="F735">
        <v>500</v>
      </c>
    </row>
    <row r="736" spans="1:6">
      <c r="A736" s="8">
        <v>45314</v>
      </c>
      <c r="B736" s="9" t="s">
        <v>863</v>
      </c>
      <c r="C736" t="s">
        <v>30</v>
      </c>
      <c r="D736" s="10" t="s">
        <v>632</v>
      </c>
      <c r="E736" t="s">
        <v>450</v>
      </c>
      <c r="F736">
        <v>0</v>
      </c>
    </row>
    <row r="737" spans="1:6">
      <c r="A737" s="8">
        <v>45320</v>
      </c>
      <c r="B737" s="9" t="s">
        <v>863</v>
      </c>
      <c r="C737" t="s">
        <v>133</v>
      </c>
      <c r="D737" s="10" t="s">
        <v>130</v>
      </c>
      <c r="E737" t="s">
        <v>1596</v>
      </c>
      <c r="F737">
        <v>121475</v>
      </c>
    </row>
    <row r="738" spans="1:6">
      <c r="A738" s="8">
        <v>45321</v>
      </c>
      <c r="B738" s="9" t="s">
        <v>863</v>
      </c>
      <c r="C738" t="s">
        <v>133</v>
      </c>
      <c r="D738" s="10" t="s">
        <v>130</v>
      </c>
      <c r="E738" t="s">
        <v>1596</v>
      </c>
      <c r="F738">
        <v>0</v>
      </c>
    </row>
    <row r="739" spans="1:6">
      <c r="A739" s="8">
        <v>45321</v>
      </c>
      <c r="B739" s="9" t="s">
        <v>863</v>
      </c>
      <c r="C739" t="s">
        <v>941</v>
      </c>
      <c r="D739" s="10" t="s">
        <v>70</v>
      </c>
      <c r="E739" t="s">
        <v>1817</v>
      </c>
      <c r="F739">
        <v>0</v>
      </c>
    </row>
    <row r="740" spans="1:6">
      <c r="A740" s="11">
        <v>45322</v>
      </c>
      <c r="B740" s="9" t="s">
        <v>2680</v>
      </c>
      <c r="C740" t="s">
        <v>515</v>
      </c>
      <c r="D740" s="10" t="s">
        <v>632</v>
      </c>
      <c r="E740" t="s">
        <v>450</v>
      </c>
      <c r="F740">
        <v>500</v>
      </c>
    </row>
    <row r="741" spans="1:6">
      <c r="A741" s="8">
        <v>45327</v>
      </c>
      <c r="B741" s="9" t="s">
        <v>863</v>
      </c>
      <c r="C741" t="s">
        <v>30</v>
      </c>
      <c r="D741" s="10" t="s">
        <v>632</v>
      </c>
      <c r="E741" t="s">
        <v>450</v>
      </c>
      <c r="F741">
        <v>20000</v>
      </c>
    </row>
    <row r="742" spans="1:6">
      <c r="A742" s="8">
        <v>45327</v>
      </c>
      <c r="B742" s="9" t="s">
        <v>2680</v>
      </c>
      <c r="C742" t="s">
        <v>515</v>
      </c>
      <c r="D742" s="10" t="s">
        <v>632</v>
      </c>
      <c r="E742" t="s">
        <v>450</v>
      </c>
      <c r="F742">
        <v>500</v>
      </c>
    </row>
    <row r="743" spans="1:6">
      <c r="A743" s="11">
        <v>45340</v>
      </c>
      <c r="B743" s="9" t="s">
        <v>1852</v>
      </c>
      <c r="C743" t="s">
        <v>65</v>
      </c>
      <c r="D743" s="10" t="s">
        <v>70</v>
      </c>
      <c r="E743" t="s">
        <v>1817</v>
      </c>
      <c r="F743">
        <v>0</v>
      </c>
    </row>
    <row r="744" spans="1:6">
      <c r="A744" s="8">
        <v>45340</v>
      </c>
      <c r="B744" s="9" t="s">
        <v>863</v>
      </c>
      <c r="C744" t="s">
        <v>30</v>
      </c>
      <c r="D744" s="10" t="s">
        <v>632</v>
      </c>
      <c r="E744" t="s">
        <v>450</v>
      </c>
      <c r="F744">
        <v>0</v>
      </c>
    </row>
    <row r="745" spans="1:6">
      <c r="A745" s="11">
        <v>45341</v>
      </c>
      <c r="B745" s="9" t="s">
        <v>863</v>
      </c>
      <c r="C745" t="s">
        <v>941</v>
      </c>
      <c r="D745" s="10" t="s">
        <v>70</v>
      </c>
      <c r="E745" t="s">
        <v>1817</v>
      </c>
      <c r="F745">
        <v>0</v>
      </c>
    </row>
    <row r="746" spans="1:6">
      <c r="A746" s="8">
        <v>45342</v>
      </c>
      <c r="B746" s="9" t="s">
        <v>863</v>
      </c>
      <c r="C746" t="s">
        <v>133</v>
      </c>
      <c r="D746" s="10" t="s">
        <v>130</v>
      </c>
      <c r="E746" t="s">
        <v>1596</v>
      </c>
      <c r="F746">
        <v>13500</v>
      </c>
    </row>
    <row r="747" spans="1:6">
      <c r="A747" s="8">
        <v>45343</v>
      </c>
      <c r="B747" s="9" t="s">
        <v>863</v>
      </c>
      <c r="C747" t="s">
        <v>941</v>
      </c>
      <c r="D747" s="10" t="s">
        <v>70</v>
      </c>
      <c r="E747" t="s">
        <v>1817</v>
      </c>
      <c r="F747">
        <v>0</v>
      </c>
    </row>
    <row r="748" spans="1:6">
      <c r="A748" s="8">
        <v>45345</v>
      </c>
      <c r="B748" s="9" t="s">
        <v>1864</v>
      </c>
      <c r="C748" t="s">
        <v>941</v>
      </c>
      <c r="D748" s="10" t="s">
        <v>70</v>
      </c>
      <c r="E748" t="s">
        <v>1817</v>
      </c>
      <c r="F748">
        <v>88500</v>
      </c>
    </row>
    <row r="749" spans="1:6">
      <c r="A749" s="8">
        <v>45345</v>
      </c>
      <c r="B749" s="9" t="s">
        <v>663</v>
      </c>
      <c r="C749" t="s">
        <v>941</v>
      </c>
      <c r="D749" s="10" t="s">
        <v>70</v>
      </c>
      <c r="E749" t="s">
        <v>1817</v>
      </c>
      <c r="F749">
        <v>27200</v>
      </c>
    </row>
    <row r="750" spans="1:6">
      <c r="A750" s="11">
        <v>45350</v>
      </c>
      <c r="B750" s="9" t="s">
        <v>863</v>
      </c>
      <c r="C750" t="s">
        <v>133</v>
      </c>
      <c r="D750" s="10" t="s">
        <v>130</v>
      </c>
      <c r="E750" t="s">
        <v>1596</v>
      </c>
      <c r="F750">
        <v>0</v>
      </c>
    </row>
    <row r="751" spans="1:6">
      <c r="A751" s="8">
        <v>45351</v>
      </c>
      <c r="B751" s="9" t="s">
        <v>863</v>
      </c>
      <c r="C751" t="s">
        <v>65</v>
      </c>
      <c r="D751" s="10" t="s">
        <v>1875</v>
      </c>
      <c r="E751" t="s">
        <v>1876</v>
      </c>
      <c r="F751">
        <v>29000</v>
      </c>
    </row>
    <row r="752" spans="1:6">
      <c r="A752" s="8">
        <v>45355</v>
      </c>
      <c r="B752" s="9" t="s">
        <v>1318</v>
      </c>
      <c r="C752" t="s">
        <v>30</v>
      </c>
      <c r="D752" s="10" t="s">
        <v>632</v>
      </c>
      <c r="E752" t="s">
        <v>450</v>
      </c>
      <c r="F752">
        <v>0</v>
      </c>
    </row>
    <row r="753" spans="1:6">
      <c r="A753" s="8">
        <v>45355</v>
      </c>
      <c r="B753" s="9" t="s">
        <v>863</v>
      </c>
      <c r="C753" t="s">
        <v>941</v>
      </c>
      <c r="D753" s="10" t="s">
        <v>70</v>
      </c>
      <c r="E753" t="s">
        <v>1817</v>
      </c>
      <c r="F753">
        <v>0</v>
      </c>
    </row>
    <row r="754" spans="1:6">
      <c r="A754" s="11">
        <v>45355</v>
      </c>
      <c r="B754" s="9" t="s">
        <v>222</v>
      </c>
      <c r="C754" t="s">
        <v>65</v>
      </c>
      <c r="D754" s="10" t="s">
        <v>1875</v>
      </c>
      <c r="E754" t="s">
        <v>1876</v>
      </c>
      <c r="F754">
        <v>0</v>
      </c>
    </row>
    <row r="755" spans="1:6">
      <c r="A755" s="11">
        <v>45356</v>
      </c>
      <c r="B755" s="9" t="s">
        <v>1903</v>
      </c>
      <c r="C755" t="s">
        <v>941</v>
      </c>
      <c r="D755" s="10" t="s">
        <v>2680</v>
      </c>
      <c r="E755" t="s">
        <v>2680</v>
      </c>
      <c r="F755">
        <v>47850</v>
      </c>
    </row>
    <row r="756" spans="1:6">
      <c r="A756" s="8">
        <v>45356</v>
      </c>
      <c r="B756" s="9" t="s">
        <v>138</v>
      </c>
      <c r="C756" t="s">
        <v>65</v>
      </c>
      <c r="D756" s="10" t="s">
        <v>1875</v>
      </c>
      <c r="E756" t="s">
        <v>1876</v>
      </c>
      <c r="F756">
        <v>0</v>
      </c>
    </row>
    <row r="757" spans="1:6">
      <c r="A757" s="11">
        <v>45357</v>
      </c>
      <c r="B757" s="9" t="s">
        <v>1413</v>
      </c>
      <c r="C757" t="s">
        <v>515</v>
      </c>
      <c r="D757" s="10" t="s">
        <v>632</v>
      </c>
      <c r="E757" t="s">
        <v>450</v>
      </c>
      <c r="F757">
        <v>500</v>
      </c>
    </row>
    <row r="758" spans="1:6">
      <c r="A758" s="8">
        <v>45357</v>
      </c>
      <c r="B758" s="9" t="s">
        <v>1888</v>
      </c>
      <c r="C758" t="s">
        <v>515</v>
      </c>
      <c r="D758" s="10" t="s">
        <v>632</v>
      </c>
      <c r="E758" t="s">
        <v>450</v>
      </c>
      <c r="F758">
        <v>500</v>
      </c>
    </row>
    <row r="759" spans="1:6">
      <c r="A759" s="11">
        <v>45358</v>
      </c>
      <c r="B759" s="9" t="s">
        <v>863</v>
      </c>
      <c r="C759" t="s">
        <v>133</v>
      </c>
      <c r="D759" s="10" t="s">
        <v>130</v>
      </c>
      <c r="E759" t="s">
        <v>1596</v>
      </c>
      <c r="F759">
        <v>13000</v>
      </c>
    </row>
    <row r="760" spans="1:6">
      <c r="A760" s="8">
        <v>45359</v>
      </c>
      <c r="B760" s="9" t="s">
        <v>863</v>
      </c>
      <c r="C760" t="s">
        <v>65</v>
      </c>
      <c r="D760" s="10" t="s">
        <v>1875</v>
      </c>
      <c r="E760" t="s">
        <v>1876</v>
      </c>
      <c r="F760">
        <v>13000</v>
      </c>
    </row>
    <row r="761" spans="1:6">
      <c r="A761" s="8">
        <v>45359</v>
      </c>
      <c r="B761" s="9" t="s">
        <v>863</v>
      </c>
      <c r="C761" t="s">
        <v>941</v>
      </c>
      <c r="D761" s="10" t="s">
        <v>1875</v>
      </c>
      <c r="E761" t="s">
        <v>1876</v>
      </c>
      <c r="F761">
        <v>13000</v>
      </c>
    </row>
    <row r="762" spans="1:6">
      <c r="A762" s="11">
        <v>45362</v>
      </c>
      <c r="B762" s="9" t="s">
        <v>1885</v>
      </c>
      <c r="C762" t="s">
        <v>30</v>
      </c>
      <c r="D762" s="10" t="s">
        <v>632</v>
      </c>
      <c r="E762" t="s">
        <v>450</v>
      </c>
      <c r="F762">
        <v>0</v>
      </c>
    </row>
    <row r="763" spans="1:6">
      <c r="A763" s="8">
        <v>45365</v>
      </c>
      <c r="B763" s="9" t="s">
        <v>863</v>
      </c>
      <c r="C763" t="s">
        <v>133</v>
      </c>
      <c r="D763" s="10" t="s">
        <v>130</v>
      </c>
      <c r="E763" t="s">
        <v>1596</v>
      </c>
      <c r="F763">
        <v>65500</v>
      </c>
    </row>
    <row r="764" spans="1:6">
      <c r="A764" s="8">
        <v>45366</v>
      </c>
      <c r="B764" s="9" t="s">
        <v>1864</v>
      </c>
      <c r="C764" t="s">
        <v>941</v>
      </c>
      <c r="D764" s="10" t="s">
        <v>1875</v>
      </c>
      <c r="E764" t="s">
        <v>1896</v>
      </c>
      <c r="F764">
        <v>65500</v>
      </c>
    </row>
    <row r="765" spans="1:6">
      <c r="A765" s="8">
        <v>45366</v>
      </c>
      <c r="B765" s="9" t="s">
        <v>1888</v>
      </c>
      <c r="C765" t="s">
        <v>30</v>
      </c>
      <c r="D765" s="10" t="s">
        <v>632</v>
      </c>
      <c r="E765" t="s">
        <v>450</v>
      </c>
      <c r="F765">
        <v>0</v>
      </c>
    </row>
    <row r="766" spans="1:6">
      <c r="A766" s="11">
        <v>45369</v>
      </c>
      <c r="B766" s="9" t="s">
        <v>863</v>
      </c>
      <c r="C766" t="s">
        <v>65</v>
      </c>
      <c r="D766" s="10" t="s">
        <v>1875</v>
      </c>
      <c r="E766" t="s">
        <v>1876</v>
      </c>
      <c r="F766">
        <v>66000</v>
      </c>
    </row>
    <row r="767" spans="1:6">
      <c r="A767" s="8">
        <v>45370</v>
      </c>
      <c r="B767" s="9" t="s">
        <v>1900</v>
      </c>
      <c r="C767" t="s">
        <v>515</v>
      </c>
      <c r="D767" s="10" t="s">
        <v>632</v>
      </c>
      <c r="E767" t="s">
        <v>450</v>
      </c>
      <c r="F767">
        <v>500</v>
      </c>
    </row>
    <row r="768" spans="1:6">
      <c r="A768" s="8">
        <v>45371</v>
      </c>
      <c r="B768" s="9" t="s">
        <v>863</v>
      </c>
      <c r="C768" t="s">
        <v>30</v>
      </c>
      <c r="D768" s="10" t="s">
        <v>632</v>
      </c>
      <c r="E768" t="s">
        <v>450</v>
      </c>
      <c r="F768">
        <v>0</v>
      </c>
    </row>
    <row r="769" spans="1:6">
      <c r="A769" s="8">
        <v>45373</v>
      </c>
      <c r="B769" s="9" t="s">
        <v>1900</v>
      </c>
      <c r="C769" t="s">
        <v>30</v>
      </c>
      <c r="D769" s="10" t="s">
        <v>632</v>
      </c>
      <c r="E769" t="s">
        <v>450</v>
      </c>
      <c r="F769">
        <v>0</v>
      </c>
    </row>
    <row r="770" spans="1:6">
      <c r="A770" s="8">
        <v>45377</v>
      </c>
      <c r="B770" s="9" t="s">
        <v>912</v>
      </c>
      <c r="C770" t="s">
        <v>515</v>
      </c>
      <c r="D770" s="10" t="s">
        <v>632</v>
      </c>
      <c r="E770" t="s">
        <v>450</v>
      </c>
      <c r="F770">
        <v>200</v>
      </c>
    </row>
    <row r="771" spans="1:6">
      <c r="A771" s="8">
        <v>45378</v>
      </c>
      <c r="B771" s="9" t="s">
        <v>863</v>
      </c>
      <c r="C771" t="s">
        <v>65</v>
      </c>
      <c r="D771" s="10" t="s">
        <v>1875</v>
      </c>
      <c r="E771" t="s">
        <v>1876</v>
      </c>
      <c r="F771">
        <v>48000</v>
      </c>
    </row>
    <row r="772" spans="1:6">
      <c r="A772" s="8">
        <v>45380</v>
      </c>
      <c r="B772" s="9" t="s">
        <v>912</v>
      </c>
      <c r="C772" t="s">
        <v>30</v>
      </c>
      <c r="D772" s="10" t="s">
        <v>632</v>
      </c>
      <c r="E772" t="s">
        <v>450</v>
      </c>
      <c r="F772">
        <v>0</v>
      </c>
    </row>
    <row r="773" spans="1:6">
      <c r="A773" s="8">
        <v>45389</v>
      </c>
      <c r="B773" s="9" t="s">
        <v>851</v>
      </c>
      <c r="C773" t="s">
        <v>30</v>
      </c>
      <c r="D773" s="10" t="s">
        <v>632</v>
      </c>
      <c r="E773" t="s">
        <v>450</v>
      </c>
      <c r="F773">
        <v>0</v>
      </c>
    </row>
    <row r="774" spans="1:6">
      <c r="A774" s="8">
        <v>45390</v>
      </c>
      <c r="B774" s="9" t="s">
        <v>1413</v>
      </c>
      <c r="C774" t="s">
        <v>515</v>
      </c>
      <c r="D774" s="10" t="s">
        <v>632</v>
      </c>
      <c r="E774" t="s">
        <v>450</v>
      </c>
      <c r="F774">
        <v>500</v>
      </c>
    </row>
    <row r="775" spans="1:6">
      <c r="A775" s="8">
        <v>45391</v>
      </c>
      <c r="B775" s="9" t="s">
        <v>863</v>
      </c>
      <c r="C775" t="s">
        <v>65</v>
      </c>
      <c r="D775" s="10" t="s">
        <v>1875</v>
      </c>
      <c r="E775" t="s">
        <v>1876</v>
      </c>
      <c r="F775">
        <v>3000</v>
      </c>
    </row>
    <row r="776" spans="1:6">
      <c r="A776" s="8">
        <v>45391</v>
      </c>
      <c r="B776" s="9" t="s">
        <v>863</v>
      </c>
      <c r="C776" t="s">
        <v>941</v>
      </c>
      <c r="D776" s="10" t="s">
        <v>1875</v>
      </c>
      <c r="E776" t="s">
        <v>1876</v>
      </c>
      <c r="F776">
        <v>0</v>
      </c>
    </row>
    <row r="777" spans="1:6">
      <c r="A777" s="11">
        <v>45392</v>
      </c>
      <c r="B777" s="9" t="s">
        <v>863</v>
      </c>
      <c r="C777" t="s">
        <v>65</v>
      </c>
      <c r="D777" s="10" t="s">
        <v>1875</v>
      </c>
      <c r="E777" t="s">
        <v>1876</v>
      </c>
      <c r="F777">
        <v>21000</v>
      </c>
    </row>
    <row r="778" spans="1:6">
      <c r="A778" s="8">
        <v>45392</v>
      </c>
      <c r="B778" s="9" t="s">
        <v>863</v>
      </c>
      <c r="C778" t="s">
        <v>133</v>
      </c>
      <c r="D778" s="10" t="s">
        <v>130</v>
      </c>
      <c r="E778" t="s">
        <v>1920</v>
      </c>
      <c r="F778">
        <v>0</v>
      </c>
    </row>
    <row r="779" spans="1:6">
      <c r="A779" s="11">
        <v>45393</v>
      </c>
      <c r="B779" s="9" t="s">
        <v>863</v>
      </c>
      <c r="C779" t="s">
        <v>941</v>
      </c>
      <c r="D779" s="10" t="s">
        <v>1875</v>
      </c>
      <c r="E779" t="s">
        <v>1876</v>
      </c>
      <c r="F779">
        <v>180044</v>
      </c>
    </row>
    <row r="780" spans="1:6">
      <c r="A780" s="8">
        <v>45394</v>
      </c>
      <c r="B780" s="9" t="s">
        <v>863</v>
      </c>
      <c r="C780" t="s">
        <v>133</v>
      </c>
      <c r="D780" s="10" t="s">
        <v>130</v>
      </c>
      <c r="E780" t="s">
        <v>1920</v>
      </c>
      <c r="F780">
        <v>0</v>
      </c>
    </row>
    <row r="781" spans="1:6">
      <c r="A781" s="8">
        <v>45394</v>
      </c>
      <c r="B781" s="9" t="s">
        <v>797</v>
      </c>
      <c r="C781" t="s">
        <v>65</v>
      </c>
      <c r="D781" s="10" t="s">
        <v>70</v>
      </c>
      <c r="E781" t="s">
        <v>1088</v>
      </c>
      <c r="F781">
        <v>10000</v>
      </c>
    </row>
    <row r="782" spans="1:6">
      <c r="A782" s="11">
        <v>45395</v>
      </c>
      <c r="B782" s="9" t="s">
        <v>797</v>
      </c>
      <c r="C782" t="s">
        <v>65</v>
      </c>
      <c r="D782" s="10" t="s">
        <v>1929</v>
      </c>
      <c r="E782" t="s">
        <v>450</v>
      </c>
      <c r="F782">
        <v>5000</v>
      </c>
    </row>
    <row r="783" spans="1:6">
      <c r="A783" s="8">
        <v>45398</v>
      </c>
      <c r="B783" s="9" t="s">
        <v>222</v>
      </c>
      <c r="C783" t="s">
        <v>65</v>
      </c>
      <c r="D783" s="10" t="s">
        <v>70</v>
      </c>
      <c r="E783" t="s">
        <v>1933</v>
      </c>
      <c r="F783">
        <v>2000</v>
      </c>
    </row>
    <row r="784" spans="1:6">
      <c r="A784" s="8">
        <v>45398</v>
      </c>
      <c r="B784" s="9" t="s">
        <v>1413</v>
      </c>
      <c r="C784" t="s">
        <v>515</v>
      </c>
      <c r="D784" s="10" t="s">
        <v>632</v>
      </c>
      <c r="E784" t="s">
        <v>450</v>
      </c>
      <c r="F784">
        <v>500</v>
      </c>
    </row>
    <row r="785" spans="1:6">
      <c r="A785" s="11">
        <v>45399</v>
      </c>
      <c r="B785" s="9" t="s">
        <v>1939</v>
      </c>
      <c r="C785" t="s">
        <v>515</v>
      </c>
      <c r="D785" s="10" t="s">
        <v>632</v>
      </c>
      <c r="E785" t="s">
        <v>450</v>
      </c>
      <c r="F785">
        <v>1200</v>
      </c>
    </row>
    <row r="786" spans="1:6">
      <c r="A786" s="8">
        <v>45400</v>
      </c>
      <c r="B786" s="9" t="s">
        <v>1665</v>
      </c>
      <c r="C786" t="s">
        <v>515</v>
      </c>
      <c r="D786" s="10" t="s">
        <v>632</v>
      </c>
      <c r="E786" t="s">
        <v>450</v>
      </c>
      <c r="F786">
        <v>200</v>
      </c>
    </row>
    <row r="787" spans="1:6">
      <c r="A787" s="8">
        <v>45400</v>
      </c>
      <c r="B787" s="9" t="s">
        <v>1665</v>
      </c>
      <c r="C787" t="s">
        <v>30</v>
      </c>
      <c r="D787" s="10" t="s">
        <v>632</v>
      </c>
      <c r="E787" t="s">
        <v>450</v>
      </c>
      <c r="F787">
        <v>0</v>
      </c>
    </row>
    <row r="788" spans="1:6">
      <c r="A788" s="11">
        <v>45400</v>
      </c>
      <c r="B788" s="9" t="s">
        <v>863</v>
      </c>
      <c r="C788" t="s">
        <v>65</v>
      </c>
      <c r="D788" s="10" t="s">
        <v>1875</v>
      </c>
      <c r="E788" t="s">
        <v>1876</v>
      </c>
      <c r="F788">
        <v>180000</v>
      </c>
    </row>
    <row r="789" spans="1:6">
      <c r="A789" s="11">
        <v>45407</v>
      </c>
      <c r="B789" s="9" t="s">
        <v>863</v>
      </c>
      <c r="C789" t="s">
        <v>65</v>
      </c>
      <c r="D789" s="10" t="s">
        <v>1875</v>
      </c>
      <c r="E789" t="s">
        <v>1876</v>
      </c>
      <c r="F789">
        <v>23000</v>
      </c>
    </row>
    <row r="790" spans="1:6">
      <c r="A790" s="8">
        <v>45409</v>
      </c>
      <c r="B790" s="9" t="s">
        <v>863</v>
      </c>
      <c r="C790" t="s">
        <v>65</v>
      </c>
      <c r="D790" s="10" t="s">
        <v>1875</v>
      </c>
      <c r="E790" t="s">
        <v>1876</v>
      </c>
      <c r="F790">
        <v>0</v>
      </c>
    </row>
    <row r="791" spans="1:6">
      <c r="A791" s="8">
        <v>45411</v>
      </c>
      <c r="B791" s="9" t="s">
        <v>863</v>
      </c>
      <c r="C791" t="s">
        <v>65</v>
      </c>
      <c r="D791" s="10" t="s">
        <v>1875</v>
      </c>
      <c r="E791" t="s">
        <v>1876</v>
      </c>
      <c r="F791">
        <v>0</v>
      </c>
    </row>
    <row r="792" spans="1:6">
      <c r="A792" s="8">
        <v>45412</v>
      </c>
      <c r="B792" s="9" t="s">
        <v>1939</v>
      </c>
      <c r="C792" t="s">
        <v>30</v>
      </c>
      <c r="D792" s="10" t="s">
        <v>632</v>
      </c>
      <c r="E792" t="s">
        <v>450</v>
      </c>
      <c r="F792">
        <v>0</v>
      </c>
    </row>
    <row r="793" spans="1:6">
      <c r="A793" s="8">
        <v>45417</v>
      </c>
      <c r="B793" s="9" t="s">
        <v>851</v>
      </c>
      <c r="C793" t="s">
        <v>30</v>
      </c>
      <c r="D793" s="10" t="s">
        <v>632</v>
      </c>
      <c r="E793" t="s">
        <v>450</v>
      </c>
      <c r="F793">
        <v>0</v>
      </c>
    </row>
    <row r="794" spans="1:6">
      <c r="A794" s="8">
        <v>45418</v>
      </c>
      <c r="B794" s="9" t="s">
        <v>1900</v>
      </c>
      <c r="C794" t="s">
        <v>30</v>
      </c>
      <c r="D794" s="10" t="s">
        <v>632</v>
      </c>
      <c r="E794" t="s">
        <v>450</v>
      </c>
      <c r="F794">
        <v>0</v>
      </c>
    </row>
    <row r="795" spans="1:6">
      <c r="A795" s="8">
        <v>45420</v>
      </c>
      <c r="B795" s="9" t="s">
        <v>863</v>
      </c>
      <c r="C795" t="s">
        <v>133</v>
      </c>
      <c r="D795" s="10" t="s">
        <v>130</v>
      </c>
      <c r="E795" t="s">
        <v>1963</v>
      </c>
      <c r="F795">
        <v>14300</v>
      </c>
    </row>
    <row r="796" spans="1:6">
      <c r="A796" s="8">
        <v>45423</v>
      </c>
      <c r="B796" s="9" t="s">
        <v>863</v>
      </c>
      <c r="C796" t="s">
        <v>65</v>
      </c>
      <c r="D796" s="10" t="s">
        <v>1875</v>
      </c>
      <c r="E796" t="s">
        <v>1876</v>
      </c>
      <c r="F796">
        <v>15000</v>
      </c>
    </row>
    <row r="797" spans="1:6">
      <c r="A797" s="8">
        <v>45423</v>
      </c>
      <c r="B797" s="9" t="s">
        <v>863</v>
      </c>
      <c r="C797" t="s">
        <v>753</v>
      </c>
      <c r="D797" s="10" t="s">
        <v>1875</v>
      </c>
      <c r="E797" t="s">
        <v>1876</v>
      </c>
      <c r="F797">
        <v>14300</v>
      </c>
    </row>
    <row r="798" spans="1:6">
      <c r="A798" s="11">
        <v>45427</v>
      </c>
      <c r="B798" s="9" t="s">
        <v>1900</v>
      </c>
      <c r="C798" t="s">
        <v>30</v>
      </c>
      <c r="D798" s="10" t="s">
        <v>632</v>
      </c>
      <c r="E798" t="s">
        <v>450</v>
      </c>
      <c r="F798">
        <v>0</v>
      </c>
    </row>
    <row r="799" spans="1:6">
      <c r="A799" s="8">
        <v>45429</v>
      </c>
      <c r="B799" s="9" t="s">
        <v>1970</v>
      </c>
      <c r="C799" t="s">
        <v>30</v>
      </c>
      <c r="D799" s="10" t="s">
        <v>632</v>
      </c>
      <c r="E799" t="s">
        <v>450</v>
      </c>
      <c r="F799">
        <v>0</v>
      </c>
    </row>
    <row r="800" spans="1:6">
      <c r="A800" s="8">
        <v>45432</v>
      </c>
      <c r="B800" s="9" t="s">
        <v>851</v>
      </c>
      <c r="C800" t="s">
        <v>30</v>
      </c>
      <c r="D800" s="10" t="s">
        <v>632</v>
      </c>
      <c r="E800" t="s">
        <v>450</v>
      </c>
      <c r="F800">
        <v>0</v>
      </c>
    </row>
    <row r="801" spans="1:6">
      <c r="A801" s="8">
        <v>45433</v>
      </c>
      <c r="B801" s="9" t="s">
        <v>1610</v>
      </c>
      <c r="C801" t="s">
        <v>65</v>
      </c>
      <c r="D801" s="10" t="s">
        <v>70</v>
      </c>
      <c r="E801" t="s">
        <v>1977</v>
      </c>
      <c r="F801">
        <v>5000</v>
      </c>
    </row>
    <row r="802" spans="1:6">
      <c r="A802" s="8">
        <v>45443</v>
      </c>
      <c r="B802" s="9" t="s">
        <v>90</v>
      </c>
      <c r="C802" t="s">
        <v>30</v>
      </c>
      <c r="D802" s="10" t="s">
        <v>632</v>
      </c>
      <c r="E802" t="s">
        <v>450</v>
      </c>
      <c r="F802">
        <v>50000</v>
      </c>
    </row>
    <row r="803" spans="1:6">
      <c r="A803" s="8">
        <v>45516</v>
      </c>
      <c r="B803" s="9" t="s">
        <v>863</v>
      </c>
      <c r="C803" t="s">
        <v>30</v>
      </c>
      <c r="D803" s="10" t="s">
        <v>632</v>
      </c>
      <c r="E803" t="s">
        <v>450</v>
      </c>
      <c r="F803">
        <v>0</v>
      </c>
    </row>
    <row r="804" spans="1:6">
      <c r="A804" s="8">
        <v>45520</v>
      </c>
      <c r="B804" s="9" t="s">
        <v>2009</v>
      </c>
      <c r="C804" t="s">
        <v>30</v>
      </c>
      <c r="D804" s="10" t="s">
        <v>632</v>
      </c>
      <c r="E804" t="s">
        <v>2008</v>
      </c>
      <c r="F804">
        <v>0</v>
      </c>
    </row>
    <row r="805" spans="1:6">
      <c r="A805" s="8">
        <v>45540</v>
      </c>
      <c r="B805" s="9" t="s">
        <v>863</v>
      </c>
      <c r="C805" t="s">
        <v>30</v>
      </c>
      <c r="D805" s="10" t="s">
        <v>632</v>
      </c>
      <c r="E805" t="s">
        <v>450</v>
      </c>
      <c r="F805">
        <v>0</v>
      </c>
    </row>
    <row r="806" spans="1:6">
      <c r="A806" s="8">
        <v>45545</v>
      </c>
      <c r="B806" s="9" t="s">
        <v>215</v>
      </c>
      <c r="C806" t="s">
        <v>30</v>
      </c>
      <c r="D806" s="10" t="s">
        <v>632</v>
      </c>
      <c r="E806" t="s">
        <v>450</v>
      </c>
      <c r="F806">
        <v>0</v>
      </c>
    </row>
    <row r="807" spans="1:6">
      <c r="A807" s="8">
        <v>45545</v>
      </c>
      <c r="B807" s="9" t="s">
        <v>1939</v>
      </c>
      <c r="C807" t="s">
        <v>30</v>
      </c>
      <c r="D807" s="10" t="s">
        <v>632</v>
      </c>
      <c r="E807" t="s">
        <v>450</v>
      </c>
      <c r="F807">
        <v>0</v>
      </c>
    </row>
    <row r="808" spans="1:6">
      <c r="A808" s="11">
        <v>45547</v>
      </c>
      <c r="B808" s="9" t="s">
        <v>2019</v>
      </c>
      <c r="C808" t="s">
        <v>30</v>
      </c>
      <c r="D808" s="10" t="s">
        <v>632</v>
      </c>
      <c r="E808" t="s">
        <v>450</v>
      </c>
      <c r="F808">
        <v>0</v>
      </c>
    </row>
    <row r="809" spans="1:6">
      <c r="A809" s="8">
        <v>45549</v>
      </c>
      <c r="B809" s="9" t="s">
        <v>1679</v>
      </c>
      <c r="C809" t="s">
        <v>133</v>
      </c>
      <c r="D809" s="10" t="s">
        <v>632</v>
      </c>
      <c r="E809" t="s">
        <v>450</v>
      </c>
      <c r="F809">
        <v>13161.69</v>
      </c>
    </row>
    <row r="810" spans="1:6">
      <c r="A810" s="8">
        <v>45555</v>
      </c>
      <c r="B810" s="9" t="s">
        <v>1679</v>
      </c>
      <c r="C810" t="s">
        <v>30</v>
      </c>
      <c r="D810" s="10" t="s">
        <v>70</v>
      </c>
      <c r="E810" t="s">
        <v>993</v>
      </c>
      <c r="F810">
        <v>0</v>
      </c>
    </row>
    <row r="811" spans="1:6">
      <c r="A811" s="8">
        <v>45556</v>
      </c>
      <c r="B811" s="9" t="s">
        <v>851</v>
      </c>
      <c r="C811" t="s">
        <v>30</v>
      </c>
      <c r="D811" s="10" t="s">
        <v>70</v>
      </c>
      <c r="E811" t="s">
        <v>993</v>
      </c>
      <c r="F811">
        <v>0</v>
      </c>
    </row>
    <row r="812" spans="1:6">
      <c r="A812" s="8">
        <v>45562</v>
      </c>
      <c r="B812" s="9" t="s">
        <v>863</v>
      </c>
      <c r="C812" t="s">
        <v>65</v>
      </c>
      <c r="D812" s="10" t="s">
        <v>70</v>
      </c>
      <c r="E812" t="s">
        <v>434</v>
      </c>
      <c r="F812">
        <v>35000</v>
      </c>
    </row>
    <row r="813" spans="1:6">
      <c r="A813" s="8">
        <v>45562</v>
      </c>
      <c r="B813" s="9" t="s">
        <v>863</v>
      </c>
      <c r="C813" t="s">
        <v>133</v>
      </c>
      <c r="D813" s="10" t="s">
        <v>130</v>
      </c>
      <c r="E813" t="s">
        <v>2029</v>
      </c>
      <c r="F813">
        <v>35000</v>
      </c>
    </row>
    <row r="814" spans="1:6">
      <c r="A814" s="11">
        <v>45562</v>
      </c>
      <c r="B814" s="9" t="s">
        <v>863</v>
      </c>
      <c r="C814" t="s">
        <v>941</v>
      </c>
      <c r="D814" s="10" t="s">
        <v>70</v>
      </c>
      <c r="E814" t="s">
        <v>434</v>
      </c>
      <c r="F814">
        <v>35000</v>
      </c>
    </row>
    <row r="815" spans="1:6">
      <c r="A815" s="11">
        <v>45564</v>
      </c>
      <c r="B815" s="9" t="s">
        <v>1315</v>
      </c>
      <c r="C815" t="s">
        <v>30</v>
      </c>
      <c r="D815" s="10" t="s">
        <v>70</v>
      </c>
      <c r="E815" t="s">
        <v>993</v>
      </c>
      <c r="F815">
        <v>0</v>
      </c>
    </row>
    <row r="816" spans="1:6">
      <c r="A816" s="8">
        <v>45565</v>
      </c>
      <c r="B816" s="9" t="s">
        <v>2036</v>
      </c>
      <c r="C816" t="s">
        <v>30</v>
      </c>
      <c r="D816" s="10" t="s">
        <v>632</v>
      </c>
      <c r="E816" t="s">
        <v>450</v>
      </c>
      <c r="F816">
        <v>120875</v>
      </c>
    </row>
    <row r="817" spans="1:6">
      <c r="A817" s="8">
        <v>45588</v>
      </c>
      <c r="B817" s="9" t="s">
        <v>863</v>
      </c>
      <c r="C817" t="s">
        <v>30</v>
      </c>
      <c r="D817" s="10" t="s">
        <v>70</v>
      </c>
      <c r="E817" t="s">
        <v>993</v>
      </c>
      <c r="F817">
        <v>0</v>
      </c>
    </row>
    <row r="818" spans="1:6">
      <c r="A818" s="8">
        <v>45590</v>
      </c>
      <c r="B818" s="9" t="s">
        <v>2041</v>
      </c>
      <c r="C818" t="s">
        <v>2681</v>
      </c>
      <c r="D818" s="10" t="s">
        <v>70</v>
      </c>
      <c r="E818" t="s">
        <v>434</v>
      </c>
      <c r="F818">
        <v>5000</v>
      </c>
    </row>
    <row r="819" spans="1:6">
      <c r="A819" s="8">
        <v>45591</v>
      </c>
      <c r="B819" s="9" t="s">
        <v>663</v>
      </c>
      <c r="C819" t="s">
        <v>941</v>
      </c>
      <c r="D819" s="10" t="s">
        <v>130</v>
      </c>
      <c r="E819" t="s">
        <v>2029</v>
      </c>
      <c r="F819">
        <v>51019.37</v>
      </c>
    </row>
    <row r="820" spans="1:6">
      <c r="A820" s="8">
        <v>45593</v>
      </c>
      <c r="B820" s="9" t="s">
        <v>2041</v>
      </c>
      <c r="C820" t="s">
        <v>65</v>
      </c>
      <c r="D820" s="10" t="s">
        <v>70</v>
      </c>
      <c r="E820" t="s">
        <v>434</v>
      </c>
      <c r="F820">
        <v>5200</v>
      </c>
    </row>
    <row r="821" spans="1:6">
      <c r="A821" s="8">
        <v>45595</v>
      </c>
      <c r="B821" s="9" t="s">
        <v>663</v>
      </c>
      <c r="C821" t="s">
        <v>133</v>
      </c>
      <c r="D821" s="10" t="s">
        <v>130</v>
      </c>
      <c r="E821" t="s">
        <v>2029</v>
      </c>
      <c r="F821">
        <v>170100</v>
      </c>
    </row>
    <row r="822" spans="1:6">
      <c r="A822" s="8">
        <v>45598</v>
      </c>
      <c r="B822" s="9" t="s">
        <v>203</v>
      </c>
      <c r="C822" t="s">
        <v>65</v>
      </c>
      <c r="D822" s="10" t="s">
        <v>70</v>
      </c>
      <c r="E822" t="s">
        <v>434</v>
      </c>
      <c r="F822">
        <v>20000</v>
      </c>
    </row>
    <row r="823" spans="1:6">
      <c r="A823" s="8">
        <v>45600</v>
      </c>
      <c r="B823" s="9" t="s">
        <v>1569</v>
      </c>
      <c r="C823" t="s">
        <v>65</v>
      </c>
      <c r="D823" s="10" t="s">
        <v>70</v>
      </c>
      <c r="E823" t="s">
        <v>2060</v>
      </c>
      <c r="F823">
        <v>47100</v>
      </c>
    </row>
    <row r="824" spans="1:6">
      <c r="A824" s="8">
        <v>45602</v>
      </c>
      <c r="B824" s="9" t="s">
        <v>863</v>
      </c>
      <c r="C824" t="s">
        <v>30</v>
      </c>
      <c r="D824" s="10" t="s">
        <v>70</v>
      </c>
      <c r="E824" t="s">
        <v>993</v>
      </c>
      <c r="F824">
        <v>0</v>
      </c>
    </row>
    <row r="825" spans="1:6">
      <c r="A825" s="8">
        <v>45608</v>
      </c>
      <c r="B825" s="9" t="s">
        <v>1569</v>
      </c>
      <c r="C825" t="s">
        <v>30</v>
      </c>
      <c r="D825" s="10" t="s">
        <v>70</v>
      </c>
      <c r="E825" t="s">
        <v>993</v>
      </c>
      <c r="F825">
        <v>0</v>
      </c>
    </row>
    <row r="826" spans="1:6">
      <c r="A826" s="8">
        <v>45611</v>
      </c>
      <c r="B826" s="9" t="s">
        <v>1368</v>
      </c>
      <c r="C826" t="s">
        <v>30</v>
      </c>
      <c r="D826" s="10" t="s">
        <v>70</v>
      </c>
      <c r="E826" t="s">
        <v>993</v>
      </c>
      <c r="F826">
        <v>0</v>
      </c>
    </row>
    <row r="827" spans="1:6">
      <c r="A827" s="8">
        <v>45622</v>
      </c>
      <c r="B827" s="9" t="s">
        <v>2072</v>
      </c>
      <c r="C827" t="s">
        <v>30</v>
      </c>
      <c r="D827" s="10" t="s">
        <v>70</v>
      </c>
      <c r="E827" t="s">
        <v>993</v>
      </c>
      <c r="F827">
        <v>0</v>
      </c>
    </row>
    <row r="828" spans="1:6">
      <c r="A828" s="8">
        <v>45624</v>
      </c>
      <c r="B828" s="9" t="s">
        <v>2075</v>
      </c>
      <c r="C828" t="s">
        <v>30</v>
      </c>
      <c r="D828" s="10" t="s">
        <v>70</v>
      </c>
      <c r="E828" t="s">
        <v>993</v>
      </c>
      <c r="F828">
        <v>500</v>
      </c>
    </row>
    <row r="829" spans="1:6">
      <c r="A829" s="8">
        <v>45626</v>
      </c>
      <c r="B829" s="9" t="s">
        <v>215</v>
      </c>
      <c r="C829" t="s">
        <v>30</v>
      </c>
      <c r="D829" s="10" t="s">
        <v>130</v>
      </c>
      <c r="E829" t="s">
        <v>2029</v>
      </c>
      <c r="F829">
        <v>10000</v>
      </c>
    </row>
    <row r="830" spans="1:6">
      <c r="A830" s="8">
        <v>45636</v>
      </c>
      <c r="B830" s="9" t="s">
        <v>2080</v>
      </c>
      <c r="C830" t="s">
        <v>30</v>
      </c>
      <c r="D830" s="10" t="s">
        <v>130</v>
      </c>
      <c r="E830" t="s">
        <v>2029</v>
      </c>
      <c r="F830">
        <v>0</v>
      </c>
    </row>
    <row r="831" spans="1:6">
      <c r="A831" s="8">
        <v>45637</v>
      </c>
      <c r="B831" s="9" t="s">
        <v>2083</v>
      </c>
      <c r="C831" t="s">
        <v>65</v>
      </c>
      <c r="D831" s="10" t="s">
        <v>130</v>
      </c>
      <c r="E831" t="s">
        <v>2029</v>
      </c>
      <c r="F831">
        <v>71000</v>
      </c>
    </row>
    <row r="832" spans="1:6">
      <c r="A832" s="8">
        <v>45638</v>
      </c>
      <c r="B832" s="9" t="s">
        <v>2087</v>
      </c>
      <c r="C832" t="s">
        <v>65</v>
      </c>
      <c r="D832" s="10" t="s">
        <v>130</v>
      </c>
      <c r="E832" t="s">
        <v>2029</v>
      </c>
      <c r="F832">
        <v>5000</v>
      </c>
    </row>
    <row r="833" spans="1:6">
      <c r="A833" s="8">
        <v>45640</v>
      </c>
      <c r="B833" s="9" t="s">
        <v>366</v>
      </c>
      <c r="C833" t="s">
        <v>30</v>
      </c>
      <c r="D833" s="10" t="s">
        <v>130</v>
      </c>
      <c r="E833" t="s">
        <v>2029</v>
      </c>
      <c r="F833">
        <v>5000</v>
      </c>
    </row>
    <row r="834" spans="1:6">
      <c r="A834" s="8">
        <v>45642</v>
      </c>
      <c r="B834" s="9" t="s">
        <v>2092</v>
      </c>
      <c r="C834" t="s">
        <v>65</v>
      </c>
      <c r="D834" s="10" t="s">
        <v>70</v>
      </c>
      <c r="E834" t="s">
        <v>2060</v>
      </c>
      <c r="F834">
        <v>0</v>
      </c>
    </row>
    <row r="835" spans="1:6">
      <c r="A835" s="8">
        <v>45656</v>
      </c>
      <c r="B835" s="9" t="s">
        <v>2101</v>
      </c>
      <c r="C835" t="s">
        <v>941</v>
      </c>
      <c r="D835" s="10" t="s">
        <v>130</v>
      </c>
      <c r="E835" t="s">
        <v>2029</v>
      </c>
      <c r="F835">
        <v>6500</v>
      </c>
    </row>
    <row r="836" spans="1:6">
      <c r="A836" s="8">
        <v>45656</v>
      </c>
      <c r="B836" s="9" t="s">
        <v>215</v>
      </c>
      <c r="C836" t="s">
        <v>30</v>
      </c>
      <c r="D836" s="10" t="s">
        <v>130</v>
      </c>
      <c r="E836" t="s">
        <v>2029</v>
      </c>
      <c r="F836">
        <v>10000</v>
      </c>
    </row>
    <row r="837" spans="1:6">
      <c r="A837" s="11">
        <v>45656</v>
      </c>
      <c r="B837" s="9" t="s">
        <v>863</v>
      </c>
      <c r="C837" t="s">
        <v>65</v>
      </c>
      <c r="D837" s="10" t="s">
        <v>130</v>
      </c>
      <c r="E837" t="s">
        <v>2029</v>
      </c>
      <c r="F837">
        <v>6500</v>
      </c>
    </row>
    <row r="838" spans="1:6">
      <c r="A838" s="11">
        <v>45656</v>
      </c>
      <c r="B838" s="9" t="s">
        <v>863</v>
      </c>
      <c r="C838" t="s">
        <v>133</v>
      </c>
      <c r="D838" s="10" t="s">
        <v>130</v>
      </c>
      <c r="E838" t="s">
        <v>2029</v>
      </c>
      <c r="F838">
        <v>6500</v>
      </c>
    </row>
    <row r="839" spans="1:6">
      <c r="A839" s="11">
        <v>45660</v>
      </c>
      <c r="B839" s="9" t="s">
        <v>1318</v>
      </c>
      <c r="C839" t="s">
        <v>30</v>
      </c>
      <c r="D839" s="10" t="s">
        <v>130</v>
      </c>
      <c r="E839" t="s">
        <v>2029</v>
      </c>
      <c r="F839">
        <v>5000</v>
      </c>
    </row>
    <row r="840" spans="1:6">
      <c r="A840" s="8">
        <v>45663</v>
      </c>
      <c r="B840" s="9" t="s">
        <v>2087</v>
      </c>
      <c r="C840" t="s">
        <v>65</v>
      </c>
      <c r="D840" s="10" t="s">
        <v>130</v>
      </c>
      <c r="E840" t="s">
        <v>2029</v>
      </c>
      <c r="F840">
        <v>5000</v>
      </c>
    </row>
    <row r="841" spans="1:6">
      <c r="A841" s="8">
        <v>45670</v>
      </c>
      <c r="B841" s="9" t="s">
        <v>829</v>
      </c>
      <c r="C841" t="s">
        <v>65</v>
      </c>
      <c r="D841" s="10" t="s">
        <v>70</v>
      </c>
      <c r="E841" t="s">
        <v>2060</v>
      </c>
      <c r="F841">
        <v>3000</v>
      </c>
    </row>
    <row r="842" spans="1:6">
      <c r="A842" s="8">
        <v>45671</v>
      </c>
      <c r="B842" s="9" t="s">
        <v>863</v>
      </c>
      <c r="C842" t="s">
        <v>65</v>
      </c>
      <c r="D842" s="10" t="s">
        <v>130</v>
      </c>
      <c r="E842" t="s">
        <v>2029</v>
      </c>
      <c r="F842">
        <v>50000</v>
      </c>
    </row>
    <row r="843" spans="1:6">
      <c r="A843" s="8">
        <v>45671</v>
      </c>
      <c r="B843" s="9" t="s">
        <v>863</v>
      </c>
      <c r="C843" t="s">
        <v>133</v>
      </c>
      <c r="D843" s="10" t="s">
        <v>130</v>
      </c>
      <c r="E843" t="s">
        <v>2029</v>
      </c>
      <c r="F843">
        <v>50000</v>
      </c>
    </row>
    <row r="844" spans="1:6">
      <c r="A844" s="11">
        <v>45671</v>
      </c>
      <c r="B844" s="9" t="s">
        <v>2682</v>
      </c>
      <c r="C844" t="s">
        <v>941</v>
      </c>
      <c r="D844" s="10" t="s">
        <v>130</v>
      </c>
      <c r="E844" t="s">
        <v>2029</v>
      </c>
      <c r="F844">
        <v>50000</v>
      </c>
    </row>
    <row r="845" spans="1:6">
      <c r="A845" s="11">
        <v>45679</v>
      </c>
      <c r="B845" s="9" t="s">
        <v>2114</v>
      </c>
      <c r="C845" t="s">
        <v>30</v>
      </c>
      <c r="D845" s="10" t="s">
        <v>130</v>
      </c>
      <c r="E845" t="s">
        <v>2029</v>
      </c>
      <c r="F845">
        <v>10000</v>
      </c>
    </row>
    <row r="846" spans="1:6">
      <c r="A846" s="8">
        <v>45680</v>
      </c>
      <c r="B846" s="9" t="s">
        <v>1754</v>
      </c>
      <c r="C846" t="s">
        <v>30</v>
      </c>
      <c r="D846" s="10" t="s">
        <v>130</v>
      </c>
      <c r="E846" t="s">
        <v>2029</v>
      </c>
      <c r="F846">
        <v>15000</v>
      </c>
    </row>
    <row r="847" spans="1:6">
      <c r="A847" s="8">
        <v>45681</v>
      </c>
      <c r="B847" s="9" t="s">
        <v>2120</v>
      </c>
      <c r="C847" t="s">
        <v>30</v>
      </c>
      <c r="D847" s="10" t="s">
        <v>130</v>
      </c>
      <c r="E847" t="s">
        <v>993</v>
      </c>
      <c r="F847">
        <v>0</v>
      </c>
    </row>
    <row r="848" spans="1:6">
      <c r="A848" s="8">
        <v>45693</v>
      </c>
      <c r="B848" s="9" t="s">
        <v>863</v>
      </c>
      <c r="C848" t="s">
        <v>65</v>
      </c>
      <c r="D848" s="10" t="s">
        <v>130</v>
      </c>
      <c r="E848" t="s">
        <v>2029</v>
      </c>
      <c r="F848">
        <v>3675</v>
      </c>
    </row>
    <row r="849" spans="1:6">
      <c r="A849" s="8">
        <v>45693</v>
      </c>
      <c r="B849" s="9" t="s">
        <v>863</v>
      </c>
      <c r="C849" t="s">
        <v>133</v>
      </c>
      <c r="D849" s="10" t="s">
        <v>130</v>
      </c>
      <c r="E849" t="s">
        <v>2029</v>
      </c>
      <c r="F849">
        <v>3675</v>
      </c>
    </row>
    <row r="850" spans="1:6">
      <c r="A850" s="11">
        <v>45693</v>
      </c>
      <c r="B850" s="9" t="s">
        <v>2682</v>
      </c>
      <c r="C850" t="s">
        <v>941</v>
      </c>
      <c r="D850" s="10" t="s">
        <v>130</v>
      </c>
      <c r="E850" t="s">
        <v>2029</v>
      </c>
      <c r="F850">
        <v>3675</v>
      </c>
    </row>
    <row r="851" spans="1:6">
      <c r="A851" s="11">
        <v>45700</v>
      </c>
      <c r="B851" s="9" t="s">
        <v>2683</v>
      </c>
      <c r="C851" t="s">
        <v>30</v>
      </c>
      <c r="D851" s="10" t="s">
        <v>632</v>
      </c>
      <c r="E851" t="s">
        <v>450</v>
      </c>
      <c r="F851">
        <v>0</v>
      </c>
    </row>
    <row r="852" spans="1:6">
      <c r="A852" s="8">
        <v>45705</v>
      </c>
      <c r="B852" s="9" t="s">
        <v>2127</v>
      </c>
      <c r="C852" t="s">
        <v>30</v>
      </c>
      <c r="D852" s="10" t="s">
        <v>632</v>
      </c>
      <c r="E852" t="s">
        <v>450</v>
      </c>
      <c r="F852">
        <v>0</v>
      </c>
    </row>
    <row r="853" spans="1:6">
      <c r="A853" s="8">
        <v>45705</v>
      </c>
      <c r="B853" s="9" t="s">
        <v>2684</v>
      </c>
      <c r="C853" t="s">
        <v>30</v>
      </c>
      <c r="D853" s="10" t="s">
        <v>632</v>
      </c>
      <c r="E853" t="s">
        <v>450</v>
      </c>
      <c r="F853">
        <v>10000</v>
      </c>
    </row>
    <row r="854" spans="1:6">
      <c r="A854" s="11">
        <v>45706</v>
      </c>
      <c r="B854" s="9" t="s">
        <v>2130</v>
      </c>
      <c r="C854" t="s">
        <v>30</v>
      </c>
      <c r="D854" s="10" t="s">
        <v>632</v>
      </c>
      <c r="E854" t="s">
        <v>450</v>
      </c>
      <c r="F854">
        <v>50000</v>
      </c>
    </row>
    <row r="855" spans="1:6">
      <c r="A855" s="8">
        <v>45708</v>
      </c>
      <c r="B855" s="9" t="s">
        <v>863</v>
      </c>
      <c r="C855" t="s">
        <v>30</v>
      </c>
      <c r="D855" s="10" t="s">
        <v>632</v>
      </c>
      <c r="E855" t="s">
        <v>450</v>
      </c>
      <c r="F855">
        <v>12000</v>
      </c>
    </row>
    <row r="856" spans="1:6">
      <c r="A856" s="8">
        <v>45711</v>
      </c>
      <c r="B856" s="9" t="s">
        <v>215</v>
      </c>
      <c r="C856" t="s">
        <v>30</v>
      </c>
      <c r="D856" s="10" t="s">
        <v>632</v>
      </c>
      <c r="E856" t="s">
        <v>450</v>
      </c>
      <c r="F856">
        <v>10000</v>
      </c>
    </row>
    <row r="857" spans="1:6">
      <c r="A857" s="8">
        <v>45712</v>
      </c>
      <c r="B857" s="9" t="s">
        <v>2138</v>
      </c>
      <c r="C857" t="s">
        <v>30</v>
      </c>
      <c r="D857" s="10" t="s">
        <v>632</v>
      </c>
      <c r="E857" t="s">
        <v>450</v>
      </c>
      <c r="F857">
        <v>20000</v>
      </c>
    </row>
    <row r="858" spans="1:6">
      <c r="A858" s="8">
        <v>45712</v>
      </c>
      <c r="B858" s="9" t="s">
        <v>863</v>
      </c>
      <c r="C858" t="s">
        <v>30</v>
      </c>
      <c r="D858" s="10" t="s">
        <v>632</v>
      </c>
      <c r="E858" t="s">
        <v>450</v>
      </c>
      <c r="F858">
        <v>10000</v>
      </c>
    </row>
    <row r="859" spans="1:6">
      <c r="A859" s="11">
        <v>45715</v>
      </c>
      <c r="B859" s="9" t="s">
        <v>1888</v>
      </c>
      <c r="C859" t="s">
        <v>30</v>
      </c>
      <c r="D859" s="10" t="s">
        <v>632</v>
      </c>
      <c r="E859" t="s">
        <v>450</v>
      </c>
      <c r="F859">
        <v>35000</v>
      </c>
    </row>
    <row r="860" spans="1:6">
      <c r="A860" s="8">
        <v>45716</v>
      </c>
      <c r="B860" s="9" t="s">
        <v>2145</v>
      </c>
      <c r="C860" t="s">
        <v>30</v>
      </c>
      <c r="D860" s="10" t="s">
        <v>632</v>
      </c>
      <c r="E860" t="s">
        <v>450</v>
      </c>
      <c r="F860">
        <v>3000</v>
      </c>
    </row>
    <row r="861" spans="1:6">
      <c r="A861" s="8">
        <v>45716</v>
      </c>
      <c r="B861" s="9" t="s">
        <v>863</v>
      </c>
      <c r="C861" t="s">
        <v>30</v>
      </c>
      <c r="D861" s="10" t="s">
        <v>632</v>
      </c>
      <c r="E861" t="s">
        <v>450</v>
      </c>
      <c r="F861">
        <v>20000</v>
      </c>
    </row>
    <row r="862" spans="1:6">
      <c r="A862" s="12" t="s">
        <v>2680</v>
      </c>
      <c r="B862" s="9" t="s">
        <v>1169</v>
      </c>
      <c r="C862" t="s">
        <v>30</v>
      </c>
      <c r="D862" s="10" t="s">
        <v>632</v>
      </c>
      <c r="E862" t="s">
        <v>450</v>
      </c>
      <c r="F862">
        <v>0</v>
      </c>
    </row>
    <row r="863" spans="1:6">
      <c r="A863" s="13" t="s">
        <v>2680</v>
      </c>
      <c r="B863" s="9" t="s">
        <v>1487</v>
      </c>
      <c r="C863" t="s">
        <v>30</v>
      </c>
      <c r="D863" s="10" t="s">
        <v>632</v>
      </c>
      <c r="E863" t="s">
        <v>450</v>
      </c>
      <c r="F863">
        <v>0</v>
      </c>
    </row>
    <row r="864" spans="1:6">
      <c r="A864" s="12" t="s">
        <v>2680</v>
      </c>
      <c r="B864" s="9" t="s">
        <v>36</v>
      </c>
      <c r="C864" t="s">
        <v>30</v>
      </c>
      <c r="D864" s="10" t="s">
        <v>2680</v>
      </c>
      <c r="E864" t="s">
        <v>2680</v>
      </c>
      <c r="F864">
        <v>3000</v>
      </c>
    </row>
    <row r="865" spans="1:6">
      <c r="A865" s="12" t="s">
        <v>2680</v>
      </c>
      <c r="B865" s="9" t="s">
        <v>41</v>
      </c>
      <c r="C865" t="s">
        <v>30</v>
      </c>
      <c r="D865" s="10" t="s">
        <v>2680</v>
      </c>
      <c r="E865" t="s">
        <v>2680</v>
      </c>
      <c r="F865">
        <v>3800</v>
      </c>
    </row>
    <row r="866" spans="1:6">
      <c r="A866" s="12" t="s">
        <v>2680</v>
      </c>
      <c r="B866" s="9" t="s">
        <v>47</v>
      </c>
      <c r="C866" t="s">
        <v>30</v>
      </c>
      <c r="D866" s="10" t="s">
        <v>2680</v>
      </c>
      <c r="E866" t="s">
        <v>2680</v>
      </c>
      <c r="F866">
        <v>20000</v>
      </c>
    </row>
    <row r="867" spans="1:6">
      <c r="A867" s="12" t="s">
        <v>2680</v>
      </c>
      <c r="B867" s="9" t="s">
        <v>51</v>
      </c>
      <c r="C867" t="s">
        <v>30</v>
      </c>
      <c r="D867" s="10" t="s">
        <v>2680</v>
      </c>
      <c r="E867" t="s">
        <v>2680</v>
      </c>
      <c r="F867">
        <v>0</v>
      </c>
    </row>
    <row r="868" spans="1:6">
      <c r="A868" s="12" t="s">
        <v>2680</v>
      </c>
      <c r="B868" s="9" t="s">
        <v>27</v>
      </c>
      <c r="C868" t="s">
        <v>30</v>
      </c>
      <c r="D868" s="10" t="s">
        <v>2680</v>
      </c>
      <c r="E868" t="s">
        <v>2680</v>
      </c>
      <c r="F868">
        <v>1000</v>
      </c>
    </row>
    <row r="869" spans="1:6">
      <c r="A869" s="12" t="s">
        <v>2680</v>
      </c>
      <c r="B869" s="9" t="s">
        <v>797</v>
      </c>
      <c r="C869" t="s">
        <v>65</v>
      </c>
      <c r="D869" s="10" t="s">
        <v>70</v>
      </c>
      <c r="E869" t="s">
        <v>1977</v>
      </c>
      <c r="F869">
        <v>0</v>
      </c>
    </row>
    <row r="870" spans="1:6">
      <c r="A870" s="12" t="s">
        <v>2680</v>
      </c>
      <c r="B870" s="9" t="s">
        <v>1814</v>
      </c>
      <c r="C870" t="s">
        <v>30</v>
      </c>
      <c r="D870" s="10" t="s">
        <v>632</v>
      </c>
      <c r="E870" t="s">
        <v>450</v>
      </c>
      <c r="F870">
        <v>0</v>
      </c>
    </row>
    <row r="871" spans="1:6">
      <c r="A871" s="13" t="s">
        <v>2680</v>
      </c>
      <c r="B871" s="10" t="s">
        <v>34</v>
      </c>
      <c r="C871" s="14" t="s">
        <v>30</v>
      </c>
      <c r="D871" s="10" t="s">
        <v>2680</v>
      </c>
      <c r="E871" s="14" t="s">
        <v>2680</v>
      </c>
      <c r="F871" s="14">
        <v>0</v>
      </c>
    </row>
  </sheetData>
  <sheetProtection formatCells="0" formatColumns="0" formatRows="0" insertRows="0" insertColumns="0" insertHyperlinks="0" deleteColumns="0" deleteRows="0" sort="0" autoFilter="0" pivotTables="0"/>
  <pageMargins left="0.75" right="0.75"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C20"/>
  <sheetViews>
    <sheetView workbookViewId="0">
      <selection activeCell="D19" sqref="D19"/>
    </sheetView>
  </sheetViews>
  <sheetFormatPr defaultColWidth="9.64166666666667" defaultRowHeight="13.5" outlineLevelCol="2"/>
  <cols>
    <col min="1" max="1" width="17.125"/>
    <col min="2" max="5" width="25.125"/>
  </cols>
  <sheetData>
    <row r="3" spans="1:3">
      <c r="A3" t="s">
        <v>13</v>
      </c>
      <c r="B3" t="s">
        <v>2686</v>
      </c>
    </row>
    <row r="4" spans="1:3">
      <c r="A4" s="3" t="s">
        <v>65</v>
      </c>
      <c r="B4">
        <v>921725</v>
      </c>
    </row>
    <row r="5" spans="1:3">
      <c r="A5" t="s">
        <v>515</v>
      </c>
      <c r="B5">
        <v>16568</v>
      </c>
      <c r="C5" t="s">
        <v>2687</v>
      </c>
    </row>
    <row r="6" spans="1:3">
      <c r="A6" s="3" t="s">
        <v>133</v>
      </c>
      <c r="B6">
        <v>780430.69</v>
      </c>
    </row>
    <row r="7" spans="1:3">
      <c r="A7" s="3" t="s">
        <v>2672</v>
      </c>
      <c r="B7">
        <v>6950</v>
      </c>
    </row>
    <row r="8" spans="1:3">
      <c r="A8" s="3" t="s">
        <v>941</v>
      </c>
      <c r="B8">
        <v>813179.37</v>
      </c>
    </row>
    <row r="9" spans="1:3">
      <c r="A9" t="s">
        <v>968</v>
      </c>
      <c r="B9">
        <v>26800</v>
      </c>
      <c r="C9" t="s">
        <v>2687</v>
      </c>
    </row>
    <row r="10" spans="1:3">
      <c r="A10" t="s">
        <v>753</v>
      </c>
      <c r="B10">
        <v>14300</v>
      </c>
    </row>
    <row r="11" spans="1:3">
      <c r="A11" s="3" t="s">
        <v>30</v>
      </c>
      <c r="B11">
        <v>681075</v>
      </c>
    </row>
    <row r="12" spans="1:3">
      <c r="A12" t="s">
        <v>2681</v>
      </c>
      <c r="B12">
        <v>5000</v>
      </c>
    </row>
    <row r="13" spans="1:3">
      <c r="A13" t="s">
        <v>836</v>
      </c>
      <c r="B13">
        <v>4160</v>
      </c>
      <c r="C13" t="s">
        <v>2687</v>
      </c>
    </row>
    <row r="14" spans="1:3">
      <c r="A14" t="s">
        <v>2680</v>
      </c>
    </row>
    <row r="15" spans="1:3">
      <c r="A15" t="s">
        <v>2685</v>
      </c>
      <c r="B15">
        <v>3270188.06</v>
      </c>
    </row>
    <row r="20" spans="1:3">
      <c r="A20" t="s">
        <v>2688</v>
      </c>
      <c r="B20" t="s">
        <v>2689</v>
      </c>
      <c r="C20" t="s">
        <v>2690</v>
      </c>
    </row>
  </sheetData>
  <sheetProtection formatCells="0" formatColumns="0" formatRows="0" insertRows="0" insertColumns="0" insertHyperlinks="0" deleteColumns="0" deleteRows="0" sort="0" autoFilter="0" pivotTables="0"/>
  <pageMargins left="0.75" right="0.75" top="1" bottom="1" header="0.5" footer="0.5"/>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720"/>
  <sheetViews>
    <sheetView workbookViewId="0">
      <pane xSplit="1" ySplit="1" topLeftCell="B671" activePane="bottomRight" state="frozen"/>
      <selection/>
      <selection pane="topRight"/>
      <selection pane="bottomLeft"/>
      <selection pane="bottomRight" activeCell="G678" sqref="G678"/>
    </sheetView>
  </sheetViews>
  <sheetFormatPr defaultColWidth="9.64166666666667" defaultRowHeight="13.5"/>
  <cols>
    <col min="1" max="1" width="33.8916666666667" customWidth="1"/>
    <col min="2" max="2" width="27.65" style="1" customWidth="1"/>
    <col min="5" max="5" width="20.3833333333333" customWidth="1"/>
    <col min="7" max="8" width="9.46666666666667"/>
  </cols>
  <sheetData>
    <row r="1" spans="1:15">
      <c r="A1" t="s">
        <v>2691</v>
      </c>
      <c r="B1" s="1" t="s">
        <v>2692</v>
      </c>
      <c r="C1" t="s">
        <v>2691</v>
      </c>
      <c r="D1" s="1" t="s">
        <v>2692</v>
      </c>
      <c r="E1" t="s">
        <v>2691</v>
      </c>
      <c r="F1" s="1" t="s">
        <v>2692</v>
      </c>
      <c r="G1" t="s">
        <v>2691</v>
      </c>
      <c r="H1" s="1" t="s">
        <v>2692</v>
      </c>
      <c r="I1" t="s">
        <v>2691</v>
      </c>
      <c r="J1" s="1" t="s">
        <v>2692</v>
      </c>
      <c r="K1" t="s">
        <v>2691</v>
      </c>
      <c r="L1" s="1" t="s">
        <v>2692</v>
      </c>
      <c r="M1" t="s">
        <v>2691</v>
      </c>
      <c r="N1" s="1" t="s">
        <v>2692</v>
      </c>
      <c r="O1" t="s">
        <v>2691</v>
      </c>
    </row>
    <row r="2" spans="1:15">
      <c r="A2" t="s">
        <v>26</v>
      </c>
      <c r="B2" s="1">
        <v>182</v>
      </c>
      <c r="C2">
        <f>_xlfn.XLOOKUP(A2,保证金登记!B:B,保证金登记!E:E)</f>
        <v>0</v>
      </c>
      <c r="D2" t="str">
        <f t="array" ref="D2">_xlfn.XLOOKUP(B2,1*[2]保证金申请!$A:$A,[2]保证金申请!$C:$C)</f>
        <v/>
      </c>
      <c r="E2" t="str">
        <f>_xlfn.XLOOKUP(A2,保证金登记!B:B,保证金登记!I:I)</f>
        <v>三门峡腾跃同力水泥有限公司</v>
      </c>
      <c r="F2" t="str">
        <f t="array" ref="F2">_xlfn.XLOOKUP(B2,1*[2]保证金申请!$A:$A,[2]保证金申请!$Q:$Q)</f>
        <v>三门峡腾跃同力水泥有限公司</v>
      </c>
      <c r="G2">
        <f>_xlfn.XLOOKUP(A2,保证金登记!B:B,保证金登记!J:J)</f>
        <v>1000</v>
      </c>
      <c r="H2">
        <f t="array" ref="H2">_xlfn.XLOOKUP(B2,1*[2]保证金申请!$A:$A,[2]保证金申请!$K:$K)</f>
        <v>1000</v>
      </c>
      <c r="I2" t="e">
        <f t="shared" ref="I2:I65" si="0">C2-D2</f>
        <v>#VALUE!</v>
      </c>
      <c r="J2">
        <f t="shared" ref="J2:J65" si="1">G2-H2</f>
        <v>0</v>
      </c>
      <c r="K2" t="b">
        <f t="shared" ref="K2:K65" si="2">EXACT(E2,F2)</f>
        <v>1</v>
      </c>
    </row>
    <row r="3" spans="1:15">
      <c r="A3" t="s">
        <v>33</v>
      </c>
      <c r="B3" s="1">
        <v>183</v>
      </c>
      <c r="C3">
        <f>_xlfn.XLOOKUP(A3,保证金登记!B:B,保证金登记!E:E)</f>
        <v>0</v>
      </c>
      <c r="D3" t="str">
        <f t="array" ref="D3">_xlfn.XLOOKUP(B3,1*[2]保证金申请!$A:$A,[2]保证金申请!$C:$C)</f>
        <v/>
      </c>
      <c r="E3" t="str">
        <f>_xlfn.XLOOKUP(A3,保证金登记!B:B,保证金登记!I:I)</f>
        <v>云南西南水泥有限公司</v>
      </c>
      <c r="F3" t="str">
        <f t="array" ref="F3">_xlfn.XLOOKUP(B3,1*[2]保证金申请!$A:$A,[2]保证金申请!$Q:$Q)</f>
        <v>云南西南水泥有限公司</v>
      </c>
      <c r="G3">
        <f>_xlfn.XLOOKUP(A3,保证金登记!B:B,保证金登记!J:J)</f>
        <v>50000</v>
      </c>
      <c r="H3">
        <f t="array" ref="H3">_xlfn.XLOOKUP(B3,1*[2]保证金申请!$A:$A,[2]保证金申请!$K:$K)</f>
        <v>50000</v>
      </c>
      <c r="I3" t="e">
        <f t="shared" si="0"/>
        <v>#VALUE!</v>
      </c>
      <c r="J3">
        <f t="shared" si="1"/>
        <v>0</v>
      </c>
      <c r="K3" t="b">
        <f t="shared" si="2"/>
        <v>1</v>
      </c>
    </row>
    <row r="4" spans="1:15">
      <c r="A4" t="s">
        <v>35</v>
      </c>
      <c r="B4" s="1">
        <v>184</v>
      </c>
      <c r="C4">
        <f>_xlfn.XLOOKUP(A4,保证金登记!B:B,保证金登记!E:E)</f>
        <v>0</v>
      </c>
      <c r="D4" t="str">
        <f t="array" ref="D4">_xlfn.XLOOKUP(B4,1*[2]保证金申请!$A:$A,[2]保证金申请!$C:$C)</f>
        <v/>
      </c>
      <c r="E4" t="str">
        <f>_xlfn.XLOOKUP(A4,保证金登记!B:B,保证金登记!I:I)</f>
        <v>淮北众城水泥有限责任公司</v>
      </c>
      <c r="F4" t="str">
        <f t="array" ref="F4">_xlfn.XLOOKUP(B4,1*[2]保证金申请!$A:$A,[2]保证金申请!$Q:$Q)</f>
        <v>淮北众城水泥有限责任公司</v>
      </c>
      <c r="G4">
        <f>_xlfn.XLOOKUP(A4,保证金登记!B:B,保证金登记!J:J)</f>
        <v>3000</v>
      </c>
      <c r="H4">
        <f t="array" ref="H4">_xlfn.XLOOKUP(B4,1*[2]保证金申请!$A:$A,[2]保证金申请!$K:$K)</f>
        <v>3000</v>
      </c>
      <c r="I4" t="e">
        <f t="shared" si="0"/>
        <v>#VALUE!</v>
      </c>
      <c r="J4">
        <f t="shared" si="1"/>
        <v>0</v>
      </c>
      <c r="K4" t="b">
        <f t="shared" si="2"/>
        <v>1</v>
      </c>
    </row>
    <row r="5" spans="1:15">
      <c r="A5" t="s">
        <v>39</v>
      </c>
      <c r="B5" s="1">
        <v>186</v>
      </c>
      <c r="C5">
        <f>_xlfn.XLOOKUP(A5,保证金登记!B:B,保证金登记!E:E)</f>
        <v>0</v>
      </c>
      <c r="D5" t="str">
        <f t="array" ref="D5">_xlfn.XLOOKUP(B5,1*[2]保证金申请!$A:$A,[2]保证金申请!$C:$C)</f>
        <v/>
      </c>
      <c r="E5" t="str">
        <f>_xlfn.XLOOKUP(A5,保证金登记!B:B,保证金登记!I:I)</f>
        <v>吉林亚泰集团物资贸易有限公司</v>
      </c>
      <c r="F5" t="str">
        <f t="array" ref="F5">_xlfn.XLOOKUP(B5,1*[2]保证金申请!$A:$A,[2]保证金申请!$Q:$Q)</f>
        <v>吉林亚泰（集团）股份有限公司物资经销分公司</v>
      </c>
      <c r="G5">
        <f>_xlfn.XLOOKUP(A5,保证金登记!B:B,保证金登记!J:J)</f>
        <v>3800</v>
      </c>
      <c r="H5">
        <f t="array" ref="H5">_xlfn.XLOOKUP(B5,1*[2]保证金申请!$A:$A,[2]保证金申请!$K:$K)</f>
        <v>3800</v>
      </c>
      <c r="I5" t="e">
        <f t="shared" si="0"/>
        <v>#VALUE!</v>
      </c>
      <c r="J5">
        <f t="shared" si="1"/>
        <v>0</v>
      </c>
      <c r="K5" t="b">
        <f t="shared" si="2"/>
        <v>0</v>
      </c>
    </row>
    <row r="6" spans="1:15">
      <c r="A6" t="s">
        <v>46</v>
      </c>
      <c r="B6" s="1">
        <v>187</v>
      </c>
      <c r="C6">
        <f>_xlfn.XLOOKUP(A6,保证金登记!B:B,保证金登记!E:E)</f>
        <v>0</v>
      </c>
      <c r="D6" t="str">
        <f t="array" ref="D6">_xlfn.XLOOKUP(B6,1*[2]保证金申请!$A:$A,[2]保证金申请!$C:$C)</f>
        <v/>
      </c>
      <c r="E6" t="str">
        <f>_xlfn.XLOOKUP(A6,保证金登记!B:B,保证金登记!I:I)</f>
        <v>江苏永钢集团物资贸易有限公司</v>
      </c>
      <c r="F6" t="str">
        <f t="array" ref="F6">_xlfn.XLOOKUP(B6,1*[2]保证金申请!$A:$A,[2]保证金申请!$Q:$Q)</f>
        <v>江苏永钢集团物资贸易有限公司</v>
      </c>
      <c r="G6">
        <f>_xlfn.XLOOKUP(A6,保证金登记!B:B,保证金登记!J:J)</f>
        <v>20000</v>
      </c>
      <c r="H6">
        <f t="array" ref="H6">_xlfn.XLOOKUP(B6,1*[2]保证金申请!$A:$A,[2]保证金申请!$K:$K)</f>
        <v>20000</v>
      </c>
      <c r="I6" t="e">
        <f t="shared" si="0"/>
        <v>#VALUE!</v>
      </c>
      <c r="J6">
        <f t="shared" si="1"/>
        <v>0</v>
      </c>
      <c r="K6" t="b">
        <f t="shared" si="2"/>
        <v>1</v>
      </c>
    </row>
    <row r="7" spans="1:15">
      <c r="A7" t="s">
        <v>50</v>
      </c>
      <c r="B7" s="1">
        <v>188</v>
      </c>
      <c r="C7">
        <f>_xlfn.XLOOKUP(A7,保证金登记!B:B,保证金登记!E:E)</f>
        <v>0</v>
      </c>
      <c r="D7" t="str">
        <f t="array" ref="D7">_xlfn.XLOOKUP(B7,1*[2]保证金申请!$A:$A,[2]保证金申请!$C:$C)</f>
        <v/>
      </c>
      <c r="E7" t="str">
        <f>_xlfn.XLOOKUP(A7,保证金登记!B:B,保证金登记!I:I)</f>
        <v>酒泉钢铁（集团）有限公司</v>
      </c>
      <c r="F7" t="str">
        <f t="array" ref="F7">_xlfn.XLOOKUP(B7,1*[2]保证金申请!$A:$A,[2]保证金申请!$Q:$Q)</f>
        <v>酒泉钢铁（集团）有限公司</v>
      </c>
      <c r="G7">
        <f>_xlfn.XLOOKUP(A7,保证金登记!B:B,保证金登记!J:J)</f>
        <v>300</v>
      </c>
      <c r="H7">
        <f t="array" ref="H7">_xlfn.XLOOKUP(B7,1*[2]保证金申请!$A:$A,[2]保证金申请!$K:$K)</f>
        <v>300</v>
      </c>
      <c r="I7" t="e">
        <f t="shared" si="0"/>
        <v>#VALUE!</v>
      </c>
      <c r="J7">
        <f t="shared" si="1"/>
        <v>0</v>
      </c>
      <c r="K7" t="b">
        <f t="shared" si="2"/>
        <v>1</v>
      </c>
    </row>
    <row r="8" spans="1:15">
      <c r="A8" t="s">
        <v>53</v>
      </c>
      <c r="B8" s="1">
        <v>185</v>
      </c>
      <c r="C8">
        <f>_xlfn.XLOOKUP(A8,保证金登记!B:B,保证金登记!E:E)</f>
        <v>42390</v>
      </c>
      <c r="D8" t="str">
        <f t="array" ref="D8">_xlfn.XLOOKUP(B8,1*[2]保证金申请!$A:$A,[2]保证金申请!$C:$C)</f>
        <v>2016-01-21</v>
      </c>
      <c r="E8" t="str">
        <f>_xlfn.XLOOKUP(A8,保证金登记!B:B,保证金登记!I:I)</f>
        <v>亚泰集团伊通水泥有限公司</v>
      </c>
      <c r="F8" t="str">
        <f t="array" ref="F8">_xlfn.XLOOKUP(B8,1*[2]保证金申请!$A:$A,[2]保证金申请!$Q:$Q)</f>
        <v>亚泰伊通</v>
      </c>
      <c r="G8">
        <f>_xlfn.XLOOKUP(A8,保证金登记!B:B,保证金登记!J:J)</f>
        <v>20000</v>
      </c>
      <c r="H8">
        <f t="array" ref="H8">_xlfn.XLOOKUP(B8,1*[2]保证金申请!$A:$A,[2]保证金申请!$K:$K)</f>
        <v>20000</v>
      </c>
      <c r="I8">
        <f t="shared" si="0"/>
        <v>0</v>
      </c>
      <c r="J8">
        <f t="shared" si="1"/>
        <v>0</v>
      </c>
      <c r="K8" t="b">
        <f t="shared" si="2"/>
        <v>0</v>
      </c>
    </row>
    <row r="9" spans="1:15">
      <c r="A9" t="s">
        <v>59</v>
      </c>
      <c r="B9" s="1">
        <v>189</v>
      </c>
      <c r="C9">
        <f>_xlfn.XLOOKUP(A9,保证金登记!B:B,保证金登记!E:E)</f>
        <v>42400</v>
      </c>
      <c r="D9" t="str">
        <f t="array" ref="D9">_xlfn.XLOOKUP(B9,1*[2]保证金申请!$A:$A,[2]保证金申请!$C:$C)</f>
        <v>2016-01-31</v>
      </c>
      <c r="E9" t="str">
        <f>_xlfn.XLOOKUP(A9,保证金登记!B:B,保证金登记!I:I)</f>
        <v>江苏沙钢集团有限公司</v>
      </c>
      <c r="F9" t="str">
        <f t="array" ref="F9">_xlfn.XLOOKUP(B9,1*[2]保证金申请!$A:$A,[2]保证金申请!$Q:$Q)</f>
        <v>江苏沙钢集团有限公司</v>
      </c>
      <c r="G9">
        <f>_xlfn.XLOOKUP(A9,保证金登记!B:B,保证金登记!J:J)</f>
        <v>10000</v>
      </c>
      <c r="H9">
        <f t="array" ref="H9">_xlfn.XLOOKUP(B9,1*[2]保证金申请!$A:$A,[2]保证金申请!$K:$K)</f>
        <v>10000</v>
      </c>
      <c r="I9">
        <f t="shared" si="0"/>
        <v>0</v>
      </c>
      <c r="J9">
        <f t="shared" si="1"/>
        <v>0</v>
      </c>
      <c r="K9" t="b">
        <f t="shared" si="2"/>
        <v>1</v>
      </c>
    </row>
    <row r="10" spans="1:15">
      <c r="A10" t="s">
        <v>64</v>
      </c>
      <c r="B10" s="1">
        <v>1</v>
      </c>
      <c r="C10">
        <f>_xlfn.XLOOKUP(A10,保证金登记!B:B,保证金登记!E:E)</f>
        <v>42887</v>
      </c>
      <c r="D10" t="str">
        <f t="array" ref="D10">_xlfn.XLOOKUP(B10,1*[2]保证金申请!$A:$A,[2]保证金申请!$C:$C)</f>
        <v>2017-06-01</v>
      </c>
      <c r="E10" t="str">
        <f>_xlfn.XLOOKUP(A10,保证金登记!B:B,保证金登记!I:I)</f>
        <v>江苏沙钢集团有限公司</v>
      </c>
      <c r="F10" t="str">
        <f t="array" ref="F10">_xlfn.XLOOKUP(B10,1*[2]保证金申请!$A:$A,[2]保证金申请!$Q:$Q)</f>
        <v>江苏沙钢集团有限公司</v>
      </c>
      <c r="G10">
        <f>_xlfn.XLOOKUP(A10,保证金登记!B:B,保证金登记!J:J)</f>
        <v>10000</v>
      </c>
      <c r="H10">
        <f t="array" ref="H10">_xlfn.XLOOKUP(B10,1*[2]保证金申请!$A:$A,[2]保证金申请!$K:$K)</f>
        <v>10000</v>
      </c>
      <c r="I10">
        <f t="shared" si="0"/>
        <v>0</v>
      </c>
      <c r="J10">
        <f t="shared" si="1"/>
        <v>0</v>
      </c>
      <c r="K10" t="b">
        <f t="shared" si="2"/>
        <v>1</v>
      </c>
    </row>
    <row r="11" spans="1:15">
      <c r="A11" t="s">
        <v>67</v>
      </c>
      <c r="B11" s="1">
        <v>190</v>
      </c>
      <c r="C11">
        <f>_xlfn.XLOOKUP(A11,保证金登记!B:B,保证金登记!E:E)</f>
        <v>43475</v>
      </c>
      <c r="D11" t="str">
        <f t="array" ref="D11">_xlfn.XLOOKUP(B11,1*[2]保证金申请!$A:$A,[2]保证金申请!$C:$C)</f>
        <v>2019-01-10</v>
      </c>
      <c r="E11" t="str">
        <f>_xlfn.XLOOKUP(A11,保证金登记!B:B,保证金登记!I:I)</f>
        <v>江苏沙钢集团有限公司</v>
      </c>
      <c r="F11" t="str">
        <f t="array" ref="F11">_xlfn.XLOOKUP(B11,1*[2]保证金申请!$A:$A,[2]保证金申请!$Q:$Q)</f>
        <v>江苏沙钢集团有限公司</v>
      </c>
      <c r="G11">
        <f>_xlfn.XLOOKUP(A11,保证金登记!B:B,保证金登记!J:J)</f>
        <v>50000</v>
      </c>
      <c r="H11">
        <f t="array" ref="H11">_xlfn.XLOOKUP(B11,1*[2]保证金申请!$A:$A,[2]保证金申请!$K:$K)</f>
        <v>50000</v>
      </c>
      <c r="I11">
        <f t="shared" si="0"/>
        <v>0</v>
      </c>
      <c r="J11">
        <f t="shared" si="1"/>
        <v>0</v>
      </c>
      <c r="K11" t="b">
        <f t="shared" si="2"/>
        <v>1</v>
      </c>
    </row>
    <row r="12" spans="1:15">
      <c r="A12" t="s">
        <v>69</v>
      </c>
      <c r="B12" s="1">
        <v>5</v>
      </c>
      <c r="C12">
        <f>_xlfn.XLOOKUP(A12,保证金登记!B:B,保证金登记!E:E)</f>
        <v>43113</v>
      </c>
      <c r="D12" t="str">
        <f t="array" ref="D12">_xlfn.XLOOKUP(B12,1*[2]保证金申请!$A:$A,[2]保证金申请!$C:$C)</f>
        <v>2018-01-13</v>
      </c>
      <c r="E12" t="str">
        <f>_xlfn.XLOOKUP(A12,保证金登记!B:B,保证金登记!I:I)</f>
        <v>永登祁连山水泥有限公司</v>
      </c>
      <c r="F12" t="str">
        <f t="array" ref="F12">_xlfn.XLOOKUP(B12,1*[2]保证金申请!$A:$A,[2]保证金申请!$Q:$Q)</f>
        <v>永登祁连山水泥有限公司</v>
      </c>
      <c r="G12">
        <f>_xlfn.XLOOKUP(A12,保证金登记!B:B,保证金登记!J:J)</f>
        <v>2000</v>
      </c>
      <c r="H12">
        <f t="array" ref="H12">_xlfn.XLOOKUP(B12,1*[2]保证金申请!$A:$A,[2]保证金申请!$K:$K)</f>
        <v>2000</v>
      </c>
      <c r="I12">
        <f t="shared" si="0"/>
        <v>0</v>
      </c>
      <c r="J12">
        <f t="shared" si="1"/>
        <v>0</v>
      </c>
      <c r="K12" t="b">
        <f t="shared" si="2"/>
        <v>1</v>
      </c>
    </row>
    <row r="13" spans="1:15">
      <c r="A13" t="s">
        <v>75</v>
      </c>
      <c r="B13" s="1">
        <v>2</v>
      </c>
      <c r="C13">
        <f>_xlfn.XLOOKUP(A13,保证金登记!B:B,保证金登记!E:E)</f>
        <v>43124</v>
      </c>
      <c r="D13" t="str">
        <f t="array" ref="D13">_xlfn.XLOOKUP(B13,1*[2]保证金申请!$A:$A,[2]保证金申请!$C:$C)</f>
        <v>2018-01-24</v>
      </c>
      <c r="E13" t="str">
        <f>_xlfn.XLOOKUP(A13,保证金登记!B:B,保证金登记!I:I)</f>
        <v>逸盛大化石化有限公司</v>
      </c>
      <c r="F13" t="str">
        <f t="array" ref="F13">_xlfn.XLOOKUP(B13,1*[2]保证金申请!$A:$A,[2]保证金申请!$Q:$Q)</f>
        <v>逸盛大化石化有限公司</v>
      </c>
      <c r="G13">
        <f>_xlfn.XLOOKUP(A13,保证金登记!B:B,保证金登记!J:J)</f>
        <v>7000</v>
      </c>
      <c r="H13">
        <f t="array" ref="H13">_xlfn.XLOOKUP(B13,1*[2]保证金申请!$A:$A,[2]保证金申请!$K:$K)</f>
        <v>7000</v>
      </c>
      <c r="I13">
        <f t="shared" si="0"/>
        <v>0</v>
      </c>
      <c r="J13">
        <f t="shared" si="1"/>
        <v>0</v>
      </c>
      <c r="K13" t="b">
        <f t="shared" si="2"/>
        <v>1</v>
      </c>
    </row>
    <row r="14" spans="1:15">
      <c r="A14" t="s">
        <v>81</v>
      </c>
      <c r="B14" s="1">
        <v>10</v>
      </c>
      <c r="C14">
        <f>_xlfn.XLOOKUP(A14,保证金登记!B:B,保证金登记!E:E)</f>
        <v>43255</v>
      </c>
      <c r="D14" t="str">
        <f t="array" ref="D14">_xlfn.XLOOKUP(B14,1*[2]保证金申请!$A:$A,[2]保证金申请!$C:$C)</f>
        <v>2018-06-04</v>
      </c>
      <c r="E14" t="str">
        <f>_xlfn.XLOOKUP(A14,保证金登记!B:B,保证金登记!I:I)</f>
        <v>德州中联大坝水泥有限公司</v>
      </c>
      <c r="F14" t="str">
        <f t="array" ref="F14">_xlfn.XLOOKUP(B14,1*[2]保证金申请!$A:$A,[2]保证金申请!$Q:$Q)</f>
        <v>德州中联大坝水泥有限公司</v>
      </c>
      <c r="G14">
        <f>_xlfn.XLOOKUP(A14,保证金登记!B:B,保证金登记!J:J)</f>
        <v>15000</v>
      </c>
      <c r="H14">
        <f t="array" ref="H14">_xlfn.XLOOKUP(B14,1*[2]保证金申请!$A:$A,[2]保证金申请!$K:$K)</f>
        <v>15000</v>
      </c>
      <c r="I14">
        <f t="shared" si="0"/>
        <v>0</v>
      </c>
      <c r="J14">
        <f t="shared" si="1"/>
        <v>0</v>
      </c>
      <c r="K14" t="b">
        <f t="shared" si="2"/>
        <v>1</v>
      </c>
    </row>
    <row r="15" spans="1:15">
      <c r="A15" t="s">
        <v>88</v>
      </c>
      <c r="B15" s="1">
        <v>15</v>
      </c>
      <c r="C15">
        <f>_xlfn.XLOOKUP(A15,保证金登记!B:B,保证金登记!E:E)</f>
        <v>43330</v>
      </c>
      <c r="D15" t="str">
        <f t="array" ref="D15">_xlfn.XLOOKUP(B15,1*[2]保证金申请!$A:$A,[2]保证金申请!$C:$C)</f>
        <v>2018-08-18</v>
      </c>
      <c r="E15" t="str">
        <f>_xlfn.XLOOKUP(A15,保证金登记!B:B,保证金登记!I:I)</f>
        <v>四川西南水泥有限公司</v>
      </c>
      <c r="F15" t="str">
        <f t="array" ref="F15">_xlfn.XLOOKUP(B15,1*[2]保证金申请!$A:$A,[2]保证金申请!$Q:$Q)</f>
        <v>四川西南水泥有限公司</v>
      </c>
      <c r="G15">
        <f>_xlfn.XLOOKUP(A15,保证金登记!B:B,保证金登记!J:J)</f>
        <v>2000</v>
      </c>
      <c r="H15">
        <f t="array" ref="H15">_xlfn.XLOOKUP(B15,1*[2]保证金申请!$A:$A,[2]保证金申请!$K:$K)</f>
        <v>2000</v>
      </c>
      <c r="I15">
        <f t="shared" si="0"/>
        <v>0</v>
      </c>
      <c r="J15">
        <f t="shared" si="1"/>
        <v>0</v>
      </c>
      <c r="K15" t="b">
        <f t="shared" si="2"/>
        <v>1</v>
      </c>
    </row>
    <row r="16" spans="1:15">
      <c r="A16" t="s">
        <v>91</v>
      </c>
      <c r="B16" s="1">
        <v>6</v>
      </c>
      <c r="C16">
        <f>_xlfn.XLOOKUP(A16,保证金登记!B:B,保证金登记!E:E)</f>
        <v>43393</v>
      </c>
      <c r="D16" t="str">
        <f t="array" ref="D16">_xlfn.XLOOKUP(B16,1*[2]保证金申请!$A:$A,[2]保证金申请!$C:$C)</f>
        <v>2018-10-20</v>
      </c>
      <c r="E16" t="str">
        <f>_xlfn.XLOOKUP(A16,保证金登记!B:B,保证金登记!I:I)</f>
        <v>新安中联万基水泥有限公司</v>
      </c>
      <c r="F16" t="str">
        <f t="array" ref="F16">_xlfn.XLOOKUP(B16,1*[2]保证金申请!$A:$A,[2]保证金申请!$Q:$Q)</f>
        <v>新安中联万基水泥有限公司</v>
      </c>
      <c r="G16">
        <f>_xlfn.XLOOKUP(A16,保证金登记!B:B,保证金登记!J:J)</f>
        <v>3000</v>
      </c>
      <c r="H16">
        <f t="array" ref="H16">_xlfn.XLOOKUP(B16,1*[2]保证金申请!$A:$A,[2]保证金申请!$K:$K)</f>
        <v>3000</v>
      </c>
      <c r="I16">
        <f t="shared" si="0"/>
        <v>0</v>
      </c>
      <c r="J16">
        <f t="shared" si="1"/>
        <v>0</v>
      </c>
      <c r="K16" t="b">
        <f t="shared" si="2"/>
        <v>1</v>
      </c>
    </row>
    <row r="17" spans="1:11">
      <c r="A17" t="s">
        <v>95</v>
      </c>
      <c r="B17" s="1">
        <v>19</v>
      </c>
      <c r="C17">
        <f>_xlfn.XLOOKUP(A17,保证金登记!B:B,保证金登记!E:E)</f>
        <v>43404</v>
      </c>
      <c r="D17" t="str">
        <f t="array" ref="D17">_xlfn.XLOOKUP(B17,1*[2]保证金申请!$A:$A,[2]保证金申请!$C:$C)</f>
        <v>2018-10-31</v>
      </c>
      <c r="E17" t="str">
        <f>_xlfn.XLOOKUP(A17,保证金登记!B:B,保证金登记!I:I)</f>
        <v>逸盛大化石化有限公司</v>
      </c>
      <c r="F17" t="str">
        <f t="array" ref="F17">_xlfn.XLOOKUP(B17,1*[2]保证金申请!$A:$A,[2]保证金申请!$Q:$Q)</f>
        <v>逸盛大化石化有限公司</v>
      </c>
      <c r="G17">
        <f>_xlfn.XLOOKUP(A17,保证金登记!B:B,保证金登记!J:J)</f>
        <v>7000</v>
      </c>
      <c r="H17">
        <f t="array" ref="H17">_xlfn.XLOOKUP(B17,1*[2]保证金申请!$A:$A,[2]保证金申请!$K:$K)</f>
        <v>7000</v>
      </c>
      <c r="I17">
        <f t="shared" si="0"/>
        <v>0</v>
      </c>
      <c r="J17">
        <f t="shared" si="1"/>
        <v>0</v>
      </c>
      <c r="K17" t="b">
        <f t="shared" si="2"/>
        <v>1</v>
      </c>
    </row>
    <row r="18" spans="1:11">
      <c r="A18" t="s">
        <v>97</v>
      </c>
      <c r="B18" s="1">
        <v>3</v>
      </c>
      <c r="C18">
        <f>_xlfn.XLOOKUP(A18,保证金登记!B:B,保证金登记!E:E)</f>
        <v>43414</v>
      </c>
      <c r="D18" t="str">
        <f t="array" ref="D18">_xlfn.XLOOKUP(B18,1*[2]保证金申请!$A:$A,[2]保证金申请!$C:$C)</f>
        <v>2018-11-10</v>
      </c>
      <c r="E18" t="str">
        <f>_xlfn.XLOOKUP(A18,保证金登记!B:B,保证金登记!I:I)</f>
        <v>韩城尧柏阳山庄水泥有限公司</v>
      </c>
      <c r="F18" t="str">
        <f t="array" ref="F18">_xlfn.XLOOKUP(B18,1*[2]保证金申请!$A:$A,[2]保证金申请!$Q:$Q)</f>
        <v>韩城尧柏阳山庄水泥有限公司</v>
      </c>
      <c r="G18">
        <f>_xlfn.XLOOKUP(A18,保证金登记!B:B,保证金登记!J:J)</f>
        <v>20000</v>
      </c>
      <c r="H18">
        <f t="array" ref="H18">_xlfn.XLOOKUP(B18,1*[2]保证金申请!$A:$A,[2]保证金申请!$K:$K)</f>
        <v>20000</v>
      </c>
      <c r="I18">
        <f t="shared" si="0"/>
        <v>0</v>
      </c>
      <c r="J18">
        <f t="shared" si="1"/>
        <v>0</v>
      </c>
      <c r="K18" t="b">
        <f t="shared" si="2"/>
        <v>1</v>
      </c>
    </row>
    <row r="19" spans="1:11">
      <c r="A19" t="s">
        <v>100</v>
      </c>
      <c r="B19" s="1">
        <v>4</v>
      </c>
      <c r="C19">
        <f>_xlfn.XLOOKUP(A19,保证金登记!B:B,保证金登记!E:E)</f>
        <v>43446</v>
      </c>
      <c r="D19" t="str">
        <f t="array" ref="D19">_xlfn.XLOOKUP(B19,1*[2]保证金申请!$A:$A,[2]保证金申请!$C:$C)</f>
        <v>2018-12-12</v>
      </c>
      <c r="E19" t="str">
        <f>_xlfn.XLOOKUP(A19,保证金登记!B:B,保证金登记!I:I)</f>
        <v>民和祁连山水泥有限公司</v>
      </c>
      <c r="F19" t="str">
        <f t="array" ref="F19">_xlfn.XLOOKUP(B19,1*[2]保证金申请!$A:$A,[2]保证金申请!$Q:$Q)</f>
        <v>民和祁连山水泥有限公司</v>
      </c>
      <c r="G19">
        <f>_xlfn.XLOOKUP(A19,保证金登记!B:B,保证金登记!J:J)</f>
        <v>8000</v>
      </c>
      <c r="H19">
        <f t="array" ref="H19">_xlfn.XLOOKUP(B19,1*[2]保证金申请!$A:$A,[2]保证金申请!$K:$K)</f>
        <v>8000</v>
      </c>
      <c r="I19">
        <f t="shared" si="0"/>
        <v>0</v>
      </c>
      <c r="J19">
        <f t="shared" si="1"/>
        <v>0</v>
      </c>
      <c r="K19" t="b">
        <f t="shared" si="2"/>
        <v>1</v>
      </c>
    </row>
    <row r="20" spans="1:11">
      <c r="A20" t="s">
        <v>103</v>
      </c>
      <c r="B20" s="1">
        <v>12</v>
      </c>
      <c r="C20">
        <f>_xlfn.XLOOKUP(A20,保证金登记!B:B,保证金登记!E:E)</f>
        <v>43493</v>
      </c>
      <c r="D20" t="str">
        <f t="array" ref="D20">_xlfn.XLOOKUP(B20,1*[2]保证金申请!$A:$A,[2]保证金申请!$C:$C)</f>
        <v>2019-01-28</v>
      </c>
      <c r="E20" t="str">
        <f>_xlfn.XLOOKUP(A20,保证金登记!B:B,保证金登记!I:I)</f>
        <v>冀东海天水泥闻喜有限公司</v>
      </c>
      <c r="F20" t="str">
        <f t="array" ref="F20">_xlfn.XLOOKUP(B20,1*[2]保证金申请!$A:$A,[2]保证金申请!$Q:$Q)</f>
        <v>冀东海天水泥闻喜有限公司</v>
      </c>
      <c r="G20">
        <f>_xlfn.XLOOKUP(A20,保证金登记!B:B,保证金登记!J:J)</f>
        <v>10000</v>
      </c>
      <c r="H20">
        <f t="array" ref="H20">_xlfn.XLOOKUP(B20,1*[2]保证金申请!$A:$A,[2]保证金申请!$K:$K)</f>
        <v>10000</v>
      </c>
      <c r="I20">
        <f t="shared" si="0"/>
        <v>0</v>
      </c>
      <c r="J20">
        <f t="shared" si="1"/>
        <v>0</v>
      </c>
      <c r="K20" t="b">
        <f t="shared" si="2"/>
        <v>1</v>
      </c>
    </row>
    <row r="21" spans="1:11">
      <c r="A21" t="s">
        <v>106</v>
      </c>
      <c r="B21" s="1">
        <v>11</v>
      </c>
      <c r="C21">
        <f>_xlfn.XLOOKUP(A21,保证金登记!B:B,保证金登记!E:E)</f>
        <v>43511</v>
      </c>
      <c r="D21" t="str">
        <f t="array" ref="D21">_xlfn.XLOOKUP(B21,1*[2]保证金申请!$A:$A,[2]保证金申请!$C:$C)</f>
        <v>2019-02-15</v>
      </c>
      <c r="E21" t="str">
        <f>_xlfn.XLOOKUP(A21,保证金登记!B:B,保证金登记!I:I)</f>
        <v>贵州中诚水泥有限公司</v>
      </c>
      <c r="F21" t="str">
        <f t="array" ref="F21">_xlfn.XLOOKUP(B21,1*[2]保证金申请!$A:$A,[2]保证金申请!$Q:$Q)</f>
        <v>贵州中诚水泥有限公司</v>
      </c>
      <c r="G21">
        <f>_xlfn.XLOOKUP(A21,保证金登记!B:B,保证金登记!J:J)</f>
        <v>3000</v>
      </c>
      <c r="H21">
        <f t="array" ref="H21">_xlfn.XLOOKUP(B21,1*[2]保证金申请!$A:$A,[2]保证金申请!$K:$K)</f>
        <v>3000</v>
      </c>
      <c r="I21">
        <f t="shared" si="0"/>
        <v>0</v>
      </c>
      <c r="J21">
        <f t="shared" si="1"/>
        <v>0</v>
      </c>
      <c r="K21" t="b">
        <f t="shared" si="2"/>
        <v>1</v>
      </c>
    </row>
    <row r="22" spans="1:11">
      <c r="A22" t="s">
        <v>108</v>
      </c>
      <c r="B22" s="1">
        <v>8</v>
      </c>
      <c r="C22">
        <f>_xlfn.XLOOKUP(A22,保证金登记!B:B,保证金登记!E:E)</f>
        <v>43516</v>
      </c>
      <c r="D22" t="str">
        <f t="array" ref="D22">_xlfn.XLOOKUP(B22,1*[2]保证金申请!$A:$A,[2]保证金申请!$C:$C)</f>
        <v>2019-02-20</v>
      </c>
      <c r="E22" t="str">
        <f>_xlfn.XLOOKUP(A22,保证金登记!B:B,保证金登记!I:I)</f>
        <v>云南丽江西南水泥有限公司</v>
      </c>
      <c r="F22" t="str">
        <f t="array" ref="F22">_xlfn.XLOOKUP(B22,1*[2]保证金申请!$A:$A,[2]保证金申请!$Q:$Q)</f>
        <v>云南丽江西南水泥有限公司</v>
      </c>
      <c r="G22">
        <f>_xlfn.XLOOKUP(A22,保证金登记!B:B,保证金登记!J:J)</f>
        <v>1000</v>
      </c>
      <c r="H22">
        <f t="array" ref="H22">_xlfn.XLOOKUP(B22,1*[2]保证金申请!$A:$A,[2]保证金申请!$K:$K)</f>
        <v>1000</v>
      </c>
      <c r="I22">
        <f t="shared" si="0"/>
        <v>0</v>
      </c>
      <c r="J22">
        <f t="shared" si="1"/>
        <v>0</v>
      </c>
      <c r="K22" t="b">
        <f t="shared" si="2"/>
        <v>1</v>
      </c>
    </row>
    <row r="23" spans="1:11">
      <c r="A23" t="s">
        <v>111</v>
      </c>
      <c r="B23" s="1">
        <v>14</v>
      </c>
      <c r="C23">
        <f>_xlfn.XLOOKUP(A23,保证金登记!B:B,保证金登记!E:E)</f>
        <v>43526</v>
      </c>
      <c r="D23" t="str">
        <f t="array" ref="D23">_xlfn.XLOOKUP(B23,1*[2]保证金申请!$A:$A,[2]保证金申请!$C:$C)</f>
        <v>2019-03-02</v>
      </c>
      <c r="E23" t="str">
        <f>_xlfn.XLOOKUP(A23,保证金登记!B:B,保证金登记!I:I)</f>
        <v>邯郸涉县金隅水泥有限公司</v>
      </c>
      <c r="F23" t="str">
        <f t="array" ref="F23">_xlfn.XLOOKUP(B23,1*[2]保证金申请!$A:$A,[2]保证金申请!$Q:$Q)</f>
        <v>邯郸涉县金隅水泥有限公司</v>
      </c>
      <c r="G23">
        <f>_xlfn.XLOOKUP(A23,保证金登记!B:B,保证金登记!J:J)</f>
        <v>2000</v>
      </c>
      <c r="H23">
        <f t="array" ref="H23">_xlfn.XLOOKUP(B23,1*[2]保证金申请!$A:$A,[2]保证金申请!$K:$K)</f>
        <v>2000</v>
      </c>
      <c r="I23">
        <f t="shared" si="0"/>
        <v>0</v>
      </c>
      <c r="J23">
        <f t="shared" si="1"/>
        <v>0</v>
      </c>
      <c r="K23" t="b">
        <f t="shared" si="2"/>
        <v>1</v>
      </c>
    </row>
    <row r="24" spans="1:11">
      <c r="A24" t="s">
        <v>114</v>
      </c>
      <c r="B24" s="1">
        <v>13</v>
      </c>
      <c r="C24">
        <f>_xlfn.XLOOKUP(A24,保证金登记!B:B,保证金登记!E:E)</f>
        <v>43530</v>
      </c>
      <c r="D24" t="str">
        <f t="array" ref="D24">_xlfn.XLOOKUP(B24,1*[2]保证金申请!$A:$A,[2]保证金申请!$C:$C)</f>
        <v>2019-03-06</v>
      </c>
      <c r="E24" t="str">
        <f>_xlfn.XLOOKUP(A24,保证金登记!B:B,保证金登记!I:I)</f>
        <v>阳泉冀东水泥有限责任公司</v>
      </c>
      <c r="F24" t="str">
        <f t="array" ref="F24">_xlfn.XLOOKUP(B24,1*[2]保证金申请!$A:$A,[2]保证金申请!$Q:$Q)</f>
        <v>阳泉冀东水泥有限责任公司</v>
      </c>
      <c r="G24">
        <f>_xlfn.XLOOKUP(A24,保证金登记!B:B,保证金登记!J:J)</f>
        <v>3000</v>
      </c>
      <c r="H24">
        <f t="array" ref="H24">_xlfn.XLOOKUP(B24,1*[2]保证金申请!$A:$A,[2]保证金申请!$K:$K)</f>
        <v>3000</v>
      </c>
      <c r="I24">
        <f t="shared" si="0"/>
        <v>0</v>
      </c>
      <c r="J24">
        <f t="shared" si="1"/>
        <v>0</v>
      </c>
      <c r="K24" t="b">
        <f t="shared" si="2"/>
        <v>1</v>
      </c>
    </row>
    <row r="25" spans="1:11">
      <c r="A25" t="s">
        <v>116</v>
      </c>
      <c r="B25" s="1">
        <v>9</v>
      </c>
      <c r="C25">
        <f>_xlfn.XLOOKUP(A25,保证金登记!B:B,保证金登记!E:E)</f>
        <v>43539</v>
      </c>
      <c r="D25" t="str">
        <f t="array" ref="D25">_xlfn.XLOOKUP(B25,1*[2]保证金申请!$A:$A,[2]保证金申请!$C:$C)</f>
        <v>2019-03-15</v>
      </c>
      <c r="E25" t="str">
        <f>_xlfn.XLOOKUP(A25,保证金登记!B:B,保证金登记!I:I)</f>
        <v>河钢股份有限公司邯郸分公司</v>
      </c>
      <c r="F25" t="str">
        <f t="array" ref="F25">_xlfn.XLOOKUP(B25,1*[2]保证金申请!$A:$A,[2]保证金申请!$Q:$Q)</f>
        <v>河钢股份有限公司邯郸分公司</v>
      </c>
      <c r="G25">
        <f>_xlfn.XLOOKUP(A25,保证金登记!B:B,保证金登记!J:J)</f>
        <v>10000</v>
      </c>
      <c r="H25">
        <f t="array" ref="H25">_xlfn.XLOOKUP(B25,1*[2]保证金申请!$A:$A,[2]保证金申请!$K:$K)</f>
        <v>10000</v>
      </c>
      <c r="I25">
        <f t="shared" si="0"/>
        <v>0</v>
      </c>
      <c r="J25">
        <f t="shared" si="1"/>
        <v>0</v>
      </c>
      <c r="K25" t="b">
        <f t="shared" si="2"/>
        <v>1</v>
      </c>
    </row>
    <row r="26" spans="1:11">
      <c r="A26" t="s">
        <v>118</v>
      </c>
      <c r="B26" s="1">
        <v>7</v>
      </c>
      <c r="C26">
        <f>_xlfn.XLOOKUP(A26,保证金登记!B:B,保证金登记!E:E)</f>
        <v>43557</v>
      </c>
      <c r="D26" t="str">
        <f t="array" ref="D26">_xlfn.XLOOKUP(B26,1*[2]保证金申请!$A:$A,[2]保证金申请!$C:$C)</f>
        <v>2019-04-02</v>
      </c>
      <c r="E26" t="str">
        <f>_xlfn.XLOOKUP(A26,保证金登记!B:B,保证金登记!I:I)</f>
        <v>达州利森水泥有限公司</v>
      </c>
      <c r="F26" t="str">
        <f t="array" ref="F26">_xlfn.XLOOKUP(B26,1*[2]保证金申请!$A:$A,[2]保证金申请!$Q:$Q)</f>
        <v>达州利森水泥有限公司</v>
      </c>
      <c r="G26">
        <f>_xlfn.XLOOKUP(A26,保证金登记!B:B,保证金登记!J:J)</f>
        <v>5000</v>
      </c>
      <c r="H26">
        <f t="array" ref="H26">_xlfn.XLOOKUP(B26,1*[2]保证金申请!$A:$A,[2]保证金申请!$K:$K)</f>
        <v>5000</v>
      </c>
      <c r="I26">
        <f t="shared" si="0"/>
        <v>0</v>
      </c>
      <c r="J26">
        <f t="shared" si="1"/>
        <v>0</v>
      </c>
      <c r="K26" t="b">
        <f t="shared" si="2"/>
        <v>1</v>
      </c>
    </row>
    <row r="27" spans="1:11">
      <c r="A27" t="s">
        <v>121</v>
      </c>
      <c r="B27" s="1">
        <v>16</v>
      </c>
      <c r="C27">
        <f>_xlfn.XLOOKUP(A27,保证金登记!B:B,保证金登记!E:E)</f>
        <v>43560</v>
      </c>
      <c r="D27" t="str">
        <f t="array" ref="D27">_xlfn.XLOOKUP(B27,1*[2]保证金申请!$A:$A,[2]保证金申请!$C:$C)</f>
        <v>2019-04-05</v>
      </c>
      <c r="E27" t="str">
        <f>_xlfn.XLOOKUP(A27,保证金登记!B:B,保证金登记!I:I)</f>
        <v>张家港宏昌钢板有限公司</v>
      </c>
      <c r="F27" t="str">
        <f t="array" ref="F27">_xlfn.XLOOKUP(B27,1*[2]保证金申请!$A:$A,[2]保证金申请!$Q:$Q)</f>
        <v>张家港宏昌钢板有限公司</v>
      </c>
      <c r="G27">
        <f>_xlfn.XLOOKUP(A27,保证金登记!B:B,保证金登记!J:J)</f>
        <v>124500</v>
      </c>
      <c r="H27">
        <f t="array" ref="H27">_xlfn.XLOOKUP(B27,1*[2]保证金申请!$A:$A,[2]保证金申请!$K:$K)</f>
        <v>124500</v>
      </c>
      <c r="I27">
        <f t="shared" si="0"/>
        <v>0</v>
      </c>
      <c r="J27">
        <f t="shared" si="1"/>
        <v>0</v>
      </c>
      <c r="K27" t="b">
        <f t="shared" si="2"/>
        <v>1</v>
      </c>
    </row>
    <row r="28" spans="1:11">
      <c r="A28" t="s">
        <v>127</v>
      </c>
      <c r="B28" s="1">
        <v>194</v>
      </c>
      <c r="C28">
        <f>_xlfn.XLOOKUP(A28,保证金登记!B:B,保证金登记!E:E)</f>
        <v>43570</v>
      </c>
      <c r="D28" t="str">
        <f t="array" ref="D28">_xlfn.XLOOKUP(B28,1*[2]保证金申请!$A:$A,[2]保证金申请!$C:$C)</f>
        <v>2019-04-15</v>
      </c>
      <c r="E28" t="str">
        <f>_xlfn.XLOOKUP(A28,保证金登记!B:B,保证金登记!I:I)</f>
        <v>四川西南水泥有限公司</v>
      </c>
      <c r="F28" t="str">
        <f t="array" ref="F28">_xlfn.XLOOKUP(B28,1*[2]保证金申请!$A:$A,[2]保证金申请!$Q:$Q)</f>
        <v>四川西南水泥有限公司</v>
      </c>
      <c r="G28">
        <f>_xlfn.XLOOKUP(A28,保证金登记!B:B,保证金登记!J:J)</f>
        <v>10000</v>
      </c>
      <c r="H28">
        <f t="array" ref="H28">_xlfn.XLOOKUP(B28,1*[2]保证金申请!$A:$A,[2]保证金申请!$K:$K)</f>
        <v>10000</v>
      </c>
      <c r="I28">
        <f t="shared" si="0"/>
        <v>0</v>
      </c>
      <c r="J28">
        <f t="shared" si="1"/>
        <v>0</v>
      </c>
      <c r="K28" t="b">
        <f t="shared" si="2"/>
        <v>1</v>
      </c>
    </row>
    <row r="29" spans="1:11">
      <c r="A29" t="s">
        <v>129</v>
      </c>
      <c r="B29" s="1">
        <v>343</v>
      </c>
      <c r="C29">
        <f>_xlfn.XLOOKUP(A29,保证金登记!B:B,保证金登记!E:E)</f>
        <v>43585</v>
      </c>
      <c r="D29" t="str">
        <f t="array" ref="D29">_xlfn.XLOOKUP(B29,1*[2]保证金申请!$A:$A,[2]保证金申请!$C:$C)</f>
        <v>2019-04-30</v>
      </c>
      <c r="E29" t="str">
        <f>_xlfn.XLOOKUP(A29,保证金登记!B:B,保证金登记!I:I)</f>
        <v>葛洲坝钟祥水泥有限公司</v>
      </c>
      <c r="F29" t="str">
        <f t="array" ref="F29">_xlfn.XLOOKUP(B29,1*[2]保证金申请!$A:$A,[2]保证金申请!$Q:$Q)</f>
        <v>葛洲坝钟祥水泥有限公司</v>
      </c>
      <c r="G29">
        <f>_xlfn.XLOOKUP(A29,保证金登记!B:B,保证金登记!J:J)</f>
        <v>10000</v>
      </c>
      <c r="H29">
        <f t="array" ref="H29">_xlfn.XLOOKUP(B29,1*[2]保证金申请!$A:$A,[2]保证金申请!$K:$K)</f>
        <v>10000</v>
      </c>
      <c r="I29">
        <f t="shared" si="0"/>
        <v>0</v>
      </c>
      <c r="J29">
        <f t="shared" si="1"/>
        <v>0</v>
      </c>
      <c r="K29" t="b">
        <f t="shared" si="2"/>
        <v>1</v>
      </c>
    </row>
    <row r="30" spans="1:11">
      <c r="A30" t="s">
        <v>134</v>
      </c>
      <c r="B30" s="1">
        <v>17</v>
      </c>
      <c r="C30">
        <f>_xlfn.XLOOKUP(A30,保证金登记!B:B,保证金登记!E:E)</f>
        <v>43600</v>
      </c>
      <c r="D30" t="str">
        <f t="array" ref="D30">_xlfn.XLOOKUP(B30,1*[2]保证金申请!$A:$A,[2]保证金申请!$C:$C)</f>
        <v>2019-05-15</v>
      </c>
      <c r="E30" t="str">
        <f>_xlfn.XLOOKUP(A30,保证金登记!B:B,保证金登记!I:I)</f>
        <v>四川峨眉山西南水泥有限公司</v>
      </c>
      <c r="F30" t="str">
        <f t="array" ref="F30">_xlfn.XLOOKUP(B30,1*[2]保证金申请!$A:$A,[2]保证金申请!$Q:$Q)</f>
        <v>四川峨眉山西南水泥有限公司</v>
      </c>
      <c r="G30">
        <f>_xlfn.XLOOKUP(A30,保证金登记!B:B,保证金登记!J:J)</f>
        <v>3000</v>
      </c>
      <c r="H30">
        <f t="array" ref="H30">_xlfn.XLOOKUP(B30,1*[2]保证金申请!$A:$A,[2]保证金申请!$K:$K)</f>
        <v>3000</v>
      </c>
      <c r="I30">
        <f t="shared" si="0"/>
        <v>0</v>
      </c>
      <c r="J30">
        <f t="shared" si="1"/>
        <v>0</v>
      </c>
      <c r="K30" t="b">
        <f t="shared" si="2"/>
        <v>1</v>
      </c>
    </row>
    <row r="31" spans="1:11">
      <c r="A31" t="s">
        <v>137</v>
      </c>
      <c r="B31" s="1">
        <v>18</v>
      </c>
      <c r="C31">
        <f>_xlfn.XLOOKUP(A31,保证金登记!B:B,保证金登记!E:E)</f>
        <v>43601</v>
      </c>
      <c r="D31" t="str">
        <f t="array" ref="D31">_xlfn.XLOOKUP(B31,1*[2]保证金申请!$A:$A,[2]保证金申请!$C:$C)</f>
        <v>2019-05-16</v>
      </c>
      <c r="E31" t="str">
        <f>_xlfn.XLOOKUP(A31,保证金登记!B:B,保证金登记!I:I)</f>
        <v>云南昆钢嘉华水泥建材有限公司</v>
      </c>
      <c r="F31" t="str">
        <f t="array" ref="F31">_xlfn.XLOOKUP(B31,1*[2]保证金申请!$A:$A,[2]保证金申请!$Q:$Q)</f>
        <v>云南昆钢嘉华水泥建材有限公司</v>
      </c>
      <c r="G31">
        <f>_xlfn.XLOOKUP(A31,保证金登记!B:B,保证金登记!J:J)</f>
        <v>3000</v>
      </c>
      <c r="H31">
        <f t="array" ref="H31">_xlfn.XLOOKUP(B31,1*[2]保证金申请!$A:$A,[2]保证金申请!$K:$K)</f>
        <v>3000</v>
      </c>
      <c r="I31">
        <f t="shared" si="0"/>
        <v>0</v>
      </c>
      <c r="J31">
        <f t="shared" si="1"/>
        <v>0</v>
      </c>
      <c r="K31" t="b">
        <f t="shared" si="2"/>
        <v>1</v>
      </c>
    </row>
    <row r="32" spans="1:11">
      <c r="A32" t="s">
        <v>139</v>
      </c>
      <c r="B32" s="1">
        <v>20</v>
      </c>
      <c r="C32">
        <f>_xlfn.XLOOKUP(A32,保证金登记!B:B,保证金登记!E:E)</f>
        <v>43601</v>
      </c>
      <c r="D32" t="str">
        <f t="array" ref="D32">_xlfn.XLOOKUP(B32,1*[2]保证金申请!$A:$A,[2]保证金申请!$C:$C)</f>
        <v>2019-05-16</v>
      </c>
      <c r="E32" t="str">
        <f>_xlfn.XLOOKUP(A32,保证金登记!B:B,保证金登记!I:I)</f>
        <v>汉中尧柏水泥有限公司</v>
      </c>
      <c r="F32" t="str">
        <f t="array" ref="F32">_xlfn.XLOOKUP(B32,1*[2]保证金申请!$A:$A,[2]保证金申请!$Q:$Q)</f>
        <v>汉中尧柏水泥有限公司</v>
      </c>
      <c r="G32">
        <f>_xlfn.XLOOKUP(A32,保证金登记!B:B,保证金登记!J:J)</f>
        <v>10000</v>
      </c>
      <c r="H32">
        <f t="array" ref="H32">_xlfn.XLOOKUP(B32,1*[2]保证金申请!$A:$A,[2]保证金申请!$K:$K)</f>
        <v>10000</v>
      </c>
      <c r="I32">
        <f t="shared" si="0"/>
        <v>0</v>
      </c>
      <c r="J32">
        <f t="shared" si="1"/>
        <v>0</v>
      </c>
      <c r="K32" t="b">
        <f t="shared" si="2"/>
        <v>1</v>
      </c>
    </row>
    <row r="33" spans="1:11">
      <c r="A33" t="s">
        <v>142</v>
      </c>
      <c r="B33" s="1">
        <v>21</v>
      </c>
      <c r="C33">
        <f>_xlfn.XLOOKUP(A33,保证金登记!B:B,保证金登记!E:E)</f>
        <v>43621</v>
      </c>
      <c r="D33" t="str">
        <f t="array" ref="D33">_xlfn.XLOOKUP(B33,1*[2]保证金申请!$A:$A,[2]保证金申请!$C:$C)</f>
        <v>2019-06-05</v>
      </c>
      <c r="E33" t="str">
        <f>_xlfn.XLOOKUP(A33,保证金登记!B:B,保证金登记!I:I)</f>
        <v>鲁南中联水泥有限公司</v>
      </c>
      <c r="F33" t="str">
        <f t="array" ref="F33">_xlfn.XLOOKUP(B33,1*[2]保证金申请!$A:$A,[2]保证金申请!$Q:$Q)</f>
        <v>鲁南中联水泥有限公司</v>
      </c>
      <c r="G33">
        <f>_xlfn.XLOOKUP(A33,保证金登记!B:B,保证金登记!J:J)</f>
        <v>2000</v>
      </c>
      <c r="H33">
        <f t="array" ref="H33">_xlfn.XLOOKUP(B33,1*[2]保证金申请!$A:$A,[2]保证金申请!$K:$K)</f>
        <v>2000</v>
      </c>
      <c r="I33">
        <f t="shared" si="0"/>
        <v>0</v>
      </c>
      <c r="J33">
        <f t="shared" si="1"/>
        <v>0</v>
      </c>
      <c r="K33" t="b">
        <f t="shared" si="2"/>
        <v>1</v>
      </c>
    </row>
    <row r="34" spans="1:11">
      <c r="A34" t="s">
        <v>145</v>
      </c>
      <c r="B34" s="1">
        <v>22</v>
      </c>
      <c r="C34">
        <f>_xlfn.XLOOKUP(A34,保证金登记!B:B,保证金登记!E:E)</f>
        <v>43628</v>
      </c>
      <c r="D34" t="str">
        <f t="array" ref="D34">_xlfn.XLOOKUP(B34,1*[2]保证金申请!$A:$A,[2]保证金申请!$C:$C)</f>
        <v>2019-06-12</v>
      </c>
      <c r="E34" t="str">
        <f>_xlfn.XLOOKUP(A34,保证金登记!B:B,保证金登记!I:I)</f>
        <v>莒县中联水泥有限公司</v>
      </c>
      <c r="F34" t="str">
        <f t="array" ref="F34">_xlfn.XLOOKUP(B34,1*[2]保证金申请!$A:$A,[2]保证金申请!$Q:$Q)</f>
        <v>莒县中联水泥有限公司</v>
      </c>
      <c r="G34">
        <f>_xlfn.XLOOKUP(A34,保证金登记!B:B,保证金登记!J:J)</f>
        <v>5000</v>
      </c>
      <c r="H34">
        <f t="array" ref="H34">_xlfn.XLOOKUP(B34,1*[2]保证金申请!$A:$A,[2]保证金申请!$K:$K)</f>
        <v>5000</v>
      </c>
      <c r="I34">
        <f t="shared" si="0"/>
        <v>0</v>
      </c>
      <c r="J34">
        <f t="shared" si="1"/>
        <v>0</v>
      </c>
      <c r="K34" t="b">
        <f t="shared" si="2"/>
        <v>1</v>
      </c>
    </row>
    <row r="35" spans="1:11">
      <c r="A35" t="s">
        <v>148</v>
      </c>
      <c r="B35" s="1">
        <v>23</v>
      </c>
      <c r="C35">
        <f>_xlfn.XLOOKUP(A35,保证金登记!B:B,保证金登记!E:E)</f>
        <v>43635</v>
      </c>
      <c r="D35" t="str">
        <f t="array" ref="D35">_xlfn.XLOOKUP(B35,1*[2]保证金申请!$A:$A,[2]保证金申请!$C:$C)</f>
        <v>2019-06-19</v>
      </c>
      <c r="E35" t="str">
        <f>_xlfn.XLOOKUP(A35,保证金登记!B:B,保证金登记!I:I)</f>
        <v>贵州沿河西南水泥有限公司</v>
      </c>
      <c r="F35" t="str">
        <f t="array" ref="F35">_xlfn.XLOOKUP(B35,1*[2]保证金申请!$A:$A,[2]保证金申请!$Q:$Q)</f>
        <v>贵州沿河西南水泥有限公司</v>
      </c>
      <c r="G35">
        <f>_xlfn.XLOOKUP(A35,保证金登记!B:B,保证金登记!J:J)</f>
        <v>2000</v>
      </c>
      <c r="H35">
        <f t="array" ref="H35">_xlfn.XLOOKUP(B35,1*[2]保证金申请!$A:$A,[2]保证金申请!$K:$K)</f>
        <v>2000</v>
      </c>
      <c r="I35">
        <f t="shared" si="0"/>
        <v>0</v>
      </c>
      <c r="J35">
        <f t="shared" si="1"/>
        <v>0</v>
      </c>
      <c r="K35" t="b">
        <f t="shared" si="2"/>
        <v>1</v>
      </c>
    </row>
    <row r="36" spans="1:11">
      <c r="A36" t="s">
        <v>151</v>
      </c>
      <c r="B36" s="1">
        <v>24</v>
      </c>
      <c r="C36">
        <f>_xlfn.XLOOKUP(A36,保证金登记!B:B,保证金登记!E:E)</f>
        <v>43644</v>
      </c>
      <c r="D36" t="str">
        <f t="array" ref="D36">_xlfn.XLOOKUP(B36,1*[2]保证金申请!$A:$A,[2]保证金申请!$C:$C)</f>
        <v>2019-06-28</v>
      </c>
      <c r="E36" t="str">
        <f>_xlfn.XLOOKUP(A36,保证金登记!B:B,保证金登记!I:I)</f>
        <v>西安蓝田尧柏水泥有限公司</v>
      </c>
      <c r="F36" t="str">
        <f t="array" ref="F36">_xlfn.XLOOKUP(B36,1*[2]保证金申请!$A:$A,[2]保证金申请!$Q:$Q)</f>
        <v>西安蓝田尧柏水泥有限公司</v>
      </c>
      <c r="G36">
        <f>_xlfn.XLOOKUP(A36,保证金登记!B:B,保证金登记!J:J)</f>
        <v>10000</v>
      </c>
      <c r="H36">
        <f t="array" ref="H36">_xlfn.XLOOKUP(B36,1*[2]保证金申请!$A:$A,[2]保证金申请!$K:$K)</f>
        <v>10000</v>
      </c>
      <c r="I36">
        <f t="shared" si="0"/>
        <v>0</v>
      </c>
      <c r="J36">
        <f t="shared" si="1"/>
        <v>0</v>
      </c>
      <c r="K36" t="b">
        <f t="shared" si="2"/>
        <v>1</v>
      </c>
    </row>
    <row r="37" spans="1:11">
      <c r="A37" t="s">
        <v>153</v>
      </c>
      <c r="B37" s="1">
        <v>25</v>
      </c>
      <c r="C37">
        <f>_xlfn.XLOOKUP(A37,保证金登记!B:B,保证金登记!E:E)</f>
        <v>43657</v>
      </c>
      <c r="D37" t="str">
        <f t="array" ref="D37">_xlfn.XLOOKUP(B37,1*[2]保证金申请!$A:$A,[2]保证金申请!$C:$C)</f>
        <v>2019-07-11</v>
      </c>
      <c r="E37" t="str">
        <f>_xlfn.XLOOKUP(A37,保证金登记!B:B,保证金登记!I:I)</f>
        <v>会东利森水泥有限公司</v>
      </c>
      <c r="F37" t="str">
        <f t="array" ref="F37">_xlfn.XLOOKUP(B37,1*[2]保证金申请!$A:$A,[2]保证金申请!$Q:$Q)</f>
        <v>会东利森水泥有限公司</v>
      </c>
      <c r="G37">
        <f>_xlfn.XLOOKUP(A37,保证金登记!B:B,保证金登记!J:J)</f>
        <v>3000</v>
      </c>
      <c r="H37">
        <f t="array" ref="H37">_xlfn.XLOOKUP(B37,1*[2]保证金申请!$A:$A,[2]保证金申请!$K:$K)</f>
        <v>3000</v>
      </c>
      <c r="I37">
        <f t="shared" si="0"/>
        <v>0</v>
      </c>
      <c r="J37">
        <f t="shared" si="1"/>
        <v>0</v>
      </c>
      <c r="K37" t="b">
        <f t="shared" si="2"/>
        <v>1</v>
      </c>
    </row>
    <row r="38" spans="1:11">
      <c r="A38" t="s">
        <v>155</v>
      </c>
      <c r="B38" s="1">
        <v>27</v>
      </c>
      <c r="C38">
        <f>_xlfn.XLOOKUP(A38,保证金登记!B:B,保证金登记!E:E)</f>
        <v>43657</v>
      </c>
      <c r="D38" t="str">
        <f t="array" ref="D38">_xlfn.XLOOKUP(B38,1*[2]保证金申请!$A:$A,[2]保证金申请!$C:$C)</f>
        <v>2019-07-11</v>
      </c>
      <c r="E38" t="str">
        <f>_xlfn.XLOOKUP(A38,保证金登记!B:B,保证金登记!I:I)</f>
        <v>冀东水泥铜川有限公司</v>
      </c>
      <c r="F38" t="str">
        <f t="array" ref="F38">_xlfn.XLOOKUP(B38,1*[2]保证金申请!$A:$A,[2]保证金申请!$Q:$Q)</f>
        <v>冀东水泥铜川有限公司</v>
      </c>
      <c r="G38">
        <f>_xlfn.XLOOKUP(A38,保证金登记!B:B,保证金登记!J:J)</f>
        <v>1000</v>
      </c>
      <c r="H38">
        <f t="array" ref="H38">_xlfn.XLOOKUP(B38,1*[2]保证金申请!$A:$A,[2]保证金申请!$K:$K)</f>
        <v>1000</v>
      </c>
      <c r="I38">
        <f t="shared" si="0"/>
        <v>0</v>
      </c>
      <c r="J38">
        <f t="shared" si="1"/>
        <v>0</v>
      </c>
      <c r="K38" t="b">
        <f t="shared" si="2"/>
        <v>1</v>
      </c>
    </row>
    <row r="39" spans="1:11">
      <c r="A39" t="s">
        <v>158</v>
      </c>
      <c r="B39" s="1">
        <v>26</v>
      </c>
      <c r="C39">
        <f>_xlfn.XLOOKUP(A39,保证金登记!B:B,保证金登记!E:E)</f>
        <v>43664</v>
      </c>
      <c r="D39" t="str">
        <f t="array" ref="D39">_xlfn.XLOOKUP(B39,1*[2]保证金申请!$A:$A,[2]保证金申请!$C:$C)</f>
        <v>2019-07-18</v>
      </c>
      <c r="E39" t="str">
        <f>_xlfn.XLOOKUP(A39,保证金登记!B:B,保证金登记!I:I)</f>
        <v>四川省绵竹澳东水泥有限责任公司</v>
      </c>
      <c r="F39" t="str">
        <f t="array" ref="F39">_xlfn.XLOOKUP(B39,1*[2]保证金申请!$A:$A,[2]保证金申请!$Q:$Q)</f>
        <v>四川省绵竹澳东水泥有限责任公司</v>
      </c>
      <c r="G39">
        <f>_xlfn.XLOOKUP(A39,保证金登记!B:B,保证金登记!J:J)</f>
        <v>3000</v>
      </c>
      <c r="H39">
        <f t="array" ref="H39">_xlfn.XLOOKUP(B39,1*[2]保证金申请!$A:$A,[2]保证金申请!$K:$K)</f>
        <v>3000</v>
      </c>
      <c r="I39">
        <f t="shared" si="0"/>
        <v>0</v>
      </c>
      <c r="J39">
        <f t="shared" si="1"/>
        <v>0</v>
      </c>
      <c r="K39" t="b">
        <f t="shared" si="2"/>
        <v>1</v>
      </c>
    </row>
    <row r="40" spans="1:11">
      <c r="A40" t="s">
        <v>161</v>
      </c>
      <c r="B40" s="1">
        <v>28</v>
      </c>
      <c r="C40">
        <f>_xlfn.XLOOKUP(A40,保证金登记!B:B,保证金登记!E:E)</f>
        <v>43678</v>
      </c>
      <c r="D40" t="str">
        <f t="array" ref="D40">_xlfn.XLOOKUP(B40,1*[2]保证金申请!$A:$A,[2]保证金申请!$C:$C)</f>
        <v>2019-08-01</v>
      </c>
      <c r="E40" t="str">
        <f>_xlfn.XLOOKUP(A40,保证金登记!B:B,保证金登记!I:I)</f>
        <v>嘉华特种水泥股份有限公司嘉华水泥总厂</v>
      </c>
      <c r="F40" t="str">
        <f t="array" ref="F40">_xlfn.XLOOKUP(B40,1*[2]保证金申请!$A:$A,[2]保证金申请!$Q:$Q)</f>
        <v>嘉华特种水泥股份有限公司嘉华水泥总厂</v>
      </c>
      <c r="G40">
        <f>_xlfn.XLOOKUP(A40,保证金登记!B:B,保证金登记!J:J)</f>
        <v>2000</v>
      </c>
      <c r="H40">
        <f t="array" ref="H40">_xlfn.XLOOKUP(B40,1*[2]保证金申请!$A:$A,[2]保证金申请!$K:$K)</f>
        <v>2000</v>
      </c>
      <c r="I40">
        <f t="shared" si="0"/>
        <v>0</v>
      </c>
      <c r="J40">
        <f t="shared" si="1"/>
        <v>0</v>
      </c>
      <c r="K40" t="b">
        <f t="shared" si="2"/>
        <v>1</v>
      </c>
    </row>
    <row r="41" spans="1:11">
      <c r="A41" t="s">
        <v>163</v>
      </c>
      <c r="B41" s="1">
        <v>29</v>
      </c>
      <c r="C41">
        <f>_xlfn.XLOOKUP(A41,保证金登记!B:B,保证金登记!E:E)</f>
        <v>43685</v>
      </c>
      <c r="D41" t="str">
        <f t="array" ref="D41">_xlfn.XLOOKUP(B41,1*[2]保证金申请!$A:$A,[2]保证金申请!$C:$C)</f>
        <v>2019-08-08</v>
      </c>
      <c r="E41" t="str">
        <f>_xlfn.XLOOKUP(A41,保证金登记!B:B,保证金登记!I:I)</f>
        <v>山东鲁城水泥有限公司</v>
      </c>
      <c r="F41" t="str">
        <f t="array" ref="F41">_xlfn.XLOOKUP(B41,1*[2]保证金申请!$A:$A,[2]保证金申请!$Q:$Q)</f>
        <v>山东鲁城水泥有限公司</v>
      </c>
      <c r="G41">
        <f>_xlfn.XLOOKUP(A41,保证金登记!B:B,保证金登记!J:J)</f>
        <v>10000</v>
      </c>
      <c r="H41">
        <f t="array" ref="H41">_xlfn.XLOOKUP(B41,1*[2]保证金申请!$A:$A,[2]保证金申请!$K:$K)</f>
        <v>10000</v>
      </c>
      <c r="I41">
        <f t="shared" si="0"/>
        <v>0</v>
      </c>
      <c r="J41">
        <f t="shared" si="1"/>
        <v>0</v>
      </c>
      <c r="K41" t="b">
        <f t="shared" si="2"/>
        <v>1</v>
      </c>
    </row>
    <row r="42" spans="1:11">
      <c r="A42" t="s">
        <v>165</v>
      </c>
      <c r="B42" s="1">
        <v>30</v>
      </c>
      <c r="C42">
        <f>_xlfn.XLOOKUP(A42,保证金登记!B:B,保证金登记!E:E)</f>
        <v>43692</v>
      </c>
      <c r="D42" t="str">
        <f t="array" ref="D42">_xlfn.XLOOKUP(B42,1*[2]保证金申请!$A:$A,[2]保证金申请!$C:$C)</f>
        <v>2019-08-15</v>
      </c>
      <c r="E42" t="str">
        <f>_xlfn.XLOOKUP(A42,保证金登记!B:B,保证金登记!I:I)</f>
        <v>甘肃永固特种水泥有限公司</v>
      </c>
      <c r="F42" t="str">
        <f t="array" ref="F42">_xlfn.XLOOKUP(B42,1*[2]保证金申请!$A:$A,[2]保证金申请!$Q:$Q)</f>
        <v>甘肃永固特种水泥有限公司</v>
      </c>
      <c r="G42">
        <f>_xlfn.XLOOKUP(A42,保证金登记!B:B,保证金登记!J:J)</f>
        <v>10000</v>
      </c>
      <c r="H42">
        <f t="array" ref="H42">_xlfn.XLOOKUP(B42,1*[2]保证金申请!$A:$A,[2]保证金申请!$K:$K)</f>
        <v>10000</v>
      </c>
      <c r="I42">
        <f t="shared" si="0"/>
        <v>0</v>
      </c>
      <c r="J42">
        <f t="shared" si="1"/>
        <v>0</v>
      </c>
      <c r="K42" t="b">
        <f t="shared" si="2"/>
        <v>1</v>
      </c>
    </row>
    <row r="43" spans="1:11">
      <c r="A43" t="s">
        <v>168</v>
      </c>
      <c r="B43" s="1">
        <v>31</v>
      </c>
      <c r="C43">
        <f>_xlfn.XLOOKUP(A43,保证金登记!B:B,保证金登记!E:E)</f>
        <v>43696</v>
      </c>
      <c r="D43" t="str">
        <f t="array" ref="D43">_xlfn.XLOOKUP(B43,1*[2]保证金申请!$A:$A,[2]保证金申请!$C:$C)</f>
        <v>2019-08-19</v>
      </c>
      <c r="E43" t="str">
        <f>_xlfn.XLOOKUP(A43,保证金登记!B:B,保证金登记!I:I)</f>
        <v>贵州纳雍隆庆乌江水泥有限公司</v>
      </c>
      <c r="F43" t="str">
        <f t="array" ref="F43">_xlfn.XLOOKUP(B43,1*[2]保证金申请!$A:$A,[2]保证金申请!$Q:$Q)</f>
        <v>贵州纳雍隆庆乌江水泥有限公司</v>
      </c>
      <c r="G43">
        <f>_xlfn.XLOOKUP(A43,保证金登记!B:B,保证金登记!J:J)</f>
        <v>2000</v>
      </c>
      <c r="H43">
        <f t="array" ref="H43">_xlfn.XLOOKUP(B43,1*[2]保证金申请!$A:$A,[2]保证金申请!$K:$K)</f>
        <v>2000</v>
      </c>
      <c r="I43">
        <f t="shared" si="0"/>
        <v>0</v>
      </c>
      <c r="J43">
        <f t="shared" si="1"/>
        <v>0</v>
      </c>
      <c r="K43" t="b">
        <f t="shared" si="2"/>
        <v>1</v>
      </c>
    </row>
    <row r="44" spans="1:11">
      <c r="A44" t="s">
        <v>173</v>
      </c>
      <c r="B44" s="1">
        <v>342</v>
      </c>
      <c r="C44">
        <f>_xlfn.XLOOKUP(A44,保证金登记!B:B,保证金登记!E:E)</f>
        <v>43696</v>
      </c>
      <c r="D44" t="str">
        <f t="array" ref="D44">_xlfn.XLOOKUP(B44,1*[2]保证金申请!$A:$A,[2]保证金申请!$C:$C)</f>
        <v>2019-08-19</v>
      </c>
      <c r="E44" t="str">
        <f>_xlfn.XLOOKUP(A44,保证金登记!B:B,保证金登记!I:I)</f>
        <v>涿鹿金隅水泥有限公司</v>
      </c>
      <c r="F44" t="str">
        <f t="array" ref="F44">_xlfn.XLOOKUP(B44,1*[2]保证金申请!$A:$A,[2]保证金申请!$Q:$Q)</f>
        <v>涿鹿金隅水泥有限公司</v>
      </c>
      <c r="G44">
        <f>_xlfn.XLOOKUP(A44,保证金登记!B:B,保证金登记!J:J)</f>
        <v>20000</v>
      </c>
      <c r="H44">
        <f t="array" ref="H44">_xlfn.XLOOKUP(B44,1*[2]保证金申请!$A:$A,[2]保证金申请!$K:$K)</f>
        <v>20000</v>
      </c>
      <c r="I44">
        <f t="shared" si="0"/>
        <v>0</v>
      </c>
      <c r="J44">
        <f t="shared" si="1"/>
        <v>0</v>
      </c>
      <c r="K44" t="b">
        <f t="shared" si="2"/>
        <v>1</v>
      </c>
    </row>
    <row r="45" spans="1:11">
      <c r="A45" t="s">
        <v>176</v>
      </c>
      <c r="B45" s="1">
        <v>32</v>
      </c>
      <c r="C45">
        <f>_xlfn.XLOOKUP(A45,保证金登记!B:B,保证金登记!E:E)</f>
        <v>43698</v>
      </c>
      <c r="D45" t="str">
        <f t="array" ref="D45">_xlfn.XLOOKUP(B45,1*[2]保证金申请!$A:$A,[2]保证金申请!$C:$C)</f>
        <v>2019-08-21</v>
      </c>
      <c r="E45" t="str">
        <f>_xlfn.XLOOKUP(A45,保证金登记!B:B,保证金登记!I:I)</f>
        <v>重庆秀山西南水泥有限公司</v>
      </c>
      <c r="F45" t="str">
        <f t="array" ref="F45">_xlfn.XLOOKUP(B45,1*[2]保证金申请!$A:$A,[2]保证金申请!$Q:$Q)</f>
        <v>重庆秀山西南水泥有限公司</v>
      </c>
      <c r="G45">
        <f>_xlfn.XLOOKUP(A45,保证金登记!B:B,保证金登记!J:J)</f>
        <v>2000</v>
      </c>
      <c r="H45">
        <f t="array" ref="H45">_xlfn.XLOOKUP(B45,1*[2]保证金申请!$A:$A,[2]保证金申请!$K:$K)</f>
        <v>2000</v>
      </c>
      <c r="I45">
        <f t="shared" si="0"/>
        <v>0</v>
      </c>
      <c r="J45">
        <f t="shared" si="1"/>
        <v>0</v>
      </c>
      <c r="K45" t="b">
        <f t="shared" si="2"/>
        <v>1</v>
      </c>
    </row>
    <row r="46" spans="1:11">
      <c r="A46" t="s">
        <v>178</v>
      </c>
      <c r="B46" s="1">
        <v>33</v>
      </c>
      <c r="C46">
        <f>_xlfn.XLOOKUP(A46,保证金登记!B:B,保证金登记!E:E)</f>
        <v>43700</v>
      </c>
      <c r="D46" t="str">
        <f t="array" ref="D46">_xlfn.XLOOKUP(B46,1*[2]保证金申请!$A:$A,[2]保证金申请!$C:$C)</f>
        <v>2019-08-23</v>
      </c>
      <c r="E46" t="str">
        <f>_xlfn.XLOOKUP(A46,保证金登记!B:B,保证金登记!I:I)</f>
        <v>山东泰西水泥有限公司</v>
      </c>
      <c r="F46" t="str">
        <f t="array" ref="F46">_xlfn.XLOOKUP(B46,1*[2]保证金申请!$A:$A,[2]保证金申请!$Q:$Q)</f>
        <v>山东泰西水泥有限公司</v>
      </c>
      <c r="G46">
        <f>_xlfn.XLOOKUP(A46,保证金登记!B:B,保证金登记!J:J)</f>
        <v>1000</v>
      </c>
      <c r="H46">
        <f t="array" ref="H46">_xlfn.XLOOKUP(B46,1*[2]保证金申请!$A:$A,[2]保证金申请!$K:$K)</f>
        <v>1000</v>
      </c>
      <c r="I46">
        <f t="shared" si="0"/>
        <v>0</v>
      </c>
      <c r="J46">
        <f t="shared" si="1"/>
        <v>0</v>
      </c>
      <c r="K46" t="b">
        <f t="shared" si="2"/>
        <v>1</v>
      </c>
    </row>
    <row r="47" spans="1:11">
      <c r="A47" t="s">
        <v>180</v>
      </c>
      <c r="B47" s="1">
        <v>34</v>
      </c>
      <c r="C47">
        <f>_xlfn.XLOOKUP(A47,保证金登记!B:B,保证金登记!E:E)</f>
        <v>43710</v>
      </c>
      <c r="D47" t="str">
        <f t="array" ref="D47">_xlfn.XLOOKUP(B47,1*[2]保证金申请!$A:$A,[2]保证金申请!$C:$C)</f>
        <v>2019-09-02</v>
      </c>
      <c r="E47" t="str">
        <f>_xlfn.XLOOKUP(A47,保证金登记!B:B,保证金登记!I:I)</f>
        <v>涿鹿金隅水泥有限公司</v>
      </c>
      <c r="F47" t="str">
        <f t="array" ref="F47">_xlfn.XLOOKUP(B47,1*[2]保证金申请!$A:$A,[2]保证金申请!$Q:$Q)</f>
        <v>涿鹿金隅水泥有限公司</v>
      </c>
      <c r="G47">
        <f>_xlfn.XLOOKUP(A47,保证金登记!B:B,保证金登记!J:J)</f>
        <v>25350</v>
      </c>
      <c r="H47">
        <f t="array" ref="H47">_xlfn.XLOOKUP(B47,1*[2]保证金申请!$A:$A,[2]保证金申请!$K:$K)</f>
        <v>25350</v>
      </c>
      <c r="I47">
        <f t="shared" si="0"/>
        <v>0</v>
      </c>
      <c r="J47">
        <f t="shared" si="1"/>
        <v>0</v>
      </c>
      <c r="K47" t="b">
        <f t="shared" si="2"/>
        <v>1</v>
      </c>
    </row>
    <row r="48" spans="1:11">
      <c r="A48" t="s">
        <v>183</v>
      </c>
      <c r="B48" s="1">
        <v>35</v>
      </c>
      <c r="C48">
        <f>_xlfn.XLOOKUP(A48,保证金登记!B:B,保证金登记!E:E)</f>
        <v>43719</v>
      </c>
      <c r="D48" t="str">
        <f t="array" ref="D48">_xlfn.XLOOKUP(B48,1*[2]保证金申请!$A:$A,[2]保证金申请!$C:$C)</f>
        <v>2019-09-11</v>
      </c>
      <c r="E48" t="str">
        <f>_xlfn.XLOOKUP(A48,保证金登记!B:B,保证金登记!I:I)</f>
        <v>绥江县永固水泥有限责任公司</v>
      </c>
      <c r="F48" t="str">
        <f t="array" ref="F48">_xlfn.XLOOKUP(B48,1*[2]保证金申请!$A:$A,[2]保证金申请!$Q:$Q)</f>
        <v>绥江县永固水泥有限责任公司</v>
      </c>
      <c r="G48">
        <f>_xlfn.XLOOKUP(A48,保证金登记!B:B,保证金登记!J:J)</f>
        <v>4000</v>
      </c>
      <c r="H48">
        <f t="array" ref="H48">_xlfn.XLOOKUP(B48,1*[2]保证金申请!$A:$A,[2]保证金申请!$K:$K)</f>
        <v>4000</v>
      </c>
      <c r="I48">
        <f t="shared" si="0"/>
        <v>0</v>
      </c>
      <c r="J48">
        <f t="shared" si="1"/>
        <v>0</v>
      </c>
      <c r="K48" t="b">
        <f t="shared" si="2"/>
        <v>1</v>
      </c>
    </row>
    <row r="49" spans="1:11">
      <c r="A49" t="s">
        <v>185</v>
      </c>
      <c r="B49" s="1">
        <v>36</v>
      </c>
      <c r="C49">
        <f>_xlfn.XLOOKUP(A49,保证金登记!B:B,保证金登记!E:E)</f>
        <v>43727</v>
      </c>
      <c r="D49" t="str">
        <f t="array" ref="D49">_xlfn.XLOOKUP(B49,1*[2]保证金申请!$A:$A,[2]保证金申请!$C:$C)</f>
        <v>2019-09-19</v>
      </c>
      <c r="E49" t="str">
        <f>_xlfn.XLOOKUP(A49,保证金登记!B:B,保证金登记!I:I)</f>
        <v>华新水泥（房县)有限公司</v>
      </c>
      <c r="F49" t="str">
        <f t="array" ref="F49">_xlfn.XLOOKUP(B49,1*[2]保证金申请!$A:$A,[2]保证金申请!$Q:$Q)</f>
        <v>华新水泥（房县)有限公司</v>
      </c>
      <c r="G49">
        <f>_xlfn.XLOOKUP(A49,保证金登记!B:B,保证金登记!J:J)</f>
        <v>3000</v>
      </c>
      <c r="H49">
        <f t="array" ref="H49">_xlfn.XLOOKUP(B49,1*[2]保证金申请!$A:$A,[2]保证金申请!$K:$K)</f>
        <v>3000</v>
      </c>
      <c r="I49">
        <f t="shared" si="0"/>
        <v>0</v>
      </c>
      <c r="J49">
        <f t="shared" si="1"/>
        <v>0</v>
      </c>
      <c r="K49" t="b">
        <f t="shared" si="2"/>
        <v>1</v>
      </c>
    </row>
    <row r="50" spans="1:11">
      <c r="A50" t="s">
        <v>187</v>
      </c>
      <c r="B50" s="1">
        <v>37</v>
      </c>
      <c r="C50">
        <f>_xlfn.XLOOKUP(A50,保证金登记!B:B,保证金登记!E:E)</f>
        <v>43731</v>
      </c>
      <c r="D50" t="str">
        <f t="array" ref="D50">_xlfn.XLOOKUP(B50,1*[2]保证金申请!$A:$A,[2]保证金申请!$C:$C)</f>
        <v>2019-09-23</v>
      </c>
      <c r="E50" t="str">
        <f>_xlfn.XLOOKUP(A50,保证金登记!B:B,保证金登记!I:I)</f>
        <v>云南普洱西南水泥有限公司</v>
      </c>
      <c r="F50" t="str">
        <f t="array" ref="F50">_xlfn.XLOOKUP(B50,1*[2]保证金申请!$A:$A,[2]保证金申请!$Q:$Q)</f>
        <v>云南普洱西南水泥有限公司</v>
      </c>
      <c r="G50">
        <f>_xlfn.XLOOKUP(A50,保证金登记!B:B,保证金登记!J:J)</f>
        <v>2000</v>
      </c>
      <c r="H50">
        <f t="array" ref="H50">_xlfn.XLOOKUP(B50,1*[2]保证金申请!$A:$A,[2]保证金申请!$K:$K)</f>
        <v>2000</v>
      </c>
      <c r="I50">
        <f t="shared" si="0"/>
        <v>0</v>
      </c>
      <c r="J50">
        <f t="shared" si="1"/>
        <v>0</v>
      </c>
      <c r="K50" t="b">
        <f t="shared" si="2"/>
        <v>1</v>
      </c>
    </row>
    <row r="51" spans="1:11">
      <c r="A51" t="s">
        <v>189</v>
      </c>
      <c r="B51" s="1">
        <v>38</v>
      </c>
      <c r="C51">
        <f>_xlfn.XLOOKUP(A51,保证金登记!B:B,保证金登记!E:E)</f>
        <v>43731</v>
      </c>
      <c r="D51" t="str">
        <f t="array" ref="D51">_xlfn.XLOOKUP(B51,1*[2]保证金申请!$A:$A,[2]保证金申请!$C:$C)</f>
        <v>2019-09-23</v>
      </c>
      <c r="E51" t="str">
        <f>_xlfn.XLOOKUP(A51,保证金登记!B:B,保证金登记!I:I)</f>
        <v>冀东水泥重庆江津有限公司</v>
      </c>
      <c r="F51" t="str">
        <f t="array" ref="F51">_xlfn.XLOOKUP(B51,1*[2]保证金申请!$A:$A,[2]保证金申请!$Q:$Q)</f>
        <v>冀东水泥重庆江津有限公司</v>
      </c>
      <c r="G51">
        <f>_xlfn.XLOOKUP(A51,保证金登记!B:B,保证金登记!J:J)</f>
        <v>7160</v>
      </c>
      <c r="H51">
        <f t="array" ref="H51">_xlfn.XLOOKUP(B51,1*[2]保证金申请!$A:$A,[2]保证金申请!$K:$K)</f>
        <v>7160</v>
      </c>
      <c r="I51">
        <f t="shared" si="0"/>
        <v>0</v>
      </c>
      <c r="J51">
        <f t="shared" si="1"/>
        <v>0</v>
      </c>
      <c r="K51" t="b">
        <f t="shared" si="2"/>
        <v>1</v>
      </c>
    </row>
    <row r="52" spans="1:11">
      <c r="A52" t="s">
        <v>192</v>
      </c>
      <c r="B52" s="1">
        <v>39</v>
      </c>
      <c r="C52">
        <f>_xlfn.XLOOKUP(A52,保证金登记!B:B,保证金登记!E:E)</f>
        <v>43733</v>
      </c>
      <c r="D52" t="str">
        <f t="array" ref="D52">_xlfn.XLOOKUP(B52,1*[2]保证金申请!$A:$A,[2]保证金申请!$C:$C)</f>
        <v>2019-09-25</v>
      </c>
      <c r="E52" t="str">
        <f>_xlfn.XLOOKUP(A52,保证金登记!B:B,保证金登记!I:I)</f>
        <v>北京金隅琉水环保科技有限公司</v>
      </c>
      <c r="F52" t="str">
        <f t="array" ref="F52">_xlfn.XLOOKUP(B52,1*[2]保证金申请!$A:$A,[2]保证金申请!$Q:$Q)</f>
        <v>北京金隅琉水环保科技有限公司</v>
      </c>
      <c r="G52">
        <f>_xlfn.XLOOKUP(A52,保证金登记!B:B,保证金登记!J:J)</f>
        <v>2000</v>
      </c>
      <c r="H52">
        <f t="array" ref="H52">_xlfn.XLOOKUP(B52,1*[2]保证金申请!$A:$A,[2]保证金申请!$K:$K)</f>
        <v>2000</v>
      </c>
      <c r="I52">
        <f t="shared" si="0"/>
        <v>0</v>
      </c>
      <c r="J52">
        <f t="shared" si="1"/>
        <v>0</v>
      </c>
      <c r="K52" t="b">
        <f t="shared" si="2"/>
        <v>1</v>
      </c>
    </row>
    <row r="53" spans="1:11">
      <c r="A53" t="s">
        <v>194</v>
      </c>
      <c r="B53" s="1">
        <v>40</v>
      </c>
      <c r="C53">
        <f>_xlfn.XLOOKUP(A53,保证金登记!B:B,保证金登记!E:E)</f>
        <v>43749</v>
      </c>
      <c r="D53" t="str">
        <f t="array" ref="D53">_xlfn.XLOOKUP(B53,1*[2]保证金申请!$A:$A,[2]保证金申请!$C:$C)</f>
        <v>2019-10-11</v>
      </c>
      <c r="E53" t="str">
        <f>_xlfn.XLOOKUP(A53,保证金登记!B:B,保证金登记!I:I)</f>
        <v>淮北众城水泥有限责任公司</v>
      </c>
      <c r="F53" t="str">
        <f t="array" ref="F53">_xlfn.XLOOKUP(B53,1*[2]保证金申请!$A:$A,[2]保证金申请!$Q:$Q)</f>
        <v>淮北众城水泥有限责任公司</v>
      </c>
      <c r="G53">
        <f>_xlfn.XLOOKUP(A53,保证金登记!B:B,保证金登记!J:J)</f>
        <v>2600</v>
      </c>
      <c r="H53">
        <f t="array" ref="H53">_xlfn.XLOOKUP(B53,1*[2]保证金申请!$A:$A,[2]保证金申请!$K:$K)</f>
        <v>2600</v>
      </c>
      <c r="I53">
        <f t="shared" si="0"/>
        <v>0</v>
      </c>
      <c r="J53">
        <f t="shared" si="1"/>
        <v>0</v>
      </c>
      <c r="K53" t="b">
        <f t="shared" si="2"/>
        <v>1</v>
      </c>
    </row>
    <row r="54" spans="1:11">
      <c r="A54" t="s">
        <v>196</v>
      </c>
      <c r="B54" s="1">
        <v>41</v>
      </c>
      <c r="C54">
        <f>_xlfn.XLOOKUP(A54,保证金登记!B:B,保证金登记!E:E)</f>
        <v>43749</v>
      </c>
      <c r="D54" t="str">
        <f t="array" ref="D54">_xlfn.XLOOKUP(B54,1*[2]保证金申请!$A:$A,[2]保证金申请!$C:$C)</f>
        <v>2019-10-11</v>
      </c>
      <c r="E54" t="str">
        <f>_xlfn.XLOOKUP(A54,保证金登记!B:B,保证金登记!I:I)</f>
        <v>冀东水泥铜川有限公司</v>
      </c>
      <c r="F54" t="str">
        <f t="array" ref="F54">_xlfn.XLOOKUP(B54,1*[2]保证金申请!$A:$A,[2]保证金申请!$Q:$Q)</f>
        <v>冀东水泥铜川有限公司</v>
      </c>
      <c r="G54">
        <f>_xlfn.XLOOKUP(A54,保证金登记!B:B,保证金登记!J:J)</f>
        <v>1000</v>
      </c>
      <c r="H54">
        <f t="array" ref="H54">_xlfn.XLOOKUP(B54,1*[2]保证金申请!$A:$A,[2]保证金申请!$K:$K)</f>
        <v>1000</v>
      </c>
      <c r="I54">
        <f t="shared" si="0"/>
        <v>0</v>
      </c>
      <c r="J54">
        <f t="shared" si="1"/>
        <v>0</v>
      </c>
      <c r="K54" t="b">
        <f t="shared" si="2"/>
        <v>1</v>
      </c>
    </row>
    <row r="55" spans="1:11">
      <c r="A55" t="s">
        <v>198</v>
      </c>
      <c r="B55" s="1">
        <v>43</v>
      </c>
      <c r="C55">
        <f>_xlfn.XLOOKUP(A55,保证金登记!B:B,保证金登记!E:E)</f>
        <v>43759</v>
      </c>
      <c r="D55" t="str">
        <f t="array" ref="D55">_xlfn.XLOOKUP(B55,1*[2]保证金申请!$A:$A,[2]保证金申请!$C:$C)</f>
        <v>2019-10-21</v>
      </c>
      <c r="E55" t="str">
        <f>_xlfn.XLOOKUP(A55,保证金登记!B:B,保证金登记!I:I)</f>
        <v>贵州清镇西南水泥有限公司</v>
      </c>
      <c r="F55" t="str">
        <f t="array" ref="F55">_xlfn.XLOOKUP(B55,1*[2]保证金申请!$A:$A,[2]保证金申请!$Q:$Q)</f>
        <v>贵州清镇西南水泥有限公司</v>
      </c>
      <c r="G55">
        <f>_xlfn.XLOOKUP(A55,保证金登记!B:B,保证金登记!J:J)</f>
        <v>3000</v>
      </c>
      <c r="H55">
        <f t="array" ref="H55">_xlfn.XLOOKUP(B55,1*[2]保证金申请!$A:$A,[2]保证金申请!$K:$K)</f>
        <v>3000</v>
      </c>
      <c r="I55">
        <f t="shared" si="0"/>
        <v>0</v>
      </c>
      <c r="J55">
        <f t="shared" si="1"/>
        <v>0</v>
      </c>
      <c r="K55" t="b">
        <f t="shared" si="2"/>
        <v>1</v>
      </c>
    </row>
    <row r="56" spans="1:11">
      <c r="A56" t="s">
        <v>200</v>
      </c>
      <c r="B56" s="1">
        <v>44</v>
      </c>
      <c r="C56">
        <f>_xlfn.XLOOKUP(A56,保证金登记!B:B,保证金登记!E:E)</f>
        <v>43761</v>
      </c>
      <c r="D56" t="str">
        <f t="array" ref="D56">_xlfn.XLOOKUP(B56,1*[2]保证金申请!$A:$A,[2]保证金申请!$C:$C)</f>
        <v>2019-10-23</v>
      </c>
      <c r="E56" t="str">
        <f>_xlfn.XLOOKUP(A56,保证金登记!B:B,保证金登记!I:I)</f>
        <v>华新水泥（恩施）有限公司</v>
      </c>
      <c r="F56" t="str">
        <f t="array" ref="F56">_xlfn.XLOOKUP(B56,1*[2]保证金申请!$A:$A,[2]保证金申请!$Q:$Q)</f>
        <v>华新水泥（恩施）有限公司</v>
      </c>
      <c r="G56">
        <f>_xlfn.XLOOKUP(A56,保证金登记!B:B,保证金登记!J:J)</f>
        <v>3000</v>
      </c>
      <c r="H56">
        <f t="array" ref="H56">_xlfn.XLOOKUP(B56,1*[2]保证金申请!$A:$A,[2]保证金申请!$K:$K)</f>
        <v>3000</v>
      </c>
      <c r="I56">
        <f t="shared" si="0"/>
        <v>0</v>
      </c>
      <c r="J56">
        <f t="shared" si="1"/>
        <v>0</v>
      </c>
      <c r="K56" t="b">
        <f t="shared" si="2"/>
        <v>1</v>
      </c>
    </row>
    <row r="57" spans="1:11">
      <c r="A57" t="s">
        <v>202</v>
      </c>
      <c r="B57" s="1">
        <v>42</v>
      </c>
      <c r="C57">
        <f>_xlfn.XLOOKUP(A57,保证金登记!B:B,保证金登记!E:E)</f>
        <v>43766</v>
      </c>
      <c r="D57" t="str">
        <f t="array" ref="D57">_xlfn.XLOOKUP(B57,1*[2]保证金申请!$A:$A,[2]保证金申请!$C:$C)</f>
        <v>2019-10-28</v>
      </c>
      <c r="E57" t="str">
        <f>_xlfn.XLOOKUP(A57,保证金登记!B:B,保证金登记!I:I)</f>
        <v>巴彦淖尔中联水泥有限公司</v>
      </c>
      <c r="F57" t="str">
        <f t="array" ref="F57">_xlfn.XLOOKUP(B57,1*[2]保证金申请!$A:$A,[2]保证金申请!$Q:$Q)</f>
        <v>巴彦淖尔中联水泥有限公司</v>
      </c>
      <c r="G57">
        <f>_xlfn.XLOOKUP(A57,保证金登记!B:B,保证金登记!J:J)</f>
        <v>4000</v>
      </c>
      <c r="H57">
        <f t="array" ref="H57">_xlfn.XLOOKUP(B57,1*[2]保证金申请!$A:$A,[2]保证金申请!$K:$K)</f>
        <v>4000</v>
      </c>
      <c r="I57">
        <f t="shared" si="0"/>
        <v>0</v>
      </c>
      <c r="J57">
        <f t="shared" si="1"/>
        <v>0</v>
      </c>
      <c r="K57" t="b">
        <f t="shared" si="2"/>
        <v>1</v>
      </c>
    </row>
    <row r="58" spans="1:11">
      <c r="A58" t="s">
        <v>204</v>
      </c>
      <c r="B58" s="1">
        <v>45</v>
      </c>
      <c r="C58">
        <f>_xlfn.XLOOKUP(A58,保证金登记!B:B,保证金登记!E:E)</f>
        <v>43774</v>
      </c>
      <c r="D58" t="str">
        <f t="array" ref="D58">_xlfn.XLOOKUP(B58,1*[2]保证金申请!$A:$A,[2]保证金申请!$C:$C)</f>
        <v>2019-11-05</v>
      </c>
      <c r="E58" t="str">
        <f>_xlfn.XLOOKUP(A58,保证金登记!B:B,保证金登记!I:I)</f>
        <v>安康市尧柏水泥有限公司</v>
      </c>
      <c r="F58" t="str">
        <f t="array" ref="F58">_xlfn.XLOOKUP(B58,1*[2]保证金申请!$A:$A,[2]保证金申请!$Q:$Q)</f>
        <v>安康市尧柏水泥有限公司</v>
      </c>
      <c r="G58">
        <f>_xlfn.XLOOKUP(A58,保证金登记!B:B,保证金登记!J:J)</f>
        <v>10000</v>
      </c>
      <c r="H58">
        <f t="array" ref="H58">_xlfn.XLOOKUP(B58,1*[2]保证金申请!$A:$A,[2]保证金申请!$K:$K)</f>
        <v>10000</v>
      </c>
      <c r="I58">
        <f t="shared" si="0"/>
        <v>0</v>
      </c>
      <c r="J58">
        <f t="shared" si="1"/>
        <v>0</v>
      </c>
      <c r="K58" t="b">
        <f t="shared" si="2"/>
        <v>1</v>
      </c>
    </row>
    <row r="59" spans="1:11">
      <c r="A59" t="s">
        <v>207</v>
      </c>
      <c r="B59" s="1">
        <v>191</v>
      </c>
      <c r="C59">
        <f>_xlfn.XLOOKUP(A59,保证金登记!B:B,保证金登记!E:E)</f>
        <v>43774</v>
      </c>
      <c r="D59" t="str">
        <f t="array" ref="D59">_xlfn.XLOOKUP(B59,1*[2]保证金申请!$A:$A,[2]保证金申请!$C:$C)</f>
        <v>2019-11-05</v>
      </c>
      <c r="E59" t="str">
        <f>_xlfn.XLOOKUP(A59,保证金登记!B:B,保证金登记!I:I)</f>
        <v>贵州西南水泥有限公司</v>
      </c>
      <c r="F59" t="str">
        <f t="array" ref="F59">_xlfn.XLOOKUP(B59,1*[2]保证金申请!$A:$A,[2]保证金申请!$Q:$Q)</f>
        <v>贵州西南水泥有限公司</v>
      </c>
      <c r="G59">
        <f>_xlfn.XLOOKUP(A59,保证金登记!B:B,保证金登记!J:J)</f>
        <v>50000</v>
      </c>
      <c r="H59">
        <f t="array" ref="H59">_xlfn.XLOOKUP(B59,1*[2]保证金申请!$A:$A,[2]保证金申请!$K:$K)</f>
        <v>50000</v>
      </c>
      <c r="I59">
        <f t="shared" si="0"/>
        <v>0</v>
      </c>
      <c r="J59">
        <f t="shared" si="1"/>
        <v>0</v>
      </c>
      <c r="K59" t="b">
        <f t="shared" si="2"/>
        <v>1</v>
      </c>
    </row>
    <row r="60" spans="1:11">
      <c r="A60" t="s">
        <v>212</v>
      </c>
      <c r="B60" s="1">
        <v>46</v>
      </c>
      <c r="C60">
        <f>_xlfn.XLOOKUP(A60,保证金登记!B:B,保证金登记!E:E)</f>
        <v>43775</v>
      </c>
      <c r="D60" t="str">
        <f t="array" ref="D60">_xlfn.XLOOKUP(B60,1*[2]保证金申请!$A:$A,[2]保证金申请!$C:$C)</f>
        <v>2019-11-06</v>
      </c>
      <c r="E60" t="str">
        <f>_xlfn.XLOOKUP(A60,保证金登记!B:B,保证金登记!I:I)</f>
        <v>华新水泥（恩施）有限公司</v>
      </c>
      <c r="F60" t="str">
        <f t="array" ref="F60">_xlfn.XLOOKUP(B60,1*[2]保证金申请!$A:$A,[2]保证金申请!$Q:$Q)</f>
        <v>华新水泥（恩施）有限公司</v>
      </c>
      <c r="G60">
        <f>_xlfn.XLOOKUP(A60,保证金登记!B:B,保证金登记!J:J)</f>
        <v>2000</v>
      </c>
      <c r="H60">
        <f t="array" ref="H60">_xlfn.XLOOKUP(B60,1*[2]保证金申请!$A:$A,[2]保证金申请!$K:$K)</f>
        <v>2000</v>
      </c>
      <c r="I60">
        <f t="shared" si="0"/>
        <v>0</v>
      </c>
      <c r="J60">
        <f t="shared" si="1"/>
        <v>0</v>
      </c>
      <c r="K60" t="b">
        <f t="shared" si="2"/>
        <v>1</v>
      </c>
    </row>
    <row r="61" spans="1:11">
      <c r="A61" t="s">
        <v>213</v>
      </c>
      <c r="B61" s="1">
        <v>47</v>
      </c>
      <c r="C61">
        <f>_xlfn.XLOOKUP(A61,保证金登记!B:B,保证金登记!E:E)</f>
        <v>43796</v>
      </c>
      <c r="D61" t="str">
        <f t="array" ref="D61">_xlfn.XLOOKUP(B61,1*[2]保证金申请!$A:$A,[2]保证金申请!$C:$C)</f>
        <v>2019-11-27</v>
      </c>
      <c r="E61" t="str">
        <f>_xlfn.XLOOKUP(A61,保证金登记!B:B,保证金登记!I:I)</f>
        <v>华新水泥（房县)有限公司</v>
      </c>
      <c r="F61" t="str">
        <f t="array" ref="F61">_xlfn.XLOOKUP(B61,1*[2]保证金申请!$A:$A,[2]保证金申请!$Q:$Q)</f>
        <v>华新水泥（房县)有限公司</v>
      </c>
      <c r="G61">
        <f>_xlfn.XLOOKUP(A61,保证金登记!B:B,保证金登记!J:J)</f>
        <v>2000</v>
      </c>
      <c r="H61">
        <f t="array" ref="H61">_xlfn.XLOOKUP(B61,1*[2]保证金申请!$A:$A,[2]保证金申请!$K:$K)</f>
        <v>2000</v>
      </c>
      <c r="I61">
        <f t="shared" si="0"/>
        <v>0</v>
      </c>
      <c r="J61">
        <f t="shared" si="1"/>
        <v>0</v>
      </c>
      <c r="K61" t="b">
        <f t="shared" si="2"/>
        <v>1</v>
      </c>
    </row>
    <row r="62" spans="1:11">
      <c r="A62" t="s">
        <v>214</v>
      </c>
      <c r="B62" s="1">
        <v>193</v>
      </c>
      <c r="C62">
        <f>_xlfn.XLOOKUP(A62,保证金登记!B:B,保证金登记!E:E)</f>
        <v>43804</v>
      </c>
      <c r="D62" t="str">
        <f t="array" ref="D62">_xlfn.XLOOKUP(B62,1*[2]保证金申请!$A:$A,[2]保证金申请!$C:$C)</f>
        <v>2019-12-05</v>
      </c>
      <c r="E62" t="str">
        <f>_xlfn.XLOOKUP(A62,保证金登记!B:B,保证金登记!I:I)</f>
        <v>江苏永钢集团有限公司</v>
      </c>
      <c r="F62" t="str">
        <f t="array" ref="F62">_xlfn.XLOOKUP(B62,1*[2]保证金申请!$A:$A,[2]保证金申请!$Q:$Q)</f>
        <v>江苏永钢集团有限公司</v>
      </c>
      <c r="G62">
        <f>_xlfn.XLOOKUP(A62,保证金登记!B:B,保证金登记!J:J)</f>
        <v>10000</v>
      </c>
      <c r="H62">
        <f t="array" ref="H62">_xlfn.XLOOKUP(B62,1*[2]保证金申请!$A:$A,[2]保证金申请!$K:$K)</f>
        <v>10000</v>
      </c>
      <c r="I62">
        <f t="shared" si="0"/>
        <v>0</v>
      </c>
      <c r="J62">
        <f t="shared" si="1"/>
        <v>0</v>
      </c>
      <c r="K62" t="b">
        <f t="shared" si="2"/>
        <v>1</v>
      </c>
    </row>
    <row r="63" spans="1:11">
      <c r="A63" t="s">
        <v>216</v>
      </c>
      <c r="B63" s="1">
        <v>48</v>
      </c>
      <c r="C63">
        <f>_xlfn.XLOOKUP(A63,保证金登记!B:B,保证金登记!E:E)</f>
        <v>43805</v>
      </c>
      <c r="D63" t="str">
        <f t="array" ref="D63">_xlfn.XLOOKUP(B63,1*[2]保证金申请!$A:$A,[2]保证金申请!$C:$C)</f>
        <v>2019-12-06</v>
      </c>
      <c r="E63" t="str">
        <f>_xlfn.XLOOKUP(A63,保证金登记!B:B,保证金登记!I:I)</f>
        <v>阳泉冀东水泥有限责任公司</v>
      </c>
      <c r="F63" t="str">
        <f t="array" ref="F63">_xlfn.XLOOKUP(B63,1*[2]保证金申请!$A:$A,[2]保证金申请!$Q:$Q)</f>
        <v>阳泉冀东水泥有限责任公司</v>
      </c>
      <c r="G63">
        <f>_xlfn.XLOOKUP(A63,保证金登记!B:B,保证金登记!J:J)</f>
        <v>2700</v>
      </c>
      <c r="H63">
        <f t="array" ref="H63">_xlfn.XLOOKUP(B63,1*[2]保证金申请!$A:$A,[2]保证金申请!$K:$K)</f>
        <v>2700</v>
      </c>
      <c r="I63">
        <f t="shared" si="0"/>
        <v>0</v>
      </c>
      <c r="J63">
        <f t="shared" si="1"/>
        <v>0</v>
      </c>
      <c r="K63" t="b">
        <f t="shared" si="2"/>
        <v>1</v>
      </c>
    </row>
    <row r="64" spans="1:11">
      <c r="A64" t="s">
        <v>217</v>
      </c>
      <c r="B64" s="1">
        <v>50</v>
      </c>
      <c r="C64">
        <f>_xlfn.XLOOKUP(A64,保证金登记!B:B,保证金登记!E:E)</f>
        <v>43808</v>
      </c>
      <c r="D64" t="str">
        <f t="array" ref="D64">_xlfn.XLOOKUP(B64,1*[2]保证金申请!$A:$A,[2]保证金申请!$C:$C)</f>
        <v>2019-12-09</v>
      </c>
      <c r="E64" t="str">
        <f>_xlfn.XLOOKUP(A64,保证金登记!B:B,保证金登记!I:I)</f>
        <v>山东泰西水泥有限公司</v>
      </c>
      <c r="F64" t="str">
        <f t="array" ref="F64">_xlfn.XLOOKUP(B64,1*[2]保证金申请!$A:$A,[2]保证金申请!$Q:$Q)</f>
        <v>山东泰西水泥有限公司</v>
      </c>
      <c r="G64">
        <f>_xlfn.XLOOKUP(A64,保证金登记!B:B,保证金登记!J:J)</f>
        <v>2000</v>
      </c>
      <c r="H64">
        <f t="array" ref="H64">_xlfn.XLOOKUP(B64,1*[2]保证金申请!$A:$A,[2]保证金申请!$K:$K)</f>
        <v>2000</v>
      </c>
      <c r="I64">
        <f t="shared" si="0"/>
        <v>0</v>
      </c>
      <c r="J64">
        <f t="shared" si="1"/>
        <v>0</v>
      </c>
      <c r="K64" t="b">
        <f t="shared" si="2"/>
        <v>1</v>
      </c>
    </row>
    <row r="65" spans="1:11">
      <c r="A65" t="s">
        <v>218</v>
      </c>
      <c r="B65" s="1">
        <v>49</v>
      </c>
      <c r="C65">
        <f>_xlfn.XLOOKUP(A65,保证金登记!B:B,保证金登记!E:E)</f>
        <v>43812</v>
      </c>
      <c r="D65" t="str">
        <f t="array" ref="D65">_xlfn.XLOOKUP(B65,1*[2]保证金申请!$A:$A,[2]保证金申请!$C:$C)</f>
        <v>2019-12-13</v>
      </c>
      <c r="E65" t="str">
        <f>_xlfn.XLOOKUP(A65,保证金登记!B:B,保证金登记!I:I)</f>
        <v>渤海水泥（葫芦岛）有限公司</v>
      </c>
      <c r="F65" t="str">
        <f t="array" ref="F65">_xlfn.XLOOKUP(B65,1*[2]保证金申请!$A:$A,[2]保证金申请!$Q:$Q)</f>
        <v>渤海水泥（葫芦岛）有限公司</v>
      </c>
      <c r="G65">
        <f>_xlfn.XLOOKUP(A65,保证金登记!B:B,保证金登记!J:J)</f>
        <v>3000</v>
      </c>
      <c r="H65">
        <f t="array" ref="H65">_xlfn.XLOOKUP(B65,1*[2]保证金申请!$A:$A,[2]保证金申请!$K:$K)</f>
        <v>3000</v>
      </c>
      <c r="I65">
        <f t="shared" si="0"/>
        <v>0</v>
      </c>
      <c r="J65">
        <f t="shared" si="1"/>
        <v>0</v>
      </c>
      <c r="K65" t="b">
        <f t="shared" si="2"/>
        <v>1</v>
      </c>
    </row>
    <row r="66" spans="1:11">
      <c r="A66" t="s">
        <v>221</v>
      </c>
      <c r="B66" s="1">
        <v>51</v>
      </c>
      <c r="C66">
        <f>_xlfn.XLOOKUP(A66,保证金登记!B:B,保证金登记!E:E)</f>
        <v>43823</v>
      </c>
      <c r="D66" t="str">
        <f t="array" ref="D66">_xlfn.XLOOKUP(B66,1*[2]保证金申请!$A:$A,[2]保证金申请!$C:$C)</f>
        <v>2019-12-24</v>
      </c>
      <c r="E66" t="str">
        <f>_xlfn.XLOOKUP(A66,保证金登记!B:B,保证金登记!I:I)</f>
        <v>天瑞新登郑州水泥有限公司</v>
      </c>
      <c r="F66" t="str">
        <f t="array" ref="F66">_xlfn.XLOOKUP(B66,1*[2]保证金申请!$A:$A,[2]保证金申请!$Q:$Q)</f>
        <v>天瑞新登郑州水泥有限公司</v>
      </c>
      <c r="G66">
        <f>_xlfn.XLOOKUP(A66,保证金登记!B:B,保证金登记!J:J)</f>
        <v>2000</v>
      </c>
      <c r="H66">
        <f t="array" ref="H66">_xlfn.XLOOKUP(B66,1*[2]保证金申请!$A:$A,[2]保证金申请!$K:$K)</f>
        <v>2000</v>
      </c>
      <c r="I66">
        <f t="shared" ref="I66:I129" si="3">C66-D66</f>
        <v>0</v>
      </c>
      <c r="J66">
        <f t="shared" ref="J66:J129" si="4">G66-H66</f>
        <v>0</v>
      </c>
      <c r="K66" t="b">
        <f t="shared" ref="K66:K129" si="5">EXACT(E66,F66)</f>
        <v>1</v>
      </c>
    </row>
    <row r="67" spans="1:11">
      <c r="A67" t="s">
        <v>223</v>
      </c>
      <c r="B67" s="1">
        <v>52</v>
      </c>
      <c r="C67">
        <f>_xlfn.XLOOKUP(A67,保证金登记!B:B,保证金登记!E:E)</f>
        <v>43825</v>
      </c>
      <c r="D67" t="str">
        <f t="array" ref="D67">_xlfn.XLOOKUP(B67,1*[2]保证金申请!$A:$A,[2]保证金申请!$C:$C)</f>
        <v>2019-12-26</v>
      </c>
      <c r="E67" t="str">
        <f>_xlfn.XLOOKUP(A67,保证金登记!B:B,保证金登记!I:I)</f>
        <v>酒钢（集团）宏达建材有限责任公司</v>
      </c>
      <c r="F67" t="str">
        <f t="array" ref="F67">_xlfn.XLOOKUP(B67,1*[2]保证金申请!$A:$A,[2]保证金申请!$Q:$Q)</f>
        <v>酒钢（集团）宏达建材有限责任公司</v>
      </c>
      <c r="G67">
        <f>_xlfn.XLOOKUP(A67,保证金登记!B:B,保证金登记!J:J)</f>
        <v>5000</v>
      </c>
      <c r="H67">
        <f t="array" ref="H67">_xlfn.XLOOKUP(B67,1*[2]保证金申请!$A:$A,[2]保证金申请!$K:$K)</f>
        <v>5000</v>
      </c>
      <c r="I67">
        <f t="shared" si="3"/>
        <v>0</v>
      </c>
      <c r="J67">
        <f t="shared" si="4"/>
        <v>0</v>
      </c>
      <c r="K67" t="b">
        <f t="shared" si="5"/>
        <v>1</v>
      </c>
    </row>
    <row r="68" spans="1:11">
      <c r="A68" t="s">
        <v>226</v>
      </c>
      <c r="B68" s="1">
        <v>73</v>
      </c>
      <c r="C68">
        <f>_xlfn.XLOOKUP(A68,保证金登记!B:B,保证金登记!E:E)</f>
        <v>43830</v>
      </c>
      <c r="D68" t="str">
        <f t="array" ref="D68">_xlfn.XLOOKUP(B68,1*[2]保证金申请!$A:$A,[2]保证金申请!$C:$C)</f>
        <v>2019-12-31</v>
      </c>
      <c r="E68" t="str">
        <f>_xlfn.XLOOKUP(A68,保证金登记!B:B,保证金登记!I:I)</f>
        <v>江苏沙钢集团有限公司</v>
      </c>
      <c r="F68" t="str">
        <f t="array" ref="F68">_xlfn.XLOOKUP(B68,1*[2]保证金申请!$A:$A,[2]保证金申请!$Q:$Q)</f>
        <v>江苏沙钢集团有限公司</v>
      </c>
      <c r="G68">
        <f>_xlfn.XLOOKUP(A68,保证金登记!B:B,保证金登记!J:J)</f>
        <v>900</v>
      </c>
      <c r="H68">
        <f t="array" ref="H68">_xlfn.XLOOKUP(B68,1*[2]保证金申请!$A:$A,[2]保证金申请!$K:$K)</f>
        <v>900</v>
      </c>
      <c r="I68">
        <f t="shared" si="3"/>
        <v>0</v>
      </c>
      <c r="J68">
        <f t="shared" si="4"/>
        <v>0</v>
      </c>
      <c r="K68" t="b">
        <f t="shared" si="5"/>
        <v>1</v>
      </c>
    </row>
    <row r="69" spans="1:11">
      <c r="A69" t="s">
        <v>229</v>
      </c>
      <c r="B69" s="1">
        <v>53</v>
      </c>
      <c r="C69">
        <f>_xlfn.XLOOKUP(A69,保证金登记!B:B,保证金登记!E:E)</f>
        <v>43840</v>
      </c>
      <c r="D69" t="str">
        <f t="array" ref="D69">_xlfn.XLOOKUP(B69,1*[2]保证金申请!$A:$A,[2]保证金申请!$C:$C)</f>
        <v>2020-01-10</v>
      </c>
      <c r="E69" t="str">
        <f>_xlfn.XLOOKUP(A69,保证金登记!B:B,保证金登记!I:I)</f>
        <v>安钢集团信阳钢铁有限责任公司</v>
      </c>
      <c r="F69" t="str">
        <f t="array" ref="F69">_xlfn.XLOOKUP(B69,1*[2]保证金申请!$A:$A,[2]保证金申请!$Q:$Q)</f>
        <v>安钢集团信阳钢铁有限责任公司</v>
      </c>
      <c r="G69">
        <f>_xlfn.XLOOKUP(A69,保证金登记!B:B,保证金登记!J:J)</f>
        <v>3000</v>
      </c>
      <c r="H69">
        <f t="array" ref="H69">_xlfn.XLOOKUP(B69,1*[2]保证金申请!$A:$A,[2]保证金申请!$K:$K)</f>
        <v>3000</v>
      </c>
      <c r="I69">
        <f t="shared" si="3"/>
        <v>0</v>
      </c>
      <c r="J69">
        <f t="shared" si="4"/>
        <v>0</v>
      </c>
      <c r="K69" t="b">
        <f t="shared" si="5"/>
        <v>1</v>
      </c>
    </row>
    <row r="70" spans="1:11">
      <c r="A70" t="s">
        <v>232</v>
      </c>
      <c r="B70" s="1">
        <v>54</v>
      </c>
      <c r="C70">
        <f>_xlfn.XLOOKUP(A70,保证金登记!B:B,保证金登记!E:E)</f>
        <v>43840</v>
      </c>
      <c r="D70" t="str">
        <f t="array" ref="D70">_xlfn.XLOOKUP(B70,1*[2]保证金申请!$A:$A,[2]保证金申请!$C:$C)</f>
        <v>2020-01-10</v>
      </c>
      <c r="E70" t="str">
        <f>_xlfn.XLOOKUP(A70,保证金登记!B:B,保证金登记!I:I)</f>
        <v>承德金隅水泥有限责任公司</v>
      </c>
      <c r="F70" t="str">
        <f t="array" ref="F70">_xlfn.XLOOKUP(B70,1*[2]保证金申请!$A:$A,[2]保证金申请!$Q:$Q)</f>
        <v>承德金隅水泥有限责任公司</v>
      </c>
      <c r="G70">
        <f>_xlfn.XLOOKUP(A70,保证金登记!B:B,保证金登记!J:J)</f>
        <v>2000</v>
      </c>
      <c r="H70">
        <f t="array" ref="H70">_xlfn.XLOOKUP(B70,1*[2]保证金申请!$A:$A,[2]保证金申请!$K:$K)</f>
        <v>2000</v>
      </c>
      <c r="I70">
        <f t="shared" si="3"/>
        <v>0</v>
      </c>
      <c r="J70">
        <f t="shared" si="4"/>
        <v>0</v>
      </c>
      <c r="K70" t="b">
        <f t="shared" si="5"/>
        <v>1</v>
      </c>
    </row>
    <row r="71" spans="1:11">
      <c r="A71" t="s">
        <v>238</v>
      </c>
      <c r="B71" s="1">
        <v>195</v>
      </c>
      <c r="C71">
        <f>_xlfn.XLOOKUP(A71,保证金登记!B:B,保证金登记!E:E)</f>
        <v>43840</v>
      </c>
      <c r="D71" t="str">
        <f t="array" ref="D71">_xlfn.XLOOKUP(B71,1*[2]保证金申请!$A:$A,[2]保证金申请!$C:$C)</f>
        <v>2020-01-10</v>
      </c>
      <c r="E71" t="str">
        <f>_xlfn.XLOOKUP(A71,保证金登记!B:B,保证金登记!I:I)</f>
        <v>鄂尔多斯市君正能源化工有限公司水泥分公司</v>
      </c>
      <c r="F71" t="str">
        <f t="array" ref="F71">_xlfn.XLOOKUP(B71,1*[2]保证金申请!$A:$A,[2]保证金申请!$Q:$Q)</f>
        <v>鄂尔多斯市君正能源化工有限公司水泥分公司</v>
      </c>
      <c r="G71">
        <f>_xlfn.XLOOKUP(A71,保证金登记!B:B,保证金登记!J:J)</f>
        <v>10000</v>
      </c>
      <c r="H71">
        <f t="array" ref="H71">_xlfn.XLOOKUP(B71,1*[2]保证金申请!$A:$A,[2]保证金申请!$K:$K)</f>
        <v>10000</v>
      </c>
      <c r="I71">
        <f t="shared" si="3"/>
        <v>0</v>
      </c>
      <c r="J71">
        <f t="shared" si="4"/>
        <v>0</v>
      </c>
      <c r="K71" t="b">
        <f t="shared" si="5"/>
        <v>1</v>
      </c>
    </row>
    <row r="72" spans="1:11">
      <c r="A72" t="s">
        <v>241</v>
      </c>
      <c r="B72" s="1">
        <v>55</v>
      </c>
      <c r="C72">
        <f>_xlfn.XLOOKUP(A72,保证金登记!B:B,保证金登记!E:E)</f>
        <v>43843</v>
      </c>
      <c r="D72" t="str">
        <f t="array" ref="D72">_xlfn.XLOOKUP(B72,1*[2]保证金申请!$A:$A,[2]保证金申请!$C:$C)</f>
        <v>2020-01-13</v>
      </c>
      <c r="E72" t="str">
        <f>_xlfn.XLOOKUP(A72,保证金登记!B:B,保证金登记!I:I)</f>
        <v>渤海水泥（葫芦岛）有限公司</v>
      </c>
      <c r="F72" t="str">
        <f t="array" ref="F72">_xlfn.XLOOKUP(B72,1*[2]保证金申请!$A:$A,[2]保证金申请!$Q:$Q)</f>
        <v>渤海水泥（葫芦岛）有限公司</v>
      </c>
      <c r="G72">
        <f>_xlfn.XLOOKUP(A72,保证金登记!B:B,保证金登记!J:J)</f>
        <v>3000</v>
      </c>
      <c r="H72">
        <f t="array" ref="H72">_xlfn.XLOOKUP(B72,1*[2]保证金申请!$A:$A,[2]保证金申请!$K:$K)</f>
        <v>3000</v>
      </c>
      <c r="I72">
        <f t="shared" si="3"/>
        <v>0</v>
      </c>
      <c r="J72">
        <f t="shared" si="4"/>
        <v>0</v>
      </c>
      <c r="K72" t="b">
        <f t="shared" si="5"/>
        <v>1</v>
      </c>
    </row>
    <row r="73" spans="1:11">
      <c r="A73" t="s">
        <v>243</v>
      </c>
      <c r="B73" s="1">
        <v>344</v>
      </c>
      <c r="C73">
        <f>_xlfn.XLOOKUP(A73,保证金登记!B:B,保证金登记!E:E)</f>
        <v>43843</v>
      </c>
      <c r="D73" t="str">
        <f t="array" ref="D73">_xlfn.XLOOKUP(B73,1*[2]保证金申请!$A:$A,[2]保证金申请!$C:$C)</f>
        <v>2020-01-13</v>
      </c>
      <c r="E73" t="str">
        <f>_xlfn.XLOOKUP(A73,保证金登记!B:B,保证金登记!I:I)</f>
        <v>四川金宏通实业有限公司</v>
      </c>
      <c r="F73" t="str">
        <f t="array" ref="F73">_xlfn.XLOOKUP(B73,1*[2]保证金申请!$A:$A,[2]保证金申请!$Q:$Q)</f>
        <v>四川金宏通实业有限公司</v>
      </c>
      <c r="G73">
        <f>_xlfn.XLOOKUP(A73,保证金登记!B:B,保证金登记!J:J)</f>
        <v>24000</v>
      </c>
      <c r="H73">
        <f t="array" ref="H73">_xlfn.XLOOKUP(B73,1*[2]保证金申请!$A:$A,[2]保证金申请!$K:$K)</f>
        <v>24000</v>
      </c>
      <c r="I73">
        <f t="shared" si="3"/>
        <v>0</v>
      </c>
      <c r="J73">
        <f t="shared" si="4"/>
        <v>0</v>
      </c>
      <c r="K73" t="b">
        <f t="shared" si="5"/>
        <v>1</v>
      </c>
    </row>
    <row r="74" spans="1:11">
      <c r="A74" t="s">
        <v>245</v>
      </c>
      <c r="B74" s="1">
        <v>56</v>
      </c>
      <c r="C74">
        <f>_xlfn.XLOOKUP(A74,保证金登记!B:B,保证金登记!E:E)</f>
        <v>43920</v>
      </c>
      <c r="D74" t="str">
        <f t="array" ref="D74">_xlfn.XLOOKUP(B74,1*[2]保证金申请!$A:$A,[2]保证金申请!$C:$C)</f>
        <v>2020-03-30</v>
      </c>
      <c r="E74" t="str">
        <f>_xlfn.XLOOKUP(A74,保证金登记!B:B,保证金登记!I:I)</f>
        <v>青海海西化工建材股份有限公司</v>
      </c>
      <c r="F74" t="str">
        <f t="array" ref="F74">_xlfn.XLOOKUP(B74,1*[2]保证金申请!$A:$A,[2]保证金申请!$Q:$Q)</f>
        <v>青海海西化工建材有限公司</v>
      </c>
      <c r="G74">
        <f>_xlfn.XLOOKUP(A74,保证金登记!B:B,保证金登记!J:J)</f>
        <v>5000</v>
      </c>
      <c r="H74">
        <f t="array" ref="H74">_xlfn.XLOOKUP(B74,1*[2]保证金申请!$A:$A,[2]保证金申请!$K:$K)</f>
        <v>5000</v>
      </c>
      <c r="I74">
        <f t="shared" si="3"/>
        <v>0</v>
      </c>
      <c r="J74">
        <f t="shared" si="4"/>
        <v>0</v>
      </c>
      <c r="K74" t="b">
        <f t="shared" si="5"/>
        <v>0</v>
      </c>
    </row>
    <row r="75" spans="1:11">
      <c r="A75" t="s">
        <v>248</v>
      </c>
      <c r="B75" s="1">
        <v>57</v>
      </c>
      <c r="C75">
        <f>_xlfn.XLOOKUP(A75,保证金登记!B:B,保证金登记!E:E)</f>
        <v>43923</v>
      </c>
      <c r="D75" t="str">
        <f t="array" ref="D75">_xlfn.XLOOKUP(B75,1*[2]保证金申请!$A:$A,[2]保证金申请!$C:$C)</f>
        <v>2020-04-02</v>
      </c>
      <c r="E75" t="str">
        <f>_xlfn.XLOOKUP(A75,保证金登记!B:B,保证金登记!I:I)</f>
        <v>甘肃永固特种水泥有限公司</v>
      </c>
      <c r="F75" t="str">
        <f t="array" ref="F75">_xlfn.XLOOKUP(B75,1*[2]保证金申请!$A:$A,[2]保证金申请!$Q:$Q)</f>
        <v>甘肃永固特种水泥有限公司</v>
      </c>
      <c r="G75">
        <f>_xlfn.XLOOKUP(A75,保证金登记!B:B,保证金登记!J:J)</f>
        <v>10000</v>
      </c>
      <c r="H75">
        <f t="array" ref="H75">_xlfn.XLOOKUP(B75,1*[2]保证金申请!$A:$A,[2]保证金申请!$K:$K)</f>
        <v>10000</v>
      </c>
      <c r="I75">
        <f t="shared" si="3"/>
        <v>0</v>
      </c>
      <c r="J75">
        <f t="shared" si="4"/>
        <v>0</v>
      </c>
      <c r="K75" t="b">
        <f t="shared" si="5"/>
        <v>1</v>
      </c>
    </row>
    <row r="76" spans="1:11">
      <c r="A76" t="s">
        <v>252</v>
      </c>
      <c r="B76" s="1">
        <v>196</v>
      </c>
      <c r="C76">
        <f>_xlfn.XLOOKUP(A76,保证金登记!B:B,保证金登记!E:E)</f>
        <v>43936</v>
      </c>
      <c r="D76" t="str">
        <f t="array" ref="D76">_xlfn.XLOOKUP(B76,1*[2]保证金申请!$A:$A,[2]保证金申请!$C:$C)</f>
        <v>2020-04-15</v>
      </c>
      <c r="E76" t="str">
        <f>_xlfn.XLOOKUP(A76,保证金登记!B:B,保证金登记!I:I)</f>
        <v>河北新金轧材有限公司</v>
      </c>
      <c r="F76" t="str">
        <f t="array" ref="F76">_xlfn.XLOOKUP(B76,1*[2]保证金申请!$A:$A,[2]保证金申请!$Q:$Q)</f>
        <v>河北新金轧材有限公司</v>
      </c>
      <c r="G76">
        <f>_xlfn.XLOOKUP(A76,保证金登记!B:B,保证金登记!J:J)</f>
        <v>10000</v>
      </c>
      <c r="H76">
        <f t="array" ref="H76">_xlfn.XLOOKUP(B76,1*[2]保证金申请!$A:$A,[2]保证金申请!$K:$K)</f>
        <v>10000</v>
      </c>
      <c r="I76">
        <f t="shared" si="3"/>
        <v>0</v>
      </c>
      <c r="J76">
        <f t="shared" si="4"/>
        <v>0</v>
      </c>
      <c r="K76" t="b">
        <f t="shared" si="5"/>
        <v>1</v>
      </c>
    </row>
    <row r="77" spans="1:11">
      <c r="A77" t="s">
        <v>254</v>
      </c>
      <c r="B77" s="1">
        <v>58</v>
      </c>
      <c r="C77">
        <f>_xlfn.XLOOKUP(A77,保证金登记!B:B,保证金登记!E:E)</f>
        <v>43967</v>
      </c>
      <c r="D77" t="str">
        <f t="array" ref="D77">_xlfn.XLOOKUP(B77,1*[2]保证金申请!$A:$A,[2]保证金申请!$C:$C)</f>
        <v>2020-05-16</v>
      </c>
      <c r="E77" t="str">
        <f>_xlfn.XLOOKUP(A77,保证金登记!B:B,保证金登记!I:I)</f>
        <v>贵州沿河西南水泥有限公司</v>
      </c>
      <c r="F77" t="str">
        <f t="array" ref="F77">_xlfn.XLOOKUP(B77,1*[2]保证金申请!$A:$A,[2]保证金申请!$Q:$Q)</f>
        <v>贵州沿河西南水泥有限公司</v>
      </c>
      <c r="G77">
        <f>_xlfn.XLOOKUP(A77,保证金登记!B:B,保证金登记!J:J)</f>
        <v>5000</v>
      </c>
      <c r="H77">
        <f t="array" ref="H77">_xlfn.XLOOKUP(B77,1*[2]保证金申请!$A:$A,[2]保证金申请!$K:$K)</f>
        <v>5000</v>
      </c>
      <c r="I77">
        <f t="shared" si="3"/>
        <v>0</v>
      </c>
      <c r="J77">
        <f t="shared" si="4"/>
        <v>0</v>
      </c>
      <c r="K77" t="b">
        <f t="shared" si="5"/>
        <v>1</v>
      </c>
    </row>
    <row r="78" spans="1:11">
      <c r="A78" t="s">
        <v>256</v>
      </c>
      <c r="B78" s="1">
        <v>59</v>
      </c>
      <c r="C78">
        <f>_xlfn.XLOOKUP(A78,保证金登记!B:B,保证金登记!E:E)</f>
        <v>43969</v>
      </c>
      <c r="D78" t="str">
        <f t="array" ref="D78">_xlfn.XLOOKUP(B78,1*[2]保证金申请!$A:$A,[2]保证金申请!$C:$C)</f>
        <v>2020-05-18</v>
      </c>
      <c r="E78" t="str">
        <f>_xlfn.XLOOKUP(A78,保证金登记!B:B,保证金登记!I:I)</f>
        <v>四川达州钢铁有限公司</v>
      </c>
      <c r="F78" t="str">
        <f t="array" ref="F78">_xlfn.XLOOKUP(B78,1*[2]保证金申请!$A:$A,[2]保证金申请!$Q:$Q)</f>
        <v>四川达州钢铁有限公司</v>
      </c>
      <c r="G78">
        <f>_xlfn.XLOOKUP(A78,保证金登记!B:B,保证金登记!J:J)</f>
        <v>2000</v>
      </c>
      <c r="H78">
        <f t="array" ref="H78">_xlfn.XLOOKUP(B78,1*[2]保证金申请!$A:$A,[2]保证金申请!$K:$K)</f>
        <v>2000</v>
      </c>
      <c r="I78">
        <f t="shared" si="3"/>
        <v>0</v>
      </c>
      <c r="J78">
        <f t="shared" si="4"/>
        <v>0</v>
      </c>
      <c r="K78" t="b">
        <f t="shared" si="5"/>
        <v>1</v>
      </c>
    </row>
    <row r="79" spans="1:11">
      <c r="A79" t="s">
        <v>258</v>
      </c>
      <c r="B79" s="1">
        <v>60</v>
      </c>
      <c r="C79">
        <f>_xlfn.XLOOKUP(A79,保证金登记!B:B,保证金登记!E:E)</f>
        <v>43969</v>
      </c>
      <c r="D79" t="str">
        <f t="array" ref="D79">_xlfn.XLOOKUP(B79,1*[2]保证金申请!$A:$A,[2]保证金申请!$C:$C)</f>
        <v>2020-05-18</v>
      </c>
      <c r="E79" t="str">
        <f>_xlfn.XLOOKUP(A79,保证金登记!B:B,保证金登记!I:I)</f>
        <v>四川峨眉山西南水泥有限公司</v>
      </c>
      <c r="F79" t="str">
        <f t="array" ref="F79">_xlfn.XLOOKUP(B79,1*[2]保证金申请!$A:$A,[2]保证金申请!$Q:$Q)</f>
        <v>四川峨眉山西南水泥有限公司</v>
      </c>
      <c r="G79">
        <f>_xlfn.XLOOKUP(A79,保证金登记!B:B,保证金登记!J:J)</f>
        <v>3000</v>
      </c>
      <c r="H79">
        <f t="array" ref="H79">_xlfn.XLOOKUP(B79,1*[2]保证金申请!$A:$A,[2]保证金申请!$K:$K)</f>
        <v>3000</v>
      </c>
      <c r="I79">
        <f t="shared" si="3"/>
        <v>0</v>
      </c>
      <c r="J79">
        <f t="shared" si="4"/>
        <v>0</v>
      </c>
      <c r="K79" t="b">
        <f t="shared" si="5"/>
        <v>1</v>
      </c>
    </row>
    <row r="80" spans="1:11">
      <c r="A80" t="s">
        <v>260</v>
      </c>
      <c r="B80" s="1">
        <v>61</v>
      </c>
      <c r="C80">
        <f>_xlfn.XLOOKUP(A80,保证金登记!B:B,保证金登记!E:E)</f>
        <v>43977</v>
      </c>
      <c r="D80" t="str">
        <f t="array" ref="D80">_xlfn.XLOOKUP(B80,1*[2]保证金申请!$A:$A,[2]保证金申请!$C:$C)</f>
        <v>2020-05-26</v>
      </c>
      <c r="E80" t="str">
        <f>_xlfn.XLOOKUP(A80,保证金登记!B:B,保证金登记!I:I)</f>
        <v>冀东海天水泥闻喜有限公司</v>
      </c>
      <c r="F80" t="str">
        <f t="array" ref="F80">_xlfn.XLOOKUP(B80,1*[2]保证金申请!$A:$A,[2]保证金申请!$Q:$Q)</f>
        <v>冀东海天水泥闻喜有限公司</v>
      </c>
      <c r="G80">
        <f>_xlfn.XLOOKUP(A80,保证金登记!B:B,保证金登记!J:J)</f>
        <v>5000</v>
      </c>
      <c r="H80">
        <f t="array" ref="H80">_xlfn.XLOOKUP(B80,1*[2]保证金申请!$A:$A,[2]保证金申请!$K:$K)</f>
        <v>5000</v>
      </c>
      <c r="I80">
        <f t="shared" si="3"/>
        <v>0</v>
      </c>
      <c r="J80">
        <f t="shared" si="4"/>
        <v>0</v>
      </c>
      <c r="K80" t="b">
        <f t="shared" si="5"/>
        <v>1</v>
      </c>
    </row>
    <row r="81" spans="1:11">
      <c r="A81" t="s">
        <v>261</v>
      </c>
      <c r="B81" s="1">
        <v>62</v>
      </c>
      <c r="C81">
        <f>_xlfn.XLOOKUP(A81,保证金登记!B:B,保证金登记!E:E)</f>
        <v>43992</v>
      </c>
      <c r="D81" t="str">
        <f t="array" ref="D81">_xlfn.XLOOKUP(B81,1*[2]保证金申请!$A:$A,[2]保证金申请!$C:$C)</f>
        <v>2020-06-10</v>
      </c>
      <c r="E81" t="str">
        <f>_xlfn.XLOOKUP(A81,保证金登记!B:B,保证金登记!I:I)</f>
        <v>阳泉冀东水泥有限责任公司</v>
      </c>
      <c r="F81" t="str">
        <f t="array" ref="F81">_xlfn.XLOOKUP(B81,1*[2]保证金申请!$A:$A,[2]保证金申请!$Q:$Q)</f>
        <v>阳泉冀东水泥有限责任公司</v>
      </c>
      <c r="G81">
        <f>_xlfn.XLOOKUP(A81,保证金登记!B:B,保证金登记!J:J)</f>
        <v>2000</v>
      </c>
      <c r="H81">
        <f t="array" ref="H81">_xlfn.XLOOKUP(B81,1*[2]保证金申请!$A:$A,[2]保证金申请!$K:$K)</f>
        <v>2000</v>
      </c>
      <c r="I81">
        <f t="shared" si="3"/>
        <v>0</v>
      </c>
      <c r="J81">
        <f t="shared" si="4"/>
        <v>0</v>
      </c>
      <c r="K81" t="b">
        <f t="shared" si="5"/>
        <v>1</v>
      </c>
    </row>
    <row r="82" spans="1:11">
      <c r="A82" t="s">
        <v>262</v>
      </c>
      <c r="B82" s="1">
        <v>63</v>
      </c>
      <c r="C82">
        <f>_xlfn.XLOOKUP(A82,保证金登记!B:B,保证金登记!E:E)</f>
        <v>44010</v>
      </c>
      <c r="D82" t="str">
        <f t="array" ref="D82">_xlfn.XLOOKUP(B82,1*[2]保证金申请!$A:$A,[2]保证金申请!$C:$C)</f>
        <v>2020-06-28</v>
      </c>
      <c r="E82" t="str">
        <f>_xlfn.XLOOKUP(A82,保证金登记!B:B,保证金登记!I:I)</f>
        <v>四川华蓥西南水泥有限公司</v>
      </c>
      <c r="F82" t="str">
        <f t="array" ref="F82">_xlfn.XLOOKUP(B82,1*[2]保证金申请!$A:$A,[2]保证金申请!$Q:$Q)</f>
        <v>四川华蓥西南水泥有限公司</v>
      </c>
      <c r="G82">
        <f>_xlfn.XLOOKUP(A82,保证金登记!B:B,保证金登记!J:J)</f>
        <v>1500</v>
      </c>
      <c r="H82">
        <f t="array" ref="H82">_xlfn.XLOOKUP(B82,1*[2]保证金申请!$A:$A,[2]保证金申请!$K:$K)</f>
        <v>1500</v>
      </c>
      <c r="I82">
        <f t="shared" si="3"/>
        <v>0</v>
      </c>
      <c r="J82">
        <f t="shared" si="4"/>
        <v>0</v>
      </c>
      <c r="K82" t="b">
        <f t="shared" si="5"/>
        <v>1</v>
      </c>
    </row>
    <row r="83" spans="1:11">
      <c r="A83" t="s">
        <v>264</v>
      </c>
      <c r="B83" s="1">
        <v>197</v>
      </c>
      <c r="C83">
        <f>_xlfn.XLOOKUP(A83,保证金登记!B:B,保证金登记!E:E)</f>
        <v>44011</v>
      </c>
      <c r="D83" t="str">
        <f t="array" ref="D83">_xlfn.XLOOKUP(B83,1*[2]保证金申请!$A:$A,[2]保证金申请!$C:$C)</f>
        <v>2020-06-29</v>
      </c>
      <c r="E83" t="str">
        <f>_xlfn.XLOOKUP(A83,保证金登记!B:B,保证金登记!I:I)</f>
        <v>四川西南水泥有限公司</v>
      </c>
      <c r="F83" t="str">
        <f t="array" ref="F83">_xlfn.XLOOKUP(B83,1*[2]保证金申请!$A:$A,[2]保证金申请!$Q:$Q)</f>
        <v>四川西南水泥有限公司（川渝西南）</v>
      </c>
      <c r="G83">
        <f>_xlfn.XLOOKUP(A83,保证金登记!B:B,保证金登记!J:J)</f>
        <v>50000</v>
      </c>
      <c r="H83">
        <f t="array" ref="H83">_xlfn.XLOOKUP(B83,1*[2]保证金申请!$A:$A,[2]保证金申请!$K:$K)</f>
        <v>50000</v>
      </c>
      <c r="I83">
        <f t="shared" si="3"/>
        <v>0</v>
      </c>
      <c r="J83">
        <f t="shared" si="4"/>
        <v>0</v>
      </c>
      <c r="K83" t="b">
        <f t="shared" si="5"/>
        <v>0</v>
      </c>
    </row>
    <row r="84" spans="1:11">
      <c r="A84" t="s">
        <v>268</v>
      </c>
      <c r="B84" s="1">
        <v>64</v>
      </c>
      <c r="C84">
        <f>_xlfn.XLOOKUP(A84,保证金登记!B:B,保证金登记!E:E)</f>
        <v>44012</v>
      </c>
      <c r="D84" t="str">
        <f t="array" ref="D84">_xlfn.XLOOKUP(B84,1*[2]保证金申请!$A:$A,[2]保证金申请!$C:$C)</f>
        <v>2020-06-30</v>
      </c>
      <c r="E84" t="str">
        <f>_xlfn.XLOOKUP(A84,保证金登记!B:B,保证金登记!I:I)</f>
        <v>天瑞集团郑州水泥有限公司</v>
      </c>
      <c r="F84" t="str">
        <f t="array" ref="F84">_xlfn.XLOOKUP(B84,1*[2]保证金申请!$A:$A,[2]保证金申请!$Q:$Q)</f>
        <v>天瑞集团郑州水泥有限公司</v>
      </c>
      <c r="G84">
        <f>_xlfn.XLOOKUP(A84,保证金登记!B:B,保证金登记!J:J)</f>
        <v>3000</v>
      </c>
      <c r="H84">
        <f t="array" ref="H84">_xlfn.XLOOKUP(B84,1*[2]保证金申请!$A:$A,[2]保证金申请!$K:$K)</f>
        <v>3000</v>
      </c>
      <c r="I84">
        <f t="shared" si="3"/>
        <v>0</v>
      </c>
      <c r="J84">
        <f t="shared" si="4"/>
        <v>0</v>
      </c>
      <c r="K84" t="b">
        <f t="shared" si="5"/>
        <v>1</v>
      </c>
    </row>
    <row r="85" spans="1:11">
      <c r="A85" t="s">
        <v>270</v>
      </c>
      <c r="B85" s="1">
        <v>65</v>
      </c>
      <c r="C85">
        <f>_xlfn.XLOOKUP(A85,保证金登记!B:B,保证金登记!E:E)</f>
        <v>44018</v>
      </c>
      <c r="D85" t="str">
        <f t="array" ref="D85">_xlfn.XLOOKUP(B85,1*[2]保证金申请!$A:$A,[2]保证金申请!$C:$C)</f>
        <v>2020-07-06</v>
      </c>
      <c r="E85" t="str">
        <f>_xlfn.XLOOKUP(A85,保证金登记!B:B,保证金登记!I:I)</f>
        <v>阳泉冀东水泥有限责任公司</v>
      </c>
      <c r="F85" t="str">
        <f t="array" ref="F85">_xlfn.XLOOKUP(B85,1*[2]保证金申请!$A:$A,[2]保证金申请!$Q:$Q)</f>
        <v>阳泉冀东水泥有限责任公司</v>
      </c>
      <c r="G85">
        <f>_xlfn.XLOOKUP(A85,保证金登记!B:B,保证金登记!J:J)</f>
        <v>2000</v>
      </c>
      <c r="H85">
        <f t="array" ref="H85">_xlfn.XLOOKUP(B85,1*[2]保证金申请!$A:$A,[2]保证金申请!$K:$K)</f>
        <v>2000</v>
      </c>
      <c r="I85">
        <f t="shared" si="3"/>
        <v>0</v>
      </c>
      <c r="J85">
        <f t="shared" si="4"/>
        <v>0</v>
      </c>
      <c r="K85" t="b">
        <f t="shared" si="5"/>
        <v>1</v>
      </c>
    </row>
    <row r="86" spans="1:11">
      <c r="A86" t="s">
        <v>271</v>
      </c>
      <c r="B86" s="1">
        <v>66</v>
      </c>
      <c r="C86">
        <f>_xlfn.XLOOKUP(A86,保证金登记!B:B,保证金登记!E:E)</f>
        <v>44021</v>
      </c>
      <c r="D86" t="str">
        <f t="array" ref="D86">_xlfn.XLOOKUP(B86,1*[2]保证金申请!$A:$A,[2]保证金申请!$C:$C)</f>
        <v>2020-07-09</v>
      </c>
      <c r="E86" t="str">
        <f>_xlfn.XLOOKUP(A86,保证金登记!B:B,保证金登记!I:I)</f>
        <v>贵州松桃高力水泥实业有限公司</v>
      </c>
      <c r="F86" t="str">
        <f t="array" ref="F86">_xlfn.XLOOKUP(B86,1*[2]保证金申请!$A:$A,[2]保证金申请!$Q:$Q)</f>
        <v>贵州松桃高力水泥实业有限公司</v>
      </c>
      <c r="G86">
        <f>_xlfn.XLOOKUP(A86,保证金登记!B:B,保证金登记!J:J)</f>
        <v>1000</v>
      </c>
      <c r="H86">
        <f t="array" ref="H86">_xlfn.XLOOKUP(B86,1*[2]保证金申请!$A:$A,[2]保证金申请!$K:$K)</f>
        <v>1000</v>
      </c>
      <c r="I86">
        <f t="shared" si="3"/>
        <v>0</v>
      </c>
      <c r="J86">
        <f t="shared" si="4"/>
        <v>0</v>
      </c>
      <c r="K86" t="b">
        <f t="shared" si="5"/>
        <v>1</v>
      </c>
    </row>
    <row r="87" spans="1:11">
      <c r="A87" t="s">
        <v>274</v>
      </c>
      <c r="B87" s="1">
        <v>68</v>
      </c>
      <c r="C87">
        <f>_xlfn.XLOOKUP(A87,保证金登记!B:B,保证金登记!E:E)</f>
        <v>44025</v>
      </c>
      <c r="D87" t="str">
        <f t="array" ref="D87">_xlfn.XLOOKUP(B87,1*[2]保证金申请!$A:$A,[2]保证金申请!$C:$C)</f>
        <v>2020-07-13</v>
      </c>
      <c r="E87" t="str">
        <f>_xlfn.XLOOKUP(A87,保证金登记!B:B,保证金登记!I:I)</f>
        <v>冀东水泥璧山有限公司</v>
      </c>
      <c r="F87" t="str">
        <f t="array" ref="F87">_xlfn.XLOOKUP(B87,1*[2]保证金申请!$A:$A,[2]保证金申请!$Q:$Q)</f>
        <v>冀东水泥璧山有限公司</v>
      </c>
      <c r="G87">
        <f>_xlfn.XLOOKUP(A87,保证金登记!B:B,保证金登记!J:J)</f>
        <v>2000</v>
      </c>
      <c r="H87">
        <f t="array" ref="H87">_xlfn.XLOOKUP(B87,1*[2]保证金申请!$A:$A,[2]保证金申请!$K:$K)</f>
        <v>2000</v>
      </c>
      <c r="I87">
        <f t="shared" si="3"/>
        <v>0</v>
      </c>
      <c r="J87">
        <f t="shared" si="4"/>
        <v>0</v>
      </c>
      <c r="K87" t="b">
        <f t="shared" si="5"/>
        <v>1</v>
      </c>
    </row>
    <row r="88" spans="1:11">
      <c r="A88" t="s">
        <v>277</v>
      </c>
      <c r="B88" s="1">
        <v>67</v>
      </c>
      <c r="C88">
        <f>_xlfn.XLOOKUP(A88,保证金登记!B:B,保证金登记!E:E)</f>
        <v>44027</v>
      </c>
      <c r="D88" t="str">
        <f t="array" ref="D88">_xlfn.XLOOKUP(B88,1*[2]保证金申请!$A:$A,[2]保证金申请!$C:$C)</f>
        <v>2020-07-15</v>
      </c>
      <c r="E88" t="str">
        <f>_xlfn.XLOOKUP(A88,保证金登记!B:B,保证金登记!I:I)</f>
        <v>贵州织金西南水泥有限公司</v>
      </c>
      <c r="F88" t="str">
        <f t="array" ref="F88">_xlfn.XLOOKUP(B88,1*[2]保证金申请!$A:$A,[2]保证金申请!$Q:$Q)</f>
        <v>贵州织金西南水泥有限公司</v>
      </c>
      <c r="G88">
        <f>_xlfn.XLOOKUP(A88,保证金登记!B:B,保证金登记!J:J)</f>
        <v>1000</v>
      </c>
      <c r="H88">
        <f t="array" ref="H88">_xlfn.XLOOKUP(B88,1*[2]保证金申请!$A:$A,[2]保证金申请!$K:$K)</f>
        <v>1000</v>
      </c>
      <c r="I88">
        <f t="shared" si="3"/>
        <v>0</v>
      </c>
      <c r="J88">
        <f t="shared" si="4"/>
        <v>0</v>
      </c>
      <c r="K88" t="b">
        <f t="shared" si="5"/>
        <v>1</v>
      </c>
    </row>
    <row r="89" spans="1:11">
      <c r="A89" t="s">
        <v>279</v>
      </c>
      <c r="B89" s="1">
        <v>69</v>
      </c>
      <c r="C89">
        <f>_xlfn.XLOOKUP(A89,保证金登记!B:B,保证金登记!E:E)</f>
        <v>44034</v>
      </c>
      <c r="D89" t="str">
        <f t="array" ref="D89">_xlfn.XLOOKUP(B89,1*[2]保证金申请!$A:$A,[2]保证金申请!$C:$C)</f>
        <v>2020-07-22</v>
      </c>
      <c r="E89" t="str">
        <f>_xlfn.XLOOKUP(A89,保证金登记!B:B,保证金登记!I:I)</f>
        <v>达州利森水泥有限公司</v>
      </c>
      <c r="F89" t="str">
        <f t="array" ref="F89">_xlfn.XLOOKUP(B89,1*[2]保证金申请!$A:$A,[2]保证金申请!$Q:$Q)</f>
        <v>达州利森水泥有限公司</v>
      </c>
      <c r="G89">
        <f>_xlfn.XLOOKUP(A89,保证金登记!B:B,保证金登记!J:J)</f>
        <v>3000</v>
      </c>
      <c r="H89">
        <f t="array" ref="H89">_xlfn.XLOOKUP(B89,1*[2]保证金申请!$A:$A,[2]保证金申请!$K:$K)</f>
        <v>3000</v>
      </c>
      <c r="I89">
        <f t="shared" si="3"/>
        <v>0</v>
      </c>
      <c r="J89">
        <f t="shared" si="4"/>
        <v>0</v>
      </c>
      <c r="K89" t="b">
        <f t="shared" si="5"/>
        <v>1</v>
      </c>
    </row>
    <row r="90" spans="1:11">
      <c r="A90" t="s">
        <v>281</v>
      </c>
      <c r="B90" s="1">
        <v>70</v>
      </c>
      <c r="C90">
        <f>_xlfn.XLOOKUP(A90,保证金登记!B:B,保证金登记!E:E)</f>
        <v>44034</v>
      </c>
      <c r="D90" t="str">
        <f t="array" ref="D90">_xlfn.XLOOKUP(B90,1*[2]保证金申请!$A:$A,[2]保证金申请!$C:$C)</f>
        <v>2020-07-22</v>
      </c>
      <c r="E90" t="str">
        <f>_xlfn.XLOOKUP(A90,保证金登记!B:B,保证金登记!I:I)</f>
        <v>赞皇金隅水泥有限公司</v>
      </c>
      <c r="F90" t="str">
        <f t="array" ref="F90">_xlfn.XLOOKUP(B90,1*[2]保证金申请!$A:$A,[2]保证金申请!$Q:$Q)</f>
        <v>赞皇金隅水泥有限公司</v>
      </c>
      <c r="G90">
        <f>_xlfn.XLOOKUP(A90,保证金登记!B:B,保证金登记!J:J)</f>
        <v>3200</v>
      </c>
      <c r="H90">
        <f t="array" ref="H90">_xlfn.XLOOKUP(B90,1*[2]保证金申请!$A:$A,[2]保证金申请!$K:$K)</f>
        <v>3200</v>
      </c>
      <c r="I90">
        <f t="shared" si="3"/>
        <v>0</v>
      </c>
      <c r="J90">
        <f t="shared" si="4"/>
        <v>0</v>
      </c>
      <c r="K90" t="b">
        <f t="shared" si="5"/>
        <v>1</v>
      </c>
    </row>
    <row r="91" spans="1:11">
      <c r="A91" t="s">
        <v>285</v>
      </c>
      <c r="B91" s="1">
        <v>71</v>
      </c>
      <c r="C91">
        <f>_xlfn.XLOOKUP(A91,保证金登记!B:B,保证金登记!E:E)</f>
        <v>44034</v>
      </c>
      <c r="D91" t="str">
        <f t="array" ref="D91">_xlfn.XLOOKUP(B91,1*[2]保证金申请!$A:$A,[2]保证金申请!$C:$C)</f>
        <v>2020-07-22</v>
      </c>
      <c r="E91" t="str">
        <f>_xlfn.XLOOKUP(A91,保证金登记!B:B,保证金登记!I:I)</f>
        <v>四川德胜集团水泥有限公司</v>
      </c>
      <c r="F91" t="str">
        <f t="array" ref="F91">_xlfn.XLOOKUP(B91,1*[2]保证金申请!$A:$A,[2]保证金申请!$Q:$Q)</f>
        <v>四川德胜集团水泥有限公司</v>
      </c>
      <c r="G91">
        <f>_xlfn.XLOOKUP(A91,保证金登记!B:B,保证金登记!J:J)</f>
        <v>3000</v>
      </c>
      <c r="H91">
        <f t="array" ref="H91">_xlfn.XLOOKUP(B91,1*[2]保证金申请!$A:$A,[2]保证金申请!$K:$K)</f>
        <v>3000</v>
      </c>
      <c r="I91">
        <f t="shared" si="3"/>
        <v>0</v>
      </c>
      <c r="J91">
        <f t="shared" si="4"/>
        <v>0</v>
      </c>
      <c r="K91" t="b">
        <f t="shared" si="5"/>
        <v>1</v>
      </c>
    </row>
    <row r="92" spans="1:11">
      <c r="A92" t="s">
        <v>288</v>
      </c>
      <c r="B92" s="1">
        <v>72</v>
      </c>
      <c r="C92">
        <f>_xlfn.XLOOKUP(A92,保证金登记!B:B,保证金登记!E:E)</f>
        <v>44038</v>
      </c>
      <c r="D92" t="str">
        <f t="array" ref="D92">_xlfn.XLOOKUP(B92,1*[2]保证金申请!$A:$A,[2]保证金申请!$C:$C)</f>
        <v>2020-07-26</v>
      </c>
      <c r="E92" t="str">
        <f>_xlfn.XLOOKUP(A92,保证金登记!B:B,保证金登记!I:I)</f>
        <v>韩城尧柏阳山庄水泥有限公司</v>
      </c>
      <c r="F92" t="str">
        <f t="array" ref="F92">_xlfn.XLOOKUP(B92,1*[2]保证金申请!$A:$A,[2]保证金申请!$Q:$Q)</f>
        <v>韩城尧柏阳山庄水泥有限公司</v>
      </c>
      <c r="G92">
        <f>_xlfn.XLOOKUP(A92,保证金登记!B:B,保证金登记!J:J)</f>
        <v>10000</v>
      </c>
      <c r="H92">
        <f t="array" ref="H92">_xlfn.XLOOKUP(B92,1*[2]保证金申请!$A:$A,[2]保证金申请!$K:$K)</f>
        <v>10000</v>
      </c>
      <c r="I92">
        <f t="shared" si="3"/>
        <v>0</v>
      </c>
      <c r="J92">
        <f t="shared" si="4"/>
        <v>0</v>
      </c>
      <c r="K92" t="b">
        <f t="shared" si="5"/>
        <v>1</v>
      </c>
    </row>
    <row r="93" spans="1:11">
      <c r="A93" t="s">
        <v>290</v>
      </c>
      <c r="B93" s="1">
        <v>74</v>
      </c>
      <c r="C93">
        <f>_xlfn.XLOOKUP(A93,保证金登记!B:B,保证金登记!E:E)</f>
        <v>44048</v>
      </c>
      <c r="D93" t="str">
        <f t="array" ref="D93">_xlfn.XLOOKUP(B93,1*[2]保证金申请!$A:$A,[2]保证金申请!$C:$C)</f>
        <v>2020-08-05</v>
      </c>
      <c r="E93" t="str">
        <f>_xlfn.XLOOKUP(A93,保证金登记!B:B,保证金登记!I:I)</f>
        <v>冀东水泥重庆合川有限责任公司</v>
      </c>
      <c r="F93" t="str">
        <f t="array" ref="F93">_xlfn.XLOOKUP(B93,1*[2]保证金申请!$A:$A,[2]保证金申请!$Q:$Q)</f>
        <v>冀东水泥重庆合川有限责任公司</v>
      </c>
      <c r="G93">
        <f>_xlfn.XLOOKUP(A93,保证金登记!B:B,保证金登记!J:J)</f>
        <v>2000</v>
      </c>
      <c r="H93">
        <f t="array" ref="H93">_xlfn.XLOOKUP(B93,1*[2]保证金申请!$A:$A,[2]保证金申请!$K:$K)</f>
        <v>2000</v>
      </c>
      <c r="I93">
        <f t="shared" si="3"/>
        <v>0</v>
      </c>
      <c r="J93">
        <f t="shared" si="4"/>
        <v>0</v>
      </c>
      <c r="K93" t="b">
        <f t="shared" si="5"/>
        <v>1</v>
      </c>
    </row>
    <row r="94" spans="1:11">
      <c r="A94" t="s">
        <v>296</v>
      </c>
      <c r="B94" s="1">
        <v>75</v>
      </c>
      <c r="C94">
        <f>_xlfn.XLOOKUP(A94,保证金登记!B:B,保证金登记!E:E)</f>
        <v>44050</v>
      </c>
      <c r="D94" t="str">
        <f t="array" ref="D94">_xlfn.XLOOKUP(B94,1*[2]保证金申请!$A:$A,[2]保证金申请!$C:$C)</f>
        <v>2020-08-07</v>
      </c>
      <c r="E94" t="str">
        <f>_xlfn.XLOOKUP(A94,保证金登记!B:B,保证金登记!I:I)</f>
        <v>商洛尧柏龙桥水泥有限公司</v>
      </c>
      <c r="F94" t="str">
        <f t="array" ref="F94">_xlfn.XLOOKUP(B94,1*[2]保证金申请!$A:$A,[2]保证金申请!$Q:$Q)</f>
        <v>商洛尧柏龙桥水泥有限公司</v>
      </c>
      <c r="G94">
        <f>_xlfn.XLOOKUP(A94,保证金登记!B:B,保证金登记!J:J)</f>
        <v>10000</v>
      </c>
      <c r="H94">
        <f t="array" ref="H94">_xlfn.XLOOKUP(B94,1*[2]保证金申请!$A:$A,[2]保证金申请!$K:$K)</f>
        <v>10000</v>
      </c>
      <c r="I94">
        <f t="shared" si="3"/>
        <v>0</v>
      </c>
      <c r="J94">
        <f t="shared" si="4"/>
        <v>0</v>
      </c>
      <c r="K94" t="b">
        <f t="shared" si="5"/>
        <v>1</v>
      </c>
    </row>
    <row r="95" spans="1:11">
      <c r="A95" t="s">
        <v>302</v>
      </c>
      <c r="B95" s="1">
        <v>76</v>
      </c>
      <c r="C95">
        <f>_xlfn.XLOOKUP(A95,保证金登记!B:B,保证金登记!E:E)</f>
        <v>44053</v>
      </c>
      <c r="D95" t="str">
        <f t="array" ref="D95">_xlfn.XLOOKUP(B95,1*[2]保证金申请!$A:$A,[2]保证金申请!$C:$C)</f>
        <v>2020-08-10</v>
      </c>
      <c r="E95" t="str">
        <f>_xlfn.XLOOKUP(A95,保证金登记!B:B,保证金登记!I:I)</f>
        <v>旺苍川煤水泥有限责任公司</v>
      </c>
      <c r="F95" t="str">
        <f t="array" ref="F95">_xlfn.XLOOKUP(B95,1*[2]保证金申请!$A:$A,[2]保证金申请!$Q:$Q)</f>
        <v>旺苍川煤水泥有限责任公司</v>
      </c>
      <c r="G95">
        <f>_xlfn.XLOOKUP(A95,保证金登记!B:B,保证金登记!J:J)</f>
        <v>3000</v>
      </c>
      <c r="H95">
        <f t="array" ref="H95">_xlfn.XLOOKUP(B95,1*[2]保证金申请!$A:$A,[2]保证金申请!$K:$K)</f>
        <v>3000</v>
      </c>
      <c r="I95">
        <f t="shared" si="3"/>
        <v>0</v>
      </c>
      <c r="J95">
        <f t="shared" si="4"/>
        <v>0</v>
      </c>
      <c r="K95" t="b">
        <f t="shared" si="5"/>
        <v>1</v>
      </c>
    </row>
    <row r="96" spans="1:11">
      <c r="A96" t="s">
        <v>304</v>
      </c>
      <c r="B96" s="1">
        <v>77</v>
      </c>
      <c r="C96">
        <f>_xlfn.XLOOKUP(A96,保证金登记!B:B,保证金登记!E:E)</f>
        <v>44057</v>
      </c>
      <c r="D96" t="str">
        <f t="array" ref="D96">_xlfn.XLOOKUP(B96,1*[2]保证金申请!$A:$A,[2]保证金申请!$C:$C)</f>
        <v>2020-08-14</v>
      </c>
      <c r="E96" t="str">
        <f>_xlfn.XLOOKUP(A96,保证金登记!B:B,保证金登记!I:I)</f>
        <v>重庆长寿西南水泥有限公司</v>
      </c>
      <c r="F96" t="str">
        <f t="array" ref="F96">_xlfn.XLOOKUP(B96,1*[2]保证金申请!$A:$A,[2]保证金申请!$Q:$Q)</f>
        <v>重庆长寿西南水泥有限公司</v>
      </c>
      <c r="G96">
        <f>_xlfn.XLOOKUP(A96,保证金登记!B:B,保证金登记!J:J)</f>
        <v>3000</v>
      </c>
      <c r="H96">
        <f t="array" ref="H96">_xlfn.XLOOKUP(B96,1*[2]保证金申请!$A:$A,[2]保证金申请!$K:$K)</f>
        <v>3000</v>
      </c>
      <c r="I96">
        <f t="shared" si="3"/>
        <v>0</v>
      </c>
      <c r="J96">
        <f t="shared" si="4"/>
        <v>0</v>
      </c>
      <c r="K96" t="b">
        <f t="shared" si="5"/>
        <v>1</v>
      </c>
    </row>
    <row r="97" spans="1:11">
      <c r="A97" t="s">
        <v>306</v>
      </c>
      <c r="B97" s="1">
        <v>78</v>
      </c>
      <c r="C97">
        <f>_xlfn.XLOOKUP(A97,保证金登记!B:B,保证金登记!E:E)</f>
        <v>44063</v>
      </c>
      <c r="D97" t="str">
        <f t="array" ref="D97">_xlfn.XLOOKUP(B97,1*[2]保证金申请!$A:$A,[2]保证金申请!$C:$C)</f>
        <v>2020-08-20</v>
      </c>
      <c r="E97" t="str">
        <f>_xlfn.XLOOKUP(A97,保证金登记!B:B,保证金登记!I:I)</f>
        <v>华新水泥（红河）有限公司</v>
      </c>
      <c r="F97" t="str">
        <f t="array" ref="F97">_xlfn.XLOOKUP(B97,1*[2]保证金申请!$A:$A,[2]保证金申请!$Q:$Q)</f>
        <v>华新水泥（红河）有限公司</v>
      </c>
      <c r="G97">
        <f>_xlfn.XLOOKUP(A97,保证金登记!B:B,保证金登记!J:J)</f>
        <v>5000</v>
      </c>
      <c r="H97">
        <f t="array" ref="H97">_xlfn.XLOOKUP(B97,1*[2]保证金申请!$A:$A,[2]保证金申请!$K:$K)</f>
        <v>5000</v>
      </c>
      <c r="I97">
        <f t="shared" si="3"/>
        <v>0</v>
      </c>
      <c r="J97">
        <f t="shared" si="4"/>
        <v>0</v>
      </c>
      <c r="K97" t="b">
        <f t="shared" si="5"/>
        <v>1</v>
      </c>
    </row>
    <row r="98" spans="1:11">
      <c r="A98" t="s">
        <v>309</v>
      </c>
      <c r="B98" s="1">
        <v>198</v>
      </c>
      <c r="C98">
        <f>_xlfn.XLOOKUP(A98,保证金登记!B:B,保证金登记!E:E)</f>
        <v>44078</v>
      </c>
      <c r="D98" t="str">
        <f t="array" ref="D98">_xlfn.XLOOKUP(B98,1*[2]保证金申请!$A:$A,[2]保证金申请!$C:$C)</f>
        <v>2020-09-04</v>
      </c>
      <c r="E98" t="str">
        <f>_xlfn.XLOOKUP(A98,保证金登记!B:B,保证金登记!I:I)</f>
        <v>云南西南水泥有限公司</v>
      </c>
      <c r="F98" t="str">
        <f t="array" ref="F98">_xlfn.XLOOKUP(B98,1*[2]保证金申请!$A:$A,[2]保证金申请!$Q:$Q)</f>
        <v>云南西南水泥有限公司</v>
      </c>
      <c r="G98">
        <f>_xlfn.XLOOKUP(A98,保证金登记!B:B,保证金登记!J:J)</f>
        <v>50000</v>
      </c>
      <c r="H98">
        <f t="array" ref="H98">_xlfn.XLOOKUP(B98,1*[2]保证金申请!$A:$A,[2]保证金申请!$K:$K)</f>
        <v>50000</v>
      </c>
      <c r="I98">
        <f t="shared" si="3"/>
        <v>0</v>
      </c>
      <c r="J98">
        <f t="shared" si="4"/>
        <v>0</v>
      </c>
      <c r="K98" t="b">
        <f t="shared" si="5"/>
        <v>1</v>
      </c>
    </row>
    <row r="99" spans="1:11">
      <c r="A99" t="s">
        <v>312</v>
      </c>
      <c r="B99" s="1">
        <v>199</v>
      </c>
      <c r="C99">
        <f>_xlfn.XLOOKUP(A99,保证金登记!B:B,保证金登记!E:E)</f>
        <v>44085</v>
      </c>
      <c r="D99" t="str">
        <f t="array" ref="D99">_xlfn.XLOOKUP(B99,1*[2]保证金申请!$A:$A,[2]保证金申请!$C:$C)</f>
        <v>2020-09-11</v>
      </c>
      <c r="E99" t="str">
        <f>_xlfn.XLOOKUP(A99,保证金登记!B:B,保证金登记!I:I)</f>
        <v>昌黎冀东水泥有限公司</v>
      </c>
      <c r="F99" t="str">
        <f t="array" ref="F99">_xlfn.XLOOKUP(B99,1*[2]保证金申请!$A:$A,[2]保证金申请!$Q:$Q)</f>
        <v>昌黎冀东水泥有限公司</v>
      </c>
      <c r="G99">
        <f>_xlfn.XLOOKUP(A99,保证金登记!B:B,保证金登记!J:J)</f>
        <v>2000</v>
      </c>
      <c r="H99">
        <f t="array" ref="H99">_xlfn.XLOOKUP(B99,1*[2]保证金申请!$A:$A,[2]保证金申请!$K:$K)</f>
        <v>2000</v>
      </c>
      <c r="I99">
        <f t="shared" si="3"/>
        <v>0</v>
      </c>
      <c r="J99">
        <f t="shared" si="4"/>
        <v>0</v>
      </c>
      <c r="K99" t="b">
        <f t="shared" si="5"/>
        <v>1</v>
      </c>
    </row>
    <row r="100" spans="1:11">
      <c r="A100" t="s">
        <v>314</v>
      </c>
      <c r="B100" s="1">
        <v>200</v>
      </c>
      <c r="C100">
        <f>_xlfn.XLOOKUP(A100,保证金登记!B:B,保证金登记!E:E)</f>
        <v>44092</v>
      </c>
      <c r="D100" t="str">
        <f t="array" ref="D100">_xlfn.XLOOKUP(B100,1*[2]保证金申请!$A:$A,[2]保证金申请!$C:$C)</f>
        <v>2020-09-18</v>
      </c>
      <c r="E100" t="str">
        <f>_xlfn.XLOOKUP(A100,保证金登记!B:B,保证金登记!I:I)</f>
        <v>宁夏建材集团股份有限公司</v>
      </c>
      <c r="F100" t="str">
        <f t="array" ref="F100">_xlfn.XLOOKUP(B100,1*[2]保证金申请!$A:$A,[2]保证金申请!$Q:$Q)</f>
        <v>宁夏建材集团股份有限公司</v>
      </c>
      <c r="G100">
        <f>_xlfn.XLOOKUP(A100,保证金登记!B:B,保证金登记!J:J)</f>
        <v>100000</v>
      </c>
      <c r="H100">
        <f t="array" ref="H100">_xlfn.XLOOKUP(B100,1*[2]保证金申请!$A:$A,[2]保证金申请!$K:$K)</f>
        <v>100000</v>
      </c>
      <c r="I100">
        <f t="shared" si="3"/>
        <v>0</v>
      </c>
      <c r="J100">
        <f t="shared" si="4"/>
        <v>0</v>
      </c>
      <c r="K100" t="b">
        <f t="shared" si="5"/>
        <v>1</v>
      </c>
    </row>
    <row r="101" spans="1:11">
      <c r="A101" t="s">
        <v>316</v>
      </c>
      <c r="B101" s="1">
        <v>201</v>
      </c>
      <c r="C101">
        <f>_xlfn.XLOOKUP(A101,保证金登记!B:B,保证金登记!E:E)</f>
        <v>44113</v>
      </c>
      <c r="D101" t="str">
        <f t="array" ref="D101">_xlfn.XLOOKUP(B101,1*[2]保证金申请!$A:$A,[2]保证金申请!$C:$C)</f>
        <v>2020-10-09</v>
      </c>
      <c r="E101" t="str">
        <f>_xlfn.XLOOKUP(A101,保证金登记!B:B,保证金登记!I:I)</f>
        <v>驻马店市豫龙同力水泥有限公司</v>
      </c>
      <c r="F101" t="str">
        <f t="array" ref="F101">_xlfn.XLOOKUP(B101,1*[2]保证金申请!$A:$A,[2]保证金申请!$Q:$Q)</f>
        <v>驻马店市豫龙同力水泥有限公司</v>
      </c>
      <c r="G101">
        <f>_xlfn.XLOOKUP(A101,保证金登记!B:B,保证金登记!J:J)</f>
        <v>3000</v>
      </c>
      <c r="H101">
        <f t="array" ref="H101">_xlfn.XLOOKUP(B101,1*[2]保证金申请!$A:$A,[2]保证金申请!$K:$K)</f>
        <v>3000</v>
      </c>
      <c r="I101">
        <f t="shared" si="3"/>
        <v>0</v>
      </c>
      <c r="J101">
        <f t="shared" si="4"/>
        <v>0</v>
      </c>
      <c r="K101" t="b">
        <f t="shared" si="5"/>
        <v>1</v>
      </c>
    </row>
    <row r="102" spans="1:11">
      <c r="A102" t="s">
        <v>319</v>
      </c>
      <c r="B102" s="1">
        <v>202</v>
      </c>
      <c r="C102">
        <f>_xlfn.XLOOKUP(A102,保证金登记!B:B,保证金登记!E:E)</f>
        <v>44123</v>
      </c>
      <c r="D102" t="str">
        <f t="array" ref="D102">_xlfn.XLOOKUP(B102,1*[2]保证金申请!$A:$A,[2]保证金申请!$C:$C)</f>
        <v>2020-10-19</v>
      </c>
      <c r="E102" t="str">
        <f>_xlfn.XLOOKUP(A102,保证金登记!B:B,保证金登记!I:I)</f>
        <v>双鸭山新时代水泥有限公司</v>
      </c>
      <c r="F102" t="str">
        <f t="array" ref="F102">_xlfn.XLOOKUP(B102,1*[2]保证金申请!$A:$A,[2]保证金申请!$Q:$Q)</f>
        <v>双鸭山新时代水泥有限公司</v>
      </c>
      <c r="G102">
        <f>_xlfn.XLOOKUP(A102,保证金登记!B:B,保证金登记!J:J)</f>
        <v>20000</v>
      </c>
      <c r="H102">
        <f t="array" ref="H102">_xlfn.XLOOKUP(B102,1*[2]保证金申请!$A:$A,[2]保证金申请!$K:$K)</f>
        <v>20000</v>
      </c>
      <c r="I102">
        <f t="shared" si="3"/>
        <v>0</v>
      </c>
      <c r="J102">
        <f t="shared" si="4"/>
        <v>0</v>
      </c>
      <c r="K102" t="b">
        <f t="shared" si="5"/>
        <v>1</v>
      </c>
    </row>
    <row r="103" spans="1:11">
      <c r="A103" t="s">
        <v>321</v>
      </c>
      <c r="B103" s="1">
        <v>203</v>
      </c>
      <c r="C103">
        <f>_xlfn.XLOOKUP(A103,保证金登记!B:B,保证金登记!E:E)</f>
        <v>44130</v>
      </c>
      <c r="D103" t="str">
        <f t="array" ref="D103">_xlfn.XLOOKUP(B103,1*[2]保证金申请!$A:$A,[2]保证金申请!$C:$C)</f>
        <v>2020-10-26</v>
      </c>
      <c r="E103" t="str">
        <f>_xlfn.XLOOKUP(A103,保证金登记!B:B,保证金登记!I:I)</f>
        <v>福建福海创石油化工有限公司</v>
      </c>
      <c r="F103" t="str">
        <f t="array" ref="F103">_xlfn.XLOOKUP(B103,1*[2]保证金申请!$A:$A,[2]保证金申请!$Q:$Q)</f>
        <v>福建福海创石油化工有限公司</v>
      </c>
      <c r="G103">
        <f>_xlfn.XLOOKUP(A103,保证金登记!B:B,保证金登记!J:J)</f>
        <v>20000</v>
      </c>
      <c r="H103">
        <f t="array" ref="H103">_xlfn.XLOOKUP(B103,1*[2]保证金申请!$A:$A,[2]保证金申请!$K:$K)</f>
        <v>20000</v>
      </c>
      <c r="I103">
        <f t="shared" si="3"/>
        <v>0</v>
      </c>
      <c r="J103">
        <f t="shared" si="4"/>
        <v>0</v>
      </c>
      <c r="K103" t="b">
        <f t="shared" si="5"/>
        <v>1</v>
      </c>
    </row>
    <row r="104" spans="1:11">
      <c r="A104" t="s">
        <v>324</v>
      </c>
      <c r="B104" s="1">
        <v>204</v>
      </c>
      <c r="C104">
        <f>_xlfn.XLOOKUP(A104,保证金登记!B:B,保证金登记!E:E)</f>
        <v>44132</v>
      </c>
      <c r="D104" t="str">
        <f t="array" ref="D104">_xlfn.XLOOKUP(B104,1*[2]保证金申请!$A:$A,[2]保证金申请!$C:$C)</f>
        <v>2020-10-28</v>
      </c>
      <c r="E104" t="str">
        <f>_xlfn.XLOOKUP(A104,保证金登记!B:B,保证金登记!I:I)</f>
        <v>鞍山冀东水泥有限责任公司</v>
      </c>
      <c r="F104" t="str">
        <f t="array" ref="F104">_xlfn.XLOOKUP(B104,1*[2]保证金申请!$A:$A,[2]保证金申请!$Q:$Q)</f>
        <v>鞍山冀东水泥有限责任公司</v>
      </c>
      <c r="G104">
        <f>_xlfn.XLOOKUP(A104,保证金登记!B:B,保证金登记!J:J)</f>
        <v>2000</v>
      </c>
      <c r="H104">
        <f t="array" ref="H104">_xlfn.XLOOKUP(B104,1*[2]保证金申请!$A:$A,[2]保证金申请!$K:$K)</f>
        <v>2000</v>
      </c>
      <c r="I104">
        <f t="shared" si="3"/>
        <v>0</v>
      </c>
      <c r="J104">
        <f t="shared" si="4"/>
        <v>0</v>
      </c>
      <c r="K104" t="b">
        <f t="shared" si="5"/>
        <v>1</v>
      </c>
    </row>
    <row r="105" spans="1:11">
      <c r="A105" t="s">
        <v>326</v>
      </c>
      <c r="B105" s="1">
        <v>205</v>
      </c>
      <c r="C105">
        <f>_xlfn.XLOOKUP(A105,保证金登记!B:B,保证金登记!E:E)</f>
        <v>44141</v>
      </c>
      <c r="D105" t="str">
        <f t="array" ref="D105">_xlfn.XLOOKUP(B105,1*[2]保证金申请!$A:$A,[2]保证金申请!$C:$C)</f>
        <v>2020-11-06</v>
      </c>
      <c r="E105" t="str">
        <f>_xlfn.XLOOKUP(A105,保证金登记!B:B,保证金登记!I:I)</f>
        <v>江西南方水泥有限公司</v>
      </c>
      <c r="F105" t="str">
        <f t="array" ref="F105">_xlfn.XLOOKUP(B105,1*[2]保证金申请!$A:$A,[2]保证金申请!$Q:$Q)</f>
        <v>江西南方水泥有限公司</v>
      </c>
      <c r="G105">
        <f>_xlfn.XLOOKUP(A105,保证金登记!B:B,保证金登记!J:J)</f>
        <v>20000</v>
      </c>
      <c r="H105">
        <f t="array" ref="H105">_xlfn.XLOOKUP(B105,1*[2]保证金申请!$A:$A,[2]保证金申请!$K:$K)</f>
        <v>20000</v>
      </c>
      <c r="I105">
        <f t="shared" si="3"/>
        <v>0</v>
      </c>
      <c r="J105">
        <f t="shared" si="4"/>
        <v>0</v>
      </c>
      <c r="K105" t="b">
        <f t="shared" si="5"/>
        <v>1</v>
      </c>
    </row>
    <row r="106" spans="1:11">
      <c r="A106" t="s">
        <v>331</v>
      </c>
      <c r="B106" s="1">
        <v>79</v>
      </c>
      <c r="C106">
        <f>_xlfn.XLOOKUP(A106,保证金登记!B:B,保证金登记!E:E)</f>
        <v>44148</v>
      </c>
      <c r="D106" t="str">
        <f t="array" ref="D106">_xlfn.XLOOKUP(B106,1*[2]保证金申请!$A:$A,[2]保证金申请!$C:$C)</f>
        <v>2020-11-13</v>
      </c>
      <c r="E106" t="str">
        <f>_xlfn.XLOOKUP(A106,保证金登记!B:B,保证金登记!I:I)</f>
        <v>保山昆钢嘉华水泥建材有限公司</v>
      </c>
      <c r="F106" t="str">
        <f t="array" ref="F106">_xlfn.XLOOKUP(B106,1*[2]保证金申请!$A:$A,[2]保证金申请!$Q:$Q)</f>
        <v>保山昆钢嘉华水泥建材有限公司</v>
      </c>
      <c r="G106">
        <f>_xlfn.XLOOKUP(A106,保证金登记!B:B,保证金登记!J:J)</f>
        <v>6000</v>
      </c>
      <c r="H106">
        <f t="array" ref="H106">_xlfn.XLOOKUP(B106,1*[2]保证金申请!$A:$A,[2]保证金申请!$K:$K)</f>
        <v>6000</v>
      </c>
      <c r="I106">
        <f t="shared" si="3"/>
        <v>0</v>
      </c>
      <c r="J106">
        <f t="shared" si="4"/>
        <v>0</v>
      </c>
      <c r="K106" t="b">
        <f t="shared" si="5"/>
        <v>1</v>
      </c>
    </row>
    <row r="107" spans="1:11">
      <c r="A107" t="s">
        <v>334</v>
      </c>
      <c r="B107" s="1">
        <v>80</v>
      </c>
      <c r="C107">
        <f>_xlfn.XLOOKUP(A107,保证金登记!B:B,保证金登记!E:E)</f>
        <v>44148</v>
      </c>
      <c r="D107" t="str">
        <f t="array" ref="D107">_xlfn.XLOOKUP(B107,1*[2]保证金申请!$A:$A,[2]保证金申请!$C:$C)</f>
        <v>2020-11-13</v>
      </c>
      <c r="E107" t="str">
        <f>_xlfn.XLOOKUP(A107,保证金登记!B:B,保证金登记!I:I)</f>
        <v>韩城尧柏阳山庄水泥有限公司</v>
      </c>
      <c r="F107" t="str">
        <f t="array" ref="F107">_xlfn.XLOOKUP(B107,1*[2]保证金申请!$A:$A,[2]保证金申请!$Q:$Q)</f>
        <v>韩城尧柏阳山庄水泥有限公司</v>
      </c>
      <c r="G107">
        <f>_xlfn.XLOOKUP(A107,保证金登记!B:B,保证金登记!J:J)</f>
        <v>10000</v>
      </c>
      <c r="H107">
        <f t="array" ref="H107">_xlfn.XLOOKUP(B107,1*[2]保证金申请!$A:$A,[2]保证金申请!$K:$K)</f>
        <v>10000</v>
      </c>
      <c r="I107">
        <f t="shared" si="3"/>
        <v>0</v>
      </c>
      <c r="J107">
        <f t="shared" si="4"/>
        <v>0</v>
      </c>
      <c r="K107" t="b">
        <f t="shared" si="5"/>
        <v>1</v>
      </c>
    </row>
    <row r="108" spans="1:11">
      <c r="A108" t="s">
        <v>336</v>
      </c>
      <c r="B108" s="1">
        <v>81</v>
      </c>
      <c r="C108">
        <f>_xlfn.XLOOKUP(A108,保证金登记!B:B,保证金登记!E:E)</f>
        <v>44162</v>
      </c>
      <c r="D108" t="str">
        <f t="array" ref="D108">_xlfn.XLOOKUP(B108,1*[2]保证金申请!$A:$A,[2]保证金申请!$C:$C)</f>
        <v>2020-11-27</v>
      </c>
      <c r="E108" t="str">
        <f>_xlfn.XLOOKUP(A108,保证金登记!B:B,保证金登记!I:I)</f>
        <v>天瑞新登郑州水泥有限公司</v>
      </c>
      <c r="F108" t="str">
        <f t="array" ref="F108">_xlfn.XLOOKUP(B108,1*[2]保证金申请!$A:$A,[2]保证金申请!$Q:$Q)</f>
        <v>天瑞新登郑州水泥有限公司</v>
      </c>
      <c r="G108">
        <f>_xlfn.XLOOKUP(A108,保证金登记!B:B,保证金登记!J:J)</f>
        <v>3000</v>
      </c>
      <c r="H108">
        <f t="array" ref="H108">_xlfn.XLOOKUP(B108,1*[2]保证金申请!$A:$A,[2]保证金申请!$K:$K)</f>
        <v>3000</v>
      </c>
      <c r="I108">
        <f t="shared" si="3"/>
        <v>0</v>
      </c>
      <c r="J108">
        <f t="shared" si="4"/>
        <v>0</v>
      </c>
      <c r="K108" t="b">
        <f t="shared" si="5"/>
        <v>1</v>
      </c>
    </row>
    <row r="109" spans="1:11">
      <c r="A109" t="s">
        <v>337</v>
      </c>
      <c r="B109" s="1">
        <v>192</v>
      </c>
      <c r="C109">
        <f>_xlfn.XLOOKUP(A109,保证金登记!B:B,保证金登记!E:E)</f>
        <v>44165</v>
      </c>
      <c r="D109" t="str">
        <f t="array" ref="D109">_xlfn.XLOOKUP(B109,1*[2]保证金申请!$A:$A,[2]保证金申请!$C:$C)</f>
        <v>2020-11-30</v>
      </c>
      <c r="E109" t="str">
        <f>_xlfn.XLOOKUP(A109,保证金登记!B:B,保证金登记!I:I)</f>
        <v>贵州西南水泥有限公司</v>
      </c>
      <c r="F109" t="str">
        <f t="array" ref="F109">_xlfn.XLOOKUP(B109,1*[2]保证金申请!$A:$A,[2]保证金申请!$Q:$Q)</f>
        <v>贵州西南水泥有限公司</v>
      </c>
      <c r="G109">
        <f>_xlfn.XLOOKUP(A109,保证金登记!B:B,保证金登记!J:J)</f>
        <v>50000</v>
      </c>
      <c r="H109">
        <f t="array" ref="H109">_xlfn.XLOOKUP(B109,1*[2]保证金申请!$A:$A,[2]保证金申请!$K:$K)</f>
        <v>50000</v>
      </c>
      <c r="I109">
        <f t="shared" si="3"/>
        <v>0</v>
      </c>
      <c r="J109">
        <f t="shared" si="4"/>
        <v>0</v>
      </c>
      <c r="K109" t="b">
        <f t="shared" si="5"/>
        <v>1</v>
      </c>
    </row>
    <row r="110" spans="1:11">
      <c r="A110" t="s">
        <v>339</v>
      </c>
      <c r="B110" s="1">
        <v>82</v>
      </c>
      <c r="C110">
        <f>_xlfn.XLOOKUP(A110,保证金登记!B:B,保证金登记!E:E)</f>
        <v>44172</v>
      </c>
      <c r="D110" t="str">
        <f t="array" ref="D110">_xlfn.XLOOKUP(B110,1*[2]保证金申请!$A:$A,[2]保证金申请!$C:$C)</f>
        <v>2020-12-07</v>
      </c>
      <c r="E110" t="str">
        <f>_xlfn.XLOOKUP(A110,保证金登记!B:B,保证金登记!I:I)</f>
        <v>临沂中联水泥有限公司</v>
      </c>
      <c r="F110" t="str">
        <f t="array" ref="F110">_xlfn.XLOOKUP(B110,1*[2]保证金申请!$A:$A,[2]保证金申请!$Q:$Q)</f>
        <v>临沂中联水泥有限公司</v>
      </c>
      <c r="G110">
        <f>_xlfn.XLOOKUP(A110,保证金登记!B:B,保证金登记!J:J)</f>
        <v>2000</v>
      </c>
      <c r="H110">
        <f t="array" ref="H110">_xlfn.XLOOKUP(B110,1*[2]保证金申请!$A:$A,[2]保证金申请!$K:$K)</f>
        <v>2000</v>
      </c>
      <c r="I110">
        <f t="shared" si="3"/>
        <v>0</v>
      </c>
      <c r="J110">
        <f t="shared" si="4"/>
        <v>0</v>
      </c>
      <c r="K110" t="b">
        <f t="shared" si="5"/>
        <v>1</v>
      </c>
    </row>
    <row r="111" spans="1:11">
      <c r="A111" t="s">
        <v>342</v>
      </c>
      <c r="B111" s="1">
        <v>83</v>
      </c>
      <c r="C111">
        <f>_xlfn.XLOOKUP(A111,保证金登记!B:B,保证金登记!E:E)</f>
        <v>44172</v>
      </c>
      <c r="D111" t="str">
        <f t="array" ref="D111">_xlfn.XLOOKUP(B111,1*[2]保证金申请!$A:$A,[2]保证金申请!$C:$C)</f>
        <v>2020-12-07</v>
      </c>
      <c r="E111" t="str">
        <f>_xlfn.XLOOKUP(A111,保证金登记!B:B,保证金登记!I:I)</f>
        <v>湖南韶峰南方水泥有限公司</v>
      </c>
      <c r="F111" t="str">
        <f t="array" ref="F111">_xlfn.XLOOKUP(B111,1*[2]保证金申请!$A:$A,[2]保证金申请!$Q:$Q)</f>
        <v>湖南韶峰南方水泥有限公司</v>
      </c>
      <c r="G111">
        <f>_xlfn.XLOOKUP(A111,保证金登记!B:B,保证金登记!J:J)</f>
        <v>2000</v>
      </c>
      <c r="H111">
        <f t="array" ref="H111">_xlfn.XLOOKUP(B111,1*[2]保证金申请!$A:$A,[2]保证金申请!$K:$K)</f>
        <v>2000</v>
      </c>
      <c r="I111">
        <f t="shared" si="3"/>
        <v>0</v>
      </c>
      <c r="J111">
        <f t="shared" si="4"/>
        <v>0</v>
      </c>
      <c r="K111" t="b">
        <f t="shared" si="5"/>
        <v>1</v>
      </c>
    </row>
    <row r="112" spans="1:11">
      <c r="A112" t="s">
        <v>345</v>
      </c>
      <c r="B112" s="1">
        <v>345</v>
      </c>
      <c r="C112">
        <f>_xlfn.XLOOKUP(A112,保证金登记!B:B,保证金登记!E:E)</f>
        <v>44176</v>
      </c>
      <c r="D112" t="str">
        <f t="array" ref="D112">_xlfn.XLOOKUP(B112,1*[2]保证金申请!$A:$A,[2]保证金申请!$C:$C)</f>
        <v>2020-12-11</v>
      </c>
      <c r="E112" t="str">
        <f>_xlfn.XLOOKUP(A112,保证金登记!B:B,保证金登记!I:I)</f>
        <v>葛洲坝嘉鱼水泥有限公司</v>
      </c>
      <c r="F112" t="str">
        <f t="array" ref="F112">_xlfn.XLOOKUP(B112,1*[2]保证金申请!$A:$A,[2]保证金申请!$Q:$Q)</f>
        <v>葛洲坝嘉鱼水泥有限公司</v>
      </c>
      <c r="G112">
        <f>_xlfn.XLOOKUP(A112,保证金登记!B:B,保证金登记!J:J)</f>
        <v>10800</v>
      </c>
      <c r="H112">
        <f t="array" ref="H112">_xlfn.XLOOKUP(B112,1*[2]保证金申请!$A:$A,[2]保证金申请!$K:$K)</f>
        <v>10800</v>
      </c>
      <c r="I112">
        <f t="shared" si="3"/>
        <v>0</v>
      </c>
      <c r="J112">
        <f t="shared" si="4"/>
        <v>0</v>
      </c>
      <c r="K112" t="b">
        <f t="shared" si="5"/>
        <v>1</v>
      </c>
    </row>
    <row r="113" spans="1:11">
      <c r="A113" t="s">
        <v>347</v>
      </c>
      <c r="B113" s="1">
        <v>84</v>
      </c>
      <c r="C113">
        <f>_xlfn.XLOOKUP(A113,保证金登记!B:B,保证金登记!E:E)</f>
        <v>44179</v>
      </c>
      <c r="D113" t="str">
        <f t="array" ref="D113">_xlfn.XLOOKUP(B113,1*[2]保证金申请!$A:$A,[2]保证金申请!$C:$C)</f>
        <v>2020-12-14</v>
      </c>
      <c r="E113" t="str">
        <f>_xlfn.XLOOKUP(A113,保证金登记!B:B,保证金登记!I:I)</f>
        <v>蒲城尧柏特种水泥有限公司</v>
      </c>
      <c r="F113" t="str">
        <f t="array" ref="F113">_xlfn.XLOOKUP(B113,1*[2]保证金申请!$A:$A,[2]保证金申请!$Q:$Q)</f>
        <v>蒲城尧柏特种水泥有限公司</v>
      </c>
      <c r="G113">
        <f>_xlfn.XLOOKUP(A113,保证金登记!B:B,保证金登记!J:J)</f>
        <v>10000</v>
      </c>
      <c r="H113">
        <f t="array" ref="H113">_xlfn.XLOOKUP(B113,1*[2]保证金申请!$A:$A,[2]保证金申请!$K:$K)</f>
        <v>10000</v>
      </c>
      <c r="I113">
        <f t="shared" si="3"/>
        <v>0</v>
      </c>
      <c r="J113">
        <f t="shared" si="4"/>
        <v>0</v>
      </c>
      <c r="K113" t="b">
        <f t="shared" si="5"/>
        <v>1</v>
      </c>
    </row>
    <row r="114" spans="1:11">
      <c r="A114" t="s">
        <v>350</v>
      </c>
      <c r="B114" s="1">
        <v>85</v>
      </c>
      <c r="C114">
        <f>_xlfn.XLOOKUP(A114,保证金登记!B:B,保证金登记!E:E)</f>
        <v>44181</v>
      </c>
      <c r="D114" t="str">
        <f t="array" ref="D114">_xlfn.XLOOKUP(B114,1*[2]保证金申请!$A:$A,[2]保证金申请!$C:$C)</f>
        <v>2020-12-16</v>
      </c>
      <c r="E114" t="str">
        <f>_xlfn.XLOOKUP(A114,保证金登记!B:B,保证金登记!I:I)</f>
        <v>天瑞集团郑州水泥有限公司</v>
      </c>
      <c r="F114" t="str">
        <f t="array" ref="F114">_xlfn.XLOOKUP(B114,1*[2]保证金申请!$A:$A,[2]保证金申请!$Q:$Q)</f>
        <v>天瑞集团郑州水泥有限公司</v>
      </c>
      <c r="G114">
        <f>_xlfn.XLOOKUP(A114,保证金登记!B:B,保证金登记!J:J)</f>
        <v>3000</v>
      </c>
      <c r="H114">
        <f t="array" ref="H114">_xlfn.XLOOKUP(B114,1*[2]保证金申请!$A:$A,[2]保证金申请!$K:$K)</f>
        <v>3000</v>
      </c>
      <c r="I114">
        <f t="shared" si="3"/>
        <v>0</v>
      </c>
      <c r="J114">
        <f t="shared" si="4"/>
        <v>0</v>
      </c>
      <c r="K114" t="b">
        <f t="shared" si="5"/>
        <v>1</v>
      </c>
    </row>
    <row r="115" spans="1:11">
      <c r="A115" t="s">
        <v>351</v>
      </c>
      <c r="B115" s="1">
        <v>206</v>
      </c>
      <c r="C115">
        <f>_xlfn.XLOOKUP(A115,保证金登记!B:B,保证金登记!E:E)</f>
        <v>44181</v>
      </c>
      <c r="D115" t="str">
        <f t="array" ref="D115">_xlfn.XLOOKUP(B115,1*[2]保证金申请!$A:$A,[2]保证金申请!$C:$C)</f>
        <v>2020-12-16</v>
      </c>
      <c r="E115" t="str">
        <f>_xlfn.XLOOKUP(A115,保证金登记!B:B,保证金登记!I:I)</f>
        <v>甘肃祁连山水泥集团股份有限公司</v>
      </c>
      <c r="F115" t="str">
        <f t="array" ref="F115">_xlfn.XLOOKUP(B115,1*[2]保证金申请!$A:$A,[2]保证金申请!$Q:$Q)</f>
        <v>甘肃祁连山水泥集团股份有限公司</v>
      </c>
      <c r="G115">
        <f>_xlfn.XLOOKUP(A115,保证金登记!B:B,保证金登记!J:J)</f>
        <v>10000</v>
      </c>
      <c r="H115">
        <f t="array" ref="H115">_xlfn.XLOOKUP(B115,1*[2]保证金申请!$A:$A,[2]保证金申请!$K:$K)</f>
        <v>10000</v>
      </c>
      <c r="I115">
        <f t="shared" si="3"/>
        <v>0</v>
      </c>
      <c r="J115">
        <f t="shared" si="4"/>
        <v>0</v>
      </c>
      <c r="K115" t="b">
        <f t="shared" si="5"/>
        <v>1</v>
      </c>
    </row>
    <row r="116" spans="1:11">
      <c r="A116" t="s">
        <v>353</v>
      </c>
      <c r="B116" s="1">
        <v>86</v>
      </c>
      <c r="C116">
        <f>_xlfn.XLOOKUP(A116,保证金登记!B:B,保证金登记!E:E)</f>
        <v>44182</v>
      </c>
      <c r="D116" t="str">
        <f t="array" ref="D116">_xlfn.XLOOKUP(B116,1*[2]保证金申请!$A:$A,[2]保证金申请!$C:$C)</f>
        <v>2020-12-17</v>
      </c>
      <c r="E116" t="str">
        <f>_xlfn.XLOOKUP(A116,保证金登记!B:B,保证金登记!I:I)</f>
        <v>山东泰西水泥有限公司</v>
      </c>
      <c r="F116" t="str">
        <f t="array" ref="F116">_xlfn.XLOOKUP(B116,1*[2]保证金申请!$A:$A,[2]保证金申请!$Q:$Q)</f>
        <v>山东泰西水泥有限公司</v>
      </c>
      <c r="G116">
        <f>_xlfn.XLOOKUP(A116,保证金登记!B:B,保证金登记!J:J)</f>
        <v>5000</v>
      </c>
      <c r="H116">
        <f t="array" ref="H116">_xlfn.XLOOKUP(B116,1*[2]保证金申请!$A:$A,[2]保证金申请!$K:$K)</f>
        <v>5000</v>
      </c>
      <c r="I116">
        <f t="shared" si="3"/>
        <v>0</v>
      </c>
      <c r="J116">
        <f t="shared" si="4"/>
        <v>0</v>
      </c>
      <c r="K116" t="b">
        <f t="shared" si="5"/>
        <v>1</v>
      </c>
    </row>
    <row r="117" spans="1:11">
      <c r="A117" t="s">
        <v>355</v>
      </c>
      <c r="B117" s="1">
        <v>113</v>
      </c>
      <c r="C117">
        <f>_xlfn.XLOOKUP(A117,保证金登记!B:B,保证金登记!E:E)</f>
        <v>44182</v>
      </c>
      <c r="D117" t="str">
        <f t="array" ref="D117">_xlfn.XLOOKUP(B117,1*[2]保证金申请!$A:$A,[2]保证金申请!$C:$C)</f>
        <v/>
      </c>
      <c r="E117" t="str">
        <f>_xlfn.XLOOKUP(A117,保证金登记!B:B,保证金登记!I:I)</f>
        <v>山东泰西水泥有限公司</v>
      </c>
      <c r="F117" t="str">
        <f t="array" ref="F117">_xlfn.XLOOKUP(B117,1*[2]保证金申请!$A:$A,[2]保证金申请!$Q:$Q)</f>
        <v>山东泰西水泥有限公司</v>
      </c>
      <c r="G117">
        <f>_xlfn.XLOOKUP(A117,保证金登记!B:B,保证金登记!J:J)</f>
        <v>1500</v>
      </c>
      <c r="H117">
        <f t="array" ref="H117">_xlfn.XLOOKUP(B117,1*[2]保证金申请!$A:$A,[2]保证金申请!$K:$K)</f>
        <v>1500</v>
      </c>
      <c r="I117" t="e">
        <f t="shared" si="3"/>
        <v>#VALUE!</v>
      </c>
      <c r="J117">
        <f t="shared" si="4"/>
        <v>0</v>
      </c>
      <c r="K117" t="b">
        <f t="shared" si="5"/>
        <v>1</v>
      </c>
    </row>
    <row r="118" spans="1:11">
      <c r="A118" t="s">
        <v>358</v>
      </c>
      <c r="B118" s="1">
        <v>207</v>
      </c>
      <c r="C118">
        <f>_xlfn.XLOOKUP(A118,保证金登记!B:B,保证金登记!E:E)</f>
        <v>44186</v>
      </c>
      <c r="D118" t="str">
        <f t="array" ref="D118">_xlfn.XLOOKUP(B118,1*[2]保证金申请!$A:$A,[2]保证金申请!$C:$C)</f>
        <v>2020-12-21</v>
      </c>
      <c r="E118" t="str">
        <f>_xlfn.XLOOKUP(A118,保证金登记!B:B,保证金登记!I:I)</f>
        <v>鞍山冀东水泥有限责任公司</v>
      </c>
      <c r="F118" t="str">
        <f t="array" ref="F118">_xlfn.XLOOKUP(B118,1*[2]保证金申请!$A:$A,[2]保证金申请!$Q:$Q)</f>
        <v>鞍山冀东水泥有限责任公司</v>
      </c>
      <c r="G118">
        <f>_xlfn.XLOOKUP(A118,保证金登记!B:B,保证金登记!J:J)</f>
        <v>5000</v>
      </c>
      <c r="H118">
        <f t="array" ref="H118">_xlfn.XLOOKUP(B118,1*[2]保证金申请!$A:$A,[2]保证金申请!$K:$K)</f>
        <v>5000</v>
      </c>
      <c r="I118">
        <f t="shared" si="3"/>
        <v>0</v>
      </c>
      <c r="J118">
        <f t="shared" si="4"/>
        <v>0</v>
      </c>
      <c r="K118" t="b">
        <f t="shared" si="5"/>
        <v>1</v>
      </c>
    </row>
    <row r="119" spans="1:11">
      <c r="A119" t="s">
        <v>359</v>
      </c>
      <c r="B119" s="1">
        <v>208</v>
      </c>
      <c r="C119">
        <f>_xlfn.XLOOKUP(A119,保证金登记!B:B,保证金登记!E:E)</f>
        <v>44186</v>
      </c>
      <c r="D119" t="str">
        <f t="array" ref="D119">_xlfn.XLOOKUP(B119,1*[2]保证金申请!$A:$A,[2]保证金申请!$C:$C)</f>
        <v>2020-12-21</v>
      </c>
      <c r="E119" t="str">
        <f>_xlfn.XLOOKUP(A119,保证金登记!B:B,保证金登记!I:I)</f>
        <v>金隅冀东水泥（唐山）有限责任公司唐山分公司</v>
      </c>
      <c r="F119" t="str">
        <f t="array" ref="F119">_xlfn.XLOOKUP(B119,1*[2]保证金申请!$A:$A,[2]保证金申请!$Q:$Q)</f>
        <v>金隅冀东水泥（唐山）有限责任公司唐山分公司</v>
      </c>
      <c r="G119">
        <f>_xlfn.XLOOKUP(A119,保证金登记!B:B,保证金登记!J:J)</f>
        <v>10000</v>
      </c>
      <c r="H119">
        <f t="array" ref="H119">_xlfn.XLOOKUP(B119,1*[2]保证金申请!$A:$A,[2]保证金申请!$K:$K)</f>
        <v>10000</v>
      </c>
      <c r="I119">
        <f t="shared" si="3"/>
        <v>0</v>
      </c>
      <c r="J119">
        <f t="shared" si="4"/>
        <v>0</v>
      </c>
      <c r="K119" t="b">
        <f t="shared" si="5"/>
        <v>1</v>
      </c>
    </row>
    <row r="120" spans="1:11">
      <c r="A120" t="s">
        <v>361</v>
      </c>
      <c r="B120" s="1">
        <v>209</v>
      </c>
      <c r="C120">
        <f>_xlfn.XLOOKUP(A120,保证金登记!B:B,保证金登记!E:E)</f>
        <v>44188</v>
      </c>
      <c r="D120" t="str">
        <f t="array" ref="D120">_xlfn.XLOOKUP(B120,1*[2]保证金申请!$A:$A,[2]保证金申请!$C:$C)</f>
        <v>2020-12-23</v>
      </c>
      <c r="E120" t="str">
        <f>_xlfn.XLOOKUP(A120,保证金登记!B:B,保证金登记!I:I)</f>
        <v>吐鲁番天山水泥有限责任公司</v>
      </c>
      <c r="F120" t="str">
        <f t="array" ref="F120">_xlfn.XLOOKUP(B120,1*[2]保证金申请!$A:$A,[2]保证金申请!$Q:$Q)</f>
        <v>吐鲁番天山水泥有限责任公司</v>
      </c>
      <c r="G120">
        <f>_xlfn.XLOOKUP(A120,保证金登记!B:B,保证金登记!J:J)</f>
        <v>3000</v>
      </c>
      <c r="H120">
        <f t="array" ref="H120">_xlfn.XLOOKUP(B120,1*[2]保证金申请!$A:$A,[2]保证金申请!$K:$K)</f>
        <v>3000</v>
      </c>
      <c r="I120">
        <f t="shared" si="3"/>
        <v>0</v>
      </c>
      <c r="J120">
        <f t="shared" si="4"/>
        <v>0</v>
      </c>
      <c r="K120" t="b">
        <f t="shared" si="5"/>
        <v>1</v>
      </c>
    </row>
    <row r="121" spans="1:11">
      <c r="A121" t="s">
        <v>363</v>
      </c>
      <c r="B121" s="1">
        <v>87</v>
      </c>
      <c r="C121">
        <f>_xlfn.XLOOKUP(A121,保证金登记!B:B,保证金登记!E:E)</f>
        <v>44190</v>
      </c>
      <c r="D121" t="str">
        <f t="array" ref="D121">_xlfn.XLOOKUP(B121,1*[2]保证金申请!$A:$A,[2]保证金申请!$C:$C)</f>
        <v>2020-12-25</v>
      </c>
      <c r="E121" t="str">
        <f>_xlfn.XLOOKUP(A121,保证金登记!B:B,保证金登记!I:I)</f>
        <v>西安蓝田尧柏水泥有限公司</v>
      </c>
      <c r="F121" t="str">
        <f t="array" ref="F121">_xlfn.XLOOKUP(B121,1*[2]保证金申请!$A:$A,[2]保证金申请!$Q:$Q)</f>
        <v>西安蓝田尧柏水泥有限公司</v>
      </c>
      <c r="G121">
        <f>_xlfn.XLOOKUP(A121,保证金登记!B:B,保证金登记!J:J)</f>
        <v>10000</v>
      </c>
      <c r="H121">
        <f t="array" ref="H121">_xlfn.XLOOKUP(B121,1*[2]保证金申请!$A:$A,[2]保证金申请!$K:$K)</f>
        <v>10000</v>
      </c>
      <c r="I121">
        <f t="shared" si="3"/>
        <v>0</v>
      </c>
      <c r="J121">
        <f t="shared" si="4"/>
        <v>0</v>
      </c>
      <c r="K121" t="b">
        <f t="shared" si="5"/>
        <v>1</v>
      </c>
    </row>
    <row r="122" spans="1:11">
      <c r="A122" t="s">
        <v>365</v>
      </c>
      <c r="B122" s="1">
        <v>88</v>
      </c>
      <c r="C122">
        <f>_xlfn.XLOOKUP(A122,保证金登记!B:B,保证金登记!E:E)</f>
        <v>44193</v>
      </c>
      <c r="D122" t="str">
        <f t="array" ref="D122">_xlfn.XLOOKUP(B122,1*[2]保证金申请!$A:$A,[2]保证金申请!$C:$C)</f>
        <v>2020-12-28</v>
      </c>
      <c r="E122" t="str">
        <f>_xlfn.XLOOKUP(A122,保证金登记!B:B,保证金登记!I:I)</f>
        <v>河北金隅鼎鑫水泥有限公司</v>
      </c>
      <c r="F122" t="str">
        <f t="array" ref="F122">_xlfn.XLOOKUP(B122,1*[2]保证金申请!$A:$A,[2]保证金申请!$Q:$Q)</f>
        <v>河北金隅鼎鑫水泥有限公司</v>
      </c>
      <c r="G122">
        <f>_xlfn.XLOOKUP(A122,保证金登记!B:B,保证金登记!J:J)</f>
        <v>2000</v>
      </c>
      <c r="H122">
        <f t="array" ref="H122">_xlfn.XLOOKUP(B122,1*[2]保证金申请!$A:$A,[2]保证金申请!$K:$K)</f>
        <v>2000</v>
      </c>
      <c r="I122">
        <f t="shared" si="3"/>
        <v>0</v>
      </c>
      <c r="J122">
        <f t="shared" si="4"/>
        <v>0</v>
      </c>
      <c r="K122" t="b">
        <f t="shared" si="5"/>
        <v>1</v>
      </c>
    </row>
    <row r="123" spans="1:11">
      <c r="A123" t="s">
        <v>368</v>
      </c>
      <c r="B123" s="1">
        <v>210</v>
      </c>
      <c r="C123">
        <f>_xlfn.XLOOKUP(A123,保证金登记!B:B,保证金登记!E:E)</f>
        <v>44195</v>
      </c>
      <c r="D123" t="str">
        <f t="array" ref="D123">_xlfn.XLOOKUP(B123,1*[2]保证金申请!$A:$A,[2]保证金申请!$C:$C)</f>
        <v>2020-12-30</v>
      </c>
      <c r="E123" t="str">
        <f>_xlfn.XLOOKUP(A123,保证金登记!B:B,保证金登记!I:I)</f>
        <v>昌黎冀东水泥有限公司</v>
      </c>
      <c r="F123" t="str">
        <f t="array" ref="F123">_xlfn.XLOOKUP(B123,1*[2]保证金申请!$A:$A,[2]保证金申请!$Q:$Q)</f>
        <v>昌黎冀东水泥有限公司</v>
      </c>
      <c r="G123">
        <f>_xlfn.XLOOKUP(A123,保证金登记!B:B,保证金登记!J:J)</f>
        <v>3000</v>
      </c>
      <c r="H123">
        <f t="array" ref="H123">_xlfn.XLOOKUP(B123,1*[2]保证金申请!$A:$A,[2]保证金申请!$K:$K)</f>
        <v>3000</v>
      </c>
      <c r="I123">
        <f t="shared" si="3"/>
        <v>0</v>
      </c>
      <c r="J123">
        <f t="shared" si="4"/>
        <v>0</v>
      </c>
      <c r="K123" t="b">
        <f t="shared" si="5"/>
        <v>1</v>
      </c>
    </row>
    <row r="124" spans="1:11">
      <c r="A124" t="s">
        <v>369</v>
      </c>
      <c r="B124" s="1">
        <v>89</v>
      </c>
      <c r="C124">
        <f>_xlfn.XLOOKUP(A124,保证金登记!B:B,保证金登记!E:E)</f>
        <v>44200</v>
      </c>
      <c r="D124" t="str">
        <f t="array" ref="D124">_xlfn.XLOOKUP(B124,1*[2]保证金申请!$A:$A,[2]保证金申请!$C:$C)</f>
        <v>2021-01-04</v>
      </c>
      <c r="E124" t="str">
        <f>_xlfn.XLOOKUP(A124,保证金登记!B:B,保证金登记!I:I)</f>
        <v>安钢集团信阳钢铁有限责任公司</v>
      </c>
      <c r="F124" t="str">
        <f t="array" ref="F124">_xlfn.XLOOKUP(B124,1*[2]保证金申请!$A:$A,[2]保证金申请!$Q:$Q)</f>
        <v>安钢集团信阳钢铁有限责任公司</v>
      </c>
      <c r="G124">
        <f>_xlfn.XLOOKUP(A124,保证金登记!B:B,保证金登记!J:J)</f>
        <v>5920</v>
      </c>
      <c r="H124">
        <f t="array" ref="H124">_xlfn.XLOOKUP(B124,1*[2]保证金申请!$A:$A,[2]保证金申请!$K:$K)</f>
        <v>5920</v>
      </c>
      <c r="I124">
        <f t="shared" si="3"/>
        <v>0</v>
      </c>
      <c r="J124">
        <f t="shared" si="4"/>
        <v>0</v>
      </c>
      <c r="K124" t="b">
        <f t="shared" si="5"/>
        <v>1</v>
      </c>
    </row>
    <row r="125" spans="1:11">
      <c r="A125" t="s">
        <v>372</v>
      </c>
      <c r="B125" s="1">
        <v>90</v>
      </c>
      <c r="C125">
        <f>_xlfn.XLOOKUP(A125,保证金登记!B:B,保证金登记!E:E)</f>
        <v>44202</v>
      </c>
      <c r="D125" t="str">
        <f t="array" ref="D125">_xlfn.XLOOKUP(B125,1*[2]保证金申请!$A:$A,[2]保证金申请!$C:$C)</f>
        <v>2021-01-06</v>
      </c>
      <c r="E125" t="str">
        <f>_xlfn.XLOOKUP(A125,保证金登记!B:B,保证金登记!I:I)</f>
        <v>鲁南中联水泥有限公司</v>
      </c>
      <c r="F125" t="str">
        <f t="array" ref="F125">_xlfn.XLOOKUP(B125,1*[2]保证金申请!$A:$A,[2]保证金申请!$Q:$Q)</f>
        <v>鲁南中联水泥有限公司</v>
      </c>
      <c r="G125">
        <f>_xlfn.XLOOKUP(A125,保证金登记!B:B,保证金登记!J:J)</f>
        <v>4000</v>
      </c>
      <c r="H125">
        <f t="array" ref="H125">_xlfn.XLOOKUP(B125,1*[2]保证金申请!$A:$A,[2]保证金申请!$K:$K)</f>
        <v>4000</v>
      </c>
      <c r="I125">
        <f t="shared" si="3"/>
        <v>0</v>
      </c>
      <c r="J125">
        <f t="shared" si="4"/>
        <v>0</v>
      </c>
      <c r="K125" t="b">
        <f t="shared" si="5"/>
        <v>1</v>
      </c>
    </row>
    <row r="126" spans="1:11">
      <c r="A126" t="s">
        <v>374</v>
      </c>
      <c r="B126" s="1">
        <v>211</v>
      </c>
      <c r="C126">
        <f>_xlfn.XLOOKUP(A126,保证金登记!B:B,保证金登记!E:E)</f>
        <v>44202</v>
      </c>
      <c r="D126" t="str">
        <f t="array" ref="D126">_xlfn.XLOOKUP(B126,1*[2]保证金申请!$A:$A,[2]保证金申请!$C:$C)</f>
        <v>2021-01-06</v>
      </c>
      <c r="E126" t="str">
        <f>_xlfn.XLOOKUP(A126,保证金登记!B:B,保证金登记!I:I)</f>
        <v>九江萍钢钢铁有限公司</v>
      </c>
      <c r="F126" t="str">
        <f t="array" ref="F126">_xlfn.XLOOKUP(B126,1*[2]保证金申请!$A:$A,[2]保证金申请!$Q:$Q)</f>
        <v>九江萍钢钢铁有限公司</v>
      </c>
      <c r="G126">
        <f>_xlfn.XLOOKUP(A126,保证金登记!B:B,保证金登记!J:J)</f>
        <v>36000</v>
      </c>
      <c r="H126">
        <f t="array" ref="H126">_xlfn.XLOOKUP(B126,1*[2]保证金申请!$A:$A,[2]保证金申请!$K:$K)</f>
        <v>36000</v>
      </c>
      <c r="I126">
        <f t="shared" si="3"/>
        <v>0</v>
      </c>
      <c r="J126">
        <f t="shared" si="4"/>
        <v>0</v>
      </c>
      <c r="K126" t="b">
        <f t="shared" si="5"/>
        <v>1</v>
      </c>
    </row>
    <row r="127" spans="1:11">
      <c r="A127" t="s">
        <v>377</v>
      </c>
      <c r="B127" s="1">
        <v>91</v>
      </c>
      <c r="C127">
        <f>_xlfn.XLOOKUP(A127,保证金登记!B:B,保证金登记!E:E)</f>
        <v>44210</v>
      </c>
      <c r="D127" t="str">
        <f t="array" ref="D127">_xlfn.XLOOKUP(B127,1*[2]保证金申请!$A:$A,[2]保证金申请!$C:$C)</f>
        <v>2021-01-14</v>
      </c>
      <c r="E127" t="str">
        <f>_xlfn.XLOOKUP(A127,保证金登记!B:B,保证金登记!I:I)</f>
        <v>陵川金隅冀东环保科技有限公司</v>
      </c>
      <c r="F127" t="str">
        <f t="array" ref="F127">_xlfn.XLOOKUP(B127,1*[2]保证金申请!$A:$A,[2]保证金申请!$Q:$Q)</f>
        <v>陵川金隅冀东环保科技有限公司</v>
      </c>
      <c r="G127">
        <f>_xlfn.XLOOKUP(A127,保证金登记!B:B,保证金登记!J:J)</f>
        <v>500</v>
      </c>
      <c r="H127">
        <f t="array" ref="H127">_xlfn.XLOOKUP(B127,1*[2]保证金申请!$A:$A,[2]保证金申请!$K:$K)</f>
        <v>500</v>
      </c>
      <c r="I127">
        <f t="shared" si="3"/>
        <v>0</v>
      </c>
      <c r="J127">
        <f t="shared" si="4"/>
        <v>0</v>
      </c>
      <c r="K127" t="b">
        <f t="shared" si="5"/>
        <v>1</v>
      </c>
    </row>
    <row r="128" spans="1:11">
      <c r="A128" t="s">
        <v>382</v>
      </c>
      <c r="B128" s="1">
        <v>92</v>
      </c>
      <c r="C128">
        <f>_xlfn.XLOOKUP(A128,保证金登记!B:B,保证金登记!E:E)</f>
        <v>44214</v>
      </c>
      <c r="D128" t="str">
        <f t="array" ref="D128">_xlfn.XLOOKUP(B128,1*[2]保证金申请!$A:$A,[2]保证金申请!$C:$C)</f>
        <v>2021-01-18</v>
      </c>
      <c r="E128" t="str">
        <f>_xlfn.XLOOKUP(A128,保证金登记!B:B,保证金登记!I:I)</f>
        <v>康达（山东）水泥有限公司</v>
      </c>
      <c r="F128" t="str">
        <f t="array" ref="F128">_xlfn.XLOOKUP(B128,1*[2]保证金申请!$A:$A,[2]保证金申请!$Q:$Q)</f>
        <v>康达（山东）水泥有限公司</v>
      </c>
      <c r="G128">
        <f>_xlfn.XLOOKUP(A128,保证金登记!B:B,保证金登记!J:J)</f>
        <v>2000</v>
      </c>
      <c r="H128">
        <f t="array" ref="H128">_xlfn.XLOOKUP(B128,1*[2]保证金申请!$A:$A,[2]保证金申请!$K:$K)</f>
        <v>2000</v>
      </c>
      <c r="I128">
        <f t="shared" si="3"/>
        <v>0</v>
      </c>
      <c r="J128">
        <f t="shared" si="4"/>
        <v>0</v>
      </c>
      <c r="K128" t="b">
        <f t="shared" si="5"/>
        <v>1</v>
      </c>
    </row>
    <row r="129" spans="1:11">
      <c r="A129" t="s">
        <v>389</v>
      </c>
      <c r="B129" s="1">
        <v>93</v>
      </c>
      <c r="C129">
        <f>_xlfn.XLOOKUP(A129,保证金登记!B:B,保证金登记!E:E)</f>
        <v>44218</v>
      </c>
      <c r="D129" t="str">
        <f t="array" ref="D129">_xlfn.XLOOKUP(B129,1*[2]保证金申请!$A:$A,[2]保证金申请!$C:$C)</f>
        <v>2021-01-22</v>
      </c>
      <c r="E129" t="str">
        <f>_xlfn.XLOOKUP(A129,保证金登记!B:B,保证金登记!I:I)</f>
        <v>山东泰西水泥有限公司</v>
      </c>
      <c r="F129" t="str">
        <f t="array" ref="F129">_xlfn.XLOOKUP(B129,1*[2]保证金申请!$A:$A,[2]保证金申请!$Q:$Q)</f>
        <v>山东泰西水泥有限公司</v>
      </c>
      <c r="G129">
        <f>_xlfn.XLOOKUP(A129,保证金登记!B:B,保证金登记!J:J)</f>
        <v>3000</v>
      </c>
      <c r="H129">
        <f t="array" ref="H129">_xlfn.XLOOKUP(B129,1*[2]保证金申请!$A:$A,[2]保证金申请!$K:$K)</f>
        <v>3000</v>
      </c>
      <c r="I129">
        <f t="shared" si="3"/>
        <v>0</v>
      </c>
      <c r="J129">
        <f t="shared" si="4"/>
        <v>0</v>
      </c>
      <c r="K129" t="b">
        <f t="shared" si="5"/>
        <v>1</v>
      </c>
    </row>
    <row r="130" spans="1:11">
      <c r="A130" t="s">
        <v>390</v>
      </c>
      <c r="B130" s="1">
        <v>346</v>
      </c>
      <c r="C130">
        <f>_xlfn.XLOOKUP(A130,保证金登记!B:B,保证金登记!E:E)</f>
        <v>44221</v>
      </c>
      <c r="D130" t="str">
        <f t="array" ref="D130">_xlfn.XLOOKUP(B130,1*[2]保证金申请!$A:$A,[2]保证金申请!$C:$C)</f>
        <v>2021-01-25</v>
      </c>
      <c r="E130" t="str">
        <f>_xlfn.XLOOKUP(A130,保证金登记!B:B,保证金登记!I:I)</f>
        <v>葛洲坝钟祥水泥有限公司</v>
      </c>
      <c r="F130" t="str">
        <f t="array" ref="F130">_xlfn.XLOOKUP(B130,1*[2]保证金申请!$A:$A,[2]保证金申请!$Q:$Q)</f>
        <v>葛洲坝钟祥水泥有限公司</v>
      </c>
      <c r="G130">
        <f>_xlfn.XLOOKUP(A130,保证金登记!B:B,保证金登记!J:J)</f>
        <v>11800</v>
      </c>
      <c r="H130">
        <f t="array" ref="H130">_xlfn.XLOOKUP(B130,1*[2]保证金申请!$A:$A,[2]保证金申请!$K:$K)</f>
        <v>11800</v>
      </c>
      <c r="I130">
        <f t="shared" ref="I130:I193" si="6">C130-D130</f>
        <v>0</v>
      </c>
      <c r="J130">
        <f t="shared" ref="J130:J193" si="7">G130-H130</f>
        <v>0</v>
      </c>
      <c r="K130" t="b">
        <f t="shared" ref="K130:K193" si="8">EXACT(E130,F130)</f>
        <v>1</v>
      </c>
    </row>
    <row r="131" spans="1:11">
      <c r="A131" t="s">
        <v>391</v>
      </c>
      <c r="B131" s="1">
        <v>94</v>
      </c>
      <c r="C131">
        <f>_xlfn.XLOOKUP(A131,保证金登记!B:B,保证金登记!E:E)</f>
        <v>44223</v>
      </c>
      <c r="D131" t="str">
        <f t="array" ref="D131">_xlfn.XLOOKUP(B131,1*[2]保证金申请!$A:$A,[2]保证金申请!$C:$C)</f>
        <v>2021-01-27</v>
      </c>
      <c r="E131" t="str">
        <f>_xlfn.XLOOKUP(A131,保证金登记!B:B,保证金登记!I:I)</f>
        <v>重庆綦江西南水泥有限公司</v>
      </c>
      <c r="F131" t="str">
        <f t="array" ref="F131">_xlfn.XLOOKUP(B131,1*[2]保证金申请!$A:$A,[2]保证金申请!$Q:$Q)</f>
        <v>重庆綦江西南水泥有限公司</v>
      </c>
      <c r="G131">
        <f>_xlfn.XLOOKUP(A131,保证金登记!B:B,保证金登记!J:J)</f>
        <v>2000</v>
      </c>
      <c r="H131">
        <f t="array" ref="H131">_xlfn.XLOOKUP(B131,1*[2]保证金申请!$A:$A,[2]保证金申请!$K:$K)</f>
        <v>2000</v>
      </c>
      <c r="I131">
        <f t="shared" si="6"/>
        <v>0</v>
      </c>
      <c r="J131">
        <f t="shared" si="7"/>
        <v>0</v>
      </c>
      <c r="K131" t="b">
        <f t="shared" si="8"/>
        <v>1</v>
      </c>
    </row>
    <row r="132" spans="1:11">
      <c r="A132" t="s">
        <v>397</v>
      </c>
      <c r="B132" s="1">
        <v>95</v>
      </c>
      <c r="C132">
        <f>_xlfn.XLOOKUP(A132,保证金登记!B:B,保证金登记!E:E)</f>
        <v>44225</v>
      </c>
      <c r="D132" t="str">
        <f t="array" ref="D132">_xlfn.XLOOKUP(B132,1*[2]保证金申请!$A:$A,[2]保证金申请!$C:$C)</f>
        <v>2021-01-29</v>
      </c>
      <c r="E132" t="str">
        <f>_xlfn.XLOOKUP(A132,保证金登记!B:B,保证金登记!I:I)</f>
        <v>江苏徐州中联水泥有限公司</v>
      </c>
      <c r="F132" t="str">
        <f t="array" ref="F132">_xlfn.XLOOKUP(B132,1*[2]保证金申请!$A:$A,[2]保证金申请!$Q:$Q)</f>
        <v>徐州中联水泥有限公司</v>
      </c>
      <c r="G132">
        <f>_xlfn.XLOOKUP(A132,保证金登记!B:B,保证金登记!J:J)</f>
        <v>2000</v>
      </c>
      <c r="H132">
        <f t="array" ref="H132">_xlfn.XLOOKUP(B132,1*[2]保证金申请!$A:$A,[2]保证金申请!$K:$K)</f>
        <v>2000</v>
      </c>
      <c r="I132">
        <f t="shared" si="6"/>
        <v>0</v>
      </c>
      <c r="J132">
        <f t="shared" si="7"/>
        <v>0</v>
      </c>
      <c r="K132" t="b">
        <f t="shared" si="8"/>
        <v>0</v>
      </c>
    </row>
    <row r="133" spans="1:11">
      <c r="A133" t="s">
        <v>402</v>
      </c>
      <c r="B133" s="1">
        <v>96</v>
      </c>
      <c r="C133">
        <f>_xlfn.XLOOKUP(A133,保证金登记!B:B,保证金登记!E:E)</f>
        <v>44228</v>
      </c>
      <c r="D133" t="str">
        <f t="array" ref="D133">_xlfn.XLOOKUP(B133,1*[2]保证金申请!$A:$A,[2]保证金申请!$C:$C)</f>
        <v>2021-02-01</v>
      </c>
      <c r="E133" t="str">
        <f>_xlfn.XLOOKUP(A133,保证金登记!B:B,保证金登记!I:I)</f>
        <v>峨山宏峰建材有限责任公司</v>
      </c>
      <c r="F133" t="str">
        <f t="array" ref="F133">_xlfn.XLOOKUP(B133,1*[2]保证金申请!$A:$A,[2]保证金申请!$Q:$Q)</f>
        <v>峨山宏峰建材有限责任公司</v>
      </c>
      <c r="G133">
        <f>_xlfn.XLOOKUP(A133,保证金登记!B:B,保证金登记!J:J)</f>
        <v>10000</v>
      </c>
      <c r="H133">
        <f t="array" ref="H133">_xlfn.XLOOKUP(B133,1*[2]保证金申请!$A:$A,[2]保证金申请!$K:$K)</f>
        <v>10000</v>
      </c>
      <c r="I133">
        <f t="shared" si="6"/>
        <v>0</v>
      </c>
      <c r="J133">
        <f t="shared" si="7"/>
        <v>0</v>
      </c>
      <c r="K133" t="b">
        <f t="shared" si="8"/>
        <v>1</v>
      </c>
    </row>
    <row r="134" spans="1:11">
      <c r="A134" t="s">
        <v>405</v>
      </c>
      <c r="B134" s="1">
        <v>213</v>
      </c>
      <c r="C134">
        <f>_xlfn.XLOOKUP(A134,保证金登记!B:B,保证金登记!E:E)</f>
        <v>44228</v>
      </c>
      <c r="D134" t="str">
        <f t="array" ref="D134">_xlfn.XLOOKUP(B134,1*[2]保证金申请!$A:$A,[2]保证金申请!$C:$C)</f>
        <v>2021-02-01</v>
      </c>
      <c r="E134" t="str">
        <f>_xlfn.XLOOKUP(A134,保证金登记!B:B,保证金登记!I:I)</f>
        <v>安徽华塑股份有限公司</v>
      </c>
      <c r="F134" t="str">
        <f t="array" ref="F134">_xlfn.XLOOKUP(B134,1*[2]保证金申请!$A:$A,[2]保证金申请!$Q:$Q)</f>
        <v>安徽华塑股份有限公司</v>
      </c>
      <c r="G134">
        <f>_xlfn.XLOOKUP(A134,保证金登记!B:B,保证金登记!J:J)</f>
        <v>40000</v>
      </c>
      <c r="H134">
        <f t="array" ref="H134">_xlfn.XLOOKUP(B134,1*[2]保证金申请!$A:$A,[2]保证金申请!$K:$K)</f>
        <v>40000</v>
      </c>
      <c r="I134">
        <f t="shared" si="6"/>
        <v>0</v>
      </c>
      <c r="J134">
        <f t="shared" si="7"/>
        <v>0</v>
      </c>
      <c r="K134" t="b">
        <f t="shared" si="8"/>
        <v>1</v>
      </c>
    </row>
    <row r="135" spans="1:11">
      <c r="A135" t="s">
        <v>408</v>
      </c>
      <c r="B135" s="1">
        <v>103</v>
      </c>
      <c r="C135">
        <f>_xlfn.XLOOKUP(A135,保证金登记!B:B,保证金登记!E:E)</f>
        <v>44245</v>
      </c>
      <c r="D135" t="str">
        <f t="array" ref="D135">_xlfn.XLOOKUP(B135,1*[2]保证金申请!$A:$A,[2]保证金申请!$C:$C)</f>
        <v>2021-02-18</v>
      </c>
      <c r="E135" t="str">
        <f>_xlfn.XLOOKUP(A135,保证金登记!B:B,保证金登记!I:I)</f>
        <v>天瑞集团郑州水泥有限公司</v>
      </c>
      <c r="F135" t="str">
        <f t="array" ref="F135">_xlfn.XLOOKUP(B135,1*[2]保证金申请!$A:$A,[2]保证金申请!$Q:$Q)</f>
        <v>天瑞集团郑州水泥有限公司</v>
      </c>
      <c r="G135">
        <f>_xlfn.XLOOKUP(A135,保证金登记!B:B,保证金登记!J:J)</f>
        <v>3000</v>
      </c>
      <c r="H135">
        <f t="array" ref="H135">_xlfn.XLOOKUP(B135,1*[2]保证金申请!$A:$A,[2]保证金申请!$K:$K)</f>
        <v>3000</v>
      </c>
      <c r="I135">
        <f t="shared" si="6"/>
        <v>0</v>
      </c>
      <c r="J135">
        <f t="shared" si="7"/>
        <v>0</v>
      </c>
      <c r="K135" t="b">
        <f t="shared" si="8"/>
        <v>1</v>
      </c>
    </row>
    <row r="136" spans="1:11">
      <c r="A136" t="s">
        <v>411</v>
      </c>
      <c r="B136" s="1">
        <v>97</v>
      </c>
      <c r="C136">
        <f>_xlfn.XLOOKUP(A136,保证金登记!B:B,保证金登记!E:E)</f>
        <v>44246</v>
      </c>
      <c r="D136" t="str">
        <f t="array" ref="D136">_xlfn.XLOOKUP(B136,1*[2]保证金申请!$A:$A,[2]保证金申请!$C:$C)</f>
        <v>2021-02-19</v>
      </c>
      <c r="E136" t="str">
        <f>_xlfn.XLOOKUP(A136,保证金登记!B:B,保证金登记!I:I)</f>
        <v>四川泰昌建材集团有限公司</v>
      </c>
      <c r="F136" t="str">
        <f t="array" ref="F136">_xlfn.XLOOKUP(B136,1*[2]保证金申请!$A:$A,[2]保证金申请!$Q:$Q)</f>
        <v>四川泰昌建材集团有限公司</v>
      </c>
      <c r="G136">
        <f>_xlfn.XLOOKUP(A136,保证金登记!B:B,保证金登记!J:J)</f>
        <v>1000</v>
      </c>
      <c r="H136">
        <f t="array" ref="H136">_xlfn.XLOOKUP(B136,1*[2]保证金申请!$A:$A,[2]保证金申请!$K:$K)</f>
        <v>1000</v>
      </c>
      <c r="I136">
        <f t="shared" si="6"/>
        <v>0</v>
      </c>
      <c r="J136">
        <f t="shared" si="7"/>
        <v>0</v>
      </c>
      <c r="K136" t="b">
        <f t="shared" si="8"/>
        <v>1</v>
      </c>
    </row>
    <row r="137" spans="1:11">
      <c r="A137" t="s">
        <v>417</v>
      </c>
      <c r="B137" s="1">
        <v>98</v>
      </c>
      <c r="C137">
        <f>_xlfn.XLOOKUP(A137,保证金登记!B:B,保证金登记!E:E)</f>
        <v>44246</v>
      </c>
      <c r="D137" t="str">
        <f t="array" ref="D137">_xlfn.XLOOKUP(B137,1*[2]保证金申请!$A:$A,[2]保证金申请!$C:$C)</f>
        <v>2021-02-19</v>
      </c>
      <c r="E137" t="str">
        <f>_xlfn.XLOOKUP(A137,保证金登记!B:B,保证金登记!I:I)</f>
        <v>保山昆钢嘉华水泥建材有限公司</v>
      </c>
      <c r="F137" t="str">
        <f t="array" ref="F137">_xlfn.XLOOKUP(B137,1*[2]保证金申请!$A:$A,[2]保证金申请!$Q:$Q)</f>
        <v>保山昆钢嘉华水泥建材有限公司</v>
      </c>
      <c r="G137">
        <f>_xlfn.XLOOKUP(A137,保证金登记!B:B,保证金登记!J:J)</f>
        <v>11800</v>
      </c>
      <c r="H137">
        <f t="array" ref="H137">_xlfn.XLOOKUP(B137,1*[2]保证金申请!$A:$A,[2]保证金申请!$K:$K)</f>
        <v>11800</v>
      </c>
      <c r="I137">
        <f t="shared" si="6"/>
        <v>0</v>
      </c>
      <c r="J137">
        <f t="shared" si="7"/>
        <v>0</v>
      </c>
      <c r="K137" t="b">
        <f t="shared" si="8"/>
        <v>1</v>
      </c>
    </row>
    <row r="138" spans="1:11">
      <c r="A138" t="s">
        <v>418</v>
      </c>
      <c r="B138" s="1">
        <v>99</v>
      </c>
      <c r="C138">
        <f>_xlfn.XLOOKUP(A138,保证金登记!B:B,保证金登记!E:E)</f>
        <v>44246</v>
      </c>
      <c r="D138" t="str">
        <f t="array" ref="D138">_xlfn.XLOOKUP(B138,1*[2]保证金申请!$A:$A,[2]保证金申请!$C:$C)</f>
        <v>2021-02-19</v>
      </c>
      <c r="E138" t="str">
        <f>_xlfn.XLOOKUP(A138,保证金登记!B:B,保证金登记!I:I)</f>
        <v>台泥（安顺）水泥有限公司</v>
      </c>
      <c r="F138" t="str">
        <f t="array" ref="F138">_xlfn.XLOOKUP(B138,1*[2]保证金申请!$A:$A,[2]保证金申请!$Q:$Q)</f>
        <v>台泥（安顺）水泥有限公司</v>
      </c>
      <c r="G138">
        <f>_xlfn.XLOOKUP(A138,保证金登记!B:B,保证金登记!J:J)</f>
        <v>2500</v>
      </c>
      <c r="H138">
        <f t="array" ref="H138">_xlfn.XLOOKUP(B138,1*[2]保证金申请!$A:$A,[2]保证金申请!$K:$K)</f>
        <v>2500</v>
      </c>
      <c r="I138">
        <f t="shared" si="6"/>
        <v>0</v>
      </c>
      <c r="J138">
        <f t="shared" si="7"/>
        <v>0</v>
      </c>
      <c r="K138" t="b">
        <f t="shared" si="8"/>
        <v>1</v>
      </c>
    </row>
    <row r="139" spans="1:11">
      <c r="A139" t="s">
        <v>421</v>
      </c>
      <c r="B139" s="1">
        <v>214</v>
      </c>
      <c r="C139">
        <f>_xlfn.XLOOKUP(A139,保证金登记!B:B,保证金登记!E:E)</f>
        <v>44246</v>
      </c>
      <c r="D139" t="str">
        <f t="array" ref="D139">_xlfn.XLOOKUP(B139,1*[2]保证金申请!$A:$A,[2]保证金申请!$C:$C)</f>
        <v>2021-02-19</v>
      </c>
      <c r="E139" t="str">
        <f>_xlfn.XLOOKUP(A139,保证金登记!B:B,保证金登记!I:I)</f>
        <v>葛洲坝荆门水泥有限公司</v>
      </c>
      <c r="F139" t="str">
        <f t="array" ref="F139">_xlfn.XLOOKUP(B139,1*[2]保证金申请!$A:$A,[2]保证金申请!$Q:$Q)</f>
        <v>葛洲坝荆门水泥有限公司</v>
      </c>
      <c r="G139">
        <f>_xlfn.XLOOKUP(A139,保证金登记!B:B,保证金登记!J:J)</f>
        <v>1500</v>
      </c>
      <c r="H139">
        <f t="array" ref="H139">_xlfn.XLOOKUP(B139,1*[2]保证金申请!$A:$A,[2]保证金申请!$K:$K)</f>
        <v>1500</v>
      </c>
      <c r="I139">
        <f t="shared" si="6"/>
        <v>0</v>
      </c>
      <c r="J139">
        <f t="shared" si="7"/>
        <v>0</v>
      </c>
      <c r="K139" t="b">
        <f t="shared" si="8"/>
        <v>1</v>
      </c>
    </row>
    <row r="140" spans="1:11">
      <c r="A140" t="s">
        <v>423</v>
      </c>
      <c r="B140" s="1">
        <v>100</v>
      </c>
      <c r="C140">
        <f>_xlfn.XLOOKUP(A140,保证金登记!B:B,保证金登记!E:E)</f>
        <v>44251</v>
      </c>
      <c r="D140" t="str">
        <f t="array" ref="D140">_xlfn.XLOOKUP(B140,1*[2]保证金申请!$A:$A,[2]保证金申请!$C:$C)</f>
        <v>2021-02-24</v>
      </c>
      <c r="E140" t="str">
        <f>_xlfn.XLOOKUP(A140,保证金登记!B:B,保证金登记!I:I)</f>
        <v>贵州黔西西南水泥有限公司</v>
      </c>
      <c r="F140" t="str">
        <f t="array" ref="F140">_xlfn.XLOOKUP(B140,1*[2]保证金申请!$A:$A,[2]保证金申请!$Q:$Q)</f>
        <v>贵州黔西西南水泥有限公司</v>
      </c>
      <c r="G140">
        <f>_xlfn.XLOOKUP(A140,保证金登记!B:B,保证金登记!J:J)</f>
        <v>2500</v>
      </c>
      <c r="H140">
        <f t="array" ref="H140">_xlfn.XLOOKUP(B140,1*[2]保证金申请!$A:$A,[2]保证金申请!$K:$K)</f>
        <v>2500</v>
      </c>
      <c r="I140">
        <f t="shared" si="6"/>
        <v>0</v>
      </c>
      <c r="J140">
        <f t="shared" si="7"/>
        <v>0</v>
      </c>
      <c r="K140" t="b">
        <f t="shared" si="8"/>
        <v>1</v>
      </c>
    </row>
    <row r="141" spans="1:11">
      <c r="A141" t="s">
        <v>426</v>
      </c>
      <c r="B141" s="1">
        <v>101</v>
      </c>
      <c r="C141">
        <f>_xlfn.XLOOKUP(A141,保证金登记!B:B,保证金登记!E:E)</f>
        <v>44251</v>
      </c>
      <c r="D141" t="str">
        <f t="array" ref="D141">_xlfn.XLOOKUP(B141,1*[2]保证金申请!$A:$A,[2]保证金申请!$C:$C)</f>
        <v>2021-02-24</v>
      </c>
      <c r="E141" t="str">
        <f>_xlfn.XLOOKUP(A141,保证金登记!B:B,保证金登记!I:I)</f>
        <v>阳泉冀东水泥有限责任公司</v>
      </c>
      <c r="F141" t="str">
        <f t="array" ref="F141">_xlfn.XLOOKUP(B141,1*[2]保证金申请!$A:$A,[2]保证金申请!$Q:$Q)</f>
        <v>阳泉冀东水泥有限责任公司</v>
      </c>
      <c r="G141">
        <f>_xlfn.XLOOKUP(A141,保证金登记!B:B,保证金登记!J:J)</f>
        <v>2000</v>
      </c>
      <c r="H141">
        <f t="array" ref="H141">_xlfn.XLOOKUP(B141,1*[2]保证金申请!$A:$A,[2]保证金申请!$K:$K)</f>
        <v>2000</v>
      </c>
      <c r="I141">
        <f t="shared" si="6"/>
        <v>0</v>
      </c>
      <c r="J141">
        <f t="shared" si="7"/>
        <v>0</v>
      </c>
      <c r="K141" t="b">
        <f t="shared" si="8"/>
        <v>1</v>
      </c>
    </row>
    <row r="142" spans="1:11">
      <c r="A142" t="s">
        <v>427</v>
      </c>
      <c r="B142" s="1">
        <v>102</v>
      </c>
      <c r="C142">
        <f>_xlfn.XLOOKUP(A142,保证金登记!B:B,保证金登记!E:E)</f>
        <v>44252</v>
      </c>
      <c r="D142" t="str">
        <f t="array" ref="D142">_xlfn.XLOOKUP(B142,1*[2]保证金申请!$A:$A,[2]保证金申请!$C:$C)</f>
        <v>2021-02-25</v>
      </c>
      <c r="E142" t="str">
        <f>_xlfn.XLOOKUP(A142,保证金登记!B:B,保证金登记!I:I)</f>
        <v>陕西实丰水泥股份有限公司</v>
      </c>
      <c r="F142" t="str">
        <f t="array" ref="F142">_xlfn.XLOOKUP(B142,1*[2]保证金申请!$A:$A,[2]保证金申请!$Q:$Q)</f>
        <v>陕西实丰水泥股份有限公司</v>
      </c>
      <c r="G142">
        <f>_xlfn.XLOOKUP(A142,保证金登记!B:B,保证金登记!J:J)</f>
        <v>10000</v>
      </c>
      <c r="H142">
        <f t="array" ref="H142">_xlfn.XLOOKUP(B142,1*[2]保证金申请!$A:$A,[2]保证金申请!$K:$K)</f>
        <v>10000</v>
      </c>
      <c r="I142">
        <f t="shared" si="6"/>
        <v>0</v>
      </c>
      <c r="J142">
        <f t="shared" si="7"/>
        <v>0</v>
      </c>
      <c r="K142" t="b">
        <f t="shared" si="8"/>
        <v>1</v>
      </c>
    </row>
    <row r="143" spans="1:11">
      <c r="A143" t="s">
        <v>429</v>
      </c>
      <c r="B143" s="1">
        <v>347</v>
      </c>
      <c r="C143">
        <f>_xlfn.XLOOKUP(A143,保证金登记!B:B,保证金登记!E:E)</f>
        <v>44252</v>
      </c>
      <c r="D143" t="str">
        <f t="array" ref="D143">_xlfn.XLOOKUP(B143,1*[2]保证金申请!$A:$A,[2]保证金申请!$C:$C)</f>
        <v>2021-02-25</v>
      </c>
      <c r="E143" t="str">
        <f>_xlfn.XLOOKUP(A143,保证金登记!B:B,保证金登记!I:I)</f>
        <v>芜湖新兴铸管有限责任公司</v>
      </c>
      <c r="F143" t="str">
        <f t="array" ref="F143">_xlfn.XLOOKUP(B143,1*[2]保证金申请!$A:$A,[2]保证金申请!$Q:$Q)</f>
        <v>芜湖新兴铸管有限责任公司</v>
      </c>
      <c r="G143">
        <f>_xlfn.XLOOKUP(A143,保证金登记!B:B,保证金登记!J:J)</f>
        <v>4400</v>
      </c>
      <c r="H143">
        <f t="array" ref="H143">_xlfn.XLOOKUP(B143,1*[2]保证金申请!$A:$A,[2]保证金申请!$K:$K)</f>
        <v>4400</v>
      </c>
      <c r="I143">
        <f t="shared" si="6"/>
        <v>0</v>
      </c>
      <c r="J143">
        <f t="shared" si="7"/>
        <v>0</v>
      </c>
      <c r="K143" t="b">
        <f t="shared" si="8"/>
        <v>1</v>
      </c>
    </row>
    <row r="144" spans="1:11">
      <c r="A144" t="s">
        <v>432</v>
      </c>
      <c r="B144" s="1">
        <v>112</v>
      </c>
      <c r="C144">
        <f>_xlfn.XLOOKUP(A144,保证金登记!B:B,保证金登记!E:E)</f>
        <v>44255</v>
      </c>
      <c r="D144" t="str">
        <f t="array" ref="D144">_xlfn.XLOOKUP(B144,1*[2]保证金申请!$A:$A,[2]保证金申请!$C:$C)</f>
        <v/>
      </c>
      <c r="E144" t="str">
        <f>_xlfn.XLOOKUP(A144,保证金登记!B:B,保证金登记!I:I)</f>
        <v>山东泰西水泥有限公司</v>
      </c>
      <c r="F144" t="str">
        <f t="array" ref="F144">_xlfn.XLOOKUP(B144,1*[2]保证金申请!$A:$A,[2]保证金申请!$Q:$Q)</f>
        <v>山东泰西水泥有限公司</v>
      </c>
      <c r="G144">
        <f>_xlfn.XLOOKUP(A144,保证金登记!B:B,保证金登记!J:J)</f>
        <v>1500</v>
      </c>
      <c r="H144">
        <f t="array" ref="H144">_xlfn.XLOOKUP(B144,1*[2]保证金申请!$A:$A,[2]保证金申请!$K:$K)</f>
        <v>1500</v>
      </c>
      <c r="I144" t="e">
        <f t="shared" si="6"/>
        <v>#VALUE!</v>
      </c>
      <c r="J144">
        <f t="shared" si="7"/>
        <v>0</v>
      </c>
      <c r="K144" t="b">
        <f t="shared" si="8"/>
        <v>1</v>
      </c>
    </row>
    <row r="145" spans="1:11">
      <c r="A145" t="s">
        <v>433</v>
      </c>
      <c r="B145" s="1">
        <v>104</v>
      </c>
      <c r="C145">
        <f>_xlfn.XLOOKUP(A145,保证金登记!B:B,保证金登记!E:E)</f>
        <v>44256</v>
      </c>
      <c r="D145" t="str">
        <f t="array" ref="D145">_xlfn.XLOOKUP(B145,1*[2]保证金申请!$A:$A,[2]保证金申请!$C:$C)</f>
        <v>2021-03-01</v>
      </c>
      <c r="E145" t="str">
        <f>_xlfn.XLOOKUP(A145,保证金登记!B:B,保证金登记!I:I)</f>
        <v>四川利万步森水泥有限公司</v>
      </c>
      <c r="F145" t="str">
        <f t="array" ref="F145">_xlfn.XLOOKUP(B145,1*[2]保证金申请!$A:$A,[2]保证金申请!$Q:$Q)</f>
        <v>四川利万步森水泥有限公司</v>
      </c>
      <c r="G145">
        <f>_xlfn.XLOOKUP(A145,保证金登记!B:B,保证金登记!J:J)</f>
        <v>5000</v>
      </c>
      <c r="H145">
        <f t="array" ref="H145">_xlfn.XLOOKUP(B145,1*[2]保证金申请!$A:$A,[2]保证金申请!$K:$K)</f>
        <v>5000</v>
      </c>
      <c r="I145">
        <f t="shared" si="6"/>
        <v>0</v>
      </c>
      <c r="J145">
        <f t="shared" si="7"/>
        <v>0</v>
      </c>
      <c r="K145" t="b">
        <f t="shared" si="8"/>
        <v>1</v>
      </c>
    </row>
    <row r="146" spans="1:11">
      <c r="A146" t="s">
        <v>436</v>
      </c>
      <c r="B146" s="1">
        <v>105</v>
      </c>
      <c r="C146">
        <f>_xlfn.XLOOKUP(A146,保证金登记!B:B,保证金登记!E:E)</f>
        <v>44258</v>
      </c>
      <c r="D146" t="str">
        <f t="array" ref="D146">_xlfn.XLOOKUP(B146,1*[2]保证金申请!$A:$A,[2]保证金申请!$C:$C)</f>
        <v>2021-03-03</v>
      </c>
      <c r="E146" t="str">
        <f>_xlfn.XLOOKUP(A146,保证金登记!B:B,保证金登记!I:I)</f>
        <v>四川峨眉山西南水泥有限公司</v>
      </c>
      <c r="F146" t="str">
        <f t="array" ref="F146">_xlfn.XLOOKUP(B146,1*[2]保证金申请!$A:$A,[2]保证金申请!$Q:$Q)</f>
        <v>四川峨眉山西南水泥有限公司</v>
      </c>
      <c r="G146">
        <f>_xlfn.XLOOKUP(A146,保证金登记!B:B,保证金登记!J:J)</f>
        <v>3000</v>
      </c>
      <c r="H146">
        <f t="array" ref="H146">_xlfn.XLOOKUP(B146,1*[2]保证金申请!$A:$A,[2]保证金申请!$K:$K)</f>
        <v>3000</v>
      </c>
      <c r="I146">
        <f t="shared" si="6"/>
        <v>0</v>
      </c>
      <c r="J146">
        <f t="shared" si="7"/>
        <v>0</v>
      </c>
      <c r="K146" t="b">
        <f t="shared" si="8"/>
        <v>1</v>
      </c>
    </row>
    <row r="147" spans="1:11">
      <c r="A147" t="s">
        <v>437</v>
      </c>
      <c r="B147" s="1">
        <v>106</v>
      </c>
      <c r="C147">
        <f>_xlfn.XLOOKUP(A147,保证金登记!B:B,保证金登记!E:E)</f>
        <v>44259</v>
      </c>
      <c r="D147" t="str">
        <f t="array" ref="D147">_xlfn.XLOOKUP(B147,1*[2]保证金申请!$A:$A,[2]保证金申请!$C:$C)</f>
        <v>2021-03-04</v>
      </c>
      <c r="E147" t="str">
        <f>_xlfn.XLOOKUP(A147,保证金登记!B:B,保证金登记!I:I)</f>
        <v>山西双良鼎新水泥有限公司</v>
      </c>
      <c r="F147" t="str">
        <f t="array" ref="F147">_xlfn.XLOOKUP(B147,1*[2]保证金申请!$A:$A,[2]保证金申请!$Q:$Q)</f>
        <v>山西双良鼎新水泥有限公司</v>
      </c>
      <c r="G147">
        <f>_xlfn.XLOOKUP(A147,保证金登记!B:B,保证金登记!J:J)</f>
        <v>2000</v>
      </c>
      <c r="H147">
        <f t="array" ref="H147">_xlfn.XLOOKUP(B147,1*[2]保证金申请!$A:$A,[2]保证金申请!$K:$K)</f>
        <v>2000</v>
      </c>
      <c r="I147">
        <f t="shared" si="6"/>
        <v>0</v>
      </c>
      <c r="J147">
        <f t="shared" si="7"/>
        <v>0</v>
      </c>
      <c r="K147" t="b">
        <f t="shared" si="8"/>
        <v>1</v>
      </c>
    </row>
    <row r="148" spans="1:11">
      <c r="A148" t="s">
        <v>439</v>
      </c>
      <c r="B148" s="1">
        <v>107</v>
      </c>
      <c r="C148">
        <f>_xlfn.XLOOKUP(A148,保证金登记!B:B,保证金登记!E:E)</f>
        <v>44265</v>
      </c>
      <c r="D148" t="str">
        <f t="array" ref="D148">_xlfn.XLOOKUP(B148,1*[2]保证金申请!$A:$A,[2]保证金申请!$C:$C)</f>
        <v>2021-03-10</v>
      </c>
      <c r="E148" t="str">
        <f>_xlfn.XLOOKUP(A148,保证金登记!B:B,保证金登记!I:I)</f>
        <v>昌黎冀东水泥有限公司</v>
      </c>
      <c r="F148" t="str">
        <f t="array" ref="F148">_xlfn.XLOOKUP(B148,1*[2]保证金申请!$A:$A,[2]保证金申请!$Q:$Q)</f>
        <v>昌黎冀东水泥有限公司</v>
      </c>
      <c r="G148">
        <f>_xlfn.XLOOKUP(A148,保证金登记!B:B,保证金登记!J:J)</f>
        <v>2000</v>
      </c>
      <c r="H148">
        <f t="array" ref="H148">_xlfn.XLOOKUP(B148,1*[2]保证金申请!$A:$A,[2]保证金申请!$K:$K)</f>
        <v>2000</v>
      </c>
      <c r="I148">
        <f t="shared" si="6"/>
        <v>0</v>
      </c>
      <c r="J148">
        <f t="shared" si="7"/>
        <v>0</v>
      </c>
      <c r="K148" t="b">
        <f t="shared" si="8"/>
        <v>1</v>
      </c>
    </row>
    <row r="149" spans="1:11">
      <c r="A149" t="s">
        <v>442</v>
      </c>
      <c r="B149" s="1">
        <v>108</v>
      </c>
      <c r="C149">
        <f>_xlfn.XLOOKUP(A149,保证金登记!B:B,保证金登记!E:E)</f>
        <v>44270</v>
      </c>
      <c r="D149" t="str">
        <f t="array" ref="D149">_xlfn.XLOOKUP(B149,1*[2]保证金申请!$A:$A,[2]保证金申请!$C:$C)</f>
        <v>2021-03-15</v>
      </c>
      <c r="E149" t="str">
        <f>_xlfn.XLOOKUP(A149,保证金登记!B:B,保证金登记!I:I)</f>
        <v>唐县冀东水泥有限责任公司</v>
      </c>
      <c r="F149" t="str">
        <f t="array" ref="F149">_xlfn.XLOOKUP(B149,1*[2]保证金申请!$A:$A,[2]保证金申请!$Q:$Q)</f>
        <v>唐县冀东水泥有限责任公司</v>
      </c>
      <c r="G149">
        <f>_xlfn.XLOOKUP(A149,保证金登记!B:B,保证金登记!J:J)</f>
        <v>1000</v>
      </c>
      <c r="H149">
        <f t="array" ref="H149">_xlfn.XLOOKUP(B149,1*[2]保证金申请!$A:$A,[2]保证金申请!$K:$K)</f>
        <v>1000</v>
      </c>
      <c r="I149">
        <f t="shared" si="6"/>
        <v>0</v>
      </c>
      <c r="J149">
        <f t="shared" si="7"/>
        <v>0</v>
      </c>
      <c r="K149" t="b">
        <f t="shared" si="8"/>
        <v>1</v>
      </c>
    </row>
    <row r="150" spans="1:11">
      <c r="A150" t="s">
        <v>444</v>
      </c>
      <c r="B150" s="1">
        <v>109</v>
      </c>
      <c r="C150">
        <f>_xlfn.XLOOKUP(A150,保证金登记!B:B,保证金登记!E:E)</f>
        <v>44270</v>
      </c>
      <c r="D150" t="str">
        <f t="array" ref="D150">_xlfn.XLOOKUP(B150,1*[2]保证金申请!$A:$A,[2]保证金申请!$C:$C)</f>
        <v>2021-03-15</v>
      </c>
      <c r="E150" t="str">
        <f>_xlfn.XLOOKUP(A150,保证金登记!B:B,保证金登记!I:I)</f>
        <v>重庆秀山西南水泥有限公司</v>
      </c>
      <c r="F150" t="str">
        <f t="array" ref="F150">_xlfn.XLOOKUP(B150,1*[2]保证金申请!$A:$A,[2]保证金申请!$Q:$Q)</f>
        <v>重庆秀山西南水泥有限公司</v>
      </c>
      <c r="G150">
        <f>_xlfn.XLOOKUP(A150,保证金登记!B:B,保证金登记!J:J)</f>
        <v>5000</v>
      </c>
      <c r="H150">
        <f t="array" ref="H150">_xlfn.XLOOKUP(B150,1*[2]保证金申请!$A:$A,[2]保证金申请!$K:$K)</f>
        <v>5000</v>
      </c>
      <c r="I150">
        <f t="shared" si="6"/>
        <v>0</v>
      </c>
      <c r="J150">
        <f t="shared" si="7"/>
        <v>0</v>
      </c>
      <c r="K150" t="b">
        <f t="shared" si="8"/>
        <v>1</v>
      </c>
    </row>
    <row r="151" spans="1:11">
      <c r="A151" t="s">
        <v>446</v>
      </c>
      <c r="B151" s="1">
        <v>110</v>
      </c>
      <c r="C151">
        <f>_xlfn.XLOOKUP(A151,保证金登记!B:B,保证金登记!E:E)</f>
        <v>44271</v>
      </c>
      <c r="D151" t="str">
        <f t="array" ref="D151">_xlfn.XLOOKUP(B151,1*[2]保证金申请!$A:$A,[2]保证金申请!$C:$C)</f>
        <v>2021-03-16</v>
      </c>
      <c r="E151" t="str">
        <f>_xlfn.XLOOKUP(A151,保证金登记!B:B,保证金登记!I:I)</f>
        <v>冀东水泥璧山有限公司</v>
      </c>
      <c r="F151" t="str">
        <f t="array" ref="F151">_xlfn.XLOOKUP(B151,1*[2]保证金申请!$A:$A,[2]保证金申请!$Q:$Q)</f>
        <v>冀东水泥璧山有限公司</v>
      </c>
      <c r="G151">
        <f>_xlfn.XLOOKUP(A151,保证金登记!B:B,保证金登记!J:J)</f>
        <v>2000</v>
      </c>
      <c r="H151">
        <f t="array" ref="H151">_xlfn.XLOOKUP(B151,1*[2]保证金申请!$A:$A,[2]保证金申请!$K:$K)</f>
        <v>2000</v>
      </c>
      <c r="I151">
        <f t="shared" si="6"/>
        <v>0</v>
      </c>
      <c r="J151">
        <f t="shared" si="7"/>
        <v>0</v>
      </c>
      <c r="K151" t="b">
        <f t="shared" si="8"/>
        <v>1</v>
      </c>
    </row>
    <row r="152" spans="1:11">
      <c r="A152" t="s">
        <v>447</v>
      </c>
      <c r="B152" s="1">
        <v>111</v>
      </c>
      <c r="C152">
        <f>_xlfn.XLOOKUP(A152,保证金登记!B:B,保证金登记!E:E)</f>
        <v>44280</v>
      </c>
      <c r="D152" t="str">
        <f t="array" ref="D152">_xlfn.XLOOKUP(B152,1*[2]保证金申请!$A:$A,[2]保证金申请!$C:$C)</f>
        <v>2021-03-25</v>
      </c>
      <c r="E152" t="str">
        <f>_xlfn.XLOOKUP(A152,保证金登记!B:B,保证金登记!I:I)</f>
        <v>新疆圣雄水泥有限公司</v>
      </c>
      <c r="F152" t="str">
        <f t="array" ref="F152">_xlfn.XLOOKUP(B152,1*[2]保证金申请!$A:$A,[2]保证金申请!$Q:$Q)</f>
        <v>新疆圣雄水泥有限公司</v>
      </c>
      <c r="G152">
        <f>_xlfn.XLOOKUP(A152,保证金登记!B:B,保证金登记!J:J)</f>
        <v>10000</v>
      </c>
      <c r="H152">
        <f t="array" ref="H152">_xlfn.XLOOKUP(B152,1*[2]保证金申请!$A:$A,[2]保证金申请!$K:$K)</f>
        <v>10000</v>
      </c>
      <c r="I152">
        <f t="shared" si="6"/>
        <v>0</v>
      </c>
      <c r="J152">
        <f t="shared" si="7"/>
        <v>0</v>
      </c>
      <c r="K152" t="b">
        <f t="shared" si="8"/>
        <v>1</v>
      </c>
    </row>
    <row r="153" spans="1:11">
      <c r="A153" t="s">
        <v>449</v>
      </c>
      <c r="B153" s="1">
        <v>215</v>
      </c>
      <c r="C153">
        <f>_xlfn.XLOOKUP(A153,保证金登记!B:B,保证金登记!E:E)</f>
        <v>44283</v>
      </c>
      <c r="D153" t="str">
        <f t="array" ref="D153">_xlfn.XLOOKUP(B153,1*[2]保证金申请!$A:$A,[2]保证金申请!$C:$C)</f>
        <v>2021-03-28</v>
      </c>
      <c r="E153" t="str">
        <f>_xlfn.XLOOKUP(A153,保证金登记!B:B,保证金登记!I:I)</f>
        <v>芜湖新兴铸管有限责任公司</v>
      </c>
      <c r="F153" t="str">
        <f t="array" ref="F153">_xlfn.XLOOKUP(B153,1*[2]保证金申请!$A:$A,[2]保证金申请!$Q:$Q)</f>
        <v>芜湖新兴铸管有限责任公司</v>
      </c>
      <c r="G153">
        <f>_xlfn.XLOOKUP(A153,保证金登记!B:B,保证金登记!J:J)</f>
        <v>7100</v>
      </c>
      <c r="H153">
        <f t="array" ref="H153">_xlfn.XLOOKUP(B153,1*[2]保证金申请!$A:$A,[2]保证金申请!$K:$K)</f>
        <v>7100</v>
      </c>
      <c r="I153">
        <f t="shared" si="6"/>
        <v>0</v>
      </c>
      <c r="J153">
        <f t="shared" si="7"/>
        <v>0</v>
      </c>
      <c r="K153" t="b">
        <f t="shared" si="8"/>
        <v>1</v>
      </c>
    </row>
    <row r="154" spans="1:11">
      <c r="A154" t="s">
        <v>451</v>
      </c>
      <c r="B154" s="1">
        <v>114</v>
      </c>
      <c r="C154">
        <f>_xlfn.XLOOKUP(A154,保证金登记!B:B,保证金登记!E:E)</f>
        <v>44300</v>
      </c>
      <c r="D154" t="str">
        <f t="array" ref="D154">_xlfn.XLOOKUP(B154,1*[2]保证金申请!$A:$A,[2]保证金申请!$C:$C)</f>
        <v>2021-04-14</v>
      </c>
      <c r="E154" t="str">
        <f>_xlfn.XLOOKUP(A154,保证金登记!B:B,保证金登记!I:I)</f>
        <v>青海海西化工建材股份有限公司</v>
      </c>
      <c r="F154" t="str">
        <f t="array" ref="F154">_xlfn.XLOOKUP(B154,1*[2]保证金申请!$A:$A,[2]保证金申请!$Q:$Q)</f>
        <v>青海海西化工建材有限公司</v>
      </c>
      <c r="G154">
        <f>_xlfn.XLOOKUP(A154,保证金登记!B:B,保证金登记!J:J)</f>
        <v>2000</v>
      </c>
      <c r="H154">
        <f t="array" ref="H154">_xlfn.XLOOKUP(B154,1*[2]保证金申请!$A:$A,[2]保证金申请!$K:$K)</f>
        <v>2000</v>
      </c>
      <c r="I154">
        <f t="shared" si="6"/>
        <v>0</v>
      </c>
      <c r="J154">
        <f t="shared" si="7"/>
        <v>0</v>
      </c>
      <c r="K154" t="b">
        <f t="shared" si="8"/>
        <v>0</v>
      </c>
    </row>
    <row r="155" spans="1:11">
      <c r="A155" t="s">
        <v>453</v>
      </c>
      <c r="B155" s="1">
        <v>115</v>
      </c>
      <c r="C155">
        <f>_xlfn.XLOOKUP(A155,保证金登记!B:B,保证金登记!E:E)</f>
        <v>44301</v>
      </c>
      <c r="D155" t="str">
        <f t="array" ref="D155">_xlfn.XLOOKUP(B155,1*[2]保证金申请!$A:$A,[2]保证金申请!$C:$C)</f>
        <v>2021-04-15</v>
      </c>
      <c r="E155" t="str">
        <f>_xlfn.XLOOKUP(A155,保证金登记!B:B,保证金登记!I:I)</f>
        <v>金昌水泥集团</v>
      </c>
      <c r="F155" t="str">
        <f t="array" ref="F155">_xlfn.XLOOKUP(B155,1*[2]保证金申请!$A:$A,[2]保证金申请!$Q:$Q)</f>
        <v>金昌水泥集团</v>
      </c>
      <c r="G155">
        <f>_xlfn.XLOOKUP(A155,保证金登记!B:B,保证金登记!J:J)</f>
        <v>5000</v>
      </c>
      <c r="H155">
        <f t="array" ref="H155">_xlfn.XLOOKUP(B155,1*[2]保证金申请!$A:$A,[2]保证金申请!$K:$K)</f>
        <v>5000</v>
      </c>
      <c r="I155">
        <f t="shared" si="6"/>
        <v>0</v>
      </c>
      <c r="J155">
        <f t="shared" si="7"/>
        <v>0</v>
      </c>
      <c r="K155" t="b">
        <f t="shared" si="8"/>
        <v>1</v>
      </c>
    </row>
    <row r="156" spans="1:11">
      <c r="A156" t="s">
        <v>455</v>
      </c>
      <c r="B156" s="1">
        <v>348</v>
      </c>
      <c r="C156">
        <f>_xlfn.XLOOKUP(A156,保证金登记!B:B,保证金登记!E:E)</f>
        <v>44314</v>
      </c>
      <c r="D156" t="str">
        <f t="array" ref="D156">_xlfn.XLOOKUP(B156,1*[2]保证金申请!$A:$A,[2]保证金申请!$C:$C)</f>
        <v>2021-04-28</v>
      </c>
      <c r="E156" t="str">
        <f>_xlfn.XLOOKUP(A156,保证金登记!B:B,保证金登记!I:I)</f>
        <v>葛洲坝石门特种水泥公司</v>
      </c>
      <c r="F156" t="str">
        <f t="array" ref="F156">_xlfn.XLOOKUP(B156,1*[2]保证金申请!$A:$A,[2]保证金申请!$Q:$Q)</f>
        <v>葛洲坝石门特种水泥公司</v>
      </c>
      <c r="G156">
        <f>_xlfn.XLOOKUP(A156,保证金登记!B:B,保证金登记!J:J)</f>
        <v>14400</v>
      </c>
      <c r="H156">
        <f t="array" ref="H156">_xlfn.XLOOKUP(B156,1*[2]保证金申请!$A:$A,[2]保证金申请!$K:$K)</f>
        <v>14400</v>
      </c>
      <c r="I156">
        <f t="shared" si="6"/>
        <v>0</v>
      </c>
      <c r="J156">
        <f t="shared" si="7"/>
        <v>0</v>
      </c>
      <c r="K156" t="b">
        <f t="shared" si="8"/>
        <v>1</v>
      </c>
    </row>
    <row r="157" spans="1:11">
      <c r="A157" t="s">
        <v>459</v>
      </c>
      <c r="B157" s="1">
        <v>116</v>
      </c>
      <c r="C157">
        <f>_xlfn.XLOOKUP(A157,保证金登记!B:B,保证金登记!E:E)</f>
        <v>44326</v>
      </c>
      <c r="D157" t="str">
        <f t="array" ref="D157">_xlfn.XLOOKUP(B157,1*[2]保证金申请!$A:$A,[2]保证金申请!$C:$C)</f>
        <v>2021-05-10</v>
      </c>
      <c r="E157" t="str">
        <f>_xlfn.XLOOKUP(A157,保证金登记!B:B,保证金登记!I:I)</f>
        <v>安徽华塑股份有限公司</v>
      </c>
      <c r="F157" t="str">
        <f t="array" ref="F157">_xlfn.XLOOKUP(B157,1*[2]保证金申请!$A:$A,[2]保证金申请!$Q:$Q)</f>
        <v>安徽华塑股份有限公司</v>
      </c>
      <c r="G157">
        <f>_xlfn.XLOOKUP(A157,保证金登记!B:B,保证金登记!J:J)</f>
        <v>15000</v>
      </c>
      <c r="H157">
        <f t="array" ref="H157">_xlfn.XLOOKUP(B157,1*[2]保证金申请!$A:$A,[2]保证金申请!$K:$K)</f>
        <v>15000</v>
      </c>
      <c r="I157">
        <f t="shared" si="6"/>
        <v>0</v>
      </c>
      <c r="J157">
        <f t="shared" si="7"/>
        <v>0</v>
      </c>
      <c r="K157" t="b">
        <f t="shared" si="8"/>
        <v>1</v>
      </c>
    </row>
    <row r="158" spans="1:11">
      <c r="A158" t="s">
        <v>463</v>
      </c>
      <c r="B158" s="1">
        <v>117</v>
      </c>
      <c r="C158">
        <f>_xlfn.XLOOKUP(A158,保证金登记!B:B,保证金登记!E:E)</f>
        <v>44333</v>
      </c>
      <c r="D158" t="str">
        <f t="array" ref="D158">_xlfn.XLOOKUP(B158,1*[2]保证金申请!$A:$A,[2]保证金申请!$C:$C)</f>
        <v>2021-05-17</v>
      </c>
      <c r="E158" t="str">
        <f>_xlfn.XLOOKUP(A158,保证金登记!B:B,保证金登记!I:I)</f>
        <v>冀东水泥璧山有限公司</v>
      </c>
      <c r="F158" t="str">
        <f t="array" ref="F158">_xlfn.XLOOKUP(B158,1*[2]保证金申请!$A:$A,[2]保证金申请!$Q:$Q)</f>
        <v>冀东水泥璧山有限公司</v>
      </c>
      <c r="G158">
        <f>_xlfn.XLOOKUP(A158,保证金登记!B:B,保证金登记!J:J)</f>
        <v>2000</v>
      </c>
      <c r="H158">
        <f t="array" ref="H158">_xlfn.XLOOKUP(B158,1*[2]保证金申请!$A:$A,[2]保证金申请!$K:$K)</f>
        <v>2000</v>
      </c>
      <c r="I158">
        <f t="shared" si="6"/>
        <v>0</v>
      </c>
      <c r="J158">
        <f t="shared" si="7"/>
        <v>0</v>
      </c>
      <c r="K158" t="b">
        <f t="shared" si="8"/>
        <v>1</v>
      </c>
    </row>
    <row r="159" spans="1:11">
      <c r="A159" t="s">
        <v>464</v>
      </c>
      <c r="B159" s="1">
        <v>118</v>
      </c>
      <c r="C159">
        <f>_xlfn.XLOOKUP(A159,保证金登记!B:B,保证金登记!E:E)</f>
        <v>44335</v>
      </c>
      <c r="D159" t="str">
        <f t="array" ref="D159">_xlfn.XLOOKUP(B159,1*[2]保证金申请!$A:$A,[2]保证金申请!$C:$C)</f>
        <v>2021-05-19</v>
      </c>
      <c r="E159" t="str">
        <f>_xlfn.XLOOKUP(A159,保证金登记!B:B,保证金登记!I:I)</f>
        <v>云南昆钢嘉华水泥建材有限公司</v>
      </c>
      <c r="F159" t="str">
        <f t="array" ref="F159">_xlfn.XLOOKUP(B159,1*[2]保证金申请!$A:$A,[2]保证金申请!$Q:$Q)</f>
        <v>云南昆钢嘉华水泥建材有限公司</v>
      </c>
      <c r="G159">
        <f>_xlfn.XLOOKUP(A159,保证金登记!B:B,保证金登记!J:J)</f>
        <v>5400</v>
      </c>
      <c r="H159">
        <f t="array" ref="H159">_xlfn.XLOOKUP(B159,1*[2]保证金申请!$A:$A,[2]保证金申请!$K:$K)</f>
        <v>5400</v>
      </c>
      <c r="I159">
        <f t="shared" si="6"/>
        <v>0</v>
      </c>
      <c r="J159">
        <f t="shared" si="7"/>
        <v>0</v>
      </c>
      <c r="K159" t="b">
        <f t="shared" si="8"/>
        <v>1</v>
      </c>
    </row>
    <row r="160" spans="1:11">
      <c r="A160" t="s">
        <v>465</v>
      </c>
      <c r="B160" s="1">
        <v>216</v>
      </c>
      <c r="C160">
        <f>_xlfn.XLOOKUP(A160,保证金登记!B:B,保证金登记!E:E)</f>
        <v>44340</v>
      </c>
      <c r="D160" t="str">
        <f t="array" ref="D160">_xlfn.XLOOKUP(B160,1*[2]保证金申请!$A:$A,[2]保证金申请!$C:$C)</f>
        <v>2021-05-24</v>
      </c>
      <c r="E160" t="str">
        <f>_xlfn.XLOOKUP(A160,保证金登记!B:B,保证金登记!I:I)</f>
        <v>江苏永钢集团有限公司</v>
      </c>
      <c r="F160" t="str">
        <f t="array" ref="F160">_xlfn.XLOOKUP(B160,1*[2]保证金申请!$A:$A,[2]保证金申请!$Q:$Q)</f>
        <v>江苏永钢集团有限公司</v>
      </c>
      <c r="G160">
        <f>_xlfn.XLOOKUP(A160,保证金登记!B:B,保证金登记!J:J)</f>
        <v>10000</v>
      </c>
      <c r="H160">
        <f t="array" ref="H160">_xlfn.XLOOKUP(B160,1*[2]保证金申请!$A:$A,[2]保证金申请!$K:$K)</f>
        <v>10000</v>
      </c>
      <c r="I160">
        <f t="shared" si="6"/>
        <v>0</v>
      </c>
      <c r="J160">
        <f t="shared" si="7"/>
        <v>0</v>
      </c>
      <c r="K160" t="b">
        <f t="shared" si="8"/>
        <v>1</v>
      </c>
    </row>
    <row r="161" spans="1:11">
      <c r="A161" t="s">
        <v>467</v>
      </c>
      <c r="B161" s="1">
        <v>217</v>
      </c>
      <c r="C161">
        <f>_xlfn.XLOOKUP(A161,保证金登记!B:B,保证金登记!E:E)</f>
        <v>44357</v>
      </c>
      <c r="D161" t="str">
        <f t="array" ref="D161">_xlfn.XLOOKUP(B161,1*[2]保证金申请!$A:$A,[2]保证金申请!$C:$C)</f>
        <v>2021-06-10</v>
      </c>
      <c r="E161" t="str">
        <f>_xlfn.XLOOKUP(A161,保证金登记!B:B,保证金登记!I:I)</f>
        <v>鞍山冀东水泥有限责任公司</v>
      </c>
      <c r="F161" t="str">
        <f t="array" ref="F161">_xlfn.XLOOKUP(B161,1*[2]保证金申请!$A:$A,[2]保证金申请!$Q:$Q)</f>
        <v>鞍山冀东水泥有限责任公司</v>
      </c>
      <c r="G161">
        <f>_xlfn.XLOOKUP(A161,保证金登记!B:B,保证金登记!J:J)</f>
        <v>2000</v>
      </c>
      <c r="H161">
        <f t="array" ref="H161">_xlfn.XLOOKUP(B161,1*[2]保证金申请!$A:$A,[2]保证金申请!$K:$K)</f>
        <v>2000</v>
      </c>
      <c r="I161">
        <f t="shared" si="6"/>
        <v>0</v>
      </c>
      <c r="J161">
        <f t="shared" si="7"/>
        <v>0</v>
      </c>
      <c r="K161" t="b">
        <f t="shared" si="8"/>
        <v>1</v>
      </c>
    </row>
    <row r="162" spans="1:11">
      <c r="A162" t="s">
        <v>469</v>
      </c>
      <c r="B162" s="1">
        <v>119</v>
      </c>
      <c r="C162">
        <f>_xlfn.XLOOKUP(A162,保证金登记!B:B,保证金登记!E:E)</f>
        <v>44365</v>
      </c>
      <c r="D162" t="str">
        <f t="array" ref="D162">_xlfn.XLOOKUP(B162,1*[2]保证金申请!$A:$A,[2]保证金申请!$C:$C)</f>
        <v>2021-06-18</v>
      </c>
      <c r="E162" t="str">
        <f>_xlfn.XLOOKUP(A162,保证金登记!B:B,保证金登记!I:I)</f>
        <v>新疆和静天山水泥有限责任公司</v>
      </c>
      <c r="F162" t="str">
        <f t="array" ref="F162">_xlfn.XLOOKUP(B162,1*[2]保证金申请!$A:$A,[2]保证金申请!$Q:$Q)</f>
        <v>新疆和静天山水泥有限责任公司</v>
      </c>
      <c r="G162">
        <f>_xlfn.XLOOKUP(A162,保证金登记!B:B,保证金登记!J:J)</f>
        <v>10000</v>
      </c>
      <c r="H162">
        <f t="array" ref="H162">_xlfn.XLOOKUP(B162,1*[2]保证金申请!$A:$A,[2]保证金申请!$K:$K)</f>
        <v>10000</v>
      </c>
      <c r="I162">
        <f t="shared" si="6"/>
        <v>0</v>
      </c>
      <c r="J162">
        <f t="shared" si="7"/>
        <v>0</v>
      </c>
      <c r="K162" t="b">
        <f t="shared" si="8"/>
        <v>1</v>
      </c>
    </row>
    <row r="163" spans="1:11">
      <c r="A163" t="s">
        <v>471</v>
      </c>
      <c r="B163" s="1">
        <v>120</v>
      </c>
      <c r="C163">
        <f>_xlfn.XLOOKUP(A163,保证金登记!B:B,保证金登记!E:E)</f>
        <v>44375</v>
      </c>
      <c r="D163" t="str">
        <f t="array" ref="D163">_xlfn.XLOOKUP(B163,1*[2]保证金申请!$A:$A,[2]保证金申请!$C:$C)</f>
        <v>2021-06-28</v>
      </c>
      <c r="E163" t="str">
        <f>_xlfn.XLOOKUP(A163,保证金登记!B:B,保证金登记!I:I)</f>
        <v>青州中联水泥有限公司</v>
      </c>
      <c r="F163" t="str">
        <f t="array" ref="F163">_xlfn.XLOOKUP(B163,1*[2]保证金申请!$A:$A,[2]保证金申请!$Q:$Q)</f>
        <v>青州中联水泥有限公司</v>
      </c>
      <c r="G163">
        <f>_xlfn.XLOOKUP(A163,保证金登记!B:B,保证金登记!J:J)</f>
        <v>5000</v>
      </c>
      <c r="H163">
        <f t="array" ref="H163">_xlfn.XLOOKUP(B163,1*[2]保证金申请!$A:$A,[2]保证金申请!$K:$K)</f>
        <v>5000</v>
      </c>
      <c r="I163">
        <f t="shared" si="6"/>
        <v>0</v>
      </c>
      <c r="J163">
        <f t="shared" si="7"/>
        <v>0</v>
      </c>
      <c r="K163" t="b">
        <f t="shared" si="8"/>
        <v>1</v>
      </c>
    </row>
    <row r="164" spans="1:11">
      <c r="A164" t="s">
        <v>473</v>
      </c>
      <c r="B164" s="1">
        <v>218</v>
      </c>
      <c r="C164">
        <f>_xlfn.XLOOKUP(A164,保证金登记!B:B,保证金登记!E:E)</f>
        <v>44375</v>
      </c>
      <c r="D164" t="str">
        <f t="array" ref="D164">_xlfn.XLOOKUP(B164,1*[2]保证金申请!$A:$A,[2]保证金申请!$C:$C)</f>
        <v>2021-06-28</v>
      </c>
      <c r="E164" t="str">
        <f>_xlfn.XLOOKUP(A164,保证金登记!B:B,保证金登记!I:I)</f>
        <v>河北金隅鼎鑫水泥有限公司</v>
      </c>
      <c r="F164" t="str">
        <f t="array" ref="F164">_xlfn.XLOOKUP(B164,1*[2]保证金申请!$A:$A,[2]保证金申请!$Q:$Q)</f>
        <v>河北金隅鼎鑫水泥有限公司</v>
      </c>
      <c r="G164">
        <f>_xlfn.XLOOKUP(A164,保证金登记!B:B,保证金登记!J:J)</f>
        <v>5000</v>
      </c>
      <c r="H164">
        <f t="array" ref="H164">_xlfn.XLOOKUP(B164,1*[2]保证金申请!$A:$A,[2]保证金申请!$K:$K)</f>
        <v>5000</v>
      </c>
      <c r="I164">
        <f t="shared" si="6"/>
        <v>0</v>
      </c>
      <c r="J164">
        <f t="shared" si="7"/>
        <v>0</v>
      </c>
      <c r="K164" t="b">
        <f t="shared" si="8"/>
        <v>1</v>
      </c>
    </row>
    <row r="165" spans="1:11">
      <c r="A165" t="s">
        <v>475</v>
      </c>
      <c r="B165" s="1">
        <v>219</v>
      </c>
      <c r="C165">
        <f>_xlfn.XLOOKUP(A165,保证金登记!B:B,保证金登记!E:E)</f>
        <v>44384</v>
      </c>
      <c r="D165" t="str">
        <f t="array" ref="D165">_xlfn.XLOOKUP(B165,1*[2]保证金申请!$A:$A,[2]保证金申请!$C:$C)</f>
        <v>2021-07-07</v>
      </c>
      <c r="E165" t="str">
        <f>_xlfn.XLOOKUP(A165,保证金登记!B:B,保证金登记!I:I)</f>
        <v>内蒙古宜化化工有限公司</v>
      </c>
      <c r="F165" t="str">
        <f t="array" ref="F165">_xlfn.XLOOKUP(B165,1*[2]保证金申请!$A:$A,[2]保证金申请!$Q:$Q)</f>
        <v>内蒙古宜化化工有限公司</v>
      </c>
      <c r="G165">
        <f>_xlfn.XLOOKUP(A165,保证金登记!B:B,保证金登记!J:J)</f>
        <v>4000</v>
      </c>
      <c r="H165">
        <f t="array" ref="H165">_xlfn.XLOOKUP(B165,1*[2]保证金申请!$A:$A,[2]保证金申请!$K:$K)</f>
        <v>4000</v>
      </c>
      <c r="I165">
        <f t="shared" si="6"/>
        <v>0</v>
      </c>
      <c r="J165">
        <f t="shared" si="7"/>
        <v>0</v>
      </c>
      <c r="K165" t="b">
        <f t="shared" si="8"/>
        <v>1</v>
      </c>
    </row>
    <row r="166" spans="1:11">
      <c r="A166" t="s">
        <v>477</v>
      </c>
      <c r="B166" s="1">
        <v>121</v>
      </c>
      <c r="C166">
        <f>_xlfn.XLOOKUP(A166,保证金登记!B:B,保证金登记!E:E)</f>
        <v>44391</v>
      </c>
      <c r="D166" t="str">
        <f t="array" ref="D166">_xlfn.XLOOKUP(B166,1*[2]保证金申请!$A:$A,[2]保证金申请!$C:$C)</f>
        <v>2021-07-14</v>
      </c>
      <c r="E166" t="str">
        <f>_xlfn.XLOOKUP(A166,保证金登记!B:B,保证金登记!I:I)</f>
        <v>云南普洱西南水泥有限公司</v>
      </c>
      <c r="F166" t="str">
        <f t="array" ref="F166">_xlfn.XLOOKUP(B166,1*[2]保证金申请!$A:$A,[2]保证金申请!$Q:$Q)</f>
        <v>云南普洱西南水泥有限公司</v>
      </c>
      <c r="G166">
        <f>_xlfn.XLOOKUP(A166,保证金登记!B:B,保证金登记!J:J)</f>
        <v>7500</v>
      </c>
      <c r="H166">
        <f t="array" ref="H166">_xlfn.XLOOKUP(B166,1*[2]保证金申请!$A:$A,[2]保证金申请!$K:$K)</f>
        <v>7500</v>
      </c>
      <c r="I166">
        <f t="shared" si="6"/>
        <v>0</v>
      </c>
      <c r="J166">
        <f t="shared" si="7"/>
        <v>0</v>
      </c>
      <c r="K166" t="b">
        <f t="shared" si="8"/>
        <v>1</v>
      </c>
    </row>
    <row r="167" spans="1:11">
      <c r="A167" t="s">
        <v>478</v>
      </c>
      <c r="B167" s="1">
        <v>220</v>
      </c>
      <c r="C167">
        <f>_xlfn.XLOOKUP(A167,保证金登记!B:B,保证金登记!E:E)</f>
        <v>44400</v>
      </c>
      <c r="D167" t="str">
        <f t="array" ref="D167">_xlfn.XLOOKUP(B167,1*[2]保证金申请!$A:$A,[2]保证金申请!$C:$C)</f>
        <v>2021-07-23</v>
      </c>
      <c r="E167" t="str">
        <f>_xlfn.XLOOKUP(A167,保证金登记!B:B,保证金登记!I:I)</f>
        <v>吉林亚泰（集团）股份有限公司物资经销分公司</v>
      </c>
      <c r="F167" t="str">
        <f t="array" ref="F167">_xlfn.XLOOKUP(B167,1*[2]保证金申请!$A:$A,[2]保证金申请!$Q:$Q)</f>
        <v>吉林亚泰（集团）股份有限公司物资经销分公司</v>
      </c>
      <c r="G167">
        <f>_xlfn.XLOOKUP(A167,保证金登记!B:B,保证金登记!J:J)</f>
        <v>2000</v>
      </c>
      <c r="H167">
        <f t="array" ref="H167">_xlfn.XLOOKUP(B167,1*[2]保证金申请!$A:$A,[2]保证金申请!$K:$K)</f>
        <v>2000</v>
      </c>
      <c r="I167">
        <f t="shared" si="6"/>
        <v>0</v>
      </c>
      <c r="J167">
        <f t="shared" si="7"/>
        <v>0</v>
      </c>
      <c r="K167" t="b">
        <f t="shared" si="8"/>
        <v>1</v>
      </c>
    </row>
    <row r="168" spans="1:11">
      <c r="A168" t="s">
        <v>482</v>
      </c>
      <c r="B168" s="1">
        <v>122</v>
      </c>
      <c r="C168">
        <f>_xlfn.XLOOKUP(A168,保证金登记!B:B,保证金登记!E:E)</f>
        <v>44403</v>
      </c>
      <c r="D168" t="str">
        <f t="array" ref="D168">_xlfn.XLOOKUP(B168,1*[2]保证金申请!$A:$A,[2]保证金申请!$C:$C)</f>
        <v>2021-07-26</v>
      </c>
      <c r="E168" t="str">
        <f>_xlfn.XLOOKUP(A168,保证金登记!B:B,保证金登记!I:I)</f>
        <v>河北新金钢铁有限公司</v>
      </c>
      <c r="F168" t="str">
        <f t="array" ref="F168">_xlfn.XLOOKUP(B168,1*[2]保证金申请!$A:$A,[2]保证金申请!$Q:$Q)</f>
        <v>河北新金钢铁有限公司</v>
      </c>
      <c r="G168">
        <f>_xlfn.XLOOKUP(A168,保证金登记!B:B,保证金登记!J:J)</f>
        <v>10000</v>
      </c>
      <c r="H168">
        <f t="array" ref="H168">_xlfn.XLOOKUP(B168,1*[2]保证金申请!$A:$A,[2]保证金申请!$K:$K)</f>
        <v>10000</v>
      </c>
      <c r="I168">
        <f t="shared" si="6"/>
        <v>0</v>
      </c>
      <c r="J168">
        <f t="shared" si="7"/>
        <v>0</v>
      </c>
      <c r="K168" t="b">
        <f t="shared" si="8"/>
        <v>1</v>
      </c>
    </row>
    <row r="169" spans="1:11">
      <c r="A169" t="s">
        <v>486</v>
      </c>
      <c r="B169" s="1">
        <v>123</v>
      </c>
      <c r="C169">
        <f>_xlfn.XLOOKUP(A169,保证金登记!B:B,保证金登记!E:E)</f>
        <v>44406</v>
      </c>
      <c r="D169" t="str">
        <f t="array" ref="D169">_xlfn.XLOOKUP(B169,1*[2]保证金申请!$A:$A,[2]保证金申请!$C:$C)</f>
        <v>2021-07-29</v>
      </c>
      <c r="E169" t="str">
        <f>_xlfn.XLOOKUP(A169,保证金登记!B:B,保证金登记!I:I)</f>
        <v>陕西实丰水泥股份有限公司</v>
      </c>
      <c r="F169" t="str">
        <f t="array" ref="F169">_xlfn.XLOOKUP(B169,1*[2]保证金申请!$A:$A,[2]保证金申请!$Q:$Q)</f>
        <v>陕西实丰水泥股份有限公司</v>
      </c>
      <c r="G169">
        <f>_xlfn.XLOOKUP(A169,保证金登记!B:B,保证金登记!J:J)</f>
        <v>10000</v>
      </c>
      <c r="H169">
        <f t="array" ref="H169">_xlfn.XLOOKUP(B169,1*[2]保证金申请!$A:$A,[2]保证金申请!$K:$K)</f>
        <v>10000</v>
      </c>
      <c r="I169">
        <f t="shared" si="6"/>
        <v>0</v>
      </c>
      <c r="J169">
        <f t="shared" si="7"/>
        <v>0</v>
      </c>
      <c r="K169" t="b">
        <f t="shared" si="8"/>
        <v>1</v>
      </c>
    </row>
    <row r="170" spans="1:11">
      <c r="A170" t="s">
        <v>489</v>
      </c>
      <c r="B170" s="1">
        <v>221</v>
      </c>
      <c r="C170">
        <f>_xlfn.XLOOKUP(A170,保证金登记!B:B,保证金登记!E:E)</f>
        <v>44417</v>
      </c>
      <c r="D170" t="str">
        <f t="array" ref="D170">_xlfn.XLOOKUP(B170,1*[2]保证金申请!$A:$A,[2]保证金申请!$C:$C)</f>
        <v>2021-08-09</v>
      </c>
      <c r="E170" t="str">
        <f>_xlfn.XLOOKUP(A170,保证金登记!B:B,保证金登记!I:I)</f>
        <v>洛阳黄河同力水泥有限责任公司</v>
      </c>
      <c r="F170" t="str">
        <f t="array" ref="F170">_xlfn.XLOOKUP(B170,1*[2]保证金申请!$A:$A,[2]保证金申请!$Q:$Q)</f>
        <v>洛阳黄河同力水泥有限责任公司</v>
      </c>
      <c r="G170">
        <f>_xlfn.XLOOKUP(A170,保证金登记!B:B,保证金登记!J:J)</f>
        <v>1000</v>
      </c>
      <c r="H170">
        <f t="array" ref="H170">_xlfn.XLOOKUP(B170,1*[2]保证金申请!$A:$A,[2]保证金申请!$K:$K)</f>
        <v>1000</v>
      </c>
      <c r="I170">
        <f t="shared" si="6"/>
        <v>0</v>
      </c>
      <c r="J170">
        <f t="shared" si="7"/>
        <v>0</v>
      </c>
      <c r="K170" t="b">
        <f t="shared" si="8"/>
        <v>1</v>
      </c>
    </row>
    <row r="171" spans="1:11">
      <c r="A171" t="s">
        <v>492</v>
      </c>
      <c r="B171" s="1">
        <v>349</v>
      </c>
      <c r="C171">
        <f>_xlfn.XLOOKUP(A171,保证金登记!B:B,保证金登记!E:E)</f>
        <v>44417</v>
      </c>
      <c r="D171" t="str">
        <f t="array" ref="D171">_xlfn.XLOOKUP(B171,1*[2]保证金申请!$A:$A,[2]保证金申请!$C:$C)</f>
        <v>2021-08-09</v>
      </c>
      <c r="E171" t="str">
        <f>_xlfn.XLOOKUP(A171,保证金登记!B:B,保证金登记!I:I)</f>
        <v>洛阳黄河同力水泥有限责任公司</v>
      </c>
      <c r="F171" t="str">
        <f t="array" ref="F171">_xlfn.XLOOKUP(B171,1*[2]保证金申请!$A:$A,[2]保证金申请!$Q:$Q)</f>
        <v>洛阳黄河同力水泥有限责任公司</v>
      </c>
      <c r="G171">
        <f>_xlfn.XLOOKUP(A171,保证金登记!B:B,保证金登记!J:J)</f>
        <v>1000</v>
      </c>
      <c r="H171">
        <f t="array" ref="H171">_xlfn.XLOOKUP(B171,1*[2]保证金申请!$A:$A,[2]保证金申请!$K:$K)</f>
        <v>1000</v>
      </c>
      <c r="I171">
        <f t="shared" si="6"/>
        <v>0</v>
      </c>
      <c r="J171">
        <f t="shared" si="7"/>
        <v>0</v>
      </c>
      <c r="K171" t="b">
        <f t="shared" si="8"/>
        <v>1</v>
      </c>
    </row>
    <row r="172" spans="1:11">
      <c r="A172" t="s">
        <v>494</v>
      </c>
      <c r="B172" s="1">
        <v>124</v>
      </c>
      <c r="C172">
        <f>_xlfn.XLOOKUP(A172,保证金登记!B:B,保证金登记!E:E)</f>
        <v>44419</v>
      </c>
      <c r="D172" t="str">
        <f t="array" ref="D172">_xlfn.XLOOKUP(B172,1*[2]保证金申请!$A:$A,[2]保证金申请!$C:$C)</f>
        <v>2021-08-11</v>
      </c>
      <c r="E172" t="str">
        <f>_xlfn.XLOOKUP(A172,保证金登记!B:B,保证金登记!I:I)</f>
        <v>唐山冀东水泥三友有限公司</v>
      </c>
      <c r="F172" t="str">
        <f t="array" ref="F172">_xlfn.XLOOKUP(B172,1*[2]保证金申请!$A:$A,[2]保证金申请!$Q:$Q)</f>
        <v>唐山冀东水泥三友有限公司</v>
      </c>
      <c r="G172">
        <f>_xlfn.XLOOKUP(A172,保证金登记!B:B,保证金登记!J:J)</f>
        <v>2000</v>
      </c>
      <c r="H172">
        <f t="array" ref="H172">_xlfn.XLOOKUP(B172,1*[2]保证金申请!$A:$A,[2]保证金申请!$K:$K)</f>
        <v>2000</v>
      </c>
      <c r="I172">
        <f t="shared" si="6"/>
        <v>0</v>
      </c>
      <c r="J172">
        <f t="shared" si="7"/>
        <v>0</v>
      </c>
      <c r="K172" t="b">
        <f t="shared" si="8"/>
        <v>1</v>
      </c>
    </row>
    <row r="173" spans="1:11">
      <c r="A173" t="s">
        <v>499</v>
      </c>
      <c r="B173" s="1">
        <v>222</v>
      </c>
      <c r="C173">
        <f>_xlfn.XLOOKUP(A173,保证金登记!B:B,保证金登记!E:E)</f>
        <v>44419</v>
      </c>
      <c r="D173" t="str">
        <f t="array" ref="D173">_xlfn.XLOOKUP(B173,1*[2]保证金申请!$A:$A,[2]保证金申请!$C:$C)</f>
        <v>2021-08-11</v>
      </c>
      <c r="E173" t="str">
        <f>_xlfn.XLOOKUP(A173,保证金登记!B:B,保证金登记!I:I)</f>
        <v>洛阳黄河同力水泥有限责任公司</v>
      </c>
      <c r="F173" t="str">
        <f t="array" ref="F173">_xlfn.XLOOKUP(B173,1*[2]保证金申请!$A:$A,[2]保证金申请!$Q:$Q)</f>
        <v>洛阳黄河同力水泥有限责任公司</v>
      </c>
      <c r="G173">
        <f>_xlfn.XLOOKUP(A173,保证金登记!B:B,保证金登记!J:J)</f>
        <v>1000</v>
      </c>
      <c r="H173">
        <f t="array" ref="H173">_xlfn.XLOOKUP(B173,1*[2]保证金申请!$A:$A,[2]保证金申请!$K:$K)</f>
        <v>1000</v>
      </c>
      <c r="I173">
        <f t="shared" si="6"/>
        <v>0</v>
      </c>
      <c r="J173">
        <f t="shared" si="7"/>
        <v>0</v>
      </c>
      <c r="K173" t="b">
        <f t="shared" si="8"/>
        <v>1</v>
      </c>
    </row>
    <row r="174" spans="1:11">
      <c r="A174" t="s">
        <v>501</v>
      </c>
      <c r="B174" s="1">
        <v>223</v>
      </c>
      <c r="C174">
        <f>_xlfn.XLOOKUP(A174,保证金登记!B:B,保证金登记!E:E)</f>
        <v>44419</v>
      </c>
      <c r="D174" t="str">
        <f t="array" ref="D174">_xlfn.XLOOKUP(B174,1*[2]保证金申请!$A:$A,[2]保证金申请!$C:$C)</f>
        <v>2021-08-11</v>
      </c>
      <c r="E174" t="str">
        <f>_xlfn.XLOOKUP(A174,保证金登记!B:B,保证金登记!I:I)</f>
        <v>洛阳黄河同力水泥有限责任公司</v>
      </c>
      <c r="F174" t="str">
        <f t="array" ref="F174">_xlfn.XLOOKUP(B174,1*[2]保证金申请!$A:$A,[2]保证金申请!$Q:$Q)</f>
        <v>洛阳黄河同力水泥有限责任公司</v>
      </c>
      <c r="G174">
        <f>_xlfn.XLOOKUP(A174,保证金登记!B:B,保证金登记!J:J)</f>
        <v>1000</v>
      </c>
      <c r="H174">
        <f t="array" ref="H174">_xlfn.XLOOKUP(B174,1*[2]保证金申请!$A:$A,[2]保证金申请!$K:$K)</f>
        <v>1000</v>
      </c>
      <c r="I174">
        <f t="shared" si="6"/>
        <v>0</v>
      </c>
      <c r="J174">
        <f t="shared" si="7"/>
        <v>0</v>
      </c>
      <c r="K174" t="b">
        <f t="shared" si="8"/>
        <v>1</v>
      </c>
    </row>
    <row r="175" spans="1:11">
      <c r="A175" t="s">
        <v>502</v>
      </c>
      <c r="B175" s="1">
        <v>224</v>
      </c>
      <c r="C175">
        <f>_xlfn.XLOOKUP(A175,保证金登记!B:B,保证金登记!E:E)</f>
        <v>44424</v>
      </c>
      <c r="D175" t="str">
        <f t="array" ref="D175">_xlfn.XLOOKUP(B175,1*[2]保证金申请!$A:$A,[2]保证金申请!$C:$C)</f>
        <v>2021-08-16</v>
      </c>
      <c r="E175" t="str">
        <f>_xlfn.XLOOKUP(A175,保证金登记!B:B,保证金登记!I:I)</f>
        <v>河北金隅鼎鑫水泥有限公司</v>
      </c>
      <c r="F175" t="str">
        <f t="array" ref="F175">_xlfn.XLOOKUP(B175,1*[2]保证金申请!$A:$A,[2]保证金申请!$Q:$Q)</f>
        <v>河北金隅鼎鑫水泥有限公司</v>
      </c>
      <c r="G175">
        <f>_xlfn.XLOOKUP(A175,保证金登记!B:B,保证金登记!J:J)</f>
        <v>5000</v>
      </c>
      <c r="H175">
        <f t="array" ref="H175">_xlfn.XLOOKUP(B175,1*[2]保证金申请!$A:$A,[2]保证金申请!$K:$K)</f>
        <v>5000</v>
      </c>
      <c r="I175">
        <f t="shared" si="6"/>
        <v>0</v>
      </c>
      <c r="J175">
        <f t="shared" si="7"/>
        <v>0</v>
      </c>
      <c r="K175" t="b">
        <f t="shared" si="8"/>
        <v>1</v>
      </c>
    </row>
    <row r="176" spans="1:11">
      <c r="A176" t="s">
        <v>504</v>
      </c>
      <c r="B176" s="1">
        <v>125</v>
      </c>
      <c r="C176">
        <f>_xlfn.XLOOKUP(A176,保证金登记!B:B,保证金登记!E:E)</f>
        <v>44428</v>
      </c>
      <c r="D176" t="str">
        <f t="array" ref="D176">_xlfn.XLOOKUP(B176,1*[2]保证金申请!$A:$A,[2]保证金申请!$C:$C)</f>
        <v>2021-08-20</v>
      </c>
      <c r="E176" t="str">
        <f>_xlfn.XLOOKUP(A176,保证金登记!B:B,保证金登记!I:I)</f>
        <v>吉林亚泰明城水泥有限公司</v>
      </c>
      <c r="F176" t="str">
        <f t="array" ref="F176">_xlfn.XLOOKUP(B176,1*[2]保证金申请!$A:$A,[2]保证金申请!$Q:$Q)</f>
        <v>吉林亚泰明城水泥有限公司</v>
      </c>
      <c r="G176">
        <f>_xlfn.XLOOKUP(A176,保证金登记!B:B,保证金登记!J:J)</f>
        <v>2000</v>
      </c>
      <c r="H176">
        <f t="array" ref="H176">_xlfn.XLOOKUP(B176,1*[2]保证金申请!$A:$A,[2]保证金申请!$K:$K)</f>
        <v>2000</v>
      </c>
      <c r="I176">
        <f t="shared" si="6"/>
        <v>0</v>
      </c>
      <c r="J176">
        <f t="shared" si="7"/>
        <v>0</v>
      </c>
      <c r="K176" t="b">
        <f t="shared" si="8"/>
        <v>1</v>
      </c>
    </row>
    <row r="177" spans="1:11">
      <c r="A177" t="s">
        <v>507</v>
      </c>
      <c r="B177" s="1">
        <v>350</v>
      </c>
      <c r="C177">
        <f>_xlfn.XLOOKUP(A177,保证金登记!B:B,保证金登记!E:E)</f>
        <v>44428</v>
      </c>
      <c r="D177" t="str">
        <f t="array" ref="D177">_xlfn.XLOOKUP(B177,1*[2]保证金申请!$A:$A,[2]保证金申请!$C:$C)</f>
        <v>2021-08-20</v>
      </c>
      <c r="E177" t="str">
        <f>_xlfn.XLOOKUP(A177,保证金登记!B:B,保证金登记!I:I)</f>
        <v>葛洲坝钟祥水泥有限公司</v>
      </c>
      <c r="F177" t="str">
        <f t="array" ref="F177">_xlfn.XLOOKUP(B177,1*[2]保证金申请!$A:$A,[2]保证金申请!$Q:$Q)</f>
        <v>葛洲坝钟祥水泥有限公司</v>
      </c>
      <c r="G177">
        <f>_xlfn.XLOOKUP(A177,保证金登记!B:B,保证金登记!J:J)</f>
        <v>13000</v>
      </c>
      <c r="H177">
        <f t="array" ref="H177">_xlfn.XLOOKUP(B177,1*[2]保证金申请!$A:$A,[2]保证金申请!$K:$K)</f>
        <v>13000</v>
      </c>
      <c r="I177">
        <f t="shared" si="6"/>
        <v>0</v>
      </c>
      <c r="J177">
        <f t="shared" si="7"/>
        <v>0</v>
      </c>
      <c r="K177" t="b">
        <f t="shared" si="8"/>
        <v>1</v>
      </c>
    </row>
    <row r="178" spans="1:11">
      <c r="A178" t="s">
        <v>508</v>
      </c>
      <c r="B178" s="1">
        <v>225</v>
      </c>
      <c r="C178">
        <f>_xlfn.XLOOKUP(A178,保证金登记!B:B,保证金登记!E:E)</f>
        <v>44433</v>
      </c>
      <c r="D178" t="str">
        <f t="array" ref="D178">_xlfn.XLOOKUP(B178,1*[2]保证金申请!$A:$A,[2]保证金申请!$C:$C)</f>
        <v>2021-08-25</v>
      </c>
      <c r="E178" t="str">
        <f>_xlfn.XLOOKUP(A178,保证金登记!B:B,保证金登记!I:I)</f>
        <v>河南洛阳黄河同力</v>
      </c>
      <c r="F178" t="str">
        <f t="array" ref="F178">_xlfn.XLOOKUP(B178,1*[2]保证金申请!$A:$A,[2]保证金申请!$Q:$Q)</f>
        <v>河南洛阳黄河同力</v>
      </c>
      <c r="G178">
        <f>_xlfn.XLOOKUP(A178,保证金登记!B:B,保证金登记!J:J)</f>
        <v>1000</v>
      </c>
      <c r="H178">
        <f t="array" ref="H178">_xlfn.XLOOKUP(B178,1*[2]保证金申请!$A:$A,[2]保证金申请!$K:$K)</f>
        <v>1000</v>
      </c>
      <c r="I178">
        <f t="shared" si="6"/>
        <v>0</v>
      </c>
      <c r="J178">
        <f t="shared" si="7"/>
        <v>0</v>
      </c>
      <c r="K178" t="b">
        <f t="shared" si="8"/>
        <v>1</v>
      </c>
    </row>
    <row r="179" spans="1:11">
      <c r="A179" t="s">
        <v>511</v>
      </c>
      <c r="B179" s="1">
        <v>126</v>
      </c>
      <c r="C179">
        <f>_xlfn.XLOOKUP(A179,保证金登记!B:B,保证金登记!E:E)</f>
        <v>44434</v>
      </c>
      <c r="D179" t="str">
        <f t="array" ref="D179">_xlfn.XLOOKUP(B179,1*[2]保证金申请!$A:$A,[2]保证金申请!$C:$C)</f>
        <v>2021-08-26</v>
      </c>
      <c r="E179" t="str">
        <f>_xlfn.XLOOKUP(A179,保证金登记!B:B,保证金登记!I:I)</f>
        <v>邯郸涉县金隅水泥有限公司</v>
      </c>
      <c r="F179" t="str">
        <f t="array" ref="F179">_xlfn.XLOOKUP(B179,1*[2]保证金申请!$A:$A,[2]保证金申请!$Q:$Q)</f>
        <v>邯郸涉县金隅水泥有限公司</v>
      </c>
      <c r="G179">
        <f>_xlfn.XLOOKUP(A179,保证金登记!B:B,保证金登记!J:J)</f>
        <v>2000</v>
      </c>
      <c r="H179">
        <f t="array" ref="H179">_xlfn.XLOOKUP(B179,1*[2]保证金申请!$A:$A,[2]保证金申请!$K:$K)</f>
        <v>2000</v>
      </c>
      <c r="I179">
        <f t="shared" si="6"/>
        <v>0</v>
      </c>
      <c r="J179">
        <f t="shared" si="7"/>
        <v>0</v>
      </c>
      <c r="K179" t="b">
        <f t="shared" si="8"/>
        <v>1</v>
      </c>
    </row>
    <row r="180" spans="1:11">
      <c r="A180" t="s">
        <v>516</v>
      </c>
      <c r="B180" s="1">
        <v>127</v>
      </c>
      <c r="C180">
        <f>_xlfn.XLOOKUP(A180,保证金登记!B:B,保证金登记!E:E)</f>
        <v>44438</v>
      </c>
      <c r="D180" t="str">
        <f t="array" ref="D180">_xlfn.XLOOKUP(B180,1*[2]保证金申请!$A:$A,[2]保证金申请!$C:$C)</f>
        <v>2021-08-30</v>
      </c>
      <c r="E180" t="str">
        <f>_xlfn.XLOOKUP(A180,保证金登记!B:B,保证金登记!I:I)</f>
        <v>亚泰集团哈尔滨水泥（阿城）有限公司</v>
      </c>
      <c r="F180" t="str">
        <f t="array" ref="F180">_xlfn.XLOOKUP(B180,1*[2]保证金申请!$A:$A,[2]保证金申请!$Q:$Q)</f>
        <v>亚泰集团哈尔滨水泥（阿城）有限公司</v>
      </c>
      <c r="G180">
        <f>_xlfn.XLOOKUP(A180,保证金登记!B:B,保证金登记!J:J)</f>
        <v>2000</v>
      </c>
      <c r="H180">
        <f t="array" ref="H180">_xlfn.XLOOKUP(B180,1*[2]保证金申请!$A:$A,[2]保证金申请!$K:$K)</f>
        <v>2000</v>
      </c>
      <c r="I180">
        <f t="shared" si="6"/>
        <v>0</v>
      </c>
      <c r="J180">
        <f t="shared" si="7"/>
        <v>0</v>
      </c>
      <c r="K180" t="b">
        <f t="shared" si="8"/>
        <v>1</v>
      </c>
    </row>
    <row r="181" spans="1:11">
      <c r="A181" t="s">
        <v>518</v>
      </c>
      <c r="B181" s="1">
        <v>226</v>
      </c>
      <c r="C181">
        <f>_xlfn.XLOOKUP(A181,保证金登记!B:B,保证金登记!E:E)</f>
        <v>44440</v>
      </c>
      <c r="D181" t="str">
        <f t="array" ref="D181">_xlfn.XLOOKUP(B181,1*[2]保证金申请!$A:$A,[2]保证金申请!$C:$C)</f>
        <v>2021-09-01</v>
      </c>
      <c r="E181" t="str">
        <f>_xlfn.XLOOKUP(A181,保证金登记!B:B,保证金登记!I:I)</f>
        <v>台泥（辽宁）水泥有限公司</v>
      </c>
      <c r="F181" t="str">
        <f t="array" ref="F181">_xlfn.XLOOKUP(B181,1*[2]保证金申请!$A:$A,[2]保证金申请!$Q:$Q)</f>
        <v>台泥（辽宁）水泥有限公司</v>
      </c>
      <c r="G181">
        <f>_xlfn.XLOOKUP(A181,保证金登记!B:B,保证金登记!J:J)</f>
        <v>5000</v>
      </c>
      <c r="H181">
        <f t="array" ref="H181">_xlfn.XLOOKUP(B181,1*[2]保证金申请!$A:$A,[2]保证金申请!$K:$K)</f>
        <v>5000</v>
      </c>
      <c r="I181">
        <f t="shared" si="6"/>
        <v>0</v>
      </c>
      <c r="J181">
        <f t="shared" si="7"/>
        <v>0</v>
      </c>
      <c r="K181" t="b">
        <f t="shared" si="8"/>
        <v>1</v>
      </c>
    </row>
    <row r="182" spans="1:11">
      <c r="A182" t="s">
        <v>524</v>
      </c>
      <c r="B182" s="1">
        <v>128</v>
      </c>
      <c r="C182">
        <f>_xlfn.XLOOKUP(A182,保证金登记!B:B,保证金登记!E:E)</f>
        <v>44448</v>
      </c>
      <c r="D182" t="str">
        <f t="array" ref="D182">_xlfn.XLOOKUP(B182,1*[2]保证金申请!$A:$A,[2]保证金申请!$C:$C)</f>
        <v>2021-09-09</v>
      </c>
      <c r="E182" t="str">
        <f>_xlfn.XLOOKUP(A182,保证金登记!B:B,保证金登记!I:I)</f>
        <v>洛阳黄河同力水泥有限责任公司</v>
      </c>
      <c r="F182" t="str">
        <f t="array" ref="F182">_xlfn.XLOOKUP(B182,1*[2]保证金申请!$A:$A,[2]保证金申请!$Q:$Q)</f>
        <v>洛阳黄河同力水泥有限责任公司</v>
      </c>
      <c r="G182">
        <f>_xlfn.XLOOKUP(A182,保证金登记!B:B,保证金登记!J:J)</f>
        <v>10000</v>
      </c>
      <c r="H182">
        <f t="array" ref="H182">_xlfn.XLOOKUP(B182,1*[2]保证金申请!$A:$A,[2]保证金申请!$K:$K)</f>
        <v>10000</v>
      </c>
      <c r="I182">
        <f t="shared" si="6"/>
        <v>0</v>
      </c>
      <c r="J182">
        <f t="shared" si="7"/>
        <v>0</v>
      </c>
      <c r="K182" t="b">
        <f t="shared" si="8"/>
        <v>1</v>
      </c>
    </row>
    <row r="183" spans="1:11">
      <c r="A183" t="s">
        <v>526</v>
      </c>
      <c r="B183" s="1">
        <v>129</v>
      </c>
      <c r="C183">
        <f>_xlfn.XLOOKUP(A183,保证金登记!B:B,保证金登记!E:E)</f>
        <v>44449</v>
      </c>
      <c r="D183" t="str">
        <f t="array" ref="D183">_xlfn.XLOOKUP(B183,1*[2]保证金申请!$A:$A,[2]保证金申请!$C:$C)</f>
        <v>2021-09-10</v>
      </c>
      <c r="E183" t="str">
        <f>_xlfn.XLOOKUP(A183,保证金登记!B:B,保证金登记!I:I)</f>
        <v>会东利森水泥有限公司</v>
      </c>
      <c r="F183" t="str">
        <f t="array" ref="F183">_xlfn.XLOOKUP(B183,1*[2]保证金申请!$A:$A,[2]保证金申请!$Q:$Q)</f>
        <v>会东利森水泥有限公司</v>
      </c>
      <c r="G183">
        <f>_xlfn.XLOOKUP(A183,保证金登记!B:B,保证金登记!J:J)</f>
        <v>2000</v>
      </c>
      <c r="H183">
        <f t="array" ref="H183">_xlfn.XLOOKUP(B183,1*[2]保证金申请!$A:$A,[2]保证金申请!$K:$K)</f>
        <v>2000</v>
      </c>
      <c r="I183">
        <f t="shared" si="6"/>
        <v>0</v>
      </c>
      <c r="J183">
        <f t="shared" si="7"/>
        <v>0</v>
      </c>
      <c r="K183" t="b">
        <f t="shared" si="8"/>
        <v>1</v>
      </c>
    </row>
    <row r="184" spans="1:11">
      <c r="A184" t="s">
        <v>527</v>
      </c>
      <c r="B184" s="1">
        <v>227</v>
      </c>
      <c r="C184">
        <f>_xlfn.XLOOKUP(A184,保证金登记!B:B,保证金登记!E:E)</f>
        <v>44454</v>
      </c>
      <c r="D184" t="str">
        <f t="array" ref="D184">_xlfn.XLOOKUP(B184,1*[2]保证金申请!$A:$A,[2]保证金申请!$C:$C)</f>
        <v>2021-09-15</v>
      </c>
      <c r="E184" t="str">
        <f>_xlfn.XLOOKUP(A184,保证金登记!B:B,保证金登记!I:I)</f>
        <v>河南洛阳黄河同力</v>
      </c>
      <c r="F184" t="str">
        <f t="array" ref="F184">_xlfn.XLOOKUP(B184,1*[2]保证金申请!$A:$A,[2]保证金申请!$Q:$Q)</f>
        <v>河南洛阳黄河同力</v>
      </c>
      <c r="G184">
        <f>_xlfn.XLOOKUP(A184,保证金登记!B:B,保证金登记!J:J)</f>
        <v>12000</v>
      </c>
      <c r="H184">
        <f t="array" ref="H184">_xlfn.XLOOKUP(B184,1*[2]保证金申请!$A:$A,[2]保证金申请!$K:$K)</f>
        <v>12000</v>
      </c>
      <c r="I184">
        <f t="shared" si="6"/>
        <v>0</v>
      </c>
      <c r="J184">
        <f t="shared" si="7"/>
        <v>0</v>
      </c>
      <c r="K184" t="b">
        <f t="shared" si="8"/>
        <v>1</v>
      </c>
    </row>
    <row r="185" spans="1:11">
      <c r="A185" t="s">
        <v>530</v>
      </c>
      <c r="B185" s="1">
        <v>228</v>
      </c>
      <c r="C185">
        <f>_xlfn.XLOOKUP(A185,保证金登记!B:B,保证金登记!E:E)</f>
        <v>44456</v>
      </c>
      <c r="D185" t="str">
        <f t="array" ref="D185">_xlfn.XLOOKUP(B185,1*[2]保证金申请!$A:$A,[2]保证金申请!$C:$C)</f>
        <v>2021-09-17</v>
      </c>
      <c r="E185" t="str">
        <f>_xlfn.XLOOKUP(A185,保证金登记!B:B,保证金登记!I:I)</f>
        <v>北京金隅琉水环保科技有限公司</v>
      </c>
      <c r="F185" t="str">
        <f t="array" ref="F185">_xlfn.XLOOKUP(B185,1*[2]保证金申请!$A:$A,[2]保证金申请!$Q:$Q)</f>
        <v>北京金隅琉水环保科技有限公司</v>
      </c>
      <c r="G185">
        <f>_xlfn.XLOOKUP(A185,保证金登记!B:B,保证金登记!J:J)</f>
        <v>15000</v>
      </c>
      <c r="H185">
        <f t="array" ref="H185">_xlfn.XLOOKUP(B185,1*[2]保证金申请!$A:$A,[2]保证金申请!$K:$K)</f>
        <v>15000</v>
      </c>
      <c r="I185">
        <f t="shared" si="6"/>
        <v>0</v>
      </c>
      <c r="J185">
        <f t="shared" si="7"/>
        <v>0</v>
      </c>
      <c r="K185" t="b">
        <f t="shared" si="8"/>
        <v>1</v>
      </c>
    </row>
    <row r="186" spans="1:11">
      <c r="A186" t="s">
        <v>532</v>
      </c>
      <c r="B186" s="1">
        <v>229</v>
      </c>
      <c r="C186">
        <f>_xlfn.XLOOKUP(A186,保证金登记!B:B,保证金登记!E:E)</f>
        <v>44456</v>
      </c>
      <c r="D186" t="str">
        <f t="array" ref="D186">_xlfn.XLOOKUP(B186,1*[2]保证金申请!$A:$A,[2]保证金申请!$C:$C)</f>
        <v>2021-09-17</v>
      </c>
      <c r="E186" t="str">
        <f>_xlfn.XLOOKUP(A186,保证金登记!B:B,保证金登记!I:I)</f>
        <v>四川西南水泥有限公司</v>
      </c>
      <c r="F186" t="str">
        <f t="array" ref="F186">_xlfn.XLOOKUP(B186,1*[2]保证金申请!$A:$A,[2]保证金申请!$Q:$Q)</f>
        <v>四川西南水泥有限公司（川渝西南）</v>
      </c>
      <c r="G186">
        <f>_xlfn.XLOOKUP(A186,保证金登记!B:B,保证金登记!J:J)</f>
        <v>50000</v>
      </c>
      <c r="H186">
        <f t="array" ref="H186">_xlfn.XLOOKUP(B186,1*[2]保证金申请!$A:$A,[2]保证金申请!$K:$K)</f>
        <v>50000</v>
      </c>
      <c r="I186">
        <f t="shared" si="6"/>
        <v>0</v>
      </c>
      <c r="J186">
        <f t="shared" si="7"/>
        <v>0</v>
      </c>
      <c r="K186" t="b">
        <f t="shared" si="8"/>
        <v>0</v>
      </c>
    </row>
    <row r="187" spans="1:11">
      <c r="A187" t="s">
        <v>533</v>
      </c>
      <c r="B187" s="1">
        <v>230</v>
      </c>
      <c r="C187">
        <f>_xlfn.XLOOKUP(A187,保证金登记!B:B,保证金登记!E:E)</f>
        <v>44457</v>
      </c>
      <c r="D187" t="str">
        <f t="array" ref="D187">_xlfn.XLOOKUP(B187,1*[2]保证金申请!$A:$A,[2]保证金申请!$C:$C)</f>
        <v>2021-09-18</v>
      </c>
      <c r="E187" t="str">
        <f>_xlfn.XLOOKUP(A187,保证金登记!B:B,保证金登记!I:I)</f>
        <v>云南西南水泥有限公司</v>
      </c>
      <c r="F187" t="str">
        <f t="array" ref="F187">_xlfn.XLOOKUP(B187,1*[2]保证金申请!$A:$A,[2]保证金申请!$Q:$Q)</f>
        <v>云南西南水泥有限公司</v>
      </c>
      <c r="G187">
        <f>_xlfn.XLOOKUP(A187,保证金登记!B:B,保证金登记!J:J)</f>
        <v>50000</v>
      </c>
      <c r="H187">
        <f t="array" ref="H187">_xlfn.XLOOKUP(B187,1*[2]保证金申请!$A:$A,[2]保证金申请!$K:$K)</f>
        <v>50000</v>
      </c>
      <c r="I187">
        <f t="shared" si="6"/>
        <v>0</v>
      </c>
      <c r="J187">
        <f t="shared" si="7"/>
        <v>0</v>
      </c>
      <c r="K187" t="b">
        <f t="shared" si="8"/>
        <v>1</v>
      </c>
    </row>
    <row r="188" spans="1:11">
      <c r="A188" t="s">
        <v>535</v>
      </c>
      <c r="B188" s="1">
        <v>231</v>
      </c>
      <c r="C188">
        <f>_xlfn.XLOOKUP(A188,保证金登记!B:B,保证金登记!E:E)</f>
        <v>44457</v>
      </c>
      <c r="D188" t="str">
        <f t="array" ref="D188">_xlfn.XLOOKUP(B188,1*[2]保证金申请!$A:$A,[2]保证金申请!$C:$C)</f>
        <v>2021-09-18</v>
      </c>
      <c r="E188" t="str">
        <f>_xlfn.XLOOKUP(A188,保证金登记!B:B,保证金登记!I:I)</f>
        <v>云南西南水泥有限公司</v>
      </c>
      <c r="F188" t="str">
        <f t="array" ref="F188">_xlfn.XLOOKUP(B188,1*[2]保证金申请!$A:$A,[2]保证金申请!$Q:$Q)</f>
        <v>云南西南水泥有限公司</v>
      </c>
      <c r="G188">
        <f>_xlfn.XLOOKUP(A188,保证金登记!B:B,保证金登记!J:J)</f>
        <v>50000</v>
      </c>
      <c r="H188">
        <f t="array" ref="H188">_xlfn.XLOOKUP(B188,1*[2]保证金申请!$A:$A,[2]保证金申请!$K:$K)</f>
        <v>50000</v>
      </c>
      <c r="I188">
        <f t="shared" si="6"/>
        <v>0</v>
      </c>
      <c r="J188">
        <f t="shared" si="7"/>
        <v>0</v>
      </c>
      <c r="K188" t="b">
        <f t="shared" si="8"/>
        <v>1</v>
      </c>
    </row>
    <row r="189" spans="1:11">
      <c r="A189" t="s">
        <v>536</v>
      </c>
      <c r="B189" s="1">
        <v>232</v>
      </c>
      <c r="C189">
        <f>_xlfn.XLOOKUP(A189,保证金登记!B:B,保证金登记!E:E)</f>
        <v>44457</v>
      </c>
      <c r="D189" t="str">
        <f t="array" ref="D189">_xlfn.XLOOKUP(B189,1*[2]保证金申请!$A:$A,[2]保证金申请!$C:$C)</f>
        <v>2021-09-18</v>
      </c>
      <c r="E189" t="str">
        <f>_xlfn.XLOOKUP(A189,保证金登记!B:B,保证金登记!I:I)</f>
        <v>云南西南水泥有限公司</v>
      </c>
      <c r="F189" t="str">
        <f t="array" ref="F189">_xlfn.XLOOKUP(B189,1*[2]保证金申请!$A:$A,[2]保证金申请!$Q:$Q)</f>
        <v>云南西南水泥有限公司</v>
      </c>
      <c r="G189">
        <f>_xlfn.XLOOKUP(A189,保证金登记!B:B,保证金登记!J:J)</f>
        <v>50000</v>
      </c>
      <c r="H189">
        <f t="array" ref="H189">_xlfn.XLOOKUP(B189,1*[2]保证金申请!$A:$A,[2]保证金申请!$K:$K)</f>
        <v>50000</v>
      </c>
      <c r="I189">
        <f t="shared" si="6"/>
        <v>0</v>
      </c>
      <c r="J189">
        <f t="shared" si="7"/>
        <v>0</v>
      </c>
      <c r="K189" t="b">
        <f t="shared" si="8"/>
        <v>1</v>
      </c>
    </row>
    <row r="190" spans="1:11">
      <c r="A190" t="s">
        <v>549</v>
      </c>
      <c r="B190" s="1">
        <v>130</v>
      </c>
      <c r="C190">
        <f>_xlfn.XLOOKUP(A190,保证金登记!B:B,保证金登记!E:E)</f>
        <v>44467</v>
      </c>
      <c r="D190" t="str">
        <f t="array" ref="D190">_xlfn.XLOOKUP(B190,1*[2]保证金申请!$A:$A,[2]保证金申请!$C:$C)</f>
        <v>2021-09-28</v>
      </c>
      <c r="E190" t="str">
        <f>_xlfn.XLOOKUP(A190,保证金登记!B:B,保证金登记!I:I)</f>
        <v>邯郸涉县金隅水泥有限公司</v>
      </c>
      <c r="F190" t="str">
        <f t="array" ref="F190">_xlfn.XLOOKUP(B190,1*[2]保证金申请!$A:$A,[2]保证金申请!$Q:$Q)</f>
        <v>邯郸涉县金隅水泥有限公司</v>
      </c>
      <c r="G190">
        <f>_xlfn.XLOOKUP(A190,保证金登记!B:B,保证金登记!J:J)</f>
        <v>3000</v>
      </c>
      <c r="H190">
        <f t="array" ref="H190">_xlfn.XLOOKUP(B190,1*[2]保证金申请!$A:$A,[2]保证金申请!$K:$K)</f>
        <v>3000</v>
      </c>
      <c r="I190">
        <f t="shared" si="6"/>
        <v>0</v>
      </c>
      <c r="J190">
        <f t="shared" si="7"/>
        <v>0</v>
      </c>
      <c r="K190" t="b">
        <f t="shared" si="8"/>
        <v>1</v>
      </c>
    </row>
    <row r="191" spans="1:11">
      <c r="A191" t="s">
        <v>552</v>
      </c>
      <c r="B191" s="1">
        <v>234</v>
      </c>
      <c r="C191">
        <f>_xlfn.XLOOKUP(A191,保证金登记!B:B,保证金登记!E:E)</f>
        <v>44469</v>
      </c>
      <c r="D191" t="str">
        <f t="array" ref="D191">_xlfn.XLOOKUP(B191,1*[2]保证金申请!$A:$A,[2]保证金申请!$C:$C)</f>
        <v>2021-09-30</v>
      </c>
      <c r="E191" t="str">
        <f>_xlfn.XLOOKUP(A191,保证金登记!B:B,保证金登记!I:I)</f>
        <v>贵州西南水泥有限公司</v>
      </c>
      <c r="F191" t="str">
        <f t="array" ref="F191">_xlfn.XLOOKUP(B191,1*[2]保证金申请!$A:$A,[2]保证金申请!$Q:$Q)</f>
        <v>贵州西南水泥有限公司</v>
      </c>
      <c r="G191">
        <f>_xlfn.XLOOKUP(A191,保证金登记!B:B,保证金登记!J:J)</f>
        <v>100000</v>
      </c>
      <c r="H191">
        <f t="array" ref="H191">_xlfn.XLOOKUP(B191,1*[2]保证金申请!$A:$A,[2]保证金申请!$K:$K)</f>
        <v>100000</v>
      </c>
      <c r="I191">
        <f t="shared" si="6"/>
        <v>0</v>
      </c>
      <c r="J191">
        <f t="shared" si="7"/>
        <v>0</v>
      </c>
      <c r="K191" t="b">
        <f t="shared" si="8"/>
        <v>1</v>
      </c>
    </row>
    <row r="192" spans="1:11">
      <c r="A192" t="s">
        <v>554</v>
      </c>
      <c r="B192" s="1">
        <v>235</v>
      </c>
      <c r="C192">
        <f>_xlfn.XLOOKUP(A192,保证金登记!B:B,保证金登记!E:E)</f>
        <v>44469</v>
      </c>
      <c r="D192" t="str">
        <f t="array" ref="D192">_xlfn.XLOOKUP(B192,1*[2]保证金申请!$A:$A,[2]保证金申请!$C:$C)</f>
        <v>2021-09-30</v>
      </c>
      <c r="E192" t="str">
        <f>_xlfn.XLOOKUP(A192,保证金登记!B:B,保证金登记!I:I)</f>
        <v>华沃（枣庄）水泥有限公司</v>
      </c>
      <c r="F192" t="str">
        <f t="array" ref="F192">_xlfn.XLOOKUP(B192,1*[2]保证金申请!$A:$A,[2]保证金申请!$Q:$Q)</f>
        <v>华沃（枣庄）水泥有限公司</v>
      </c>
      <c r="G192">
        <f>_xlfn.XLOOKUP(A192,保证金登记!B:B,保证金登记!J:J)</f>
        <v>3400</v>
      </c>
      <c r="H192">
        <f t="array" ref="H192">_xlfn.XLOOKUP(B192,1*[2]保证金申请!$A:$A,[2]保证金申请!$K:$K)</f>
        <v>3400</v>
      </c>
      <c r="I192">
        <f t="shared" si="6"/>
        <v>0</v>
      </c>
      <c r="J192">
        <f t="shared" si="7"/>
        <v>0</v>
      </c>
      <c r="K192" t="b">
        <f t="shared" si="8"/>
        <v>1</v>
      </c>
    </row>
    <row r="193" spans="1:11">
      <c r="A193" t="s">
        <v>560</v>
      </c>
      <c r="B193" s="1">
        <v>237</v>
      </c>
      <c r="C193">
        <f>_xlfn.XLOOKUP(A193,保证金登记!B:B,保证金登记!E:E)</f>
        <v>44480</v>
      </c>
      <c r="D193" t="str">
        <f t="array" ref="D193">_xlfn.XLOOKUP(B193,1*[2]保证金申请!$A:$A,[2]保证金申请!$C:$C)</f>
        <v>2021-10-11</v>
      </c>
      <c r="E193" t="str">
        <f>_xlfn.XLOOKUP(A193,保证金登记!B:B,保证金登记!I:I)</f>
        <v>吉林亚泰（集团）股份有限公司物资经销分公司</v>
      </c>
      <c r="F193" t="str">
        <f t="array" ref="F193">_xlfn.XLOOKUP(B193,1*[2]保证金申请!$A:$A,[2]保证金申请!$Q:$Q)</f>
        <v>吉林亚泰（集团）股份有限公司物资经销分公司</v>
      </c>
      <c r="G193">
        <f>_xlfn.XLOOKUP(A193,保证金登记!B:B,保证金登记!J:J)</f>
        <v>10000</v>
      </c>
      <c r="H193">
        <f t="array" ref="H193">_xlfn.XLOOKUP(B193,1*[2]保证金申请!$A:$A,[2]保证金申请!$K:$K)</f>
        <v>10000</v>
      </c>
      <c r="I193">
        <f t="shared" si="6"/>
        <v>0</v>
      </c>
      <c r="J193">
        <f t="shared" si="7"/>
        <v>0</v>
      </c>
      <c r="K193" t="b">
        <f t="shared" si="8"/>
        <v>1</v>
      </c>
    </row>
    <row r="194" spans="1:11">
      <c r="A194" t="s">
        <v>563</v>
      </c>
      <c r="B194" s="1">
        <v>236</v>
      </c>
      <c r="C194">
        <f>_xlfn.XLOOKUP(A194,保证金登记!B:B,保证金登记!E:E)</f>
        <v>44481</v>
      </c>
      <c r="D194" t="str">
        <f t="array" ref="D194">_xlfn.XLOOKUP(B194,1*[2]保证金申请!$A:$A,[2]保证金申请!$C:$C)</f>
        <v>2021-10-12</v>
      </c>
      <c r="E194" t="str">
        <f>_xlfn.XLOOKUP(A194,保证金登记!B:B,保证金登记!I:I)</f>
        <v>冀东水泥滦州有限公司</v>
      </c>
      <c r="F194" t="str">
        <f t="array" ref="F194">_xlfn.XLOOKUP(B194,1*[2]保证金申请!$A:$A,[2]保证金申请!$Q:$Q)</f>
        <v>冀东水泥滦州有限公司</v>
      </c>
      <c r="G194">
        <f>_xlfn.XLOOKUP(A194,保证金登记!B:B,保证金登记!J:J)</f>
        <v>7400</v>
      </c>
      <c r="H194">
        <f t="array" ref="H194">_xlfn.XLOOKUP(B194,1*[2]保证金申请!$A:$A,[2]保证金申请!$K:$K)</f>
        <v>7400</v>
      </c>
      <c r="I194">
        <f t="shared" ref="I194:I257" si="9">C194-D194</f>
        <v>0</v>
      </c>
      <c r="J194">
        <f t="shared" ref="J194:J257" si="10">G194-H194</f>
        <v>0</v>
      </c>
      <c r="K194" t="b">
        <f t="shared" ref="K194:K257" si="11">EXACT(E194,F194)</f>
        <v>1</v>
      </c>
    </row>
    <row r="195" spans="1:11">
      <c r="A195" t="s">
        <v>566</v>
      </c>
      <c r="B195" s="1">
        <v>131</v>
      </c>
      <c r="C195">
        <f>_xlfn.XLOOKUP(A195,保证金登记!B:B,保证金登记!E:E)</f>
        <v>44487</v>
      </c>
      <c r="D195" t="str">
        <f t="array" ref="D195">_xlfn.XLOOKUP(B195,1*[2]保证金申请!$A:$A,[2]保证金申请!$C:$C)</f>
        <v>2021-10-18</v>
      </c>
      <c r="E195" t="str">
        <f>_xlfn.XLOOKUP(A195,保证金登记!B:B,保证金登记!I:I)</f>
        <v>亚泰集团哈尔滨水泥（阿城）有限公司</v>
      </c>
      <c r="F195" t="str">
        <f t="array" ref="F195">_xlfn.XLOOKUP(B195,1*[2]保证金申请!$A:$A,[2]保证金申请!$Q:$Q)</f>
        <v>亚泰集团哈尔滨水泥（阿城）有限公司</v>
      </c>
      <c r="G195">
        <f>_xlfn.XLOOKUP(A195,保证金登记!B:B,保证金登记!J:J)</f>
        <v>2000</v>
      </c>
      <c r="H195">
        <f t="array" ref="H195">_xlfn.XLOOKUP(B195,1*[2]保证金申请!$A:$A,[2]保证金申请!$K:$K)</f>
        <v>2000</v>
      </c>
      <c r="I195">
        <f t="shared" si="9"/>
        <v>0</v>
      </c>
      <c r="J195">
        <f t="shared" si="10"/>
        <v>0</v>
      </c>
      <c r="K195" t="b">
        <f t="shared" si="11"/>
        <v>1</v>
      </c>
    </row>
    <row r="196" spans="1:11">
      <c r="A196" t="s">
        <v>568</v>
      </c>
      <c r="B196" s="1">
        <v>238</v>
      </c>
      <c r="C196">
        <f>_xlfn.XLOOKUP(A196,保证金登记!B:B,保证金登记!E:E)</f>
        <v>44487</v>
      </c>
      <c r="D196" t="str">
        <f t="array" ref="D196">_xlfn.XLOOKUP(B196,1*[2]保证金申请!$A:$A,[2]保证金申请!$C:$C)</f>
        <v>2021-10-18</v>
      </c>
      <c r="E196" t="str">
        <f>_xlfn.XLOOKUP(A196,保证金登记!B:B,保证金登记!I:I)</f>
        <v>中材甘肃水泥有限公司</v>
      </c>
      <c r="F196" t="str">
        <f t="array" ref="F196">_xlfn.XLOOKUP(B196,1*[2]保证金申请!$A:$A,[2]保证金申请!$Q:$Q)</f>
        <v>中材甘肃水泥有限公司</v>
      </c>
      <c r="G196">
        <f>_xlfn.XLOOKUP(A196,保证金登记!B:B,保证金登记!J:J)</f>
        <v>2000</v>
      </c>
      <c r="H196">
        <f t="array" ref="H196">_xlfn.XLOOKUP(B196,1*[2]保证金申请!$A:$A,[2]保证金申请!$K:$K)</f>
        <v>2000</v>
      </c>
      <c r="I196">
        <f t="shared" si="9"/>
        <v>0</v>
      </c>
      <c r="J196">
        <f t="shared" si="10"/>
        <v>0</v>
      </c>
      <c r="K196" t="b">
        <f t="shared" si="11"/>
        <v>1</v>
      </c>
    </row>
    <row r="197" spans="1:11">
      <c r="A197" t="s">
        <v>571</v>
      </c>
      <c r="B197" s="1">
        <v>239</v>
      </c>
      <c r="C197">
        <f>_xlfn.XLOOKUP(A197,保证金登记!B:B,保证金登记!E:E)</f>
        <v>44487</v>
      </c>
      <c r="D197" t="str">
        <f t="array" ref="D197">_xlfn.XLOOKUP(B197,1*[2]保证金申请!$A:$A,[2]保证金申请!$C:$C)</f>
        <v>2021-10-18</v>
      </c>
      <c r="E197" t="str">
        <f>_xlfn.XLOOKUP(A197,保证金登记!B:B,保证金登记!I:I)</f>
        <v>河北新金钢铁有限公司</v>
      </c>
      <c r="F197" t="str">
        <f t="array" ref="F197">_xlfn.XLOOKUP(B197,1*[2]保证金申请!$A:$A,[2]保证金申请!$Q:$Q)</f>
        <v>河北新金钢铁有限公司</v>
      </c>
      <c r="G197">
        <f>_xlfn.XLOOKUP(A197,保证金登记!B:B,保证金登记!J:J)</f>
        <v>10000</v>
      </c>
      <c r="H197">
        <f t="array" ref="H197">_xlfn.XLOOKUP(B197,1*[2]保证金申请!$A:$A,[2]保证金申请!$K:$K)</f>
        <v>10000</v>
      </c>
      <c r="I197">
        <f t="shared" si="9"/>
        <v>0</v>
      </c>
      <c r="J197">
        <f t="shared" si="10"/>
        <v>0</v>
      </c>
      <c r="K197" t="b">
        <f t="shared" si="11"/>
        <v>1</v>
      </c>
    </row>
    <row r="198" spans="1:11">
      <c r="A198" t="s">
        <v>572</v>
      </c>
      <c r="B198" s="1">
        <v>240</v>
      </c>
      <c r="C198">
        <f>_xlfn.XLOOKUP(A198,保证金登记!B:B,保证金登记!E:E)</f>
        <v>44494</v>
      </c>
      <c r="D198" t="str">
        <f t="array" ref="D198">_xlfn.XLOOKUP(B198,1*[2]保证金申请!$A:$A,[2]保证金申请!$C:$C)</f>
        <v>2021-10-25</v>
      </c>
      <c r="E198" t="str">
        <f>_xlfn.XLOOKUP(A198,保证金登记!B:B,保证金登记!I:I)</f>
        <v>鞍山冀东水泥有限责任公司</v>
      </c>
      <c r="F198" t="str">
        <f t="array" ref="F198">_xlfn.XLOOKUP(B198,1*[2]保证金申请!$A:$A,[2]保证金申请!$Q:$Q)</f>
        <v>鞍山冀东水泥有限责任公司</v>
      </c>
      <c r="G198">
        <f>_xlfn.XLOOKUP(A198,保证金登记!B:B,保证金登记!J:J)</f>
        <v>1000</v>
      </c>
      <c r="H198">
        <f t="array" ref="H198">_xlfn.XLOOKUP(B198,1*[2]保证金申请!$A:$A,[2]保证金申请!$K:$K)</f>
        <v>1000</v>
      </c>
      <c r="I198">
        <f t="shared" si="9"/>
        <v>0</v>
      </c>
      <c r="J198">
        <f t="shared" si="10"/>
        <v>0</v>
      </c>
      <c r="K198" t="b">
        <f t="shared" si="11"/>
        <v>1</v>
      </c>
    </row>
    <row r="199" spans="1:11">
      <c r="A199" t="s">
        <v>573</v>
      </c>
      <c r="B199" s="1">
        <v>341</v>
      </c>
      <c r="C199">
        <f>_xlfn.XLOOKUP(A199,保证金登记!B:B,保证金登记!E:E)</f>
        <v>44495</v>
      </c>
      <c r="D199" t="str">
        <f t="array" ref="D199">_xlfn.XLOOKUP(B199,1*[2]保证金申请!$A:$A,[2]保证金申请!$C:$C)</f>
        <v>2021-10-26</v>
      </c>
      <c r="E199" t="str">
        <f>_xlfn.XLOOKUP(A199,保证金登记!B:B,保证金登记!I:I)</f>
        <v>石门海螺水泥有限责任公司</v>
      </c>
      <c r="F199" t="str">
        <f t="array" ref="F199">_xlfn.XLOOKUP(B199,1*[2]保证金申请!$A:$A,[2]保证金申请!$Q:$Q)</f>
        <v>石门海螺水泥有限责任公司</v>
      </c>
      <c r="G199">
        <f>_xlfn.XLOOKUP(A199,保证金登记!B:B,保证金登记!J:J)</f>
        <v>5000</v>
      </c>
      <c r="H199">
        <f t="array" ref="H199">_xlfn.XLOOKUP(B199,1*[2]保证金申请!$A:$A,[2]保证金申请!$K:$K)</f>
        <v>5000</v>
      </c>
      <c r="I199">
        <f t="shared" si="9"/>
        <v>0</v>
      </c>
      <c r="J199">
        <f t="shared" si="10"/>
        <v>0</v>
      </c>
      <c r="K199" t="b">
        <f t="shared" si="11"/>
        <v>1</v>
      </c>
    </row>
    <row r="200" spans="1:11">
      <c r="A200" t="s">
        <v>576</v>
      </c>
      <c r="B200" s="1">
        <v>241</v>
      </c>
      <c r="C200">
        <f>_xlfn.XLOOKUP(A200,保证金登记!B:B,保证金登记!E:E)</f>
        <v>44498</v>
      </c>
      <c r="D200" t="str">
        <f t="array" ref="D200">_xlfn.XLOOKUP(B200,1*[2]保证金申请!$A:$A,[2]保证金申请!$C:$C)</f>
        <v>2021-10-29</v>
      </c>
      <c r="E200" t="str">
        <f>_xlfn.XLOOKUP(A200,保证金登记!B:B,保证金登记!I:I)</f>
        <v>叶城天山水泥有限责任公司</v>
      </c>
      <c r="F200" t="str">
        <f t="array" ref="F200">_xlfn.XLOOKUP(B200,1*[2]保证金申请!$A:$A,[2]保证金申请!$Q:$Q)</f>
        <v>叶城天山水泥有限公司</v>
      </c>
      <c r="G200">
        <f>_xlfn.XLOOKUP(A200,保证金登记!B:B,保证金登记!J:J)</f>
        <v>10000</v>
      </c>
      <c r="H200">
        <f t="array" ref="H200">_xlfn.XLOOKUP(B200,1*[2]保证金申请!$A:$A,[2]保证金申请!$K:$K)</f>
        <v>10000</v>
      </c>
      <c r="I200">
        <f t="shared" si="9"/>
        <v>0</v>
      </c>
      <c r="J200">
        <f t="shared" si="10"/>
        <v>0</v>
      </c>
      <c r="K200" t="b">
        <f t="shared" si="11"/>
        <v>0</v>
      </c>
    </row>
    <row r="201" spans="1:11">
      <c r="A201" t="s">
        <v>579</v>
      </c>
      <c r="B201" s="1">
        <v>242</v>
      </c>
      <c r="C201">
        <f>_xlfn.XLOOKUP(A201,保证金登记!B:B,保证金登记!E:E)</f>
        <v>44498</v>
      </c>
      <c r="D201" t="str">
        <f t="array" ref="D201">_xlfn.XLOOKUP(B201,1*[2]保证金申请!$A:$A,[2]保证金申请!$C:$C)</f>
        <v>2021-10-29</v>
      </c>
      <c r="E201" t="str">
        <f>_xlfn.XLOOKUP(A201,保证金登记!B:B,保证金登记!I:I)</f>
        <v>叶城天山水泥有限责任公司</v>
      </c>
      <c r="F201" t="str">
        <f t="array" ref="F201">_xlfn.XLOOKUP(B201,1*[2]保证金申请!$A:$A,[2]保证金申请!$Q:$Q)</f>
        <v>叶城天山水泥有限公司</v>
      </c>
      <c r="G201">
        <f>_xlfn.XLOOKUP(A201,保证金登记!B:B,保证金登记!J:J)</f>
        <v>10000</v>
      </c>
      <c r="H201">
        <f t="array" ref="H201">_xlfn.XLOOKUP(B201,1*[2]保证金申请!$A:$A,[2]保证金申请!$K:$K)</f>
        <v>10000</v>
      </c>
      <c r="I201">
        <f t="shared" si="9"/>
        <v>0</v>
      </c>
      <c r="J201">
        <f t="shared" si="10"/>
        <v>0</v>
      </c>
      <c r="K201" t="b">
        <f t="shared" si="11"/>
        <v>0</v>
      </c>
    </row>
    <row r="202" spans="1:11">
      <c r="A202" t="s">
        <v>586</v>
      </c>
      <c r="B202" s="1">
        <v>243</v>
      </c>
      <c r="C202">
        <f>_xlfn.XLOOKUP(A202,保证金登记!B:B,保证金登记!E:E)</f>
        <v>44501</v>
      </c>
      <c r="D202" t="str">
        <f t="array" ref="D202">_xlfn.XLOOKUP(B202,1*[2]保证金申请!$A:$A,[2]保证金申请!$C:$C)</f>
        <v>2021-11-01</v>
      </c>
      <c r="E202" t="str">
        <f>_xlfn.XLOOKUP(A202,保证金登记!B:B,保证金登记!I:I)</f>
        <v>叶城天山水泥有限责任公司</v>
      </c>
      <c r="F202" t="str">
        <f t="array" ref="F202">_xlfn.XLOOKUP(B202,1*[2]保证金申请!$A:$A,[2]保证金申请!$Q:$Q)</f>
        <v>叶城天山水泥有限公司</v>
      </c>
      <c r="G202">
        <f>_xlfn.XLOOKUP(A202,保证金登记!B:B,保证金登记!J:J)</f>
        <v>10000</v>
      </c>
      <c r="H202">
        <f t="array" ref="H202">_xlfn.XLOOKUP(B202,1*[2]保证金申请!$A:$A,[2]保证金申请!$K:$K)</f>
        <v>10000</v>
      </c>
      <c r="I202">
        <f t="shared" si="9"/>
        <v>0</v>
      </c>
      <c r="J202">
        <f t="shared" si="10"/>
        <v>0</v>
      </c>
      <c r="K202" t="b">
        <f t="shared" si="11"/>
        <v>0</v>
      </c>
    </row>
    <row r="203" spans="1:11">
      <c r="A203" t="s">
        <v>587</v>
      </c>
      <c r="B203" s="1">
        <v>351</v>
      </c>
      <c r="C203">
        <f>_xlfn.XLOOKUP(A203,保证金登记!B:B,保证金登记!E:E)</f>
        <v>44503</v>
      </c>
      <c r="D203" t="str">
        <f t="array" ref="D203">_xlfn.XLOOKUP(B203,1*[2]保证金申请!$A:$A,[2]保证金申请!$C:$C)</f>
        <v>2021-11-03</v>
      </c>
      <c r="E203" t="str">
        <f>_xlfn.XLOOKUP(A203,保证金登记!B:B,保证金登记!I:I)</f>
        <v>华沃（枣庄）水泥有限公司</v>
      </c>
      <c r="F203" t="str">
        <f t="array" ref="F203">_xlfn.XLOOKUP(B203,1*[2]保证金申请!$A:$A,[2]保证金申请!$Q:$Q)</f>
        <v>华沃（枣庄）水泥有限公司</v>
      </c>
      <c r="G203">
        <f>_xlfn.XLOOKUP(A203,保证金登记!B:B,保证金登记!J:J)</f>
        <v>6000</v>
      </c>
      <c r="H203">
        <f t="array" ref="H203">_xlfn.XLOOKUP(B203,1*[2]保证金申请!$A:$A,[2]保证金申请!$K:$K)</f>
        <v>6000</v>
      </c>
      <c r="I203">
        <f t="shared" si="9"/>
        <v>0</v>
      </c>
      <c r="J203">
        <f t="shared" si="10"/>
        <v>0</v>
      </c>
      <c r="K203" t="b">
        <f t="shared" si="11"/>
        <v>1</v>
      </c>
    </row>
    <row r="204" spans="1:11">
      <c r="A204" t="s">
        <v>593</v>
      </c>
      <c r="B204" s="1">
        <v>132</v>
      </c>
      <c r="C204">
        <f>_xlfn.XLOOKUP(A204,保证金登记!B:B,保证金登记!E:E)</f>
        <v>44508</v>
      </c>
      <c r="D204" t="str">
        <f t="array" ref="D204">_xlfn.XLOOKUP(B204,1*[2]保证金申请!$A:$A,[2]保证金申请!$C:$C)</f>
        <v>2021-11-08</v>
      </c>
      <c r="E204" t="str">
        <f>_xlfn.XLOOKUP(A204,保证金登记!B:B,保证金登记!I:I)</f>
        <v>罗江利森水泥有限公司</v>
      </c>
      <c r="F204" t="str">
        <f t="array" ref="F204">_xlfn.XLOOKUP(B204,1*[2]保证金申请!$A:$A,[2]保证金申请!$Q:$Q)</f>
        <v>罗江利森水泥有限公司</v>
      </c>
      <c r="G204">
        <f>_xlfn.XLOOKUP(A204,保证金登记!B:B,保证金登记!J:J)</f>
        <v>9500</v>
      </c>
      <c r="H204">
        <f t="array" ref="H204">_xlfn.XLOOKUP(B204,1*[2]保证金申请!$A:$A,[2]保证金申请!$K:$K)</f>
        <v>9500</v>
      </c>
      <c r="I204">
        <f t="shared" si="9"/>
        <v>0</v>
      </c>
      <c r="J204">
        <f t="shared" si="10"/>
        <v>0</v>
      </c>
      <c r="K204" t="b">
        <f t="shared" si="11"/>
        <v>1</v>
      </c>
    </row>
    <row r="205" spans="1:11">
      <c r="A205" t="s">
        <v>595</v>
      </c>
      <c r="B205" s="1">
        <v>244</v>
      </c>
      <c r="C205">
        <f>_xlfn.XLOOKUP(A205,保证金登记!B:B,保证金登记!E:E)</f>
        <v>44508</v>
      </c>
      <c r="D205" t="str">
        <f t="array" ref="D205">_xlfn.XLOOKUP(B205,1*[2]保证金申请!$A:$A,[2]保证金申请!$C:$C)</f>
        <v>2021-11-08</v>
      </c>
      <c r="E205" t="str">
        <f>_xlfn.XLOOKUP(A205,保证金登记!B:B,保证金登记!I:I)</f>
        <v>阿克苏天山（阿克苏天山公司回转窑外协项目）</v>
      </c>
      <c r="F205" t="str">
        <f t="array" ref="F205">_xlfn.XLOOKUP(B205,1*[2]保证金申请!$A:$A,[2]保证金申请!$Q:$Q)</f>
        <v>阿克苏天山（阿克苏天山公司回转窑外协项目）</v>
      </c>
      <c r="G205">
        <f>_xlfn.XLOOKUP(A205,保证金登记!B:B,保证金登记!J:J)</f>
        <v>10000</v>
      </c>
      <c r="H205">
        <f t="array" ref="H205">_xlfn.XLOOKUP(B205,1*[2]保证金申请!$A:$A,[2]保证金申请!$K:$K)</f>
        <v>10000</v>
      </c>
      <c r="I205">
        <f t="shared" si="9"/>
        <v>0</v>
      </c>
      <c r="J205">
        <f t="shared" si="10"/>
        <v>0</v>
      </c>
      <c r="K205" t="b">
        <f t="shared" si="11"/>
        <v>1</v>
      </c>
    </row>
    <row r="206" spans="1:11">
      <c r="A206" t="s">
        <v>598</v>
      </c>
      <c r="B206" s="1">
        <v>133</v>
      </c>
      <c r="C206">
        <f>_xlfn.XLOOKUP(A206,保证金登记!B:B,保证金登记!E:E)</f>
        <v>44510</v>
      </c>
      <c r="D206" t="str">
        <f t="array" ref="D206">_xlfn.XLOOKUP(B206,1*[2]保证金申请!$A:$A,[2]保证金申请!$C:$C)</f>
        <v>2021-11-10</v>
      </c>
      <c r="E206" t="str">
        <f>_xlfn.XLOOKUP(A206,保证金登记!B:B,保证金登记!I:I)</f>
        <v>叶城天山水泥有限责任公司</v>
      </c>
      <c r="F206" t="str">
        <f t="array" ref="F206">_xlfn.XLOOKUP(B206,1*[2]保证金申请!$A:$A,[2]保证金申请!$Q:$Q)</f>
        <v>叶城天山水泥有限公司</v>
      </c>
      <c r="G206">
        <f>_xlfn.XLOOKUP(A206,保证金登记!B:B,保证金登记!J:J)</f>
        <v>2000</v>
      </c>
      <c r="H206">
        <f t="array" ref="H206">_xlfn.XLOOKUP(B206,1*[2]保证金申请!$A:$A,[2]保证金申请!$K:$K)</f>
        <v>2000</v>
      </c>
      <c r="I206">
        <f t="shared" si="9"/>
        <v>0</v>
      </c>
      <c r="J206">
        <f t="shared" si="10"/>
        <v>0</v>
      </c>
      <c r="K206" t="b">
        <f t="shared" si="11"/>
        <v>0</v>
      </c>
    </row>
    <row r="207" spans="1:11">
      <c r="A207" t="s">
        <v>599</v>
      </c>
      <c r="B207" s="1">
        <v>134</v>
      </c>
      <c r="C207">
        <f>_xlfn.XLOOKUP(A207,保证金登记!B:B,保证金登记!E:E)</f>
        <v>44512</v>
      </c>
      <c r="D207" t="str">
        <f t="array" ref="D207">_xlfn.XLOOKUP(B207,1*[2]保证金申请!$A:$A,[2]保证金申请!$C:$C)</f>
        <v>2021-11-12</v>
      </c>
      <c r="E207" t="str">
        <f>_xlfn.XLOOKUP(A207,保证金登记!B:B,保证金登记!I:I)</f>
        <v>重庆铜梁西南水泥有限公司</v>
      </c>
      <c r="F207" t="str">
        <f t="array" ref="F207">_xlfn.XLOOKUP(B207,1*[2]保证金申请!$A:$A,[2]保证金申请!$Q:$Q)</f>
        <v>重庆铜梁西南水泥有限公司</v>
      </c>
      <c r="G207">
        <f>_xlfn.XLOOKUP(A207,保证金登记!B:B,保证金登记!J:J)</f>
        <v>2500</v>
      </c>
      <c r="H207">
        <f t="array" ref="H207">_xlfn.XLOOKUP(B207,1*[2]保证金申请!$A:$A,[2]保证金申请!$K:$K)</f>
        <v>2500</v>
      </c>
      <c r="I207">
        <f t="shared" si="9"/>
        <v>0</v>
      </c>
      <c r="J207">
        <f t="shared" si="10"/>
        <v>0</v>
      </c>
      <c r="K207" t="b">
        <f t="shared" si="11"/>
        <v>1</v>
      </c>
    </row>
    <row r="208" spans="1:11">
      <c r="A208" t="s">
        <v>602</v>
      </c>
      <c r="B208" s="1">
        <v>245</v>
      </c>
      <c r="C208">
        <f>_xlfn.XLOOKUP(A208,保证金登记!B:B,保证金登记!E:E)</f>
        <v>44512</v>
      </c>
      <c r="D208" t="str">
        <f t="array" ref="D208">_xlfn.XLOOKUP(B208,1*[2]保证金申请!$A:$A,[2]保证金申请!$C:$C)</f>
        <v>2021-11-12</v>
      </c>
      <c r="E208" t="str">
        <f>_xlfn.XLOOKUP(A208,保证金登记!B:B,保证金登记!I:I)</f>
        <v>蚌埠中联水泥有限公司</v>
      </c>
      <c r="F208" t="str">
        <f t="array" ref="F208">_xlfn.XLOOKUP(B208,1*[2]保证金申请!$A:$A,[2]保证金申请!$Q:$Q)</f>
        <v>蚌埠中联水泥有限公司</v>
      </c>
      <c r="G208">
        <f>_xlfn.XLOOKUP(A208,保证金登记!B:B,保证金登记!J:J)</f>
        <v>5000</v>
      </c>
      <c r="H208">
        <f t="array" ref="H208">_xlfn.XLOOKUP(B208,1*[2]保证金申请!$A:$A,[2]保证金申请!$K:$K)</f>
        <v>5000</v>
      </c>
      <c r="I208">
        <f t="shared" si="9"/>
        <v>0</v>
      </c>
      <c r="J208">
        <f t="shared" si="10"/>
        <v>0</v>
      </c>
      <c r="K208" t="b">
        <f t="shared" si="11"/>
        <v>1</v>
      </c>
    </row>
    <row r="209" spans="1:11">
      <c r="A209" t="s">
        <v>604</v>
      </c>
      <c r="B209" s="1">
        <v>135</v>
      </c>
      <c r="C209">
        <f>_xlfn.XLOOKUP(A209,保证金登记!B:B,保证金登记!E:E)</f>
        <v>44514</v>
      </c>
      <c r="D209" t="str">
        <f t="array" ref="D209">_xlfn.XLOOKUP(B209,1*[2]保证金申请!$A:$A,[2]保证金申请!$C:$C)</f>
        <v>2021-11-14</v>
      </c>
      <c r="E209" t="str">
        <f>_xlfn.XLOOKUP(A209,保证金登记!B:B,保证金登记!I:I)</f>
        <v>山东鲁泰环保建材有限公司</v>
      </c>
      <c r="F209" t="str">
        <f t="array" ref="F209">_xlfn.XLOOKUP(B209,1*[2]保证金申请!$A:$A,[2]保证金申请!$Q:$Q)</f>
        <v>山东鲁泰环保建材有限公司</v>
      </c>
      <c r="G209">
        <f>_xlfn.XLOOKUP(A209,保证金登记!B:B,保证金登记!J:J)</f>
        <v>9750</v>
      </c>
      <c r="H209">
        <f t="array" ref="H209">_xlfn.XLOOKUP(B209,1*[2]保证金申请!$A:$A,[2]保证金申请!$K:$K)</f>
        <v>9750</v>
      </c>
      <c r="I209">
        <f t="shared" si="9"/>
        <v>0</v>
      </c>
      <c r="J209">
        <f t="shared" si="10"/>
        <v>0</v>
      </c>
      <c r="K209" t="b">
        <f t="shared" si="11"/>
        <v>1</v>
      </c>
    </row>
    <row r="210" spans="1:11">
      <c r="A210" t="s">
        <v>607</v>
      </c>
      <c r="B210" s="1">
        <v>136</v>
      </c>
      <c r="C210">
        <f>_xlfn.XLOOKUP(A210,保证金登记!B:B,保证金登记!E:E)</f>
        <v>44514</v>
      </c>
      <c r="D210" t="str">
        <f t="array" ref="D210">_xlfn.XLOOKUP(B210,1*[2]保证金申请!$A:$A,[2]保证金申请!$C:$C)</f>
        <v>2021-11-14</v>
      </c>
      <c r="E210" t="str">
        <f>_xlfn.XLOOKUP(A210,保证金登记!B:B,保证金登记!I:I)</f>
        <v>山东鲁泰环保建材有限公司</v>
      </c>
      <c r="F210" t="str">
        <f t="array" ref="F210">_xlfn.XLOOKUP(B210,1*[2]保证金申请!$A:$A,[2]保证金申请!$Q:$Q)</f>
        <v>山东鲁泰环保建材有限公司</v>
      </c>
      <c r="G210">
        <f>_xlfn.XLOOKUP(A210,保证金登记!B:B,保证金登记!J:J)</f>
        <v>12500</v>
      </c>
      <c r="H210">
        <f t="array" ref="H210">_xlfn.XLOOKUP(B210,1*[2]保证金申请!$A:$A,[2]保证金申请!$K:$K)</f>
        <v>12500</v>
      </c>
      <c r="I210">
        <f t="shared" si="9"/>
        <v>0</v>
      </c>
      <c r="J210">
        <f t="shared" si="10"/>
        <v>0</v>
      </c>
      <c r="K210" t="b">
        <f t="shared" si="11"/>
        <v>1</v>
      </c>
    </row>
    <row r="211" spans="1:11">
      <c r="A211" t="s">
        <v>610</v>
      </c>
      <c r="B211" s="1">
        <v>137</v>
      </c>
      <c r="C211">
        <f>_xlfn.XLOOKUP(A211,保证金登记!B:B,保证金登记!E:E)</f>
        <v>44515</v>
      </c>
      <c r="D211" t="str">
        <f t="array" ref="D211">_xlfn.XLOOKUP(B211,1*[2]保证金申请!$A:$A,[2]保证金申请!$C:$C)</f>
        <v>2021-11-15</v>
      </c>
      <c r="E211" t="str">
        <f>_xlfn.XLOOKUP(A211,保证金登记!B:B,保证金登记!I:I)</f>
        <v>新洋丰农业科技股份有限公司</v>
      </c>
      <c r="F211" t="str">
        <f t="array" ref="F211">_xlfn.XLOOKUP(B211,1*[2]保证金申请!$A:$A,[2]保证金申请!$Q:$Q)</f>
        <v>新洋丰农业科技股份有限公司</v>
      </c>
      <c r="G211">
        <f>_xlfn.XLOOKUP(A211,保证金登记!B:B,保证金登记!J:J)</f>
        <v>2000</v>
      </c>
      <c r="H211">
        <f t="array" ref="H211">_xlfn.XLOOKUP(B211,1*[2]保证金申请!$A:$A,[2]保证金申请!$K:$K)</f>
        <v>2000</v>
      </c>
      <c r="I211">
        <f t="shared" si="9"/>
        <v>0</v>
      </c>
      <c r="J211">
        <f t="shared" si="10"/>
        <v>0</v>
      </c>
      <c r="K211" t="b">
        <f t="shared" si="11"/>
        <v>1</v>
      </c>
    </row>
    <row r="212" spans="1:11">
      <c r="A212" t="s">
        <v>613</v>
      </c>
      <c r="B212" s="1">
        <v>246</v>
      </c>
      <c r="C212">
        <f>_xlfn.XLOOKUP(A212,保证金登记!B:B,保证金登记!E:E)</f>
        <v>44515</v>
      </c>
      <c r="D212" t="str">
        <f t="array" ref="D212">_xlfn.XLOOKUP(B212,1*[2]保证金申请!$A:$A,[2]保证金申请!$C:$C)</f>
        <v>2021-11-15</v>
      </c>
      <c r="E212" t="str">
        <f>_xlfn.XLOOKUP(A212,保证金登记!B:B,保证金登记!I:I)</f>
        <v>唐山曹妃甸盾石新型建材有限公司</v>
      </c>
      <c r="F212" t="str">
        <f t="array" ref="F212">_xlfn.XLOOKUP(B212,1*[2]保证金申请!$A:$A,[2]保证金申请!$Q:$Q)</f>
        <v>唐山曹妃甸盾石新型建材有限公司</v>
      </c>
      <c r="G212">
        <f>_xlfn.XLOOKUP(A212,保证金登记!B:B,保证金登记!J:J)</f>
        <v>5000</v>
      </c>
      <c r="H212">
        <f t="array" ref="H212">_xlfn.XLOOKUP(B212,1*[2]保证金申请!$A:$A,[2]保证金申请!$K:$K)</f>
        <v>5000</v>
      </c>
      <c r="I212">
        <f t="shared" si="9"/>
        <v>0</v>
      </c>
      <c r="J212">
        <f t="shared" si="10"/>
        <v>0</v>
      </c>
      <c r="K212" t="b">
        <f t="shared" si="11"/>
        <v>1</v>
      </c>
    </row>
    <row r="213" spans="1:11">
      <c r="A213" t="s">
        <v>616</v>
      </c>
      <c r="B213" s="1">
        <v>247</v>
      </c>
      <c r="C213">
        <f>_xlfn.XLOOKUP(A213,保证金登记!B:B,保证金登记!E:E)</f>
        <v>44515</v>
      </c>
      <c r="D213" t="str">
        <f t="array" ref="D213">_xlfn.XLOOKUP(B213,1*[2]保证金申请!$A:$A,[2]保证金申请!$C:$C)</f>
        <v>2021-11-15</v>
      </c>
      <c r="E213" t="str">
        <f>_xlfn.XLOOKUP(A213,保证金登记!B:B,保证金登记!I:I)</f>
        <v>云南西南水泥有限公司</v>
      </c>
      <c r="F213" t="str">
        <f t="array" ref="F213">_xlfn.XLOOKUP(B213,1*[2]保证金申请!$A:$A,[2]保证金申请!$Q:$Q)</f>
        <v>云南西南水泥有限公司</v>
      </c>
      <c r="G213">
        <f>_xlfn.XLOOKUP(A213,保证金登记!B:B,保证金登记!J:J)</f>
        <v>50000</v>
      </c>
      <c r="H213">
        <f t="array" ref="H213">_xlfn.XLOOKUP(B213,1*[2]保证金申请!$A:$A,[2]保证金申请!$K:$K)</f>
        <v>50000</v>
      </c>
      <c r="I213">
        <f t="shared" si="9"/>
        <v>0</v>
      </c>
      <c r="J213">
        <f t="shared" si="10"/>
        <v>0</v>
      </c>
      <c r="K213" t="b">
        <f t="shared" si="11"/>
        <v>1</v>
      </c>
    </row>
    <row r="214" spans="1:11">
      <c r="A214" t="s">
        <v>617</v>
      </c>
      <c r="B214" s="1">
        <v>248</v>
      </c>
      <c r="C214">
        <f>_xlfn.XLOOKUP(A214,保证金登记!B:B,保证金登记!E:E)</f>
        <v>44515</v>
      </c>
      <c r="D214" t="str">
        <f t="array" ref="D214">_xlfn.XLOOKUP(B214,1*[2]保证金申请!$A:$A,[2]保证金申请!$C:$C)</f>
        <v>2021-11-15</v>
      </c>
      <c r="E214" t="str">
        <f>_xlfn.XLOOKUP(A214,保证金登记!B:B,保证金登记!I:I)</f>
        <v>云南西南水泥有限公司</v>
      </c>
      <c r="F214" t="str">
        <f t="array" ref="F214">_xlfn.XLOOKUP(B214,1*[2]保证金申请!$A:$A,[2]保证金申请!$Q:$Q)</f>
        <v>云南西南水泥有限公司</v>
      </c>
      <c r="G214">
        <f>_xlfn.XLOOKUP(A214,保证金登记!B:B,保证金登记!J:J)</f>
        <v>50000</v>
      </c>
      <c r="H214">
        <f t="array" ref="H214">_xlfn.XLOOKUP(B214,1*[2]保证金申请!$A:$A,[2]保证金申请!$K:$K)</f>
        <v>50000</v>
      </c>
      <c r="I214">
        <f t="shared" si="9"/>
        <v>0</v>
      </c>
      <c r="J214">
        <f t="shared" si="10"/>
        <v>0</v>
      </c>
      <c r="K214" t="b">
        <f t="shared" si="11"/>
        <v>1</v>
      </c>
    </row>
    <row r="215" spans="1:11">
      <c r="A215" t="s">
        <v>620</v>
      </c>
      <c r="B215" s="1">
        <v>138</v>
      </c>
      <c r="C215">
        <f>_xlfn.XLOOKUP(A215,保证金登记!B:B,保证金登记!E:E)</f>
        <v>44517</v>
      </c>
      <c r="D215" t="str">
        <f t="array" ref="D215">_xlfn.XLOOKUP(B215,1*[2]保证金申请!$A:$A,[2]保证金申请!$C:$C)</f>
        <v>2021-11-17</v>
      </c>
      <c r="E215" t="str">
        <f>_xlfn.XLOOKUP(A215,保证金登记!B:B,保证金登记!I:I)</f>
        <v>河北金隅鼎鑫水泥有限公司</v>
      </c>
      <c r="F215" t="str">
        <f t="array" ref="F215">_xlfn.XLOOKUP(B215,1*[2]保证金申请!$A:$A,[2]保证金申请!$Q:$Q)</f>
        <v>河北金隅鼎鑫水泥有限公司</v>
      </c>
      <c r="G215">
        <f>_xlfn.XLOOKUP(A215,保证金登记!B:B,保证金登记!J:J)</f>
        <v>10000</v>
      </c>
      <c r="H215">
        <f t="array" ref="H215">_xlfn.XLOOKUP(B215,1*[2]保证金申请!$A:$A,[2]保证金申请!$K:$K)</f>
        <v>10000</v>
      </c>
      <c r="I215">
        <f t="shared" si="9"/>
        <v>0</v>
      </c>
      <c r="J215">
        <f t="shared" si="10"/>
        <v>0</v>
      </c>
      <c r="K215" t="b">
        <f t="shared" si="11"/>
        <v>1</v>
      </c>
    </row>
    <row r="216" spans="1:11">
      <c r="A216" t="s">
        <v>624</v>
      </c>
      <c r="B216" s="1">
        <v>249</v>
      </c>
      <c r="C216">
        <f>_xlfn.XLOOKUP(A216,保证金登记!B:B,保证金登记!E:E)</f>
        <v>44517</v>
      </c>
      <c r="D216" t="str">
        <f t="array" ref="D216">_xlfn.XLOOKUP(B216,1*[2]保证金申请!$A:$A,[2]保证金申请!$C:$C)</f>
        <v>2021-11-17</v>
      </c>
      <c r="E216" t="str">
        <f>_xlfn.XLOOKUP(A216,保证金登记!B:B,保证金登记!I:I)</f>
        <v>甘肃祁连山水泥集团股份有限公司</v>
      </c>
      <c r="F216" t="str">
        <f t="array" ref="F216">_xlfn.XLOOKUP(B216,1*[2]保证金申请!$A:$A,[2]保证金申请!$Q:$Q)</f>
        <v>甘肃祁连山水泥集团股份有限公司</v>
      </c>
      <c r="G216">
        <f>_xlfn.XLOOKUP(A216,保证金登记!B:B,保证金登记!J:J)</f>
        <v>10000</v>
      </c>
      <c r="H216">
        <f t="array" ref="H216">_xlfn.XLOOKUP(B216,1*[2]保证金申请!$A:$A,[2]保证金申请!$K:$K)</f>
        <v>10000</v>
      </c>
      <c r="I216">
        <f t="shared" si="9"/>
        <v>0</v>
      </c>
      <c r="J216">
        <f t="shared" si="10"/>
        <v>0</v>
      </c>
      <c r="K216" t="b">
        <f t="shared" si="11"/>
        <v>1</v>
      </c>
    </row>
    <row r="217" spans="1:11">
      <c r="A217" t="s">
        <v>626</v>
      </c>
      <c r="B217" s="1">
        <v>250</v>
      </c>
      <c r="C217">
        <f>_xlfn.XLOOKUP(A217,保证金登记!B:B,保证金登记!E:E)</f>
        <v>44517</v>
      </c>
      <c r="D217" t="str">
        <f t="array" ref="D217">_xlfn.XLOOKUP(B217,1*[2]保证金申请!$A:$A,[2]保证金申请!$C:$C)</f>
        <v>2021-11-17</v>
      </c>
      <c r="E217" t="str">
        <f>_xlfn.XLOOKUP(A217,保证金登记!B:B,保证金登记!I:I)</f>
        <v>甘肃祁连山水泥集团股份有限公司</v>
      </c>
      <c r="F217" t="str">
        <f t="array" ref="F217">_xlfn.XLOOKUP(B217,1*[2]保证金申请!$A:$A,[2]保证金申请!$Q:$Q)</f>
        <v>甘肃祁连山水泥集团股份有限公司</v>
      </c>
      <c r="G217">
        <f>_xlfn.XLOOKUP(A217,保证金登记!B:B,保证金登记!J:J)</f>
        <v>10000</v>
      </c>
      <c r="H217">
        <f t="array" ref="H217">_xlfn.XLOOKUP(B217,1*[2]保证金申请!$A:$A,[2]保证金申请!$K:$K)</f>
        <v>10000</v>
      </c>
      <c r="I217">
        <f t="shared" si="9"/>
        <v>0</v>
      </c>
      <c r="J217">
        <f t="shared" si="10"/>
        <v>0</v>
      </c>
      <c r="K217" t="b">
        <f t="shared" si="11"/>
        <v>1</v>
      </c>
    </row>
    <row r="218" spans="1:11">
      <c r="A218" t="s">
        <v>628</v>
      </c>
      <c r="B218" s="1">
        <v>251</v>
      </c>
      <c r="C218">
        <f>_xlfn.XLOOKUP(A218,保证金登记!B:B,保证金登记!E:E)</f>
        <v>44517</v>
      </c>
      <c r="D218" t="str">
        <f t="array" ref="D218">_xlfn.XLOOKUP(B218,1*[2]保证金申请!$A:$A,[2]保证金申请!$C:$C)</f>
        <v>2021-11-17</v>
      </c>
      <c r="E218" t="str">
        <f>_xlfn.XLOOKUP(A218,保证金登记!B:B,保证金登记!I:I)</f>
        <v>冀东水泥滦州有限公司</v>
      </c>
      <c r="F218" t="str">
        <f t="array" ref="F218">_xlfn.XLOOKUP(B218,1*[2]保证金申请!$A:$A,[2]保证金申请!$Q:$Q)</f>
        <v>冀东水泥滦州有限公司</v>
      </c>
      <c r="G218">
        <f>_xlfn.XLOOKUP(A218,保证金登记!B:B,保证金登记!J:J)</f>
        <v>11600</v>
      </c>
      <c r="H218">
        <f t="array" ref="H218">_xlfn.XLOOKUP(B218,1*[2]保证金申请!$A:$A,[2]保证金申请!$K:$K)</f>
        <v>11600</v>
      </c>
      <c r="I218">
        <f t="shared" si="9"/>
        <v>0</v>
      </c>
      <c r="J218">
        <f t="shared" si="10"/>
        <v>0</v>
      </c>
      <c r="K218" t="b">
        <f t="shared" si="11"/>
        <v>1</v>
      </c>
    </row>
    <row r="219" spans="1:11">
      <c r="A219" t="s">
        <v>635</v>
      </c>
      <c r="B219" s="1">
        <v>252</v>
      </c>
      <c r="C219">
        <f>_xlfn.XLOOKUP(A219,保证金登记!B:B,保证金登记!E:E)</f>
        <v>44518</v>
      </c>
      <c r="D219" t="str">
        <f t="array" ref="D219">_xlfn.XLOOKUP(B219,1*[2]保证金申请!$A:$A,[2]保证金申请!$C:$C)</f>
        <v>2021-11-18</v>
      </c>
      <c r="E219" t="str">
        <f>_xlfn.XLOOKUP(A219,保证金登记!B:B,保证金登记!I:I)</f>
        <v>吐鲁番天山水泥有限责任公司</v>
      </c>
      <c r="F219" t="str">
        <f t="array" ref="F219">_xlfn.XLOOKUP(B219,1*[2]保证金申请!$A:$A,[2]保证金申请!$Q:$Q)</f>
        <v>吐鲁番天山水泥有限责任公司</v>
      </c>
      <c r="G219">
        <f>_xlfn.XLOOKUP(A219,保证金登记!B:B,保证金登记!J:J)</f>
        <v>10000</v>
      </c>
      <c r="H219">
        <f t="array" ref="H219">_xlfn.XLOOKUP(B219,1*[2]保证金申请!$A:$A,[2]保证金申请!$K:$K)</f>
        <v>10000</v>
      </c>
      <c r="I219">
        <f t="shared" si="9"/>
        <v>0</v>
      </c>
      <c r="J219">
        <f t="shared" si="10"/>
        <v>0</v>
      </c>
      <c r="K219" t="b">
        <f t="shared" si="11"/>
        <v>1</v>
      </c>
    </row>
    <row r="220" spans="1:11">
      <c r="A220" t="s">
        <v>636</v>
      </c>
      <c r="B220" s="1">
        <v>253</v>
      </c>
      <c r="C220">
        <f>_xlfn.XLOOKUP(A220,保证金登记!B:B,保证金登记!E:E)</f>
        <v>44518</v>
      </c>
      <c r="D220" t="str">
        <f t="array" ref="D220">_xlfn.XLOOKUP(B220,1*[2]保证金申请!$A:$A,[2]保证金申请!$C:$C)</f>
        <v>2021-11-18</v>
      </c>
      <c r="E220" t="str">
        <f>_xlfn.XLOOKUP(A220,保证金登记!B:B,保证金登记!I:I)</f>
        <v>蒙阴广汇建材有限公司</v>
      </c>
      <c r="F220" t="str">
        <f t="array" ref="F220">_xlfn.XLOOKUP(B220,1*[2]保证金申请!$A:$A,[2]保证金申请!$Q:$Q)</f>
        <v>蒙阴广汇建材有限公司</v>
      </c>
      <c r="G220">
        <f>_xlfn.XLOOKUP(A220,保证金登记!B:B,保证金登记!J:J)</f>
        <v>50000</v>
      </c>
      <c r="H220">
        <f t="array" ref="H220">_xlfn.XLOOKUP(B220,1*[2]保证金申请!$A:$A,[2]保证金申请!$K:$K)</f>
        <v>50000</v>
      </c>
      <c r="I220">
        <f t="shared" si="9"/>
        <v>0</v>
      </c>
      <c r="J220">
        <f t="shared" si="10"/>
        <v>0</v>
      </c>
      <c r="K220" t="b">
        <f t="shared" si="11"/>
        <v>1</v>
      </c>
    </row>
    <row r="221" spans="1:11">
      <c r="A221" t="s">
        <v>647</v>
      </c>
      <c r="B221" s="1">
        <v>258</v>
      </c>
      <c r="C221">
        <f>_xlfn.XLOOKUP(A221,保证金登记!B:B,保证金登记!E:E)</f>
        <v>44523</v>
      </c>
      <c r="D221" t="str">
        <f t="array" ref="D221">_xlfn.XLOOKUP(B221,1*[2]保证金申请!$A:$A,[2]保证金申请!$C:$C)</f>
        <v>2021-11-23</v>
      </c>
      <c r="E221" t="str">
        <f>_xlfn.XLOOKUP(A221,保证金登记!B:B,保证金登记!I:I)</f>
        <v>洛阳万基炭素有限公司</v>
      </c>
      <c r="F221" t="str">
        <f t="array" ref="F221">_xlfn.XLOOKUP(B221,1*[2]保证金申请!$A:$A,[2]保证金申请!$Q:$Q)</f>
        <v>洛阳万基炭素有限公司</v>
      </c>
      <c r="G221">
        <f>_xlfn.XLOOKUP(A221,保证金登记!B:B,保证金登记!J:J)</f>
        <v>10000</v>
      </c>
      <c r="H221">
        <f t="array" ref="H221">_xlfn.XLOOKUP(B221,1*[2]保证金申请!$A:$A,[2]保证金申请!$K:$K)</f>
        <v>10000</v>
      </c>
      <c r="I221">
        <f t="shared" si="9"/>
        <v>0</v>
      </c>
      <c r="J221">
        <f t="shared" si="10"/>
        <v>0</v>
      </c>
      <c r="K221" t="b">
        <f t="shared" si="11"/>
        <v>1</v>
      </c>
    </row>
    <row r="222" spans="1:11">
      <c r="A222" t="s">
        <v>649</v>
      </c>
      <c r="B222" s="1">
        <v>259</v>
      </c>
      <c r="C222">
        <f>_xlfn.XLOOKUP(A222,保证金登记!B:B,保证金登记!E:E)</f>
        <v>44523</v>
      </c>
      <c r="D222" t="str">
        <f t="array" ref="D222">_xlfn.XLOOKUP(B222,1*[2]保证金申请!$A:$A,[2]保证金申请!$C:$C)</f>
        <v>2021-11-23</v>
      </c>
      <c r="E222" t="str">
        <f>_xlfn.XLOOKUP(A222,保证金登记!B:B,保证金登记!I:I)</f>
        <v>新疆天山水泥股份有限公司塔什店分公司</v>
      </c>
      <c r="F222" t="str">
        <f t="array" ref="F222">_xlfn.XLOOKUP(B222,1*[2]保证金申请!$A:$A,[2]保证金申请!$Q:$Q)</f>
        <v>塔什店天山</v>
      </c>
      <c r="G222">
        <f>_xlfn.XLOOKUP(A222,保证金登记!B:B,保证金登记!J:J)</f>
        <v>1500</v>
      </c>
      <c r="H222">
        <f t="array" ref="H222">_xlfn.XLOOKUP(B222,1*[2]保证金申请!$A:$A,[2]保证金申请!$K:$K)</f>
        <v>1500</v>
      </c>
      <c r="I222">
        <f t="shared" si="9"/>
        <v>0</v>
      </c>
      <c r="J222">
        <f t="shared" si="10"/>
        <v>0</v>
      </c>
      <c r="K222" t="b">
        <f t="shared" si="11"/>
        <v>0</v>
      </c>
    </row>
    <row r="223" spans="1:11">
      <c r="A223" t="s">
        <v>656</v>
      </c>
      <c r="B223" s="1">
        <v>262</v>
      </c>
      <c r="C223">
        <f>_xlfn.XLOOKUP(A223,保证金登记!B:B,保证金登记!E:E)</f>
        <v>44523</v>
      </c>
      <c r="D223" t="str">
        <f t="array" ref="D223">_xlfn.XLOOKUP(B223,1*[2]保证金申请!$A:$A,[2]保证金申请!$C:$C)</f>
        <v>2021-11-23</v>
      </c>
      <c r="E223" t="str">
        <f>_xlfn.XLOOKUP(A223,保证金登记!B:B,保证金登记!I:I)</f>
        <v>冀东海德堡（扶风）水泥有限公司</v>
      </c>
      <c r="F223" t="str">
        <f t="array" ref="F223">_xlfn.XLOOKUP(B223,1*[2]保证金申请!$A:$A,[2]保证金申请!$Q:$Q)</f>
        <v>冀东海德堡（扶风）水泥有限公司</v>
      </c>
      <c r="G223">
        <f>_xlfn.XLOOKUP(A223,保证金登记!B:B,保证金登记!J:J)</f>
        <v>5000</v>
      </c>
      <c r="H223">
        <f t="array" ref="H223">_xlfn.XLOOKUP(B223,1*[2]保证金申请!$A:$A,[2]保证金申请!$K:$K)</f>
        <v>5000</v>
      </c>
      <c r="I223">
        <f t="shared" si="9"/>
        <v>0</v>
      </c>
      <c r="J223">
        <f t="shared" si="10"/>
        <v>0</v>
      </c>
      <c r="K223" t="b">
        <f t="shared" si="11"/>
        <v>1</v>
      </c>
    </row>
    <row r="224" spans="1:11">
      <c r="A224" t="s">
        <v>658</v>
      </c>
      <c r="B224" s="1">
        <v>263</v>
      </c>
      <c r="C224">
        <f>_xlfn.XLOOKUP(A224,保证金登记!B:B,保证金登记!E:E)</f>
        <v>44524</v>
      </c>
      <c r="D224" t="str">
        <f t="array" ref="D224">_xlfn.XLOOKUP(B224,1*[2]保证金申请!$A:$A,[2]保证金申请!$C:$C)</f>
        <v>2021-11-24</v>
      </c>
      <c r="E224" t="str">
        <f>_xlfn.XLOOKUP(A224,保证金登记!B:B,保证金登记!I:I)</f>
        <v>塔什店天山</v>
      </c>
      <c r="F224" t="str">
        <f t="array" ref="F224">_xlfn.XLOOKUP(B224,1*[2]保证金申请!$A:$A,[2]保证金申请!$Q:$Q)</f>
        <v>塔什店天山</v>
      </c>
      <c r="G224">
        <f>_xlfn.XLOOKUP(A224,保证金登记!B:B,保证金登记!J:J)</f>
        <v>1500</v>
      </c>
      <c r="H224">
        <f t="array" ref="H224">_xlfn.XLOOKUP(B224,1*[2]保证金申请!$A:$A,[2]保证金申请!$K:$K)</f>
        <v>1500</v>
      </c>
      <c r="I224">
        <f t="shared" si="9"/>
        <v>0</v>
      </c>
      <c r="J224">
        <f t="shared" si="10"/>
        <v>0</v>
      </c>
      <c r="K224" t="b">
        <f t="shared" si="11"/>
        <v>1</v>
      </c>
    </row>
    <row r="225" spans="1:11">
      <c r="A225" t="s">
        <v>662</v>
      </c>
      <c r="B225" s="1">
        <v>139</v>
      </c>
      <c r="C225">
        <f>_xlfn.XLOOKUP(A225,保证金登记!B:B,保证金登记!E:E)</f>
        <v>44526</v>
      </c>
      <c r="D225" t="str">
        <f t="array" ref="D225">_xlfn.XLOOKUP(B225,1*[2]保证金申请!$A:$A,[2]保证金申请!$C:$C)</f>
        <v>2021-11-26</v>
      </c>
      <c r="E225" t="str">
        <f>_xlfn.XLOOKUP(A225,保证金登记!B:B,保证金登记!I:I)</f>
        <v>新疆伊犁钢铁有限责任公司</v>
      </c>
      <c r="F225" t="str">
        <f t="array" ref="F225">_xlfn.XLOOKUP(B225,1*[2]保证金申请!$A:$A,[2]保证金申请!$Q:$Q)</f>
        <v>新疆伊犁钢铁有限责任公司</v>
      </c>
      <c r="G225">
        <f>_xlfn.XLOOKUP(A225,保证金登记!B:B,保证金登记!J:J)</f>
        <v>20000</v>
      </c>
      <c r="H225">
        <f t="array" ref="H225">_xlfn.XLOOKUP(B225,1*[2]保证金申请!$A:$A,[2]保证金申请!$K:$K)</f>
        <v>20000</v>
      </c>
      <c r="I225">
        <f t="shared" si="9"/>
        <v>0</v>
      </c>
      <c r="J225">
        <f t="shared" si="10"/>
        <v>0</v>
      </c>
      <c r="K225" t="b">
        <f t="shared" si="11"/>
        <v>1</v>
      </c>
    </row>
    <row r="226" spans="1:11">
      <c r="A226" t="s">
        <v>664</v>
      </c>
      <c r="B226" s="1">
        <v>264</v>
      </c>
      <c r="C226">
        <f>_xlfn.XLOOKUP(A226,保证金登记!B:B,保证金登记!E:E)</f>
        <v>44529</v>
      </c>
      <c r="D226" t="str">
        <f t="array" ref="D226">_xlfn.XLOOKUP(B226,1*[2]保证金申请!$A:$A,[2]保证金申请!$C:$C)</f>
        <v>2021-11-29</v>
      </c>
      <c r="E226" t="str">
        <f>_xlfn.XLOOKUP(A226,保证金登记!B:B,保证金登记!I:I)</f>
        <v>曲阳金隅水泥有限公司</v>
      </c>
      <c r="F226" t="str">
        <f t="array" ref="F226">_xlfn.XLOOKUP(B226,1*[2]保证金申请!$A:$A,[2]保证金申请!$Q:$Q)</f>
        <v>曲阳金隅水泥有限公司</v>
      </c>
      <c r="G226">
        <f>_xlfn.XLOOKUP(A226,保证金登记!B:B,保证金登记!J:J)</f>
        <v>5000</v>
      </c>
      <c r="H226">
        <f t="array" ref="H226">_xlfn.XLOOKUP(B226,1*[2]保证金申请!$A:$A,[2]保证金申请!$K:$K)</f>
        <v>5000</v>
      </c>
      <c r="I226">
        <f t="shared" si="9"/>
        <v>0</v>
      </c>
      <c r="J226">
        <f t="shared" si="10"/>
        <v>0</v>
      </c>
      <c r="K226" t="b">
        <f t="shared" si="11"/>
        <v>1</v>
      </c>
    </row>
    <row r="227" spans="1:11">
      <c r="A227" t="s">
        <v>666</v>
      </c>
      <c r="B227" s="1">
        <v>265</v>
      </c>
      <c r="C227">
        <f>_xlfn.XLOOKUP(A227,保证金登记!B:B,保证金登记!E:E)</f>
        <v>44529</v>
      </c>
      <c r="D227" t="str">
        <f t="array" ref="D227">_xlfn.XLOOKUP(B227,1*[2]保证金申请!$A:$A,[2]保证金申请!$C:$C)</f>
        <v>2021-11-29</v>
      </c>
      <c r="E227" t="str">
        <f>_xlfn.XLOOKUP(A227,保证金登记!B:B,保证金登记!I:I)</f>
        <v>冀东水泥（烟台）有限责任公司</v>
      </c>
      <c r="F227" t="str">
        <f t="array" ref="F227">_xlfn.XLOOKUP(B227,1*[2]保证金申请!$A:$A,[2]保证金申请!$Q:$Q)</f>
        <v>冀东水泥（烟台）有限责任公司</v>
      </c>
      <c r="G227">
        <f>_xlfn.XLOOKUP(A227,保证金登记!B:B,保证金登记!J:J)</f>
        <v>5000</v>
      </c>
      <c r="H227">
        <f t="array" ref="H227">_xlfn.XLOOKUP(B227,1*[2]保证金申请!$A:$A,[2]保证金申请!$K:$K)</f>
        <v>5000</v>
      </c>
      <c r="I227">
        <f t="shared" si="9"/>
        <v>0</v>
      </c>
      <c r="J227">
        <f t="shared" si="10"/>
        <v>0</v>
      </c>
      <c r="K227" t="b">
        <f t="shared" si="11"/>
        <v>1</v>
      </c>
    </row>
    <row r="228" spans="1:11">
      <c r="A228" t="s">
        <v>668</v>
      </c>
      <c r="B228" s="1">
        <v>266</v>
      </c>
      <c r="C228">
        <f>_xlfn.XLOOKUP(A228,保证金登记!B:B,保证金登记!E:E)</f>
        <v>44529</v>
      </c>
      <c r="D228" t="str">
        <f t="array" ref="D228">_xlfn.XLOOKUP(B228,1*[2]保证金申请!$A:$A,[2]保证金申请!$C:$C)</f>
        <v>2021-11-29</v>
      </c>
      <c r="E228" t="str">
        <f>_xlfn.XLOOKUP(A228,保证金登记!B:B,保证金登记!I:I)</f>
        <v>湘潭电机股份有限公司</v>
      </c>
      <c r="F228" t="str">
        <f t="array" ref="F228">_xlfn.XLOOKUP(B228,1*[2]保证金申请!$A:$A,[2]保证金申请!$Q:$Q)</f>
        <v>湘潭电机股份有限公司</v>
      </c>
      <c r="G228">
        <f>_xlfn.XLOOKUP(A228,保证金登记!B:B,保证金登记!J:J)</f>
        <v>18000</v>
      </c>
      <c r="H228">
        <f t="array" ref="H228">_xlfn.XLOOKUP(B228,1*[2]保证金申请!$A:$A,[2]保证金申请!$K:$K)</f>
        <v>18000</v>
      </c>
      <c r="I228">
        <f t="shared" si="9"/>
        <v>0</v>
      </c>
      <c r="J228">
        <f t="shared" si="10"/>
        <v>0</v>
      </c>
      <c r="K228" t="b">
        <f t="shared" si="11"/>
        <v>1</v>
      </c>
    </row>
    <row r="229" spans="1:11">
      <c r="A229" t="s">
        <v>671</v>
      </c>
      <c r="B229" s="1">
        <v>267</v>
      </c>
      <c r="C229">
        <f>_xlfn.XLOOKUP(A229,保证金登记!B:B,保证金登记!E:E)</f>
        <v>44529</v>
      </c>
      <c r="D229" t="str">
        <f t="array" ref="D229">_xlfn.XLOOKUP(B229,1*[2]保证金申请!$A:$A,[2]保证金申请!$C:$C)</f>
        <v>2021-11-29</v>
      </c>
      <c r="E229" t="str">
        <f>_xlfn.XLOOKUP(A229,保证金登记!B:B,保证金登记!I:I)</f>
        <v>喀什店天山</v>
      </c>
      <c r="F229" t="str">
        <f t="array" ref="F229">_xlfn.XLOOKUP(B229,1*[2]保证金申请!$A:$A,[2]保证金申请!$Q:$Q)</f>
        <v>喀什店天山</v>
      </c>
      <c r="G229">
        <f>_xlfn.XLOOKUP(A229,保证金登记!B:B,保证金登记!J:J)</f>
        <v>10000</v>
      </c>
      <c r="H229">
        <f t="array" ref="H229">_xlfn.XLOOKUP(B229,1*[2]保证金申请!$A:$A,[2]保证金申请!$K:$K)</f>
        <v>10000</v>
      </c>
      <c r="I229">
        <f t="shared" si="9"/>
        <v>0</v>
      </c>
      <c r="J229">
        <f t="shared" si="10"/>
        <v>0</v>
      </c>
      <c r="K229" t="b">
        <f t="shared" si="11"/>
        <v>1</v>
      </c>
    </row>
    <row r="230" spans="1:11">
      <c r="A230" t="s">
        <v>673</v>
      </c>
      <c r="B230" s="1">
        <v>268</v>
      </c>
      <c r="C230">
        <f>_xlfn.XLOOKUP(A230,保证金登记!B:B,保证金登记!E:E)</f>
        <v>44529</v>
      </c>
      <c r="D230" t="str">
        <f t="array" ref="D230">_xlfn.XLOOKUP(B230,1*[2]保证金申请!$A:$A,[2]保证金申请!$C:$C)</f>
        <v>2021-11-29</v>
      </c>
      <c r="E230" t="str">
        <f>_xlfn.XLOOKUP(A230,保证金登记!B:B,保证金登记!I:I)</f>
        <v>克州天山</v>
      </c>
      <c r="F230" t="str">
        <f t="array" ref="F230">_xlfn.XLOOKUP(B230,1*[2]保证金申请!$A:$A,[2]保证金申请!$Q:$Q)</f>
        <v>克州天山</v>
      </c>
      <c r="G230">
        <f>_xlfn.XLOOKUP(A230,保证金登记!B:B,保证金登记!J:J)</f>
        <v>20000</v>
      </c>
      <c r="H230">
        <f t="array" ref="H230">_xlfn.XLOOKUP(B230,1*[2]保证金申请!$A:$A,[2]保证金申请!$K:$K)</f>
        <v>20000</v>
      </c>
      <c r="I230">
        <f t="shared" si="9"/>
        <v>0</v>
      </c>
      <c r="J230">
        <f t="shared" si="10"/>
        <v>0</v>
      </c>
      <c r="K230" t="b">
        <f t="shared" si="11"/>
        <v>1</v>
      </c>
    </row>
    <row r="231" spans="1:11">
      <c r="A231" t="s">
        <v>680</v>
      </c>
      <c r="B231" s="1">
        <v>269</v>
      </c>
      <c r="C231">
        <f>_xlfn.XLOOKUP(A231,保证金登记!B:B,保证金登记!E:E)</f>
        <v>44531</v>
      </c>
      <c r="D231" t="str">
        <f t="array" ref="D231">_xlfn.XLOOKUP(B231,1*[2]保证金申请!$A:$A,[2]保证金申请!$C:$C)</f>
        <v>2021-12-01</v>
      </c>
      <c r="E231" t="str">
        <f>_xlfn.XLOOKUP(A231,保证金登记!B:B,保证金登记!I:I)</f>
        <v>吐鲁番天山水泥有限责任公司</v>
      </c>
      <c r="F231" t="str">
        <f t="array" ref="F231">_xlfn.XLOOKUP(B231,1*[2]保证金申请!$A:$A,[2]保证金申请!$Q:$Q)</f>
        <v>吐鲁番天山水泥有限责任公司</v>
      </c>
      <c r="G231">
        <f>_xlfn.XLOOKUP(A231,保证金登记!B:B,保证金登记!J:J)</f>
        <v>10000</v>
      </c>
      <c r="H231">
        <f t="array" ref="H231">_xlfn.XLOOKUP(B231,1*[2]保证金申请!$A:$A,[2]保证金申请!$K:$K)</f>
        <v>10000</v>
      </c>
      <c r="I231">
        <f t="shared" si="9"/>
        <v>0</v>
      </c>
      <c r="J231">
        <f t="shared" si="10"/>
        <v>0</v>
      </c>
      <c r="K231" t="b">
        <f t="shared" si="11"/>
        <v>1</v>
      </c>
    </row>
    <row r="232" spans="1:11">
      <c r="A232" t="s">
        <v>681</v>
      </c>
      <c r="B232" s="1">
        <v>140</v>
      </c>
      <c r="C232">
        <f>_xlfn.XLOOKUP(A232,保证金登记!B:B,保证金登记!E:E)</f>
        <v>44532</v>
      </c>
      <c r="D232" t="str">
        <f t="array" ref="D232">_xlfn.XLOOKUP(B232,1*[2]保证金申请!$A:$A,[2]保证金申请!$C:$C)</f>
        <v>2021-12-02</v>
      </c>
      <c r="E232" t="str">
        <f>_xlfn.XLOOKUP(A232,保证金登记!B:B,保证金登记!I:I)</f>
        <v>阳泉冀东水泥有限责任公司</v>
      </c>
      <c r="F232" t="str">
        <f t="array" ref="F232">_xlfn.XLOOKUP(B232,1*[2]保证金申请!$A:$A,[2]保证金申请!$Q:$Q)</f>
        <v>阳泉冀东水泥有限责任公司</v>
      </c>
      <c r="G232">
        <f>_xlfn.XLOOKUP(A232,保证金登记!B:B,保证金登记!J:J)</f>
        <v>2000</v>
      </c>
      <c r="H232">
        <f t="array" ref="H232">_xlfn.XLOOKUP(B232,1*[2]保证金申请!$A:$A,[2]保证金申请!$K:$K)</f>
        <v>2000</v>
      </c>
      <c r="I232">
        <f t="shared" si="9"/>
        <v>0</v>
      </c>
      <c r="J232">
        <f t="shared" si="10"/>
        <v>0</v>
      </c>
      <c r="K232" t="b">
        <f t="shared" si="11"/>
        <v>1</v>
      </c>
    </row>
    <row r="233" spans="1:11">
      <c r="A233" t="s">
        <v>682</v>
      </c>
      <c r="B233" s="1">
        <v>270</v>
      </c>
      <c r="C233">
        <f>_xlfn.XLOOKUP(A233,保证金登记!B:B,保证金登记!E:E)</f>
        <v>44532</v>
      </c>
      <c r="D233" t="str">
        <f t="array" ref="D233">_xlfn.XLOOKUP(B233,1*[2]保证金申请!$A:$A,[2]保证金申请!$C:$C)</f>
        <v>2021-12-02</v>
      </c>
      <c r="E233" t="str">
        <f>_xlfn.XLOOKUP(A233,保证金登记!B:B,保证金登记!I:I)</f>
        <v>重庆正阳新材料有限公司</v>
      </c>
      <c r="F233" t="str">
        <f t="array" ref="F233">_xlfn.XLOOKUP(B233,1*[2]保证金申请!$A:$A,[2]保证金申请!$Q:$Q)</f>
        <v>重庆正阳新材料有限公司</v>
      </c>
      <c r="G233">
        <f>_xlfn.XLOOKUP(A233,保证金登记!B:B,保证金登记!J:J)</f>
        <v>10000</v>
      </c>
      <c r="H233">
        <f t="array" ref="H233">_xlfn.XLOOKUP(B233,1*[2]保证金申请!$A:$A,[2]保证金申请!$K:$K)</f>
        <v>10000</v>
      </c>
      <c r="I233">
        <f t="shared" si="9"/>
        <v>0</v>
      </c>
      <c r="J233">
        <f t="shared" si="10"/>
        <v>0</v>
      </c>
      <c r="K233" t="b">
        <f t="shared" si="11"/>
        <v>1</v>
      </c>
    </row>
    <row r="234" spans="1:11">
      <c r="A234" t="s">
        <v>684</v>
      </c>
      <c r="B234" s="1">
        <v>271</v>
      </c>
      <c r="C234">
        <f>_xlfn.XLOOKUP(A234,保证金登记!B:B,保证金登记!E:E)</f>
        <v>44533</v>
      </c>
      <c r="D234" t="str">
        <f t="array" ref="D234">_xlfn.XLOOKUP(B234,1*[2]保证金申请!$A:$A,[2]保证金申请!$C:$C)</f>
        <v>2021-12-03</v>
      </c>
      <c r="E234" t="str">
        <f>_xlfn.XLOOKUP(A234,保证金登记!B:B,保证金登记!I:I)</f>
        <v>新兴铸管股份有限公司</v>
      </c>
      <c r="F234" t="str">
        <f t="array" ref="F234">_xlfn.XLOOKUP(B234,1*[2]保证金申请!$A:$A,[2]保证金申请!$Q:$Q)</f>
        <v>新兴铸管股份有限公司</v>
      </c>
      <c r="G234">
        <f>_xlfn.XLOOKUP(A234,保证金登记!B:B,保证金登记!J:J)</f>
        <v>20000</v>
      </c>
      <c r="H234">
        <f t="array" ref="H234">_xlfn.XLOOKUP(B234,1*[2]保证金申请!$A:$A,[2]保证金申请!$K:$K)</f>
        <v>20000</v>
      </c>
      <c r="I234">
        <f t="shared" si="9"/>
        <v>0</v>
      </c>
      <c r="J234">
        <f t="shared" si="10"/>
        <v>0</v>
      </c>
      <c r="K234" t="b">
        <f t="shared" si="11"/>
        <v>1</v>
      </c>
    </row>
    <row r="235" spans="1:11">
      <c r="A235" t="s">
        <v>685</v>
      </c>
      <c r="B235" s="1">
        <v>272</v>
      </c>
      <c r="C235">
        <f>_xlfn.XLOOKUP(A235,保证金登记!B:B,保证金登记!E:E)</f>
        <v>44533</v>
      </c>
      <c r="D235" t="str">
        <f t="array" ref="D235">_xlfn.XLOOKUP(B235,1*[2]保证金申请!$A:$A,[2]保证金申请!$C:$C)</f>
        <v>2021-12-03</v>
      </c>
      <c r="E235" t="str">
        <f>_xlfn.XLOOKUP(A235,保证金登记!B:B,保证金登记!I:I)</f>
        <v>平泉冀东水泥有限责任公司</v>
      </c>
      <c r="F235" t="str">
        <f t="array" ref="F235">_xlfn.XLOOKUP(B235,1*[2]保证金申请!$A:$A,[2]保证金申请!$Q:$Q)</f>
        <v>平泉冀东水泥有限责任公司</v>
      </c>
      <c r="G235">
        <f>_xlfn.XLOOKUP(A235,保证金登记!B:B,保证金登记!J:J)</f>
        <v>1000</v>
      </c>
      <c r="H235">
        <f t="array" ref="H235">_xlfn.XLOOKUP(B235,1*[2]保证金申请!$A:$A,[2]保证金申请!$K:$K)</f>
        <v>1000</v>
      </c>
      <c r="I235">
        <f t="shared" si="9"/>
        <v>0</v>
      </c>
      <c r="J235">
        <f t="shared" si="10"/>
        <v>0</v>
      </c>
      <c r="K235" t="b">
        <f t="shared" si="11"/>
        <v>1</v>
      </c>
    </row>
    <row r="236" spans="1:11">
      <c r="A236" t="s">
        <v>693</v>
      </c>
      <c r="B236" s="1">
        <v>275</v>
      </c>
      <c r="C236">
        <f>_xlfn.XLOOKUP(A236,保证金登记!B:B,保证金登记!E:E)</f>
        <v>44538</v>
      </c>
      <c r="D236" t="str">
        <f t="array" ref="D236">_xlfn.XLOOKUP(B236,1*[2]保证金申请!$A:$A,[2]保证金申请!$C:$C)</f>
        <v>2021-12-08</v>
      </c>
      <c r="E236" t="str">
        <f>_xlfn.XLOOKUP(A236,保证金登记!B:B,保证金登记!I:I)</f>
        <v>阿克苏天山</v>
      </c>
      <c r="F236" t="str">
        <f t="array" ref="F236">_xlfn.XLOOKUP(B236,1*[2]保证金申请!$A:$A,[2]保证金申请!$Q:$Q)</f>
        <v>阿克苏天山</v>
      </c>
      <c r="G236">
        <f>_xlfn.XLOOKUP(A236,保证金登记!B:B,保证金登记!J:J)</f>
        <v>10000</v>
      </c>
      <c r="H236">
        <f t="array" ref="H236">_xlfn.XLOOKUP(B236,1*[2]保证金申请!$A:$A,[2]保证金申请!$K:$K)</f>
        <v>10000</v>
      </c>
      <c r="I236">
        <f t="shared" si="9"/>
        <v>0</v>
      </c>
      <c r="J236">
        <f t="shared" si="10"/>
        <v>0</v>
      </c>
      <c r="K236" t="b">
        <f t="shared" si="11"/>
        <v>1</v>
      </c>
    </row>
    <row r="237" spans="1:11">
      <c r="A237" t="s">
        <v>694</v>
      </c>
      <c r="B237" s="1">
        <v>276</v>
      </c>
      <c r="C237">
        <f>_xlfn.XLOOKUP(A237,保证金登记!B:B,保证金登记!E:E)</f>
        <v>44538</v>
      </c>
      <c r="D237" t="str">
        <f t="array" ref="D237">_xlfn.XLOOKUP(B237,1*[2]保证金申请!$A:$A,[2]保证金申请!$C:$C)</f>
        <v>2021-12-08</v>
      </c>
      <c r="E237" t="str">
        <f>_xlfn.XLOOKUP(A237,保证金登记!B:B,保证金登记!I:I)</f>
        <v>叶城天山水泥有限责任公司</v>
      </c>
      <c r="F237" t="str">
        <f t="array" ref="F237">_xlfn.XLOOKUP(B237,1*[2]保证金申请!$A:$A,[2]保证金申请!$Q:$Q)</f>
        <v>叶城天山水泥有限公司</v>
      </c>
      <c r="G237">
        <f>_xlfn.XLOOKUP(A237,保证金登记!B:B,保证金登记!J:J)</f>
        <v>10000</v>
      </c>
      <c r="H237">
        <f t="array" ref="H237">_xlfn.XLOOKUP(B237,1*[2]保证金申请!$A:$A,[2]保证金申请!$K:$K)</f>
        <v>10000</v>
      </c>
      <c r="I237">
        <f t="shared" si="9"/>
        <v>0</v>
      </c>
      <c r="J237">
        <f t="shared" si="10"/>
        <v>0</v>
      </c>
      <c r="K237" t="b">
        <f t="shared" si="11"/>
        <v>0</v>
      </c>
    </row>
    <row r="238" spans="1:11">
      <c r="A238" t="s">
        <v>695</v>
      </c>
      <c r="B238" s="1">
        <v>277</v>
      </c>
      <c r="C238">
        <f>_xlfn.XLOOKUP(A238,保证金登记!B:B,保证金登记!E:E)</f>
        <v>44539</v>
      </c>
      <c r="D238" t="str">
        <f t="array" ref="D238">_xlfn.XLOOKUP(B238,1*[2]保证金申请!$A:$A,[2]保证金申请!$C:$C)</f>
        <v>2021-12-09</v>
      </c>
      <c r="E238" t="str">
        <f>_xlfn.XLOOKUP(A238,保证金登记!B:B,保证金登记!I:I)</f>
        <v>涞水金隅冀东环保科技有限公司</v>
      </c>
      <c r="F238" t="str">
        <f t="array" ref="F238">_xlfn.XLOOKUP(B238,1*[2]保证金申请!$A:$A,[2]保证金申请!$Q:$Q)</f>
        <v>涞水金隅冀东环保科技有限公司</v>
      </c>
      <c r="G238">
        <f>_xlfn.XLOOKUP(A238,保证金登记!B:B,保证金登记!J:J)</f>
        <v>5000</v>
      </c>
      <c r="H238">
        <f t="array" ref="H238">_xlfn.XLOOKUP(B238,1*[2]保证金申请!$A:$A,[2]保证金申请!$K:$K)</f>
        <v>5000</v>
      </c>
      <c r="I238">
        <f t="shared" si="9"/>
        <v>0</v>
      </c>
      <c r="J238">
        <f t="shared" si="10"/>
        <v>0</v>
      </c>
      <c r="K238" t="b">
        <f t="shared" si="11"/>
        <v>1</v>
      </c>
    </row>
    <row r="239" spans="1:11">
      <c r="A239" t="s">
        <v>697</v>
      </c>
      <c r="B239" s="1">
        <v>278</v>
      </c>
      <c r="C239">
        <f>_xlfn.XLOOKUP(A239,保证金登记!B:B,保证金登记!E:E)</f>
        <v>44539</v>
      </c>
      <c r="D239" t="str">
        <f t="array" ref="D239">_xlfn.XLOOKUP(B239,1*[2]保证金申请!$A:$A,[2]保证金申请!$C:$C)</f>
        <v>2021-12-09</v>
      </c>
      <c r="E239" t="str">
        <f>_xlfn.XLOOKUP(A239,保证金登记!B:B,保证金登记!I:I)</f>
        <v>涞水金隅冀东环保科技有限公司</v>
      </c>
      <c r="F239" t="str">
        <f t="array" ref="F239">_xlfn.XLOOKUP(B239,1*[2]保证金申请!$A:$A,[2]保证金申请!$Q:$Q)</f>
        <v>涞水金隅冀东环保科技有限公司</v>
      </c>
      <c r="G239">
        <f>_xlfn.XLOOKUP(A239,保证金登记!B:B,保证金登记!J:J)</f>
        <v>6000</v>
      </c>
      <c r="H239">
        <f t="array" ref="H239">_xlfn.XLOOKUP(B239,1*[2]保证金申请!$A:$A,[2]保证金申请!$K:$K)</f>
        <v>6000</v>
      </c>
      <c r="I239">
        <f t="shared" si="9"/>
        <v>0</v>
      </c>
      <c r="J239">
        <f t="shared" si="10"/>
        <v>0</v>
      </c>
      <c r="K239" t="b">
        <f t="shared" si="11"/>
        <v>1</v>
      </c>
    </row>
    <row r="240" spans="1:11">
      <c r="A240" t="s">
        <v>698</v>
      </c>
      <c r="B240" s="1">
        <v>279</v>
      </c>
      <c r="C240">
        <f>_xlfn.XLOOKUP(A240,保证金登记!B:B,保证金登记!E:E)</f>
        <v>44540</v>
      </c>
      <c r="D240" t="str">
        <f t="array" ref="D240">_xlfn.XLOOKUP(B240,1*[2]保证金申请!$A:$A,[2]保证金申请!$C:$C)</f>
        <v>2021-12-10</v>
      </c>
      <c r="E240" t="str">
        <f>_xlfn.XLOOKUP(A240,保证金登记!B:B,保证金登记!I:I)</f>
        <v>北京金隅琉水环保科技有限公司</v>
      </c>
      <c r="F240" t="str">
        <f t="array" ref="F240">_xlfn.XLOOKUP(B240,1*[2]保证金申请!$A:$A,[2]保证金申请!$Q:$Q)</f>
        <v>北京金隅琉水环保科技有限公司</v>
      </c>
      <c r="G240">
        <f>_xlfn.XLOOKUP(A240,保证金登记!B:B,保证金登记!J:J)</f>
        <v>5000</v>
      </c>
      <c r="H240">
        <f t="array" ref="H240">_xlfn.XLOOKUP(B240,1*[2]保证金申请!$A:$A,[2]保证金申请!$K:$K)</f>
        <v>5000</v>
      </c>
      <c r="I240">
        <f t="shared" si="9"/>
        <v>0</v>
      </c>
      <c r="J240">
        <f t="shared" si="10"/>
        <v>0</v>
      </c>
      <c r="K240" t="b">
        <f t="shared" si="11"/>
        <v>1</v>
      </c>
    </row>
    <row r="241" spans="1:11">
      <c r="A241" t="s">
        <v>702</v>
      </c>
      <c r="B241" s="1">
        <v>141</v>
      </c>
      <c r="C241">
        <f>_xlfn.XLOOKUP(A241,保证金登记!B:B,保证金登记!E:E)</f>
        <v>44546</v>
      </c>
      <c r="D241" t="str">
        <f t="array" ref="D241">_xlfn.XLOOKUP(B241,1*[2]保证金申请!$A:$A,[2]保证金申请!$C:$C)</f>
        <v>2021-12-16</v>
      </c>
      <c r="E241" t="str">
        <f>_xlfn.XLOOKUP(A241,保证金登记!B:B,保证金登记!I:I)</f>
        <v>涿鹿金隅水泥有限公司</v>
      </c>
      <c r="F241" t="str">
        <f t="array" ref="F241">_xlfn.XLOOKUP(B241,1*[2]保证金申请!$A:$A,[2]保证金申请!$Q:$Q)</f>
        <v>涿鹿金隅水泥有限公司</v>
      </c>
      <c r="G241">
        <f>_xlfn.XLOOKUP(A241,保证金登记!B:B,保证金登记!J:J)</f>
        <v>2000</v>
      </c>
      <c r="H241">
        <f t="array" ref="H241">_xlfn.XLOOKUP(B241,1*[2]保证金申请!$A:$A,[2]保证金申请!$K:$K)</f>
        <v>2000</v>
      </c>
      <c r="I241">
        <f t="shared" si="9"/>
        <v>0</v>
      </c>
      <c r="J241">
        <f t="shared" si="10"/>
        <v>0</v>
      </c>
      <c r="K241" t="b">
        <f t="shared" si="11"/>
        <v>1</v>
      </c>
    </row>
    <row r="242" spans="1:11">
      <c r="A242" t="s">
        <v>705</v>
      </c>
      <c r="B242" s="1">
        <v>280</v>
      </c>
      <c r="C242">
        <f>_xlfn.XLOOKUP(A242,保证金登记!B:B,保证金登记!E:E)</f>
        <v>44546</v>
      </c>
      <c r="D242" t="str">
        <f t="array" ref="D242">_xlfn.XLOOKUP(B242,1*[2]保证金申请!$A:$A,[2]保证金申请!$C:$C)</f>
        <v>2021-12-16</v>
      </c>
      <c r="E242" t="str">
        <f>_xlfn.XLOOKUP(A242,保证金登记!B:B,保证金登记!I:I)</f>
        <v>冀东水泥磐石有限责任公司</v>
      </c>
      <c r="F242" t="str">
        <f t="array" ref="F242">_xlfn.XLOOKUP(B242,1*[2]保证金申请!$A:$A,[2]保证金申请!$Q:$Q)</f>
        <v>冀东水泥磐石有限责任公司</v>
      </c>
      <c r="G242">
        <f>_xlfn.XLOOKUP(A242,保证金登记!B:B,保证金登记!J:J)</f>
        <v>3000</v>
      </c>
      <c r="H242">
        <f t="array" ref="H242">_xlfn.XLOOKUP(B242,1*[2]保证金申请!$A:$A,[2]保证金申请!$K:$K)</f>
        <v>3000</v>
      </c>
      <c r="I242">
        <f t="shared" si="9"/>
        <v>0</v>
      </c>
      <c r="J242">
        <f t="shared" si="10"/>
        <v>0</v>
      </c>
      <c r="K242" t="b">
        <f t="shared" si="11"/>
        <v>1</v>
      </c>
    </row>
    <row r="243" spans="1:11">
      <c r="A243" t="s">
        <v>707</v>
      </c>
      <c r="B243" s="1">
        <v>281</v>
      </c>
      <c r="C243">
        <f>_xlfn.XLOOKUP(A243,保证金登记!B:B,保证金登记!E:E)</f>
        <v>44547</v>
      </c>
      <c r="D243" t="str">
        <f t="array" ref="D243">_xlfn.XLOOKUP(B243,1*[2]保证金申请!$A:$A,[2]保证金申请!$C:$C)</f>
        <v>2021-12-17</v>
      </c>
      <c r="E243" t="str">
        <f>_xlfn.XLOOKUP(A243,保证金登记!B:B,保证金登记!I:I)</f>
        <v>四川省星船城水泥有限公司</v>
      </c>
      <c r="F243" t="str">
        <f t="array" ref="F243">_xlfn.XLOOKUP(B243,1*[2]保证金申请!$A:$A,[2]保证金申请!$Q:$Q)</f>
        <v>四川省星船城水泥有限公司</v>
      </c>
      <c r="G243">
        <f>_xlfn.XLOOKUP(A243,保证金登记!B:B,保证金登记!J:J)</f>
        <v>4000</v>
      </c>
      <c r="H243">
        <f t="array" ref="H243">_xlfn.XLOOKUP(B243,1*[2]保证金申请!$A:$A,[2]保证金申请!$K:$K)</f>
        <v>4000</v>
      </c>
      <c r="I243">
        <f t="shared" si="9"/>
        <v>0</v>
      </c>
      <c r="J243">
        <f t="shared" si="10"/>
        <v>0</v>
      </c>
      <c r="K243" t="b">
        <f t="shared" si="11"/>
        <v>1</v>
      </c>
    </row>
    <row r="244" spans="1:11">
      <c r="A244" t="s">
        <v>712</v>
      </c>
      <c r="B244" s="1">
        <v>143</v>
      </c>
      <c r="C244">
        <f>_xlfn.XLOOKUP(A244,保证金登记!B:B,保证金登记!E:E)</f>
        <v>44548</v>
      </c>
      <c r="D244" t="str">
        <f t="array" ref="D244">_xlfn.XLOOKUP(B244,1*[2]保证金申请!$A:$A,[2]保证金申请!$C:$C)</f>
        <v>2021-12-18</v>
      </c>
      <c r="E244" t="str">
        <f>_xlfn.XLOOKUP(A244,保证金登记!B:B,保证金登记!I:I)</f>
        <v>叶城天山水泥有限责任公司</v>
      </c>
      <c r="F244" t="str">
        <f t="array" ref="F244">_xlfn.XLOOKUP(B244,1*[2]保证金申请!$A:$A,[2]保证金申请!$Q:$Q)</f>
        <v>叶城天山水泥有限公司</v>
      </c>
      <c r="G244">
        <f>_xlfn.XLOOKUP(A244,保证金登记!B:B,保证金登记!J:J)</f>
        <v>5000</v>
      </c>
      <c r="H244">
        <f t="array" ref="H244">_xlfn.XLOOKUP(B244,1*[2]保证金申请!$A:$A,[2]保证金申请!$K:$K)</f>
        <v>5000</v>
      </c>
      <c r="I244">
        <f t="shared" si="9"/>
        <v>0</v>
      </c>
      <c r="J244">
        <f t="shared" si="10"/>
        <v>0</v>
      </c>
      <c r="K244" t="b">
        <f t="shared" si="11"/>
        <v>0</v>
      </c>
    </row>
    <row r="245" spans="1:11">
      <c r="A245" t="s">
        <v>713</v>
      </c>
      <c r="B245" s="1">
        <v>144</v>
      </c>
      <c r="C245">
        <f>_xlfn.XLOOKUP(A245,保证金登记!B:B,保证金登记!E:E)</f>
        <v>44548</v>
      </c>
      <c r="D245" t="str">
        <f t="array" ref="D245">_xlfn.XLOOKUP(B245,1*[2]保证金申请!$A:$A,[2]保证金申请!$C:$C)</f>
        <v>2021-12-18</v>
      </c>
      <c r="E245" t="str">
        <f>_xlfn.XLOOKUP(A245,保证金登记!B:B,保证金登记!I:I)</f>
        <v>涞水金隅冀东环保科技有限公司</v>
      </c>
      <c r="F245" t="str">
        <f t="array" ref="F245">_xlfn.XLOOKUP(B245,1*[2]保证金申请!$A:$A,[2]保证金申请!$Q:$Q)</f>
        <v>涞水金隅冀东环保科技有限公司</v>
      </c>
      <c r="G245">
        <f>_xlfn.XLOOKUP(A245,保证金登记!B:B,保证金登记!J:J)</f>
        <v>5000</v>
      </c>
      <c r="H245">
        <f t="array" ref="H245">_xlfn.XLOOKUP(B245,1*[2]保证金申请!$A:$A,[2]保证金申请!$K:$K)</f>
        <v>5000</v>
      </c>
      <c r="I245">
        <f t="shared" si="9"/>
        <v>0</v>
      </c>
      <c r="J245">
        <f t="shared" si="10"/>
        <v>0</v>
      </c>
      <c r="K245" t="b">
        <f t="shared" si="11"/>
        <v>1</v>
      </c>
    </row>
    <row r="246" spans="1:11">
      <c r="A246" t="s">
        <v>714</v>
      </c>
      <c r="B246" s="1">
        <v>282</v>
      </c>
      <c r="C246">
        <f>_xlfn.XLOOKUP(A246,保证金登记!B:B,保证金登记!E:E)</f>
        <v>44550</v>
      </c>
      <c r="D246" t="str">
        <f t="array" ref="D246">_xlfn.XLOOKUP(B246,1*[2]保证金申请!$A:$A,[2]保证金申请!$C:$C)</f>
        <v>2021-12-20</v>
      </c>
      <c r="E246" t="str">
        <f>_xlfn.XLOOKUP(A246,保证金登记!B:B,保证金登记!I:I)</f>
        <v>阿克苏天山</v>
      </c>
      <c r="F246" t="str">
        <f t="array" ref="F246">_xlfn.XLOOKUP(B246,1*[2]保证金申请!$A:$A,[2]保证金申请!$Q:$Q)</f>
        <v>阿克苏天山</v>
      </c>
      <c r="G246">
        <f>_xlfn.XLOOKUP(A246,保证金登记!B:B,保证金登记!J:J)</f>
        <v>10000</v>
      </c>
      <c r="H246">
        <f t="array" ref="H246">_xlfn.XLOOKUP(B246,1*[2]保证金申请!$A:$A,[2]保证金申请!$K:$K)</f>
        <v>10000</v>
      </c>
      <c r="I246">
        <f t="shared" si="9"/>
        <v>0</v>
      </c>
      <c r="J246">
        <f t="shared" si="10"/>
        <v>0</v>
      </c>
      <c r="K246" t="b">
        <f t="shared" si="11"/>
        <v>1</v>
      </c>
    </row>
    <row r="247" spans="1:11">
      <c r="A247" t="s">
        <v>715</v>
      </c>
      <c r="B247" s="1">
        <v>283</v>
      </c>
      <c r="C247">
        <f>_xlfn.XLOOKUP(A247,保证金登记!B:B,保证金登记!E:E)</f>
        <v>44550</v>
      </c>
      <c r="D247" t="str">
        <f t="array" ref="D247">_xlfn.XLOOKUP(B247,1*[2]保证金申请!$A:$A,[2]保证金申请!$C:$C)</f>
        <v>2021-12-20</v>
      </c>
      <c r="E247" t="str">
        <f>_xlfn.XLOOKUP(A247,保证金登记!B:B,保证金登记!I:I)</f>
        <v>武汉阳训科技有限公司</v>
      </c>
      <c r="F247" t="str">
        <f t="array" ref="F247">_xlfn.XLOOKUP(B247,1*[2]保证金申请!$A:$A,[2]保证金申请!$Q:$Q)</f>
        <v>武汉阳训科技有限公司</v>
      </c>
      <c r="G247">
        <f>_xlfn.XLOOKUP(A247,保证金登记!B:B,保证金登记!J:J)</f>
        <v>5000</v>
      </c>
      <c r="H247">
        <f t="array" ref="H247">_xlfn.XLOOKUP(B247,1*[2]保证金申请!$A:$A,[2]保证金申请!$K:$K)</f>
        <v>5000</v>
      </c>
      <c r="I247">
        <f t="shared" si="9"/>
        <v>0</v>
      </c>
      <c r="J247">
        <f t="shared" si="10"/>
        <v>0</v>
      </c>
      <c r="K247" t="b">
        <f t="shared" si="11"/>
        <v>1</v>
      </c>
    </row>
    <row r="248" spans="1:11">
      <c r="A248" t="s">
        <v>717</v>
      </c>
      <c r="B248" s="1">
        <v>284</v>
      </c>
      <c r="C248">
        <f>_xlfn.XLOOKUP(A248,保证金登记!B:B,保证金登记!E:E)</f>
        <v>44552</v>
      </c>
      <c r="D248" t="str">
        <f t="array" ref="D248">_xlfn.XLOOKUP(B248,1*[2]保证金申请!$A:$A,[2]保证金申请!$C:$C)</f>
        <v>2021-12-22</v>
      </c>
      <c r="E248" t="str">
        <f>_xlfn.XLOOKUP(A248,保证金登记!B:B,保证金登记!I:I)</f>
        <v>武汉阳训科技有限公司</v>
      </c>
      <c r="F248" t="str">
        <f t="array" ref="F248">_xlfn.XLOOKUP(B248,1*[2]保证金申请!$A:$A,[2]保证金申请!$Q:$Q)</f>
        <v>武汉阳训科技有限公司</v>
      </c>
      <c r="G248">
        <f>_xlfn.XLOOKUP(A248,保证金登记!B:B,保证金登记!J:J)</f>
        <v>10000</v>
      </c>
      <c r="H248">
        <f t="array" ref="H248">_xlfn.XLOOKUP(B248,1*[2]保证金申请!$A:$A,[2]保证金申请!$K:$K)</f>
        <v>10000</v>
      </c>
      <c r="I248">
        <f t="shared" si="9"/>
        <v>0</v>
      </c>
      <c r="J248">
        <f t="shared" si="10"/>
        <v>0</v>
      </c>
      <c r="K248" t="b">
        <f t="shared" si="11"/>
        <v>1</v>
      </c>
    </row>
    <row r="249" spans="1:11">
      <c r="A249" t="s">
        <v>721</v>
      </c>
      <c r="B249" s="1">
        <v>285</v>
      </c>
      <c r="C249">
        <f>_xlfn.XLOOKUP(A249,保证金登记!B:B,保证金登记!E:E)</f>
        <v>44552</v>
      </c>
      <c r="D249" t="str">
        <f t="array" ref="D249">_xlfn.XLOOKUP(B249,1*[2]保证金申请!$A:$A,[2]保证金申请!$C:$C)</f>
        <v>2021-12-22</v>
      </c>
      <c r="E249" t="str">
        <f>_xlfn.XLOOKUP(A249,保证金登记!B:B,保证金登记!I:I)</f>
        <v>中材常德水泥有限责任公司</v>
      </c>
      <c r="F249" t="str">
        <f t="array" ref="F249">_xlfn.XLOOKUP(B249,1*[2]保证金申请!$A:$A,[2]保证金申请!$Q:$Q)</f>
        <v>中材常德水泥有限责任公司</v>
      </c>
      <c r="G249">
        <f>_xlfn.XLOOKUP(A249,保证金登记!B:B,保证金登记!J:J)</f>
        <v>10000</v>
      </c>
      <c r="H249">
        <f t="array" ref="H249">_xlfn.XLOOKUP(B249,1*[2]保证金申请!$A:$A,[2]保证金申请!$K:$K)</f>
        <v>10000</v>
      </c>
      <c r="I249">
        <f t="shared" si="9"/>
        <v>0</v>
      </c>
      <c r="J249">
        <f t="shared" si="10"/>
        <v>0</v>
      </c>
      <c r="K249" t="b">
        <f t="shared" si="11"/>
        <v>1</v>
      </c>
    </row>
    <row r="250" spans="1:11">
      <c r="A250" t="s">
        <v>724</v>
      </c>
      <c r="B250" s="1">
        <v>142</v>
      </c>
      <c r="C250">
        <f>_xlfn.XLOOKUP(A250,保证金登记!B:B,保证金登记!E:E)</f>
        <v>44553</v>
      </c>
      <c r="D250" t="str">
        <f t="array" ref="D250">_xlfn.XLOOKUP(B250,1*[2]保证金申请!$A:$A,[2]保证金申请!$C:$C)</f>
        <v>2021-12-23</v>
      </c>
      <c r="E250" t="str">
        <f>_xlfn.XLOOKUP(A250,保证金登记!B:B,保证金登记!I:I)</f>
        <v>冀东海德堡（扶风）水泥有限公司</v>
      </c>
      <c r="F250" t="str">
        <f t="array" ref="F250">_xlfn.XLOOKUP(B250,1*[2]保证金申请!$A:$A,[2]保证金申请!$Q:$Q)</f>
        <v>冀东海德堡（扶风）水泥有限公司</v>
      </c>
      <c r="G250">
        <f>_xlfn.XLOOKUP(A250,保证金登记!B:B,保证金登记!J:J)</f>
        <v>3000</v>
      </c>
      <c r="H250">
        <f t="array" ref="H250">_xlfn.XLOOKUP(B250,1*[2]保证金申请!$A:$A,[2]保证金申请!$K:$K)</f>
        <v>3000</v>
      </c>
      <c r="I250">
        <f t="shared" si="9"/>
        <v>0</v>
      </c>
      <c r="J250">
        <f t="shared" si="10"/>
        <v>0</v>
      </c>
      <c r="K250" t="b">
        <f t="shared" si="11"/>
        <v>1</v>
      </c>
    </row>
    <row r="251" spans="1:11">
      <c r="A251" t="s">
        <v>725</v>
      </c>
      <c r="B251" s="1">
        <v>286</v>
      </c>
      <c r="C251">
        <f>_xlfn.XLOOKUP(A251,保证金登记!B:B,保证金登记!E:E)</f>
        <v>44553</v>
      </c>
      <c r="D251" t="str">
        <f t="array" ref="D251">_xlfn.XLOOKUP(B251,1*[2]保证金申请!$A:$A,[2]保证金申请!$C:$C)</f>
        <v>2021-12-23</v>
      </c>
      <c r="E251" t="str">
        <f>_xlfn.XLOOKUP(A251,保证金登记!B:B,保证金登记!I:I)</f>
        <v>安钢集团附属企业有限责任公司</v>
      </c>
      <c r="F251" t="str">
        <f t="array" ref="F251">_xlfn.XLOOKUP(B251,1*[2]保证金申请!$A:$A,[2]保证金申请!$Q:$Q)</f>
        <v>安钢集团附属企业有限公司</v>
      </c>
      <c r="G251">
        <f>_xlfn.XLOOKUP(A251,保证金登记!B:B,保证金登记!J:J)</f>
        <v>400</v>
      </c>
      <c r="H251">
        <f t="array" ref="H251">_xlfn.XLOOKUP(B251,1*[2]保证金申请!$A:$A,[2]保证金申请!$K:$K)</f>
        <v>400</v>
      </c>
      <c r="I251">
        <f t="shared" si="9"/>
        <v>0</v>
      </c>
      <c r="J251">
        <f t="shared" si="10"/>
        <v>0</v>
      </c>
      <c r="K251" t="b">
        <f t="shared" si="11"/>
        <v>0</v>
      </c>
    </row>
    <row r="252" spans="1:11">
      <c r="A252" t="s">
        <v>730</v>
      </c>
      <c r="B252" s="1">
        <v>287</v>
      </c>
      <c r="C252">
        <f>_xlfn.XLOOKUP(A252,保证金登记!B:B,保证金登记!E:E)</f>
        <v>44553</v>
      </c>
      <c r="D252" t="str">
        <f t="array" ref="D252">_xlfn.XLOOKUP(B252,1*[2]保证金申请!$A:$A,[2]保证金申请!$C:$C)</f>
        <v>2021-12-23</v>
      </c>
      <c r="E252" t="str">
        <f>_xlfn.XLOOKUP(A252,保证金登记!B:B,保证金登记!I:I)</f>
        <v>鞍山冀东水泥有限责任公司</v>
      </c>
      <c r="F252" t="str">
        <f t="array" ref="F252">_xlfn.XLOOKUP(B252,1*[2]保证金申请!$A:$A,[2]保证金申请!$Q:$Q)</f>
        <v>鞍山冀东水泥有限责任公司</v>
      </c>
      <c r="G252">
        <f>_xlfn.XLOOKUP(A252,保证金登记!B:B,保证金登记!J:J)</f>
        <v>1000</v>
      </c>
      <c r="H252">
        <f t="array" ref="H252">_xlfn.XLOOKUP(B252,1*[2]保证金申请!$A:$A,[2]保证金申请!$K:$K)</f>
        <v>1000</v>
      </c>
      <c r="I252">
        <f t="shared" si="9"/>
        <v>0</v>
      </c>
      <c r="J252">
        <f t="shared" si="10"/>
        <v>0</v>
      </c>
      <c r="K252" t="b">
        <f t="shared" si="11"/>
        <v>1</v>
      </c>
    </row>
    <row r="253" spans="1:11">
      <c r="A253" t="s">
        <v>732</v>
      </c>
      <c r="B253" s="1">
        <v>288</v>
      </c>
      <c r="C253">
        <f>_xlfn.XLOOKUP(A253,保证金登记!B:B,保证金登记!E:E)</f>
        <v>44553</v>
      </c>
      <c r="D253" t="str">
        <f t="array" ref="D253">_xlfn.XLOOKUP(B253,1*[2]保证金申请!$A:$A,[2]保证金申请!$C:$C)</f>
        <v>2021-12-23</v>
      </c>
      <c r="E253" t="str">
        <f>_xlfn.XLOOKUP(A253,保证金登记!B:B,保证金登记!I:I)</f>
        <v>鞍山冀东水泥有限责任公司</v>
      </c>
      <c r="F253" t="str">
        <f t="array" ref="F253">_xlfn.XLOOKUP(B253,1*[2]保证金申请!$A:$A,[2]保证金申请!$Q:$Q)</f>
        <v>鞍山冀东水泥有限责任公司</v>
      </c>
      <c r="G253">
        <f>_xlfn.XLOOKUP(A253,保证金登记!B:B,保证金登记!J:J)</f>
        <v>2000</v>
      </c>
      <c r="H253">
        <f t="array" ref="H253">_xlfn.XLOOKUP(B253,1*[2]保证金申请!$A:$A,[2]保证金申请!$K:$K)</f>
        <v>2000</v>
      </c>
      <c r="I253">
        <f t="shared" si="9"/>
        <v>0</v>
      </c>
      <c r="J253">
        <f t="shared" si="10"/>
        <v>0</v>
      </c>
      <c r="K253" t="b">
        <f t="shared" si="11"/>
        <v>1</v>
      </c>
    </row>
    <row r="254" spans="1:11">
      <c r="A254" t="s">
        <v>733</v>
      </c>
      <c r="B254" s="1">
        <v>289</v>
      </c>
      <c r="C254">
        <f>_xlfn.XLOOKUP(A254,保证金登记!B:B,保证金登记!E:E)</f>
        <v>44557</v>
      </c>
      <c r="D254" t="str">
        <f t="array" ref="D254">_xlfn.XLOOKUP(B254,1*[2]保证金申请!$A:$A,[2]保证金申请!$C:$C)</f>
        <v>2021-12-27</v>
      </c>
      <c r="E254" t="str">
        <f>_xlfn.XLOOKUP(A254,保证金登记!B:B,保证金登记!I:I)</f>
        <v>冀东水泥磐石有限责任公司</v>
      </c>
      <c r="F254" t="str">
        <f t="array" ref="F254">_xlfn.XLOOKUP(B254,1*[2]保证金申请!$A:$A,[2]保证金申请!$Q:$Q)</f>
        <v>冀东水泥磐石有限责任公司</v>
      </c>
      <c r="G254">
        <f>_xlfn.XLOOKUP(A254,保证金登记!B:B,保证金登记!J:J)</f>
        <v>3000</v>
      </c>
      <c r="H254">
        <f t="array" ref="H254">_xlfn.XLOOKUP(B254,1*[2]保证金申请!$A:$A,[2]保证金申请!$K:$K)</f>
        <v>3000</v>
      </c>
      <c r="I254">
        <f t="shared" si="9"/>
        <v>0</v>
      </c>
      <c r="J254">
        <f t="shared" si="10"/>
        <v>0</v>
      </c>
      <c r="K254" t="b">
        <f t="shared" si="11"/>
        <v>1</v>
      </c>
    </row>
    <row r="255" spans="1:11">
      <c r="A255" t="s">
        <v>734</v>
      </c>
      <c r="B255" s="1">
        <v>290</v>
      </c>
      <c r="C255">
        <f>_xlfn.XLOOKUP(A255,保证金登记!B:B,保证金登记!E:E)</f>
        <v>44557</v>
      </c>
      <c r="D255" t="str">
        <f t="array" ref="D255">_xlfn.XLOOKUP(B255,1*[2]保证金申请!$A:$A,[2]保证金申请!$C:$C)</f>
        <v>2021-12-27</v>
      </c>
      <c r="E255" t="str">
        <f>_xlfn.XLOOKUP(A255,保证金登记!B:B,保证金登记!I:I)</f>
        <v>冀东水泥磐石有限责任公司</v>
      </c>
      <c r="F255" t="str">
        <f t="array" ref="F255">_xlfn.XLOOKUP(B255,1*[2]保证金申请!$A:$A,[2]保证金申请!$Q:$Q)</f>
        <v>冀东水泥磐石有限责任公司</v>
      </c>
      <c r="G255">
        <f>_xlfn.XLOOKUP(A255,保证金登记!B:B,保证金登记!J:J)</f>
        <v>3000</v>
      </c>
      <c r="H255">
        <f t="array" ref="H255">_xlfn.XLOOKUP(B255,1*[2]保证金申请!$A:$A,[2]保证金申请!$K:$K)</f>
        <v>3000</v>
      </c>
      <c r="I255">
        <f t="shared" si="9"/>
        <v>0</v>
      </c>
      <c r="J255">
        <f t="shared" si="10"/>
        <v>0</v>
      </c>
      <c r="K255" t="b">
        <f t="shared" si="11"/>
        <v>1</v>
      </c>
    </row>
    <row r="256" spans="1:11">
      <c r="A256" t="s">
        <v>735</v>
      </c>
      <c r="B256" s="1">
        <v>291</v>
      </c>
      <c r="C256">
        <f>_xlfn.XLOOKUP(A256,保证金登记!B:B,保证金登记!E:E)</f>
        <v>44557</v>
      </c>
      <c r="D256" t="str">
        <f t="array" ref="D256">_xlfn.XLOOKUP(B256,1*[2]保证金申请!$A:$A,[2]保证金申请!$C:$C)</f>
        <v>2021-12-27</v>
      </c>
      <c r="E256" t="str">
        <f>_xlfn.XLOOKUP(A256,保证金登记!B:B,保证金登记!I:I)</f>
        <v>冀东水泥磐石有限责任公司</v>
      </c>
      <c r="F256" t="str">
        <f t="array" ref="F256">_xlfn.XLOOKUP(B256,1*[2]保证金申请!$A:$A,[2]保证金申请!$Q:$Q)</f>
        <v>冀东水泥磐石有限责任公司</v>
      </c>
      <c r="G256">
        <f>_xlfn.XLOOKUP(A256,保证金登记!B:B,保证金登记!J:J)</f>
        <v>5000</v>
      </c>
      <c r="H256">
        <f t="array" ref="H256">_xlfn.XLOOKUP(B256,1*[2]保证金申请!$A:$A,[2]保证金申请!$K:$K)</f>
        <v>5000</v>
      </c>
      <c r="I256">
        <f t="shared" si="9"/>
        <v>0</v>
      </c>
      <c r="J256">
        <f t="shared" si="10"/>
        <v>0</v>
      </c>
      <c r="K256" t="b">
        <f t="shared" si="11"/>
        <v>1</v>
      </c>
    </row>
    <row r="257" spans="1:11">
      <c r="A257" t="s">
        <v>736</v>
      </c>
      <c r="B257" s="1">
        <v>145</v>
      </c>
      <c r="C257">
        <f>_xlfn.XLOOKUP(A257,保证金登记!B:B,保证金登记!E:E)</f>
        <v>44558</v>
      </c>
      <c r="D257" t="str">
        <f t="array" ref="D257">_xlfn.XLOOKUP(B257,1*[2]保证金申请!$A:$A,[2]保证金申请!$C:$C)</f>
        <v>2021-12-28</v>
      </c>
      <c r="E257" t="str">
        <f>_xlfn.XLOOKUP(A257,保证金登记!B:B,保证金登记!I:I)</f>
        <v>汉中尧柏水泥有限公司</v>
      </c>
      <c r="F257" t="str">
        <f t="array" ref="F257">_xlfn.XLOOKUP(B257,1*[2]保证金申请!$A:$A,[2]保证金申请!$Q:$Q)</f>
        <v>汉中尧柏水泥有限公司</v>
      </c>
      <c r="G257">
        <f>_xlfn.XLOOKUP(A257,保证金登记!B:B,保证金登记!J:J)</f>
        <v>10000</v>
      </c>
      <c r="H257">
        <f t="array" ref="H257">_xlfn.XLOOKUP(B257,1*[2]保证金申请!$A:$A,[2]保证金申请!$K:$K)</f>
        <v>10000</v>
      </c>
      <c r="I257">
        <f t="shared" si="9"/>
        <v>0</v>
      </c>
      <c r="J257">
        <f t="shared" si="10"/>
        <v>0</v>
      </c>
      <c r="K257" t="b">
        <f t="shared" si="11"/>
        <v>1</v>
      </c>
    </row>
    <row r="258" spans="1:11">
      <c r="A258" t="s">
        <v>738</v>
      </c>
      <c r="B258" s="1">
        <v>352</v>
      </c>
      <c r="C258">
        <f>_xlfn.XLOOKUP(A258,保证金登记!B:B,保证金登记!E:E)</f>
        <v>44559</v>
      </c>
      <c r="D258" t="str">
        <f t="array" ref="D258">_xlfn.XLOOKUP(B258,1*[2]保证金申请!$A:$A,[2]保证金申请!$C:$C)</f>
        <v>2021-12-29</v>
      </c>
      <c r="E258" t="str">
        <f>_xlfn.XLOOKUP(A258,保证金登记!B:B,保证金登记!I:I)</f>
        <v>葛洲坝当阳水泥有限公司</v>
      </c>
      <c r="F258" t="str">
        <f t="array" ref="F258">_xlfn.XLOOKUP(B258,1*[2]保证金申请!$A:$A,[2]保证金申请!$Q:$Q)</f>
        <v>葛洲坝当阳水泥有限公司</v>
      </c>
      <c r="G258">
        <f>_xlfn.XLOOKUP(A258,保证金登记!B:B,保证金登记!J:J)</f>
        <v>9800</v>
      </c>
      <c r="H258">
        <f t="array" ref="H258">_xlfn.XLOOKUP(B258,1*[2]保证金申请!$A:$A,[2]保证金申请!$K:$K)</f>
        <v>9800</v>
      </c>
      <c r="I258">
        <f t="shared" ref="I258:I321" si="12">C258-D258</f>
        <v>0</v>
      </c>
      <c r="J258">
        <f t="shared" ref="J258:J321" si="13">G258-H258</f>
        <v>0</v>
      </c>
      <c r="K258" t="b">
        <f t="shared" ref="K258:K321" si="14">EXACT(E258,F258)</f>
        <v>1</v>
      </c>
    </row>
    <row r="259" spans="1:11">
      <c r="A259" t="s">
        <v>741</v>
      </c>
      <c r="B259" s="1">
        <v>146</v>
      </c>
      <c r="C259">
        <f>_xlfn.XLOOKUP(A259,保证金登记!B:B,保证金登记!E:E)</f>
        <v>44565</v>
      </c>
      <c r="D259" t="str">
        <f t="array" ref="D259">_xlfn.XLOOKUP(B259,1*[2]保证金申请!$A:$A,[2]保证金申请!$C:$C)</f>
        <v>2022-01-04</v>
      </c>
      <c r="E259" t="str">
        <f>_xlfn.XLOOKUP(A259,保证金登记!B:B,保证金登记!I:I)</f>
        <v>阿克苏天山多浪水泥有限责任公司</v>
      </c>
      <c r="F259" t="str">
        <f t="array" ref="F259">_xlfn.XLOOKUP(B259,1*[2]保证金申请!$A:$A,[2]保证金申请!$Q:$Q)</f>
        <v>阿克苏天山多浪水泥有限责任公司</v>
      </c>
      <c r="G259">
        <f>_xlfn.XLOOKUP(A259,保证金登记!B:B,保证金登记!J:J)</f>
        <v>10000</v>
      </c>
      <c r="H259">
        <f t="array" ref="H259">_xlfn.XLOOKUP(B259,1*[2]保证金申请!$A:$A,[2]保证金申请!$K:$K)</f>
        <v>10000</v>
      </c>
      <c r="I259">
        <f t="shared" si="12"/>
        <v>0</v>
      </c>
      <c r="J259">
        <f t="shared" si="13"/>
        <v>0</v>
      </c>
      <c r="K259" t="b">
        <f t="shared" si="14"/>
        <v>1</v>
      </c>
    </row>
    <row r="260" spans="1:11">
      <c r="A260" t="s">
        <v>745</v>
      </c>
      <c r="B260" s="1">
        <v>292</v>
      </c>
      <c r="C260">
        <f>_xlfn.XLOOKUP(A260,保证金登记!B:B,保证金登记!E:E)</f>
        <v>44565</v>
      </c>
      <c r="D260" t="str">
        <f t="array" ref="D260">_xlfn.XLOOKUP(B260,1*[2]保证金申请!$A:$A,[2]保证金申请!$C:$C)</f>
        <v>2022-01-04</v>
      </c>
      <c r="E260" t="str">
        <f>_xlfn.XLOOKUP(A260,保证金登记!B:B,保证金登记!I:I)</f>
        <v>冀东水泥磐石有限责任公司</v>
      </c>
      <c r="F260" t="str">
        <f t="array" ref="F260">_xlfn.XLOOKUP(B260,1*[2]保证金申请!$A:$A,[2]保证金申请!$Q:$Q)</f>
        <v>冀东水泥磐石有限责任公司</v>
      </c>
      <c r="G260">
        <f>_xlfn.XLOOKUP(A260,保证金登记!B:B,保证金登记!J:J)</f>
        <v>5000</v>
      </c>
      <c r="H260">
        <f t="array" ref="H260">_xlfn.XLOOKUP(B260,1*[2]保证金申请!$A:$A,[2]保证金申请!$K:$K)</f>
        <v>5000</v>
      </c>
      <c r="I260">
        <f t="shared" si="12"/>
        <v>0</v>
      </c>
      <c r="J260">
        <f t="shared" si="13"/>
        <v>0</v>
      </c>
      <c r="K260" t="b">
        <f t="shared" si="14"/>
        <v>1</v>
      </c>
    </row>
    <row r="261" spans="1:11">
      <c r="A261" t="s">
        <v>746</v>
      </c>
      <c r="B261" s="1">
        <v>293</v>
      </c>
      <c r="C261">
        <f>_xlfn.XLOOKUP(A261,保证金登记!B:B,保证金登记!E:E)</f>
        <v>44565</v>
      </c>
      <c r="D261" t="str">
        <f t="array" ref="D261">_xlfn.XLOOKUP(B261,1*[2]保证金申请!$A:$A,[2]保证金申请!$C:$C)</f>
        <v>2022-01-04</v>
      </c>
      <c r="E261" t="str">
        <f>_xlfn.XLOOKUP(A261,保证金登记!B:B,保证金登记!I:I)</f>
        <v>冀东水泥磐石有限责任公司</v>
      </c>
      <c r="F261" t="str">
        <f t="array" ref="F261">_xlfn.XLOOKUP(B261,1*[2]保证金申请!$A:$A,[2]保证金申请!$Q:$Q)</f>
        <v>冀东水泥磐石有限责任公司</v>
      </c>
      <c r="G261">
        <f>_xlfn.XLOOKUP(A261,保证金登记!B:B,保证金登记!J:J)</f>
        <v>5000</v>
      </c>
      <c r="H261">
        <f t="array" ref="H261">_xlfn.XLOOKUP(B261,1*[2]保证金申请!$A:$A,[2]保证金申请!$K:$K)</f>
        <v>5000</v>
      </c>
      <c r="I261">
        <f t="shared" si="12"/>
        <v>0</v>
      </c>
      <c r="J261">
        <f t="shared" si="13"/>
        <v>0</v>
      </c>
      <c r="K261" t="b">
        <f t="shared" si="14"/>
        <v>1</v>
      </c>
    </row>
    <row r="262" spans="1:11">
      <c r="A262" t="s">
        <v>747</v>
      </c>
      <c r="B262" s="1">
        <v>294</v>
      </c>
      <c r="C262">
        <f>_xlfn.XLOOKUP(A262,保证金登记!B:B,保证金登记!E:E)</f>
        <v>44567</v>
      </c>
      <c r="D262" t="str">
        <f t="array" ref="D262">_xlfn.XLOOKUP(B262,1*[2]保证金申请!$A:$A,[2]保证金申请!$C:$C)</f>
        <v>2022-01-06</v>
      </c>
      <c r="E262" t="str">
        <f>_xlfn.XLOOKUP(A262,保证金登记!B:B,保证金登记!I:I)</f>
        <v>冀东水泥磐石有限责任公司</v>
      </c>
      <c r="F262" t="str">
        <f t="array" ref="F262">_xlfn.XLOOKUP(B262,1*[2]保证金申请!$A:$A,[2]保证金申请!$Q:$Q)</f>
        <v>冀东水泥磐石有限责任公司</v>
      </c>
      <c r="G262">
        <f>_xlfn.XLOOKUP(A262,保证金登记!B:B,保证金登记!J:J)</f>
        <v>5000</v>
      </c>
      <c r="H262">
        <f t="array" ref="H262">_xlfn.XLOOKUP(B262,1*[2]保证金申请!$A:$A,[2]保证金申请!$K:$K)</f>
        <v>5000</v>
      </c>
      <c r="I262">
        <f t="shared" si="12"/>
        <v>0</v>
      </c>
      <c r="J262">
        <f t="shared" si="13"/>
        <v>0</v>
      </c>
      <c r="K262" t="b">
        <f t="shared" si="14"/>
        <v>1</v>
      </c>
    </row>
    <row r="263" spans="1:11">
      <c r="A263" t="s">
        <v>748</v>
      </c>
      <c r="B263" s="1">
        <v>295</v>
      </c>
      <c r="C263">
        <f>_xlfn.XLOOKUP(A263,保证金登记!B:B,保证金登记!E:E)</f>
        <v>44571</v>
      </c>
      <c r="D263" t="str">
        <f t="array" ref="D263">_xlfn.XLOOKUP(B263,1*[2]保证金申请!$A:$A,[2]保证金申请!$C:$C)</f>
        <v>2022-01-10</v>
      </c>
      <c r="E263" t="str">
        <f>_xlfn.XLOOKUP(A263,保证金登记!B:B,保证金登记!I:I)</f>
        <v>赞皇金隅水泥有限公司</v>
      </c>
      <c r="F263" t="str">
        <f t="array" ref="F263">_xlfn.XLOOKUP(B263,1*[2]保证金申请!$A:$A,[2]保证金申请!$Q:$Q)</f>
        <v>赞皇金隅水泥有限公司</v>
      </c>
      <c r="G263">
        <f>_xlfn.XLOOKUP(A263,保证金登记!B:B,保证金登记!J:J)</f>
        <v>5000</v>
      </c>
      <c r="H263">
        <f t="array" ref="H263">_xlfn.XLOOKUP(B263,1*[2]保证金申请!$A:$A,[2]保证金申请!$K:$K)</f>
        <v>5000</v>
      </c>
      <c r="I263">
        <f t="shared" si="12"/>
        <v>0</v>
      </c>
      <c r="J263">
        <f t="shared" si="13"/>
        <v>0</v>
      </c>
      <c r="K263" t="b">
        <f t="shared" si="14"/>
        <v>1</v>
      </c>
    </row>
    <row r="264" spans="1:11">
      <c r="A264" t="s">
        <v>750</v>
      </c>
      <c r="B264" s="1">
        <v>316</v>
      </c>
      <c r="C264">
        <f>_xlfn.XLOOKUP(A264,保证金登记!B:B,保证金登记!E:E)</f>
        <v>44572</v>
      </c>
      <c r="D264" t="str">
        <f t="array" ref="D264">_xlfn.XLOOKUP(B264,1*[2]保证金申请!$A:$A,[2]保证金申请!$C:$C)</f>
        <v>2022-01-11</v>
      </c>
      <c r="E264" t="str">
        <f>_xlfn.XLOOKUP(A264,保证金登记!B:B,保证金登记!I:I)</f>
        <v>鞍山冀东水泥有限责任公司</v>
      </c>
      <c r="F264" t="str">
        <f t="array" ref="F264">_xlfn.XLOOKUP(B264,1*[2]保证金申请!$A:$A,[2]保证金申请!$Q:$Q)</f>
        <v>鞍山冀东水泥有限责任公司</v>
      </c>
      <c r="G264">
        <f>_xlfn.XLOOKUP(A264,保证金登记!B:B,保证金登记!J:J)</f>
        <v>2000</v>
      </c>
      <c r="H264">
        <f t="array" ref="H264">_xlfn.XLOOKUP(B264,1*[2]保证金申请!$A:$A,[2]保证金申请!$K:$K)</f>
        <v>2000</v>
      </c>
      <c r="I264">
        <f t="shared" si="12"/>
        <v>0</v>
      </c>
      <c r="J264">
        <f t="shared" si="13"/>
        <v>0</v>
      </c>
      <c r="K264" t="b">
        <f t="shared" si="14"/>
        <v>1</v>
      </c>
    </row>
    <row r="265" spans="1:11">
      <c r="A265" t="s">
        <v>755</v>
      </c>
      <c r="B265" s="1">
        <v>147</v>
      </c>
      <c r="C265">
        <f>_xlfn.XLOOKUP(A265,保证金登记!B:B,保证金登记!E:E)</f>
        <v>44573</v>
      </c>
      <c r="D265" t="str">
        <f t="array" ref="D265">_xlfn.XLOOKUP(B265,1*[2]保证金申请!$A:$A,[2]保证金申请!$C:$C)</f>
        <v>2022-01-12</v>
      </c>
      <c r="E265" t="str">
        <f>_xlfn.XLOOKUP(A265,保证金登记!B:B,保证金登记!I:I)</f>
        <v>承德金隅水泥有限责任公司</v>
      </c>
      <c r="F265" t="str">
        <f t="array" ref="F265">_xlfn.XLOOKUP(B265,1*[2]保证金申请!$A:$A,[2]保证金申请!$Q:$Q)</f>
        <v>承德金隅水泥有限责任公司</v>
      </c>
      <c r="G265">
        <f>_xlfn.XLOOKUP(A265,保证金登记!B:B,保证金登记!J:J)</f>
        <v>7500</v>
      </c>
      <c r="H265">
        <f t="array" ref="H265">_xlfn.XLOOKUP(B265,1*[2]保证金申请!$A:$A,[2]保证金申请!$K:$K)</f>
        <v>7500</v>
      </c>
      <c r="I265">
        <f t="shared" si="12"/>
        <v>0</v>
      </c>
      <c r="J265">
        <f t="shared" si="13"/>
        <v>0</v>
      </c>
      <c r="K265" t="b">
        <f t="shared" si="14"/>
        <v>1</v>
      </c>
    </row>
    <row r="266" spans="1:11">
      <c r="A266" t="s">
        <v>761</v>
      </c>
      <c r="B266" s="1">
        <v>148</v>
      </c>
      <c r="C266">
        <f>_xlfn.XLOOKUP(A266,保证金登记!B:B,保证金登记!E:E)</f>
        <v>44575</v>
      </c>
      <c r="D266" t="str">
        <f t="array" ref="D266">_xlfn.XLOOKUP(B266,1*[2]保证金申请!$A:$A,[2]保证金申请!$C:$C)</f>
        <v>2022-01-14</v>
      </c>
      <c r="E266" t="str">
        <f>_xlfn.XLOOKUP(A266,保证金登记!B:B,保证金登记!I:I)</f>
        <v>台泥（安顺）水泥有限公司</v>
      </c>
      <c r="F266" t="str">
        <f t="array" ref="F266">_xlfn.XLOOKUP(B266,1*[2]保证金申请!$A:$A,[2]保证金申请!$Q:$Q)</f>
        <v>台泥（安顺）水泥有限公司</v>
      </c>
      <c r="G266">
        <f>_xlfn.XLOOKUP(A266,保证金登记!B:B,保证金登记!J:J)</f>
        <v>3150</v>
      </c>
      <c r="H266">
        <f t="array" ref="H266">_xlfn.XLOOKUP(B266,1*[2]保证金申请!$A:$A,[2]保证金申请!$K:$K)</f>
        <v>3150</v>
      </c>
      <c r="I266">
        <f t="shared" si="12"/>
        <v>0</v>
      </c>
      <c r="J266">
        <f t="shared" si="13"/>
        <v>0</v>
      </c>
      <c r="K266" t="b">
        <f t="shared" si="14"/>
        <v>1</v>
      </c>
    </row>
    <row r="267" spans="1:11">
      <c r="A267" t="s">
        <v>763</v>
      </c>
      <c r="B267" s="1">
        <v>297</v>
      </c>
      <c r="C267">
        <f>_xlfn.XLOOKUP(A267,保证金登记!B:B,保证金登记!E:E)</f>
        <v>44575</v>
      </c>
      <c r="D267" t="str">
        <f t="array" ref="D267">_xlfn.XLOOKUP(B267,1*[2]保证金申请!$A:$A,[2]保证金申请!$C:$C)</f>
        <v>2022-01-14</v>
      </c>
      <c r="E267" t="str">
        <f>_xlfn.XLOOKUP(A267,保证金登记!B:B,保证金登记!I:I)</f>
        <v>云南普洱西南水泥有限公司</v>
      </c>
      <c r="F267" t="str">
        <f t="array" ref="F267">_xlfn.XLOOKUP(B267,1*[2]保证金申请!$A:$A,[2]保证金申请!$Q:$Q)</f>
        <v>云南普洱西南水泥有限公司</v>
      </c>
      <c r="G267">
        <f>_xlfn.XLOOKUP(A267,保证金登记!B:B,保证金登记!J:J)</f>
        <v>5000</v>
      </c>
      <c r="H267">
        <f t="array" ref="H267">_xlfn.XLOOKUP(B267,1*[2]保证金申请!$A:$A,[2]保证金申请!$K:$K)</f>
        <v>5000</v>
      </c>
      <c r="I267">
        <f t="shared" si="12"/>
        <v>0</v>
      </c>
      <c r="J267">
        <f t="shared" si="13"/>
        <v>0</v>
      </c>
      <c r="K267" t="b">
        <f t="shared" si="14"/>
        <v>1</v>
      </c>
    </row>
    <row r="268" spans="1:11">
      <c r="A268" t="s">
        <v>765</v>
      </c>
      <c r="B268" s="1">
        <v>298</v>
      </c>
      <c r="C268">
        <f>_xlfn.XLOOKUP(A268,保证金登记!B:B,保证金登记!E:E)</f>
        <v>44576</v>
      </c>
      <c r="D268" t="str">
        <f t="array" ref="D268">_xlfn.XLOOKUP(B268,1*[2]保证金申请!$A:$A,[2]保证金申请!$C:$C)</f>
        <v>2022-01-15</v>
      </c>
      <c r="E268" t="str">
        <f>_xlfn.XLOOKUP(A268,保证金登记!B:B,保证金登记!I:I)</f>
        <v>云南普洱西南水泥有限公司</v>
      </c>
      <c r="F268" t="str">
        <f t="array" ref="F268">_xlfn.XLOOKUP(B268,1*[2]保证金申请!$A:$A,[2]保证金申请!$Q:$Q)</f>
        <v>云南普洱西南水泥有限公司</v>
      </c>
      <c r="G268">
        <f>_xlfn.XLOOKUP(A268,保证金登记!B:B,保证金登记!J:J)</f>
        <v>5000</v>
      </c>
      <c r="H268">
        <f t="array" ref="H268">_xlfn.XLOOKUP(B268,1*[2]保证金申请!$A:$A,[2]保证金申请!$K:$K)</f>
        <v>5000</v>
      </c>
      <c r="I268">
        <f t="shared" si="12"/>
        <v>0</v>
      </c>
      <c r="J268">
        <f t="shared" si="13"/>
        <v>0</v>
      </c>
      <c r="K268" t="b">
        <f t="shared" si="14"/>
        <v>1</v>
      </c>
    </row>
    <row r="269" spans="1:11">
      <c r="A269" t="s">
        <v>767</v>
      </c>
      <c r="B269" s="1">
        <v>149</v>
      </c>
      <c r="C269">
        <f>_xlfn.XLOOKUP(A269,保证金登记!B:B,保证金登记!E:E)</f>
        <v>44578</v>
      </c>
      <c r="D269" t="str">
        <f t="array" ref="D269">_xlfn.XLOOKUP(B269,1*[2]保证金申请!$A:$A,[2]保证金申请!$C:$C)</f>
        <v>2022-01-17</v>
      </c>
      <c r="E269" t="str">
        <f>_xlfn.XLOOKUP(A269,保证金登记!B:B,保证金登记!I:I)</f>
        <v>喀什天山水泥有限责任公司</v>
      </c>
      <c r="F269" t="str">
        <f t="array" ref="F269">_xlfn.XLOOKUP(B269,1*[2]保证金申请!$A:$A,[2]保证金申请!$Q:$Q)</f>
        <v>喀什天山水泥有限责任公司</v>
      </c>
      <c r="G269">
        <f>_xlfn.XLOOKUP(A269,保证金登记!B:B,保证金登记!J:J)</f>
        <v>5000</v>
      </c>
      <c r="H269">
        <f t="array" ref="H269">_xlfn.XLOOKUP(B269,1*[2]保证金申请!$A:$A,[2]保证金申请!$K:$K)</f>
        <v>5000</v>
      </c>
      <c r="I269">
        <f t="shared" si="12"/>
        <v>0</v>
      </c>
      <c r="J269">
        <f t="shared" si="13"/>
        <v>0</v>
      </c>
      <c r="K269" t="b">
        <f t="shared" si="14"/>
        <v>1</v>
      </c>
    </row>
    <row r="270" spans="1:11">
      <c r="A270" t="s">
        <v>769</v>
      </c>
      <c r="B270" s="1">
        <v>150</v>
      </c>
      <c r="C270">
        <f>_xlfn.XLOOKUP(A270,保证金登记!B:B,保证金登记!E:E)</f>
        <v>44578</v>
      </c>
      <c r="D270" t="str">
        <f t="array" ref="D270">_xlfn.XLOOKUP(B270,1*[2]保证金申请!$A:$A,[2]保证金申请!$C:$C)</f>
        <v>2022-01-17</v>
      </c>
      <c r="E270" t="str">
        <f>_xlfn.XLOOKUP(A270,保证金登记!B:B,保证金登记!I:I)</f>
        <v>湖南有色郴州氟化学有限公司</v>
      </c>
      <c r="F270" t="str">
        <f t="array" ref="F270">_xlfn.XLOOKUP(B270,1*[2]保证金申请!$A:$A,[2]保证金申请!$Q:$Q)</f>
        <v>湖南有色郴州氟化学有限公司</v>
      </c>
      <c r="G270">
        <f>_xlfn.XLOOKUP(A270,保证金登记!B:B,保证金登记!J:J)</f>
        <v>1000</v>
      </c>
      <c r="H270">
        <f t="array" ref="H270">_xlfn.XLOOKUP(B270,1*[2]保证金申请!$A:$A,[2]保证金申请!$K:$K)</f>
        <v>1000</v>
      </c>
      <c r="I270">
        <f t="shared" si="12"/>
        <v>0</v>
      </c>
      <c r="J270">
        <f t="shared" si="13"/>
        <v>0</v>
      </c>
      <c r="K270" t="b">
        <f t="shared" si="14"/>
        <v>1</v>
      </c>
    </row>
    <row r="271" spans="1:11">
      <c r="A271" t="s">
        <v>771</v>
      </c>
      <c r="B271" s="1">
        <v>299</v>
      </c>
      <c r="C271">
        <f>_xlfn.XLOOKUP(A271,保证金登记!B:B,保证金登记!E:E)</f>
        <v>44578</v>
      </c>
      <c r="D271" t="str">
        <f t="array" ref="D271">_xlfn.XLOOKUP(B271,1*[2]保证金申请!$A:$A,[2]保证金申请!$C:$C)</f>
        <v>2022-01-17</v>
      </c>
      <c r="E271" t="str">
        <f>_xlfn.XLOOKUP(A271,保证金登记!B:B,保证金登记!I:I)</f>
        <v>阿克苏天山</v>
      </c>
      <c r="F271" t="str">
        <f t="array" ref="F271">_xlfn.XLOOKUP(B271,1*[2]保证金申请!$A:$A,[2]保证金申请!$Q:$Q)</f>
        <v>阿克苏天山</v>
      </c>
      <c r="G271">
        <f>_xlfn.XLOOKUP(A271,保证金登记!B:B,保证金登记!J:J)</f>
        <v>10000</v>
      </c>
      <c r="H271">
        <f t="array" ref="H271">_xlfn.XLOOKUP(B271,1*[2]保证金申请!$A:$A,[2]保证金申请!$K:$K)</f>
        <v>10000</v>
      </c>
      <c r="I271">
        <f t="shared" si="12"/>
        <v>0</v>
      </c>
      <c r="J271">
        <f t="shared" si="13"/>
        <v>0</v>
      </c>
      <c r="K271" t="b">
        <f t="shared" si="14"/>
        <v>1</v>
      </c>
    </row>
    <row r="272" spans="1:11">
      <c r="A272" t="s">
        <v>772</v>
      </c>
      <c r="B272" s="1">
        <v>300</v>
      </c>
      <c r="C272">
        <f>_xlfn.XLOOKUP(A272,保证金登记!B:B,保证金登记!E:E)</f>
        <v>44578</v>
      </c>
      <c r="D272" t="str">
        <f t="array" ref="D272">_xlfn.XLOOKUP(B272,1*[2]保证金申请!$A:$A,[2]保证金申请!$C:$C)</f>
        <v>2022-01-17</v>
      </c>
      <c r="E272" t="str">
        <f>_xlfn.XLOOKUP(A272,保证金登记!B:B,保证金登记!I:I)</f>
        <v>冀东水泥磐石有限责任公司</v>
      </c>
      <c r="F272" t="str">
        <f t="array" ref="F272">_xlfn.XLOOKUP(B272,1*[2]保证金申请!$A:$A,[2]保证金申请!$Q:$Q)</f>
        <v>冀东水泥磐石有限责任公司</v>
      </c>
      <c r="G272">
        <f>_xlfn.XLOOKUP(A272,保证金登记!B:B,保证金登记!J:J)</f>
        <v>10000</v>
      </c>
      <c r="H272">
        <f t="array" ref="H272">_xlfn.XLOOKUP(B272,1*[2]保证金申请!$A:$A,[2]保证金申请!$K:$K)</f>
        <v>10000</v>
      </c>
      <c r="I272">
        <f t="shared" si="12"/>
        <v>0</v>
      </c>
      <c r="J272">
        <f t="shared" si="13"/>
        <v>0</v>
      </c>
      <c r="K272" t="b">
        <f t="shared" si="14"/>
        <v>1</v>
      </c>
    </row>
    <row r="273" spans="1:11">
      <c r="A273" t="s">
        <v>773</v>
      </c>
      <c r="B273" s="1">
        <v>301</v>
      </c>
      <c r="C273">
        <f>_xlfn.XLOOKUP(A273,保证金登记!B:B,保证金登记!E:E)</f>
        <v>44581</v>
      </c>
      <c r="D273" t="str">
        <f t="array" ref="D273">_xlfn.XLOOKUP(B273,1*[2]保证金申请!$A:$A,[2]保证金申请!$C:$C)</f>
        <v>2022-01-20</v>
      </c>
      <c r="E273" t="str">
        <f>_xlfn.XLOOKUP(A273,保证金登记!B:B,保证金登记!I:I)</f>
        <v>冀东水泥阿巴嘎旗有限责任公司</v>
      </c>
      <c r="F273" t="str">
        <f t="array" ref="F273">_xlfn.XLOOKUP(B273,1*[2]保证金申请!$A:$A,[2]保证金申请!$Q:$Q)</f>
        <v>冀东水泥阿巴嘎旗有限责任公司</v>
      </c>
      <c r="G273">
        <f>_xlfn.XLOOKUP(A273,保证金登记!B:B,保证金登记!J:J)</f>
        <v>5000</v>
      </c>
      <c r="H273">
        <f t="array" ref="H273">_xlfn.XLOOKUP(B273,1*[2]保证金申请!$A:$A,[2]保证金申请!$K:$K)</f>
        <v>5000</v>
      </c>
      <c r="I273">
        <f t="shared" si="12"/>
        <v>0</v>
      </c>
      <c r="J273">
        <f t="shared" si="13"/>
        <v>0</v>
      </c>
      <c r="K273" t="b">
        <f t="shared" si="14"/>
        <v>1</v>
      </c>
    </row>
    <row r="274" spans="1:11">
      <c r="A274" t="s">
        <v>776</v>
      </c>
      <c r="B274" s="1">
        <v>353</v>
      </c>
      <c r="C274">
        <f>_xlfn.XLOOKUP(A274,保证金登记!B:B,保证金登记!E:E)</f>
        <v>44585</v>
      </c>
      <c r="D274" t="str">
        <f t="array" ref="D274">_xlfn.XLOOKUP(B274,1*[2]保证金申请!$A:$A,[2]保证金申请!$C:$C)</f>
        <v>2022-01-24</v>
      </c>
      <c r="E274" t="str">
        <f>_xlfn.XLOOKUP(A274,保证金登记!B:B,保证金登记!I:I)</f>
        <v>河源市金杰环保建材有限公司</v>
      </c>
      <c r="F274" t="str">
        <f t="array" ref="F274">_xlfn.XLOOKUP(B274,1*[2]保证金申请!$A:$A,[2]保证金申请!$Q:$Q)</f>
        <v>河源市金杰环保建材有限公司</v>
      </c>
      <c r="G274">
        <f>_xlfn.XLOOKUP(A274,保证金登记!B:B,保证金登记!J:J)</f>
        <v>30000</v>
      </c>
      <c r="H274">
        <f t="array" ref="H274">_xlfn.XLOOKUP(B274,1*[2]保证金申请!$A:$A,[2]保证金申请!$K:$K)</f>
        <v>30000</v>
      </c>
      <c r="I274">
        <f t="shared" si="12"/>
        <v>0</v>
      </c>
      <c r="J274">
        <f t="shared" si="13"/>
        <v>0</v>
      </c>
      <c r="K274" t="b">
        <f t="shared" si="14"/>
        <v>1</v>
      </c>
    </row>
    <row r="275" spans="1:11">
      <c r="A275" t="s">
        <v>779</v>
      </c>
      <c r="B275" s="1">
        <v>302</v>
      </c>
      <c r="C275">
        <f>_xlfn.XLOOKUP(A275,保证金登记!B:B,保证金登记!E:E)</f>
        <v>44588</v>
      </c>
      <c r="D275" t="str">
        <f t="array" ref="D275">_xlfn.XLOOKUP(B275,1*[2]保证金申请!$A:$A,[2]保证金申请!$C:$C)</f>
        <v>2022-01-27</v>
      </c>
      <c r="E275" t="str">
        <f>_xlfn.XLOOKUP(A275,保证金登记!B:B,保证金登记!I:I)</f>
        <v>鄂钢嘉华减速机更换线上支付</v>
      </c>
      <c r="F275" t="str">
        <f t="array" ref="F275">_xlfn.XLOOKUP(B275,1*[2]保证金申请!$A:$A,[2]保证金申请!$Q:$Q)</f>
        <v>鄂钢嘉华减速机更换线上支付</v>
      </c>
      <c r="G275">
        <f>_xlfn.XLOOKUP(A275,保证金登记!B:B,保证金登记!J:J)</f>
        <v>3800</v>
      </c>
      <c r="H275">
        <f t="array" ref="H275">_xlfn.XLOOKUP(B275,1*[2]保证金申请!$A:$A,[2]保证金申请!$K:$K)</f>
        <v>3800</v>
      </c>
      <c r="I275">
        <f t="shared" si="12"/>
        <v>0</v>
      </c>
      <c r="J275">
        <f t="shared" si="13"/>
        <v>0</v>
      </c>
      <c r="K275" t="b">
        <f t="shared" si="14"/>
        <v>1</v>
      </c>
    </row>
    <row r="276" spans="1:11">
      <c r="A276" t="s">
        <v>785</v>
      </c>
      <c r="B276" s="1">
        <v>151</v>
      </c>
      <c r="C276">
        <f>_xlfn.XLOOKUP(A276,保证金登记!B:B,保证金登记!E:E)</f>
        <v>44590</v>
      </c>
      <c r="D276" t="str">
        <f t="array" ref="D276">_xlfn.XLOOKUP(B276,1*[2]保证金申请!$A:$A,[2]保证金申请!$C:$C)</f>
        <v>2022-01-29</v>
      </c>
      <c r="E276" t="str">
        <f>_xlfn.XLOOKUP(A276,保证金登记!B:B,保证金登记!I:I)</f>
        <v>云南远东亚鑫水泥有限责任公司</v>
      </c>
      <c r="F276" t="str">
        <f t="array" ref="F276">_xlfn.XLOOKUP(B276,1*[2]保证金申请!$A:$A,[2]保证金申请!$Q:$Q)</f>
        <v>云南远东亚鑫水泥有限责任公司</v>
      </c>
      <c r="G276">
        <f>_xlfn.XLOOKUP(A276,保证金登记!B:B,保证金登记!J:J)</f>
        <v>8814</v>
      </c>
      <c r="H276">
        <f t="array" ref="H276">_xlfn.XLOOKUP(B276,1*[2]保证金申请!$A:$A,[2]保证金申请!$K:$K)</f>
        <v>8814</v>
      </c>
      <c r="I276">
        <f t="shared" si="12"/>
        <v>0</v>
      </c>
      <c r="J276">
        <f t="shared" si="13"/>
        <v>0</v>
      </c>
      <c r="K276" t="b">
        <f t="shared" si="14"/>
        <v>1</v>
      </c>
    </row>
    <row r="277" spans="1:11">
      <c r="A277" t="s">
        <v>789</v>
      </c>
      <c r="B277" s="1">
        <v>354</v>
      </c>
      <c r="C277">
        <f>_xlfn.XLOOKUP(A277,保证金登记!B:B,保证金登记!E:E)</f>
        <v>44601</v>
      </c>
      <c r="D277" t="str">
        <f t="array" ref="D277">_xlfn.XLOOKUP(B277,1*[2]保证金申请!$A:$A,[2]保证金申请!$C:$C)</f>
        <v>2022-02-09</v>
      </c>
      <c r="E277" t="str">
        <f>_xlfn.XLOOKUP(A277,保证金登记!B:B,保证金登记!I:I)</f>
        <v>广东塔牌集团股份有限公司</v>
      </c>
      <c r="F277" t="str">
        <f t="array" ref="F277">_xlfn.XLOOKUP(B277,1*[2]保证金申请!$A:$A,[2]保证金申请!$Q:$Q)</f>
        <v>广东塔牌集团股份有限公司</v>
      </c>
      <c r="G277">
        <f>_xlfn.XLOOKUP(A277,保证金登记!B:B,保证金登记!J:J)</f>
        <v>50000</v>
      </c>
      <c r="H277">
        <f t="array" ref="H277">_xlfn.XLOOKUP(B277,1*[2]保证金申请!$A:$A,[2]保证金申请!$K:$K)</f>
        <v>50000</v>
      </c>
      <c r="I277">
        <f t="shared" si="12"/>
        <v>0</v>
      </c>
      <c r="J277">
        <f t="shared" si="13"/>
        <v>0</v>
      </c>
      <c r="K277" t="b">
        <f t="shared" si="14"/>
        <v>1</v>
      </c>
    </row>
    <row r="278" spans="1:11">
      <c r="A278" t="s">
        <v>793</v>
      </c>
      <c r="B278" s="1">
        <v>304</v>
      </c>
      <c r="C278">
        <f>_xlfn.XLOOKUP(A278,保证金登记!B:B,保证金登记!E:E)</f>
        <v>44602</v>
      </c>
      <c r="D278" t="str">
        <f t="array" ref="D278">_xlfn.XLOOKUP(B278,1*[2]保证金申请!$A:$A,[2]保证金申请!$C:$C)</f>
        <v>2022-02-10</v>
      </c>
      <c r="E278" t="str">
        <f>_xlfn.XLOOKUP(A278,保证金登记!B:B,保证金登记!I:I)</f>
        <v>北京金隅琉水环保科技有限公司</v>
      </c>
      <c r="F278" t="str">
        <f t="array" ref="F278">_xlfn.XLOOKUP(B278,1*[2]保证金申请!$A:$A,[2]保证金申请!$Q:$Q)</f>
        <v>北京金隅琉水环保科技有限公司</v>
      </c>
      <c r="G278">
        <f>_xlfn.XLOOKUP(A278,保证金登记!B:B,保证金登记!J:J)</f>
        <v>10000</v>
      </c>
      <c r="H278">
        <f t="array" ref="H278">_xlfn.XLOOKUP(B278,1*[2]保证金申请!$A:$A,[2]保证金申请!$K:$K)</f>
        <v>10000</v>
      </c>
      <c r="I278">
        <f t="shared" si="12"/>
        <v>0</v>
      </c>
      <c r="J278">
        <f t="shared" si="13"/>
        <v>0</v>
      </c>
      <c r="K278" t="b">
        <f t="shared" si="14"/>
        <v>1</v>
      </c>
    </row>
    <row r="279" spans="1:11">
      <c r="A279" t="s">
        <v>796</v>
      </c>
      <c r="B279" s="1">
        <v>152</v>
      </c>
      <c r="C279">
        <f>_xlfn.XLOOKUP(A279,保证金登记!B:B,保证金登记!E:E)</f>
        <v>44606</v>
      </c>
      <c r="D279" t="str">
        <f t="array" ref="D279">_xlfn.XLOOKUP(B279,1*[2]保证金申请!$A:$A,[2]保证金申请!$C:$C)</f>
        <v>2022-02-14</v>
      </c>
      <c r="E279" t="str">
        <f>_xlfn.XLOOKUP(A279,保证金登记!B:B,保证金登记!I:I)</f>
        <v>山东泰山钢铁集团有限公司</v>
      </c>
      <c r="F279" t="str">
        <f t="array" ref="F279">_xlfn.XLOOKUP(B279,1*[2]保证金申请!$A:$A,[2]保证金申请!$Q:$Q)</f>
        <v>山东泰山钢铁集团有限公司</v>
      </c>
      <c r="G279">
        <f>_xlfn.XLOOKUP(A279,保证金登记!B:B,保证金登记!J:J)</f>
        <v>5000</v>
      </c>
      <c r="H279">
        <f t="array" ref="H279">_xlfn.XLOOKUP(B279,1*[2]保证金申请!$A:$A,[2]保证金申请!$K:$K)</f>
        <v>5000</v>
      </c>
      <c r="I279">
        <f t="shared" si="12"/>
        <v>0</v>
      </c>
      <c r="J279">
        <f t="shared" si="13"/>
        <v>0</v>
      </c>
      <c r="K279" t="b">
        <f t="shared" si="14"/>
        <v>1</v>
      </c>
    </row>
    <row r="280" spans="1:11">
      <c r="A280" t="s">
        <v>799</v>
      </c>
      <c r="B280" s="1">
        <v>153</v>
      </c>
      <c r="C280">
        <f>_xlfn.XLOOKUP(A280,保证金登记!B:B,保证金登记!E:E)</f>
        <v>44607</v>
      </c>
      <c r="D280" t="str">
        <f t="array" ref="D280">_xlfn.XLOOKUP(B280,1*[2]保证金申请!$A:$A,[2]保证金申请!$C:$C)</f>
        <v>2022-02-15</v>
      </c>
      <c r="E280" t="str">
        <f>_xlfn.XLOOKUP(A280,保证金登记!B:B,保证金登记!I:I)</f>
        <v>湖南骏泰新材料有限责任公司</v>
      </c>
      <c r="F280" t="str">
        <f t="array" ref="F280">_xlfn.XLOOKUP(B280,1*[2]保证金申请!$A:$A,[2]保证金申请!$Q:$Q)</f>
        <v>湖南骏泰新材料有限责任公司</v>
      </c>
      <c r="G280">
        <f>_xlfn.XLOOKUP(A280,保证金登记!B:B,保证金登记!J:J)</f>
        <v>5000</v>
      </c>
      <c r="H280">
        <f t="array" ref="H280">_xlfn.XLOOKUP(B280,1*[2]保证金申请!$A:$A,[2]保证金申请!$K:$K)</f>
        <v>5000</v>
      </c>
      <c r="I280">
        <f t="shared" si="12"/>
        <v>0</v>
      </c>
      <c r="J280">
        <f t="shared" si="13"/>
        <v>0</v>
      </c>
      <c r="K280" t="b">
        <f t="shared" si="14"/>
        <v>1</v>
      </c>
    </row>
    <row r="281" spans="1:11">
      <c r="A281" t="s">
        <v>802</v>
      </c>
      <c r="B281" s="1">
        <v>154</v>
      </c>
      <c r="C281">
        <f>_xlfn.XLOOKUP(A281,保证金登记!B:B,保证金登记!E:E)</f>
        <v>44607</v>
      </c>
      <c r="D281" t="str">
        <f t="array" ref="D281">_xlfn.XLOOKUP(B281,1*[2]保证金申请!$A:$A,[2]保证金申请!$C:$C)</f>
        <v>2022-02-15</v>
      </c>
      <c r="E281" t="str">
        <f>_xlfn.XLOOKUP(A281,保证金登记!B:B,保证金登记!I:I)</f>
        <v>云南普洱西南水泥有限公司</v>
      </c>
      <c r="F281" t="str">
        <f t="array" ref="F281">_xlfn.XLOOKUP(B281,1*[2]保证金申请!$A:$A,[2]保证金申请!$Q:$Q)</f>
        <v>云南普洱西南水泥有限公司</v>
      </c>
      <c r="G281">
        <f>_xlfn.XLOOKUP(A281,保证金登记!B:B,保证金登记!J:J)</f>
        <v>6000</v>
      </c>
      <c r="H281">
        <f t="array" ref="H281">_xlfn.XLOOKUP(B281,1*[2]保证金申请!$A:$A,[2]保证金申请!$K:$K)</f>
        <v>6000</v>
      </c>
      <c r="I281">
        <f t="shared" si="12"/>
        <v>0</v>
      </c>
      <c r="J281">
        <f t="shared" si="13"/>
        <v>0</v>
      </c>
      <c r="K281" t="b">
        <f t="shared" si="14"/>
        <v>1</v>
      </c>
    </row>
    <row r="282" spans="1:11">
      <c r="A282" t="s">
        <v>803</v>
      </c>
      <c r="B282" s="1">
        <v>156</v>
      </c>
      <c r="C282">
        <f>_xlfn.XLOOKUP(A282,保证金登记!B:B,保证金登记!E:E)</f>
        <v>44608</v>
      </c>
      <c r="D282" t="str">
        <f t="array" ref="D282">_xlfn.XLOOKUP(B282,1*[2]保证金申请!$A:$A,[2]保证金申请!$C:$C)</f>
        <v>2022-02-16</v>
      </c>
      <c r="E282" t="str">
        <f>_xlfn.XLOOKUP(A282,保证金登记!B:B,保证金登记!I:I)</f>
        <v>山东泰山钢铁集团有限公司</v>
      </c>
      <c r="F282" t="str">
        <f t="array" ref="F282">_xlfn.XLOOKUP(B282,1*[2]保证金申请!$A:$A,[2]保证金申请!$Q:$Q)</f>
        <v>山东泰山钢铁集团有限公司</v>
      </c>
      <c r="G282">
        <f>_xlfn.XLOOKUP(A282,保证金登记!B:B,保证金登记!J:J)</f>
        <v>5000</v>
      </c>
      <c r="H282">
        <f t="array" ref="H282">_xlfn.XLOOKUP(B282,1*[2]保证金申请!$A:$A,[2]保证金申请!$K:$K)</f>
        <v>5000</v>
      </c>
      <c r="I282">
        <f t="shared" si="12"/>
        <v>0</v>
      </c>
      <c r="J282">
        <f t="shared" si="13"/>
        <v>0</v>
      </c>
      <c r="K282" t="b">
        <f t="shared" si="14"/>
        <v>1</v>
      </c>
    </row>
    <row r="283" spans="1:11">
      <c r="A283" t="s">
        <v>804</v>
      </c>
      <c r="B283" s="1">
        <v>155</v>
      </c>
      <c r="C283">
        <f>_xlfn.XLOOKUP(A283,保证金登记!B:B,保证金登记!E:E)</f>
        <v>44609</v>
      </c>
      <c r="D283" t="str">
        <f t="array" ref="D283">_xlfn.XLOOKUP(B283,1*[2]保证金申请!$A:$A,[2]保证金申请!$C:$C)</f>
        <v>2022-02-17</v>
      </c>
      <c r="E283" t="str">
        <f>_xlfn.XLOOKUP(A283,保证金登记!B:B,保证金登记!I:I)</f>
        <v>山东泰山钢铁集团有限公司</v>
      </c>
      <c r="F283" t="str">
        <f t="array" ref="F283">_xlfn.XLOOKUP(B283,1*[2]保证金申请!$A:$A,[2]保证金申请!$Q:$Q)</f>
        <v>山东泰山钢铁集团有限公司</v>
      </c>
      <c r="G283">
        <f>_xlfn.XLOOKUP(A283,保证金登记!B:B,保证金登记!J:J)</f>
        <v>5000</v>
      </c>
      <c r="H283">
        <f t="array" ref="H283">_xlfn.XLOOKUP(B283,1*[2]保证金申请!$A:$A,[2]保证金申请!$K:$K)</f>
        <v>5000</v>
      </c>
      <c r="I283">
        <f t="shared" si="12"/>
        <v>0</v>
      </c>
      <c r="J283">
        <f t="shared" si="13"/>
        <v>0</v>
      </c>
      <c r="K283" t="b">
        <f t="shared" si="14"/>
        <v>1</v>
      </c>
    </row>
    <row r="284" spans="1:11">
      <c r="A284" t="s">
        <v>805</v>
      </c>
      <c r="B284" s="1">
        <v>157</v>
      </c>
      <c r="C284">
        <f>_xlfn.XLOOKUP(A284,保证金登记!B:B,保证金登记!E:E)</f>
        <v>44609</v>
      </c>
      <c r="D284" t="str">
        <f t="array" ref="D284">_xlfn.XLOOKUP(B284,1*[2]保证金申请!$A:$A,[2]保证金申请!$C:$C)</f>
        <v>2022-02-17</v>
      </c>
      <c r="E284" t="str">
        <f>_xlfn.XLOOKUP(A284,保证金登记!B:B,保证金登记!I:I)</f>
        <v>曲阜中联水泥有限公司</v>
      </c>
      <c r="F284" t="str">
        <f t="array" ref="F284">_xlfn.XLOOKUP(B284,1*[2]保证金申请!$A:$A,[2]保证金申请!$Q:$Q)</f>
        <v>曲阜中联水泥有限公司</v>
      </c>
      <c r="G284">
        <f>_xlfn.XLOOKUP(A284,保证金登记!B:B,保证金登记!J:J)</f>
        <v>5000</v>
      </c>
      <c r="H284">
        <f t="array" ref="H284">_xlfn.XLOOKUP(B284,1*[2]保证金申请!$A:$A,[2]保证金申请!$K:$K)</f>
        <v>5000</v>
      </c>
      <c r="I284">
        <f t="shared" si="12"/>
        <v>0</v>
      </c>
      <c r="J284">
        <f t="shared" si="13"/>
        <v>0</v>
      </c>
      <c r="K284" t="b">
        <f t="shared" si="14"/>
        <v>1</v>
      </c>
    </row>
    <row r="285" spans="1:11">
      <c r="A285" t="s">
        <v>808</v>
      </c>
      <c r="B285" s="1">
        <v>305</v>
      </c>
      <c r="C285">
        <f>_xlfn.XLOOKUP(A285,保证金登记!B:B,保证金登记!E:E)</f>
        <v>44609</v>
      </c>
      <c r="D285" t="str">
        <f t="array" ref="D285">_xlfn.XLOOKUP(B285,1*[2]保证金申请!$A:$A,[2]保证金申请!$C:$C)</f>
        <v>2022-02-17</v>
      </c>
      <c r="E285" t="str">
        <f>_xlfn.XLOOKUP(A285,保证金登记!B:B,保证金登记!I:I)</f>
        <v>安徽华塑股份有限公司</v>
      </c>
      <c r="F285" t="str">
        <f t="array" ref="F285">_xlfn.XLOOKUP(B285,1*[2]保证金申请!$A:$A,[2]保证金申请!$Q:$Q)</f>
        <v>安徽华塑股份有限公司</v>
      </c>
      <c r="G285">
        <f>_xlfn.XLOOKUP(A285,保证金登记!B:B,保证金登记!J:J)</f>
        <v>20000</v>
      </c>
      <c r="H285">
        <f t="array" ref="H285">_xlfn.XLOOKUP(B285,1*[2]保证金申请!$A:$A,[2]保证金申请!$K:$K)</f>
        <v>20000</v>
      </c>
      <c r="I285">
        <f t="shared" si="12"/>
        <v>0</v>
      </c>
      <c r="J285">
        <f t="shared" si="13"/>
        <v>0</v>
      </c>
      <c r="K285" t="b">
        <f t="shared" si="14"/>
        <v>1</v>
      </c>
    </row>
    <row r="286" spans="1:11">
      <c r="A286" t="s">
        <v>813</v>
      </c>
      <c r="B286" s="1">
        <v>306</v>
      </c>
      <c r="C286">
        <f>_xlfn.XLOOKUP(A286,保证金登记!B:B,保证金登记!E:E)</f>
        <v>44615</v>
      </c>
      <c r="D286" t="str">
        <f t="array" ref="D286">_xlfn.XLOOKUP(B286,1*[2]保证金申请!$A:$A,[2]保证金申请!$C:$C)</f>
        <v>2022-02-23</v>
      </c>
      <c r="E286">
        <f>_xlfn.XLOOKUP(A286,保证金登记!B:B,保证金登记!I:I)</f>
        <v>0</v>
      </c>
      <c r="F286" t="str">
        <f t="array" ref="F286">_xlfn.XLOOKUP(B286,1*[2]保证金申请!$A:$A,[2]保证金申请!$Q:$Q)</f>
        <v>安徽华塑股份有限公司水泥分公司</v>
      </c>
      <c r="G286">
        <f>_xlfn.XLOOKUP(A286,保证金登记!B:B,保证金登记!J:J)</f>
        <v>40000</v>
      </c>
      <c r="H286">
        <f t="array" ref="H286">_xlfn.XLOOKUP(B286,1*[2]保证金申请!$A:$A,[2]保证金申请!$K:$K)</f>
        <v>40000</v>
      </c>
      <c r="I286">
        <f t="shared" si="12"/>
        <v>0</v>
      </c>
      <c r="J286">
        <f t="shared" si="13"/>
        <v>0</v>
      </c>
      <c r="K286" t="b">
        <f t="shared" si="14"/>
        <v>0</v>
      </c>
    </row>
    <row r="287" spans="1:11">
      <c r="A287" t="s">
        <v>814</v>
      </c>
      <c r="B287" s="1">
        <v>307</v>
      </c>
      <c r="C287">
        <f>_xlfn.XLOOKUP(A287,保证金登记!B:B,保证金登记!E:E)</f>
        <v>44615</v>
      </c>
      <c r="D287" t="str">
        <f t="array" ref="D287">_xlfn.XLOOKUP(B287,1*[2]保证金申请!$A:$A,[2]保证金申请!$C:$C)</f>
        <v>2022-02-23</v>
      </c>
      <c r="E287" t="str">
        <f>_xlfn.XLOOKUP(A287,保证金登记!B:B,保证金登记!I:I)</f>
        <v>山西省中条山新型建材有限公司</v>
      </c>
      <c r="F287" t="str">
        <f t="array" ref="F287">_xlfn.XLOOKUP(B287,1*[2]保证金申请!$A:$A,[2]保证金申请!$Q:$Q)</f>
        <v>山西省中条山新型建材有限公司</v>
      </c>
      <c r="G287">
        <f>_xlfn.XLOOKUP(A287,保证金登记!B:B,保证金登记!J:J)</f>
        <v>10000</v>
      </c>
      <c r="H287">
        <f t="array" ref="H287">_xlfn.XLOOKUP(B287,1*[2]保证金申请!$A:$A,[2]保证金申请!$K:$K)</f>
        <v>10000</v>
      </c>
      <c r="I287">
        <f t="shared" si="12"/>
        <v>0</v>
      </c>
      <c r="J287">
        <f t="shared" si="13"/>
        <v>0</v>
      </c>
      <c r="K287" t="b">
        <f t="shared" si="14"/>
        <v>1</v>
      </c>
    </row>
    <row r="288" spans="1:11">
      <c r="A288" t="s">
        <v>816</v>
      </c>
      <c r="B288" s="1">
        <v>158</v>
      </c>
      <c r="C288">
        <f>_xlfn.XLOOKUP(A288,保证金登记!B:B,保证金登记!E:E)</f>
        <v>44617</v>
      </c>
      <c r="D288" t="str">
        <f t="array" ref="D288">_xlfn.XLOOKUP(B288,1*[2]保证金申请!$A:$A,[2]保证金申请!$C:$C)</f>
        <v>2022-02-25</v>
      </c>
      <c r="E288" t="str">
        <f>_xlfn.XLOOKUP(A288,保证金登记!B:B,保证金登记!I:I)</f>
        <v>云南远东水泥有限公司</v>
      </c>
      <c r="F288" t="str">
        <f t="array" ref="F288">_xlfn.XLOOKUP(B288,1*[2]保证金申请!$A:$A,[2]保证金申请!$Q:$Q)</f>
        <v>云南远东水泥有限公司</v>
      </c>
      <c r="G288">
        <f>_xlfn.XLOOKUP(A288,保证金登记!B:B,保证金登记!J:J)</f>
        <v>10000</v>
      </c>
      <c r="H288">
        <f t="array" ref="H288">_xlfn.XLOOKUP(B288,1*[2]保证金申请!$A:$A,[2]保证金申请!$K:$K)</f>
        <v>10000</v>
      </c>
      <c r="I288">
        <f t="shared" si="12"/>
        <v>0</v>
      </c>
      <c r="J288">
        <f t="shared" si="13"/>
        <v>0</v>
      </c>
      <c r="K288" t="b">
        <f t="shared" si="14"/>
        <v>1</v>
      </c>
    </row>
    <row r="289" spans="1:11">
      <c r="A289" t="s">
        <v>819</v>
      </c>
      <c r="B289" s="1">
        <v>159</v>
      </c>
      <c r="C289">
        <f>_xlfn.XLOOKUP(A289,保证金登记!B:B,保证金登记!E:E)</f>
        <v>44617</v>
      </c>
      <c r="D289" t="str">
        <f t="array" ref="D289">_xlfn.XLOOKUP(B289,1*[2]保证金申请!$A:$A,[2]保证金申请!$C:$C)</f>
        <v>2022-02-25</v>
      </c>
      <c r="E289" t="str">
        <f>_xlfn.XLOOKUP(A289,保证金登记!B:B,保证金登记!I:I)</f>
        <v>新兴铸管股份有限公司</v>
      </c>
      <c r="F289" t="str">
        <f t="array" ref="F289">_xlfn.XLOOKUP(B289,1*[2]保证金申请!$A:$A,[2]保证金申请!$Q:$Q)</f>
        <v>新兴铸管股份有限公司</v>
      </c>
      <c r="G289">
        <f>_xlfn.XLOOKUP(A289,保证金登记!B:B,保证金登记!J:J)</f>
        <v>500000</v>
      </c>
      <c r="H289">
        <f t="array" ref="H289">_xlfn.XLOOKUP(B289,1*[2]保证金申请!$A:$A,[2]保证金申请!$K:$K)</f>
        <v>500000</v>
      </c>
      <c r="I289">
        <f t="shared" si="12"/>
        <v>0</v>
      </c>
      <c r="J289">
        <f t="shared" si="13"/>
        <v>0</v>
      </c>
      <c r="K289" t="b">
        <f t="shared" si="14"/>
        <v>1</v>
      </c>
    </row>
    <row r="290" spans="1:11">
      <c r="A290" t="s">
        <v>826</v>
      </c>
      <c r="B290" s="1">
        <v>160</v>
      </c>
      <c r="C290">
        <f>_xlfn.XLOOKUP(A290,保证金登记!B:B,保证金登记!E:E)</f>
        <v>44620</v>
      </c>
      <c r="D290" t="str">
        <f t="array" ref="D290">_xlfn.XLOOKUP(B290,1*[2]保证金申请!$A:$A,[2]保证金申请!$C:$C)</f>
        <v>2022-02-28</v>
      </c>
      <c r="E290" t="str">
        <f>_xlfn.XLOOKUP(A290,保证金登记!B:B,保证金登记!I:I)</f>
        <v>会东利森水泥有限公司</v>
      </c>
      <c r="F290" t="str">
        <f t="array" ref="F290">_xlfn.XLOOKUP(B290,1*[2]保证金申请!$A:$A,[2]保证金申请!$Q:$Q)</f>
        <v>会东利森水泥有限公司</v>
      </c>
      <c r="G290">
        <f>_xlfn.XLOOKUP(A290,保证金登记!B:B,保证金登记!J:J)</f>
        <v>2000</v>
      </c>
      <c r="H290">
        <f t="array" ref="H290">_xlfn.XLOOKUP(B290,1*[2]保证金申请!$A:$A,[2]保证金申请!$K:$K)</f>
        <v>2000</v>
      </c>
      <c r="I290">
        <f t="shared" si="12"/>
        <v>0</v>
      </c>
      <c r="J290">
        <f t="shared" si="13"/>
        <v>0</v>
      </c>
      <c r="K290" t="b">
        <f t="shared" si="14"/>
        <v>1</v>
      </c>
    </row>
    <row r="291" spans="1:11">
      <c r="A291" t="s">
        <v>827</v>
      </c>
      <c r="B291" s="1">
        <v>161</v>
      </c>
      <c r="C291">
        <f>_xlfn.XLOOKUP(A291,保证金登记!B:B,保证金登记!E:E)</f>
        <v>44622</v>
      </c>
      <c r="D291" t="str">
        <f t="array" ref="D291">_xlfn.XLOOKUP(B291,1*[2]保证金申请!$A:$A,[2]保证金申请!$C:$C)</f>
        <v>2022-03-02</v>
      </c>
      <c r="E291" t="str">
        <f>_xlfn.XLOOKUP(A291,保证金登记!B:B,保证金登记!I:I)</f>
        <v>河南晋开化工投资控股集团有限责任公司</v>
      </c>
      <c r="F291" t="str">
        <f t="array" ref="F291">_xlfn.XLOOKUP(B291,1*[2]保证金申请!$A:$A,[2]保证金申请!$Q:$Q)</f>
        <v>河南晋开化工投资控股集团有限责任公司</v>
      </c>
      <c r="G291">
        <f>_xlfn.XLOOKUP(A291,保证金登记!B:B,保证金登记!J:J)</f>
        <v>3000</v>
      </c>
      <c r="H291">
        <f t="array" ref="H291">_xlfn.XLOOKUP(B291,1*[2]保证金申请!$A:$A,[2]保证金申请!$K:$K)</f>
        <v>3000</v>
      </c>
      <c r="I291">
        <f t="shared" si="12"/>
        <v>0</v>
      </c>
      <c r="J291">
        <f t="shared" si="13"/>
        <v>0</v>
      </c>
      <c r="K291" t="b">
        <f t="shared" si="14"/>
        <v>1</v>
      </c>
    </row>
    <row r="292" spans="1:11">
      <c r="A292" t="s">
        <v>830</v>
      </c>
      <c r="B292" s="1">
        <v>162</v>
      </c>
      <c r="C292">
        <f>_xlfn.XLOOKUP(A292,保证金登记!B:B,保证金登记!E:E)</f>
        <v>44623</v>
      </c>
      <c r="D292" t="str">
        <f t="array" ref="D292">_xlfn.XLOOKUP(B292,1*[2]保证金申请!$A:$A,[2]保证金申请!$C:$C)</f>
        <v>2022-03-03</v>
      </c>
      <c r="E292" t="str">
        <f>_xlfn.XLOOKUP(A292,保证金登记!B:B,保证金登记!I:I)</f>
        <v>重庆长寿西南水泥有限公司</v>
      </c>
      <c r="F292" t="str">
        <f t="array" ref="F292">_xlfn.XLOOKUP(B292,1*[2]保证金申请!$A:$A,[2]保证金申请!$Q:$Q)</f>
        <v>重庆长寿西南水泥有限公司</v>
      </c>
      <c r="G292">
        <f>_xlfn.XLOOKUP(A292,保证金登记!B:B,保证金登记!J:J)</f>
        <v>3000</v>
      </c>
      <c r="H292">
        <f t="array" ref="H292">_xlfn.XLOOKUP(B292,1*[2]保证金申请!$A:$A,[2]保证金申请!$K:$K)</f>
        <v>3000</v>
      </c>
      <c r="I292">
        <f t="shared" si="12"/>
        <v>0</v>
      </c>
      <c r="J292">
        <f t="shared" si="13"/>
        <v>0</v>
      </c>
      <c r="K292" t="b">
        <f t="shared" si="14"/>
        <v>1</v>
      </c>
    </row>
    <row r="293" spans="1:11">
      <c r="A293" t="s">
        <v>831</v>
      </c>
      <c r="B293" s="1">
        <v>309</v>
      </c>
      <c r="C293">
        <f>_xlfn.XLOOKUP(A293,保证金登记!B:B,保证金登记!E:E)</f>
        <v>44624</v>
      </c>
      <c r="D293" t="str">
        <f t="array" ref="D293">_xlfn.XLOOKUP(B293,1*[2]保证金申请!$A:$A,[2]保证金申请!$C:$C)</f>
        <v>2022-03-04</v>
      </c>
      <c r="E293" t="str">
        <f>_xlfn.XLOOKUP(A293,保证金登记!B:B,保证金登记!I:I)</f>
        <v>江苏磊达股份有限公司</v>
      </c>
      <c r="F293" t="str">
        <f t="array" ref="F293">_xlfn.XLOOKUP(B293,1*[2]保证金申请!$A:$A,[2]保证金申请!$Q:$Q)</f>
        <v>江苏磊达股份有限公司</v>
      </c>
      <c r="G293">
        <f>_xlfn.XLOOKUP(A293,保证金登记!B:B,保证金登记!J:J)</f>
        <v>2000</v>
      </c>
      <c r="H293">
        <f t="array" ref="H293">_xlfn.XLOOKUP(B293,1*[2]保证金申请!$A:$A,[2]保证金申请!$K:$K)</f>
        <v>2000</v>
      </c>
      <c r="I293">
        <f t="shared" si="12"/>
        <v>0</v>
      </c>
      <c r="J293">
        <f t="shared" si="13"/>
        <v>0</v>
      </c>
      <c r="K293" t="b">
        <f t="shared" si="14"/>
        <v>1</v>
      </c>
    </row>
    <row r="294" spans="1:11">
      <c r="A294" t="s">
        <v>833</v>
      </c>
      <c r="B294" s="1">
        <v>310</v>
      </c>
      <c r="C294">
        <f>_xlfn.XLOOKUP(A294,保证金登记!B:B,保证金登记!E:E)</f>
        <v>44627</v>
      </c>
      <c r="D294" t="str">
        <f t="array" ref="D294">_xlfn.XLOOKUP(B294,1*[2]保证金申请!$A:$A,[2]保证金申请!$C:$C)</f>
        <v>2022-03-07</v>
      </c>
      <c r="E294" t="str">
        <f>_xlfn.XLOOKUP(A294,保证金登记!B:B,保证金登记!I:I)</f>
        <v>仁寿县汪洋建宝水泥有限公司广石分公司</v>
      </c>
      <c r="F294" t="str">
        <f t="array" ref="F294">_xlfn.XLOOKUP(B294,1*[2]保证金申请!$A:$A,[2]保证金申请!$Q:$Q)</f>
        <v>仁寿县汪洋建宝水泥有限公司广石分公司</v>
      </c>
      <c r="G294">
        <f>_xlfn.XLOOKUP(A294,保证金登记!B:B,保证金登记!J:J)</f>
        <v>17000</v>
      </c>
      <c r="H294">
        <f t="array" ref="H294">_xlfn.XLOOKUP(B294,1*[2]保证金申请!$A:$A,[2]保证金申请!$K:$K)</f>
        <v>17000</v>
      </c>
      <c r="I294">
        <f t="shared" si="12"/>
        <v>0</v>
      </c>
      <c r="J294">
        <f t="shared" si="13"/>
        <v>0</v>
      </c>
      <c r="K294" t="b">
        <f t="shared" si="14"/>
        <v>1</v>
      </c>
    </row>
    <row r="295" spans="1:11">
      <c r="A295" t="s">
        <v>837</v>
      </c>
      <c r="B295" s="1">
        <v>163</v>
      </c>
      <c r="C295">
        <f>_xlfn.XLOOKUP(A295,保证金登记!B:B,保证金登记!E:E)</f>
        <v>44630</v>
      </c>
      <c r="D295" t="str">
        <f t="array" ref="D295">_xlfn.XLOOKUP(B295,1*[2]保证金申请!$A:$A,[2]保证金申请!$C:$C)</f>
        <v>2022-03-10</v>
      </c>
      <c r="E295" t="str">
        <f>_xlfn.XLOOKUP(A295,保证金登记!B:B,保证金登记!I:I)</f>
        <v>新洋丰农业科技股份有限公司</v>
      </c>
      <c r="F295" t="str">
        <f t="array" ref="F295">_xlfn.XLOOKUP(B295,1*[2]保证金申请!$A:$A,[2]保证金申请!$Q:$Q)</f>
        <v>新洋丰农业科技股份有限公司</v>
      </c>
      <c r="G295">
        <f>_xlfn.XLOOKUP(A295,保证金登记!B:B,保证金登记!J:J)</f>
        <v>2000</v>
      </c>
      <c r="H295">
        <f t="array" ref="H295">_xlfn.XLOOKUP(B295,1*[2]保证金申请!$A:$A,[2]保证金申请!$K:$K)</f>
        <v>2000</v>
      </c>
      <c r="I295">
        <f t="shared" si="12"/>
        <v>0</v>
      </c>
      <c r="J295">
        <f t="shared" si="13"/>
        <v>0</v>
      </c>
      <c r="K295" t="b">
        <f t="shared" si="14"/>
        <v>1</v>
      </c>
    </row>
    <row r="296" spans="1:11">
      <c r="A296" t="s">
        <v>840</v>
      </c>
      <c r="B296" s="1">
        <v>311</v>
      </c>
      <c r="C296">
        <f>_xlfn.XLOOKUP(A296,保证金登记!B:B,保证金登记!E:E)</f>
        <v>44631</v>
      </c>
      <c r="D296" t="str">
        <f t="array" ref="D296">_xlfn.XLOOKUP(B296,1*[2]保证金申请!$A:$A,[2]保证金申请!$C:$C)</f>
        <v>2022-03-11</v>
      </c>
      <c r="E296" t="str">
        <f>_xlfn.XLOOKUP(A296,保证金登记!B:B,保证金登记!I:I)</f>
        <v>广东清新水泥有限公司</v>
      </c>
      <c r="F296" t="str">
        <f t="array" ref="F296">_xlfn.XLOOKUP(B296,1*[2]保证金申请!$A:$A,[2]保证金申请!$Q:$Q)</f>
        <v>广东清新水泥有限公司</v>
      </c>
      <c r="G296">
        <f>_xlfn.XLOOKUP(A296,保证金登记!B:B,保证金登记!J:J)</f>
        <v>80000</v>
      </c>
      <c r="H296">
        <f t="array" ref="H296">_xlfn.XLOOKUP(B296,1*[2]保证金申请!$A:$A,[2]保证金申请!$K:$K)</f>
        <v>80000</v>
      </c>
      <c r="I296">
        <f t="shared" si="12"/>
        <v>0</v>
      </c>
      <c r="J296">
        <f t="shared" si="13"/>
        <v>0</v>
      </c>
      <c r="K296" t="b">
        <f t="shared" si="14"/>
        <v>1</v>
      </c>
    </row>
    <row r="297" spans="1:11">
      <c r="A297" t="s">
        <v>843</v>
      </c>
      <c r="B297" s="1">
        <v>165</v>
      </c>
      <c r="C297">
        <f>_xlfn.XLOOKUP(A297,保证金登记!B:B,保证金登记!E:E)</f>
        <v>44635</v>
      </c>
      <c r="D297" t="str">
        <f t="array" ref="D297">_xlfn.XLOOKUP(B297,1*[2]保证金申请!$A:$A,[2]保证金申请!$C:$C)</f>
        <v>2022-03-15</v>
      </c>
      <c r="E297" t="str">
        <f>_xlfn.XLOOKUP(A297,保证金登记!B:B,保证金登记!I:I)</f>
        <v>青州中联水泥有限公司</v>
      </c>
      <c r="F297" t="str">
        <f t="array" ref="F297">_xlfn.XLOOKUP(B297,1*[2]保证金申请!$A:$A,[2]保证金申请!$Q:$Q)</f>
        <v>青州中联水泥有限公司</v>
      </c>
      <c r="G297">
        <f>_xlfn.XLOOKUP(A297,保证金登记!B:B,保证金登记!J:J)</f>
        <v>5000</v>
      </c>
      <c r="H297">
        <f t="array" ref="H297">_xlfn.XLOOKUP(B297,1*[2]保证金申请!$A:$A,[2]保证金申请!$K:$K)</f>
        <v>5000</v>
      </c>
      <c r="I297">
        <f t="shared" si="12"/>
        <v>0</v>
      </c>
      <c r="J297">
        <f t="shared" si="13"/>
        <v>0</v>
      </c>
      <c r="K297" t="b">
        <f t="shared" si="14"/>
        <v>1</v>
      </c>
    </row>
    <row r="298" spans="1:11">
      <c r="A298" t="s">
        <v>847</v>
      </c>
      <c r="B298" s="1">
        <v>164</v>
      </c>
      <c r="C298">
        <f>_xlfn.XLOOKUP(A298,保证金登记!B:B,保证金登记!E:E)</f>
        <v>44636</v>
      </c>
      <c r="D298" t="str">
        <f t="array" ref="D298">_xlfn.XLOOKUP(B298,1*[2]保证金申请!$A:$A,[2]保证金申请!$C:$C)</f>
        <v>2022-03-16</v>
      </c>
      <c r="E298" t="str">
        <f>_xlfn.XLOOKUP(A298,保证金登记!B:B,保证金登记!I:I)</f>
        <v>山东鲁泰环保建材有限公司</v>
      </c>
      <c r="F298" t="str">
        <f t="array" ref="F298">_xlfn.XLOOKUP(B298,1*[2]保证金申请!$A:$A,[2]保证金申请!$Q:$Q)</f>
        <v>山东鲁泰环保建材有限公司</v>
      </c>
      <c r="G298">
        <f>_xlfn.XLOOKUP(A298,保证金登记!B:B,保证金登记!J:J)</f>
        <v>9000</v>
      </c>
      <c r="H298">
        <f t="array" ref="H298">_xlfn.XLOOKUP(B298,1*[2]保证金申请!$A:$A,[2]保证金申请!$K:$K)</f>
        <v>9000</v>
      </c>
      <c r="I298">
        <f t="shared" si="12"/>
        <v>0</v>
      </c>
      <c r="J298">
        <f t="shared" si="13"/>
        <v>0</v>
      </c>
      <c r="K298" t="b">
        <f t="shared" si="14"/>
        <v>1</v>
      </c>
    </row>
    <row r="299" spans="1:11">
      <c r="A299" t="s">
        <v>848</v>
      </c>
      <c r="B299" s="1">
        <v>166</v>
      </c>
      <c r="C299">
        <f>_xlfn.XLOOKUP(A299,保证金登记!B:B,保证金登记!E:E)</f>
        <v>44643</v>
      </c>
      <c r="D299" t="str">
        <f t="array" ref="D299">_xlfn.XLOOKUP(B299,1*[2]保证金申请!$A:$A,[2]保证金申请!$C:$C)</f>
        <v>2022-03-23</v>
      </c>
      <c r="E299" t="str">
        <f>_xlfn.XLOOKUP(A299,保证金登记!B:B,保证金登记!I:I)</f>
        <v>冀东水泥（烟台）有限责任公司</v>
      </c>
      <c r="F299" t="str">
        <f t="array" ref="F299">_xlfn.XLOOKUP(B299,1*[2]保证金申请!$A:$A,[2]保证金申请!$Q:$Q)</f>
        <v>冀东水泥（烟台）有限责任公司</v>
      </c>
      <c r="G299">
        <f>_xlfn.XLOOKUP(A299,保证金登记!B:B,保证金登记!J:J)</f>
        <v>3000</v>
      </c>
      <c r="H299">
        <f t="array" ref="H299">_xlfn.XLOOKUP(B299,1*[2]保证金申请!$A:$A,[2]保证金申请!$K:$K)</f>
        <v>3000</v>
      </c>
      <c r="I299">
        <f t="shared" si="12"/>
        <v>0</v>
      </c>
      <c r="J299">
        <f t="shared" si="13"/>
        <v>0</v>
      </c>
      <c r="K299" t="b">
        <f t="shared" si="14"/>
        <v>1</v>
      </c>
    </row>
    <row r="300" spans="1:11">
      <c r="A300" t="s">
        <v>850</v>
      </c>
      <c r="B300" s="1">
        <v>313</v>
      </c>
      <c r="C300">
        <f>_xlfn.XLOOKUP(A300,保证金登记!B:B,保证金登记!E:E)</f>
        <v>44643</v>
      </c>
      <c r="D300" t="str">
        <f t="array" ref="D300">_xlfn.XLOOKUP(B300,1*[2]保证金申请!$A:$A,[2]保证金申请!$C:$C)</f>
        <v>2022-03-23</v>
      </c>
      <c r="E300" t="str">
        <f>_xlfn.XLOOKUP(A300,保证金登记!B:B,保证金登记!I:I)</f>
        <v>日照钢铁有限公司</v>
      </c>
      <c r="F300" t="str">
        <f t="array" ref="F300">_xlfn.XLOOKUP(B300,1*[2]保证金申请!$A:$A,[2]保证金申请!$Q:$Q)</f>
        <v>日照钢铁有限公司</v>
      </c>
      <c r="G300">
        <f>_xlfn.XLOOKUP(A300,保证金登记!B:B,保证金登记!J:J)</f>
        <v>10000</v>
      </c>
      <c r="H300">
        <f t="array" ref="H300">_xlfn.XLOOKUP(B300,1*[2]保证金申请!$A:$A,[2]保证金申请!$K:$K)</f>
        <v>10000</v>
      </c>
      <c r="I300">
        <f t="shared" si="12"/>
        <v>0</v>
      </c>
      <c r="J300">
        <f t="shared" si="13"/>
        <v>0</v>
      </c>
      <c r="K300" t="b">
        <f t="shared" si="14"/>
        <v>1</v>
      </c>
    </row>
    <row r="301" spans="1:11">
      <c r="A301" t="s">
        <v>852</v>
      </c>
      <c r="B301" s="1">
        <v>167</v>
      </c>
      <c r="C301">
        <f>_xlfn.XLOOKUP(A301,保证金登记!B:B,保证金登记!E:E)</f>
        <v>44644</v>
      </c>
      <c r="D301" t="str">
        <f t="array" ref="D301">_xlfn.XLOOKUP(B301,1*[2]保证金申请!$A:$A,[2]保证金申请!$C:$C)</f>
        <v>2022-03-24</v>
      </c>
      <c r="E301" t="str">
        <f>_xlfn.XLOOKUP(A301,保证金登记!B:B,保证金登记!I:I)</f>
        <v>冀东水泥（烟台）有限责任公司</v>
      </c>
      <c r="F301" t="str">
        <f t="array" ref="F301">_xlfn.XLOOKUP(B301,1*[2]保证金申请!$A:$A,[2]保证金申请!$Q:$Q)</f>
        <v>冀东水泥（烟台）有限责任公司</v>
      </c>
      <c r="G301">
        <f>_xlfn.XLOOKUP(A301,保证金登记!B:B,保证金登记!J:J)</f>
        <v>1000</v>
      </c>
      <c r="H301">
        <f t="array" ref="H301">_xlfn.XLOOKUP(B301,1*[2]保证金申请!$A:$A,[2]保证金申请!$K:$K)</f>
        <v>1000</v>
      </c>
      <c r="I301">
        <f t="shared" si="12"/>
        <v>0</v>
      </c>
      <c r="J301">
        <f t="shared" si="13"/>
        <v>0</v>
      </c>
      <c r="K301" t="b">
        <f t="shared" si="14"/>
        <v>1</v>
      </c>
    </row>
    <row r="302" spans="1:11">
      <c r="A302" t="s">
        <v>855</v>
      </c>
      <c r="B302" s="1">
        <v>168</v>
      </c>
      <c r="C302">
        <f>_xlfn.XLOOKUP(A302,保证金登记!B:B,保证金登记!E:E)</f>
        <v>44648</v>
      </c>
      <c r="D302" t="str">
        <f t="array" ref="D302">_xlfn.XLOOKUP(B302,1*[2]保证金申请!$A:$A,[2]保证金申请!$C:$C)</f>
        <v>2022-03-28</v>
      </c>
      <c r="E302" t="str">
        <f>_xlfn.XLOOKUP(A302,保证金登记!B:B,保证金登记!I:I)</f>
        <v>平泉冀东水泥有限责任公司</v>
      </c>
      <c r="F302" t="str">
        <f t="array" ref="F302">_xlfn.XLOOKUP(B302,1*[2]保证金申请!$A:$A,[2]保证金申请!$Q:$Q)</f>
        <v>平泉冀东水泥有限责任公司</v>
      </c>
      <c r="G302">
        <f>_xlfn.XLOOKUP(A302,保证金登记!B:B,保证金登记!J:J)</f>
        <v>2000</v>
      </c>
      <c r="H302">
        <f t="array" ref="H302">_xlfn.XLOOKUP(B302,1*[2]保证金申请!$A:$A,[2]保证金申请!$K:$K)</f>
        <v>2000</v>
      </c>
      <c r="I302">
        <f t="shared" si="12"/>
        <v>0</v>
      </c>
      <c r="J302">
        <f t="shared" si="13"/>
        <v>0</v>
      </c>
      <c r="K302" t="b">
        <f t="shared" si="14"/>
        <v>1</v>
      </c>
    </row>
    <row r="303" spans="1:11">
      <c r="A303" t="s">
        <v>856</v>
      </c>
      <c r="B303" s="1">
        <v>169</v>
      </c>
      <c r="C303">
        <f>_xlfn.XLOOKUP(A303,保证金登记!B:B,保证金登记!E:E)</f>
        <v>44648</v>
      </c>
      <c r="D303" t="str">
        <f t="array" ref="D303">_xlfn.XLOOKUP(B303,1*[2]保证金申请!$A:$A,[2]保证金申请!$C:$C)</f>
        <v>2022-03-28</v>
      </c>
      <c r="E303" t="str">
        <f>_xlfn.XLOOKUP(A303,保证金登记!B:B,保证金登记!I:I)</f>
        <v>重庆铜梁西南水泥有限公司</v>
      </c>
      <c r="F303" t="str">
        <f t="array" ref="F303">_xlfn.XLOOKUP(B303,1*[2]保证金申请!$A:$A,[2]保证金申请!$Q:$Q)</f>
        <v>重庆铜梁西南水泥有限公司</v>
      </c>
      <c r="G303">
        <f>_xlfn.XLOOKUP(A303,保证金登记!B:B,保证金登记!J:J)</f>
        <v>2000</v>
      </c>
      <c r="H303">
        <f t="array" ref="H303">_xlfn.XLOOKUP(B303,1*[2]保证金申请!$A:$A,[2]保证金申请!$K:$K)</f>
        <v>2000</v>
      </c>
      <c r="I303">
        <f t="shared" si="12"/>
        <v>0</v>
      </c>
      <c r="J303">
        <f t="shared" si="13"/>
        <v>0</v>
      </c>
      <c r="K303" t="b">
        <f t="shared" si="14"/>
        <v>1</v>
      </c>
    </row>
    <row r="304" spans="1:11">
      <c r="A304" t="s">
        <v>857</v>
      </c>
      <c r="B304" s="1">
        <v>170</v>
      </c>
      <c r="C304">
        <f>_xlfn.XLOOKUP(A304,保证金登记!B:B,保证金登记!E:E)</f>
        <v>44648</v>
      </c>
      <c r="D304" t="str">
        <f t="array" ref="D304">_xlfn.XLOOKUP(B304,1*[2]保证金申请!$A:$A,[2]保证金申请!$C:$C)</f>
        <v>2022-03-28</v>
      </c>
      <c r="E304" t="str">
        <f>_xlfn.XLOOKUP(A304,保证金登记!B:B,保证金登记!I:I)</f>
        <v>贵州梵净山金顶水泥有限公司</v>
      </c>
      <c r="F304" t="str">
        <f t="array" ref="F304">_xlfn.XLOOKUP(B304,1*[2]保证金申请!$A:$A,[2]保证金申请!$Q:$Q)</f>
        <v>贵州梵净山金顶水泥有限公司</v>
      </c>
      <c r="G304">
        <f>_xlfn.XLOOKUP(A304,保证金登记!B:B,保证金登记!J:J)</f>
        <v>2000</v>
      </c>
      <c r="H304">
        <f t="array" ref="H304">_xlfn.XLOOKUP(B304,1*[2]保证金申请!$A:$A,[2]保证金申请!$K:$K)</f>
        <v>2000</v>
      </c>
      <c r="I304">
        <f t="shared" si="12"/>
        <v>0</v>
      </c>
      <c r="J304">
        <f t="shared" si="13"/>
        <v>0</v>
      </c>
      <c r="K304" t="b">
        <f t="shared" si="14"/>
        <v>1</v>
      </c>
    </row>
    <row r="305" spans="1:11">
      <c r="A305" t="s">
        <v>859</v>
      </c>
      <c r="B305" s="1">
        <v>355</v>
      </c>
      <c r="C305">
        <f>_xlfn.XLOOKUP(A305,保证金登记!B:B,保证金登记!E:E)</f>
        <v>44649</v>
      </c>
      <c r="D305" t="str">
        <f t="array" ref="D305">_xlfn.XLOOKUP(B305,1*[2]保证金申请!$A:$A,[2]保证金申请!$C:$C)</f>
        <v>2022-03-29</v>
      </c>
      <c r="E305" t="str">
        <f>_xlfn.XLOOKUP(A305,保证金登记!B:B,保证金登记!I:I)</f>
        <v>日照京华新型建材有限公司</v>
      </c>
      <c r="F305" t="str">
        <f t="array" ref="F305">_xlfn.XLOOKUP(B305,1*[2]保证金申请!$A:$A,[2]保证金申请!$Q:$Q)</f>
        <v>日照京华新型建材有限公司</v>
      </c>
      <c r="G305">
        <f>_xlfn.XLOOKUP(A305,保证金登记!B:B,保证金登记!J:J)</f>
        <v>12500</v>
      </c>
      <c r="H305">
        <f t="array" ref="H305">_xlfn.XLOOKUP(B305,1*[2]保证金申请!$A:$A,[2]保证金申请!$K:$K)</f>
        <v>12500</v>
      </c>
      <c r="I305">
        <f t="shared" si="12"/>
        <v>0</v>
      </c>
      <c r="J305">
        <f t="shared" si="13"/>
        <v>0</v>
      </c>
      <c r="K305" t="b">
        <f t="shared" si="14"/>
        <v>1</v>
      </c>
    </row>
    <row r="306" spans="1:11">
      <c r="A306" t="s">
        <v>862</v>
      </c>
      <c r="B306" s="1">
        <v>356</v>
      </c>
      <c r="C306">
        <f>_xlfn.XLOOKUP(A306,保证金登记!B:B,保证金登记!E:E)</f>
        <v>44651</v>
      </c>
      <c r="D306" t="str">
        <f t="array" ref="D306">_xlfn.XLOOKUP(B306,1*[2]保证金申请!$A:$A,[2]保证金申请!$C:$C)</f>
        <v>2022-03-31</v>
      </c>
      <c r="E306" t="str">
        <f>_xlfn.XLOOKUP(A306,保证金登记!B:B,保证金登记!I:I)</f>
        <v>青海发投碱业有限公司</v>
      </c>
      <c r="F306" t="str">
        <f t="array" ref="F306">_xlfn.XLOOKUP(B306,1*[2]保证金申请!$A:$A,[2]保证金申请!$Q:$Q)</f>
        <v>青海发投碱业有限公司</v>
      </c>
      <c r="G306">
        <f>_xlfn.XLOOKUP(A306,保证金登记!B:B,保证金登记!J:J)</f>
        <v>12736</v>
      </c>
      <c r="H306">
        <f t="array" ref="H306">_xlfn.XLOOKUP(B306,1*[2]保证金申请!$A:$A,[2]保证金申请!$K:$K)</f>
        <v>12736</v>
      </c>
      <c r="I306">
        <f t="shared" si="12"/>
        <v>0</v>
      </c>
      <c r="J306">
        <f t="shared" si="13"/>
        <v>0</v>
      </c>
      <c r="K306" t="b">
        <f t="shared" si="14"/>
        <v>1</v>
      </c>
    </row>
    <row r="307" spans="1:11">
      <c r="A307" t="s">
        <v>865</v>
      </c>
      <c r="B307" s="1">
        <v>314</v>
      </c>
      <c r="C307">
        <f>_xlfn.XLOOKUP(A307,保证金登记!B:B,保证金登记!E:E)</f>
        <v>44657</v>
      </c>
      <c r="D307" t="str">
        <f t="array" ref="D307">_xlfn.XLOOKUP(B307,1*[2]保证金申请!$A:$A,[2]保证金申请!$C:$C)</f>
        <v>2022-04-06</v>
      </c>
      <c r="E307" t="str">
        <f>_xlfn.XLOOKUP(A307,保证金登记!B:B,保证金登记!I:I)</f>
        <v>宁夏建材集团股份有限公司</v>
      </c>
      <c r="F307" t="str">
        <f t="array" ref="F307">_xlfn.XLOOKUP(B307,1*[2]保证金申请!$A:$A,[2]保证金申请!$Q:$Q)</f>
        <v>宁夏建材集团股份有限公司</v>
      </c>
      <c r="G307">
        <f>_xlfn.XLOOKUP(A307,保证金登记!B:B,保证金登记!J:J)</f>
        <v>10000</v>
      </c>
      <c r="H307">
        <f t="array" ref="H307">_xlfn.XLOOKUP(B307,1*[2]保证金申请!$A:$A,[2]保证金申请!$K:$K)</f>
        <v>10000</v>
      </c>
      <c r="I307">
        <f t="shared" si="12"/>
        <v>0</v>
      </c>
      <c r="J307">
        <f t="shared" si="13"/>
        <v>0</v>
      </c>
      <c r="K307" t="b">
        <f t="shared" si="14"/>
        <v>1</v>
      </c>
    </row>
    <row r="308" spans="1:11">
      <c r="A308" t="s">
        <v>866</v>
      </c>
      <c r="B308" s="1">
        <v>315</v>
      </c>
      <c r="C308">
        <f>_xlfn.XLOOKUP(A308,保证金登记!B:B,保证金登记!E:E)</f>
        <v>44657</v>
      </c>
      <c r="D308" t="str">
        <f t="array" ref="D308">_xlfn.XLOOKUP(B308,1*[2]保证金申请!$A:$A,[2]保证金申请!$C:$C)</f>
        <v>2022-04-06</v>
      </c>
      <c r="E308" t="str">
        <f>_xlfn.XLOOKUP(A308,保证金登记!B:B,保证金登记!I:I)</f>
        <v>邢台金隅冀东水泥有限公司</v>
      </c>
      <c r="F308" t="str">
        <f t="array" ref="F308">_xlfn.XLOOKUP(B308,1*[2]保证金申请!$A:$A,[2]保证金申请!$Q:$Q)</f>
        <v>邢台金隅冀东水泥有限公司</v>
      </c>
      <c r="G308">
        <f>_xlfn.XLOOKUP(A308,保证金登记!B:B,保证金登记!J:J)</f>
        <v>15000</v>
      </c>
      <c r="H308">
        <f t="array" ref="H308">_xlfn.XLOOKUP(B308,1*[2]保证金申请!$A:$A,[2]保证金申请!$K:$K)</f>
        <v>15000</v>
      </c>
      <c r="I308">
        <f t="shared" si="12"/>
        <v>0</v>
      </c>
      <c r="J308">
        <f t="shared" si="13"/>
        <v>0</v>
      </c>
      <c r="K308" t="b">
        <f t="shared" si="14"/>
        <v>1</v>
      </c>
    </row>
    <row r="309" spans="1:11">
      <c r="A309" t="s">
        <v>868</v>
      </c>
      <c r="B309" s="1">
        <v>317</v>
      </c>
      <c r="C309">
        <f>_xlfn.XLOOKUP(A309,保证金登记!B:B,保证金登记!E:E)</f>
        <v>44658</v>
      </c>
      <c r="D309" t="str">
        <f t="array" ref="D309">_xlfn.XLOOKUP(B309,1*[2]保证金申请!$A:$A,[2]保证金申请!$C:$C)</f>
        <v>2022-04-07</v>
      </c>
      <c r="E309" t="str">
        <f>_xlfn.XLOOKUP(A309,保证金登记!B:B,保证金登记!I:I)</f>
        <v>鞍山冀东水泥有限责任公司</v>
      </c>
      <c r="F309" t="str">
        <f t="array" ref="F309">_xlfn.XLOOKUP(B309,1*[2]保证金申请!$A:$A,[2]保证金申请!$Q:$Q)</f>
        <v>鞍山冀东水泥有限责任公司</v>
      </c>
      <c r="G309">
        <f>_xlfn.XLOOKUP(A309,保证金登记!B:B,保证金登记!J:J)</f>
        <v>2000</v>
      </c>
      <c r="H309">
        <f t="array" ref="H309">_xlfn.XLOOKUP(B309,1*[2]保证金申请!$A:$A,[2]保证金申请!$K:$K)</f>
        <v>2000</v>
      </c>
      <c r="I309">
        <f t="shared" si="12"/>
        <v>0</v>
      </c>
      <c r="J309">
        <f t="shared" si="13"/>
        <v>0</v>
      </c>
      <c r="K309" t="b">
        <f t="shared" si="14"/>
        <v>1</v>
      </c>
    </row>
    <row r="310" spans="1:11">
      <c r="A310" t="s">
        <v>874</v>
      </c>
      <c r="B310" s="1">
        <v>171</v>
      </c>
      <c r="C310">
        <f>_xlfn.XLOOKUP(A310,保证金登记!B:B,保证金登记!E:E)</f>
        <v>44671</v>
      </c>
      <c r="D310" t="str">
        <f t="array" ref="D310">_xlfn.XLOOKUP(B310,1*[2]保证金申请!$A:$A,[2]保证金申请!$C:$C)</f>
        <v>2022-04-20</v>
      </c>
      <c r="E310" t="str">
        <f>_xlfn.XLOOKUP(A310,保证金登记!B:B,保证金登记!I:I)</f>
        <v>重庆铜梁西南水泥有限公司</v>
      </c>
      <c r="F310" t="str">
        <f t="array" ref="F310">_xlfn.XLOOKUP(B310,1*[2]保证金申请!$A:$A,[2]保证金申请!$Q:$Q)</f>
        <v>重庆铜梁西南水泥有限公司</v>
      </c>
      <c r="G310">
        <f>_xlfn.XLOOKUP(A310,保证金登记!B:B,保证金登记!J:J)</f>
        <v>600</v>
      </c>
      <c r="H310">
        <f t="array" ref="H310">_xlfn.XLOOKUP(B310,1*[2]保证金申请!$A:$A,[2]保证金申请!$K:$K)</f>
        <v>600</v>
      </c>
      <c r="I310">
        <f t="shared" si="12"/>
        <v>0</v>
      </c>
      <c r="J310">
        <f t="shared" si="13"/>
        <v>0</v>
      </c>
      <c r="K310" t="b">
        <f t="shared" si="14"/>
        <v>1</v>
      </c>
    </row>
    <row r="311" spans="1:11">
      <c r="A311" t="s">
        <v>879</v>
      </c>
      <c r="B311" s="1">
        <v>319</v>
      </c>
      <c r="C311">
        <f>_xlfn.XLOOKUP(A311,保证金登记!B:B,保证金登记!E:E)</f>
        <v>44673</v>
      </c>
      <c r="D311" t="str">
        <f t="array" ref="D311">_xlfn.XLOOKUP(B311,1*[2]保证金申请!$A:$A,[2]保证金申请!$C:$C)</f>
        <v>2022-04-22</v>
      </c>
      <c r="E311" t="str">
        <f>_xlfn.XLOOKUP(A311,保证金登记!B:B,保证金登记!I:I)</f>
        <v>阳泉冀东水泥有限责任公司</v>
      </c>
      <c r="F311" t="str">
        <f t="array" ref="F311">_xlfn.XLOOKUP(B311,1*[2]保证金申请!$A:$A,[2]保证金申请!$Q:$Q)</f>
        <v>阳泉冀东水泥有限责任公司</v>
      </c>
      <c r="G311">
        <f>_xlfn.XLOOKUP(A311,保证金登记!B:B,保证金登记!J:J)</f>
        <v>20000</v>
      </c>
      <c r="H311">
        <f t="array" ref="H311">_xlfn.XLOOKUP(B311,1*[2]保证金申请!$A:$A,[2]保证金申请!$K:$K)</f>
        <v>20000</v>
      </c>
      <c r="I311">
        <f t="shared" si="12"/>
        <v>0</v>
      </c>
      <c r="J311">
        <f t="shared" si="13"/>
        <v>0</v>
      </c>
      <c r="K311" t="b">
        <f t="shared" si="14"/>
        <v>1</v>
      </c>
    </row>
    <row r="312" spans="1:11">
      <c r="A312" t="s">
        <v>880</v>
      </c>
      <c r="B312" s="1">
        <v>320</v>
      </c>
      <c r="C312">
        <f>_xlfn.XLOOKUP(A312,保证金登记!B:B,保证金登记!E:E)</f>
        <v>44677</v>
      </c>
      <c r="D312" t="str">
        <f t="array" ref="D312">_xlfn.XLOOKUP(B312,1*[2]保证金申请!$A:$A,[2]保证金申请!$C:$C)</f>
        <v>2022-04-26</v>
      </c>
      <c r="E312" t="str">
        <f>_xlfn.XLOOKUP(A312,保证金登记!B:B,保证金登记!I:I)</f>
        <v>鞍山冀东水泥有限责任公司</v>
      </c>
      <c r="F312" t="str">
        <f t="array" ref="F312">_xlfn.XLOOKUP(B312,1*[2]保证金申请!$A:$A,[2]保证金申请!$Q:$Q)</f>
        <v>鞍山冀东水泥有限责任公司</v>
      </c>
      <c r="G312">
        <f>_xlfn.XLOOKUP(A312,保证金登记!B:B,保证金登记!J:J)</f>
        <v>1500</v>
      </c>
      <c r="H312">
        <f t="array" ref="H312">_xlfn.XLOOKUP(B312,1*[2]保证金申请!$A:$A,[2]保证金申请!$K:$K)</f>
        <v>1500</v>
      </c>
      <c r="I312">
        <f t="shared" si="12"/>
        <v>0</v>
      </c>
      <c r="J312">
        <f t="shared" si="13"/>
        <v>0</v>
      </c>
      <c r="K312" t="b">
        <f t="shared" si="14"/>
        <v>1</v>
      </c>
    </row>
    <row r="313" spans="1:11">
      <c r="A313" t="s">
        <v>881</v>
      </c>
      <c r="B313" s="1">
        <v>321</v>
      </c>
      <c r="C313">
        <f>_xlfn.XLOOKUP(A313,保证金登记!B:B,保证金登记!E:E)</f>
        <v>44677</v>
      </c>
      <c r="D313" t="str">
        <f t="array" ref="D313">_xlfn.XLOOKUP(B313,1*[2]保证金申请!$A:$A,[2]保证金申请!$C:$C)</f>
        <v>2022-04-26</v>
      </c>
      <c r="E313" t="str">
        <f>_xlfn.XLOOKUP(A313,保证金登记!B:B,保证金登记!I:I)</f>
        <v>鞍山冀东水泥有限责任公司</v>
      </c>
      <c r="F313" t="str">
        <f t="array" ref="F313">_xlfn.XLOOKUP(B313,1*[2]保证金申请!$A:$A,[2]保证金申请!$Q:$Q)</f>
        <v>鞍山冀东水泥有限责任公司</v>
      </c>
      <c r="G313">
        <f>_xlfn.XLOOKUP(A313,保证金登记!B:B,保证金登记!J:J)</f>
        <v>1000</v>
      </c>
      <c r="H313">
        <f t="array" ref="H313">_xlfn.XLOOKUP(B313,1*[2]保证金申请!$A:$A,[2]保证金申请!$K:$K)</f>
        <v>1000</v>
      </c>
      <c r="I313">
        <f t="shared" si="12"/>
        <v>0</v>
      </c>
      <c r="J313">
        <f t="shared" si="13"/>
        <v>0</v>
      </c>
      <c r="K313" t="b">
        <f t="shared" si="14"/>
        <v>1</v>
      </c>
    </row>
    <row r="314" spans="1:11">
      <c r="A314" t="s">
        <v>884</v>
      </c>
      <c r="B314" s="1">
        <v>325</v>
      </c>
      <c r="C314">
        <f>_xlfn.XLOOKUP(A314,保证金登记!B:B,保证金登记!E:E)</f>
        <v>44678</v>
      </c>
      <c r="D314" t="str">
        <f t="array" ref="D314">_xlfn.XLOOKUP(B314,1*[2]保证金申请!$A:$A,[2]保证金申请!$C:$C)</f>
        <v>2022-04-27</v>
      </c>
      <c r="E314" t="str">
        <f>_xlfn.XLOOKUP(A314,保证金登记!B:B,保证金登记!I:I)</f>
        <v>河北金隅鼎鑫水泥有限公司</v>
      </c>
      <c r="F314" t="str">
        <f t="array" ref="F314">_xlfn.XLOOKUP(B314,1*[2]保证金申请!$A:$A,[2]保证金申请!$Q:$Q)</f>
        <v>河北金隅鼎鑫水泥有限公司</v>
      </c>
      <c r="G314">
        <f>_xlfn.XLOOKUP(A314,保证金登记!B:B,保证金登记!J:J)</f>
        <v>5000</v>
      </c>
      <c r="H314">
        <f t="array" ref="H314">_xlfn.XLOOKUP(B314,1*[2]保证金申请!$A:$A,[2]保证金申请!$K:$K)</f>
        <v>5000</v>
      </c>
      <c r="I314">
        <f t="shared" si="12"/>
        <v>0</v>
      </c>
      <c r="J314">
        <f t="shared" si="13"/>
        <v>0</v>
      </c>
      <c r="K314" t="b">
        <f t="shared" si="14"/>
        <v>1</v>
      </c>
    </row>
    <row r="315" spans="1:11">
      <c r="A315" t="s">
        <v>885</v>
      </c>
      <c r="B315" s="1">
        <v>326</v>
      </c>
      <c r="C315">
        <f>_xlfn.XLOOKUP(A315,保证金登记!B:B,保证金登记!E:E)</f>
        <v>44679</v>
      </c>
      <c r="D315" t="str">
        <f t="array" ref="D315">_xlfn.XLOOKUP(B315,1*[2]保证金申请!$A:$A,[2]保证金申请!$C:$C)</f>
        <v>2022-04-28</v>
      </c>
      <c r="E315" t="str">
        <f>_xlfn.XLOOKUP(A315,保证金登记!B:B,保证金登记!I:I)</f>
        <v>日照钢铁有限公司</v>
      </c>
      <c r="F315" t="str">
        <f t="array" ref="F315">_xlfn.XLOOKUP(B315,1*[2]保证金申请!$A:$A,[2]保证金申请!$Q:$Q)</f>
        <v>日照钢铁有限公司</v>
      </c>
      <c r="G315">
        <f>_xlfn.XLOOKUP(A315,保证金登记!B:B,保证金登记!J:J)</f>
        <v>10000</v>
      </c>
      <c r="H315">
        <f t="array" ref="H315">_xlfn.XLOOKUP(B315,1*[2]保证金申请!$A:$A,[2]保证金申请!$K:$K)</f>
        <v>10000</v>
      </c>
      <c r="I315">
        <f t="shared" si="12"/>
        <v>0</v>
      </c>
      <c r="J315">
        <f t="shared" si="13"/>
        <v>0</v>
      </c>
      <c r="K315" t="b">
        <f t="shared" si="14"/>
        <v>1</v>
      </c>
    </row>
    <row r="316" spans="1:11">
      <c r="A316" t="s">
        <v>888</v>
      </c>
      <c r="B316" s="1">
        <v>327</v>
      </c>
      <c r="C316">
        <f>_xlfn.XLOOKUP(A316,保证金登记!B:B,保证金登记!E:E)</f>
        <v>44690</v>
      </c>
      <c r="D316" t="str">
        <f t="array" ref="D316">_xlfn.XLOOKUP(B316,1*[2]保证金申请!$A:$A,[2]保证金申请!$C:$C)</f>
        <v>2022-05-09</v>
      </c>
      <c r="E316" t="str">
        <f>_xlfn.XLOOKUP(A316,保证金登记!B:B,保证金登记!I:I)</f>
        <v>洛阳黄河同力水泥有限责任公司</v>
      </c>
      <c r="F316" t="str">
        <f t="array" ref="F316">_xlfn.XLOOKUP(B316,1*[2]保证金申请!$A:$A,[2]保证金申请!$Q:$Q)</f>
        <v>洛阳黄河同力水泥有限责任公司</v>
      </c>
      <c r="G316">
        <f>_xlfn.XLOOKUP(A316,保证金登记!B:B,保证金登记!J:J)</f>
        <v>1000</v>
      </c>
      <c r="H316">
        <f t="array" ref="H316">_xlfn.XLOOKUP(B316,1*[2]保证金申请!$A:$A,[2]保证金申请!$K:$K)</f>
        <v>1000</v>
      </c>
      <c r="I316">
        <f t="shared" si="12"/>
        <v>0</v>
      </c>
      <c r="J316">
        <f t="shared" si="13"/>
        <v>0</v>
      </c>
      <c r="K316" t="b">
        <f t="shared" si="14"/>
        <v>1</v>
      </c>
    </row>
    <row r="317" spans="1:11">
      <c r="A317" t="s">
        <v>889</v>
      </c>
      <c r="B317" s="1">
        <v>328</v>
      </c>
      <c r="C317">
        <f>_xlfn.XLOOKUP(A317,保证金登记!B:B,保证金登记!E:E)</f>
        <v>44690</v>
      </c>
      <c r="D317" t="str">
        <f t="array" ref="D317">_xlfn.XLOOKUP(B317,1*[2]保证金申请!$A:$A,[2]保证金申请!$C:$C)</f>
        <v>2022-05-09</v>
      </c>
      <c r="E317" t="str">
        <f>_xlfn.XLOOKUP(A317,保证金登记!B:B,保证金登记!I:I)</f>
        <v>新疆天山</v>
      </c>
      <c r="F317" t="str">
        <f t="array" ref="F317">_xlfn.XLOOKUP(B317,1*[2]保证金申请!$A:$A,[2]保证金申请!$Q:$Q)</f>
        <v>新疆天山</v>
      </c>
      <c r="G317">
        <f>_xlfn.XLOOKUP(A317,保证金登记!B:B,保证金登记!J:J)</f>
        <v>20000</v>
      </c>
      <c r="H317">
        <f t="array" ref="H317">_xlfn.XLOOKUP(B317,1*[2]保证金申请!$A:$A,[2]保证金申请!$K:$K)</f>
        <v>20000</v>
      </c>
      <c r="I317">
        <f t="shared" si="12"/>
        <v>0</v>
      </c>
      <c r="J317">
        <f t="shared" si="13"/>
        <v>0</v>
      </c>
      <c r="K317" t="b">
        <f t="shared" si="14"/>
        <v>1</v>
      </c>
    </row>
    <row r="318" spans="1:11">
      <c r="A318" t="s">
        <v>896</v>
      </c>
      <c r="B318" s="1">
        <v>329</v>
      </c>
      <c r="C318">
        <f>_xlfn.XLOOKUP(A318,保证金登记!B:B,保证金登记!E:E)</f>
        <v>44691</v>
      </c>
      <c r="D318" t="str">
        <f t="array" ref="D318">_xlfn.XLOOKUP(B318,1*[2]保证金申请!$A:$A,[2]保证金申请!$C:$C)</f>
        <v>2022-05-10</v>
      </c>
      <c r="E318" t="str">
        <f>_xlfn.XLOOKUP(A318,保证金登记!B:B,保证金登记!I:I)</f>
        <v>新疆天山</v>
      </c>
      <c r="F318" t="str">
        <f t="array" ref="F318">_xlfn.XLOOKUP(B318,1*[2]保证金申请!$A:$A,[2]保证金申请!$Q:$Q)</f>
        <v>新疆天山</v>
      </c>
      <c r="G318">
        <f>_xlfn.XLOOKUP(A318,保证金登记!B:B,保证金登记!J:J)</f>
        <v>20000</v>
      </c>
      <c r="H318">
        <f t="array" ref="H318">_xlfn.XLOOKUP(B318,1*[2]保证金申请!$A:$A,[2]保证金申请!$K:$K)</f>
        <v>20000</v>
      </c>
      <c r="I318">
        <f t="shared" si="12"/>
        <v>0</v>
      </c>
      <c r="J318">
        <f t="shared" si="13"/>
        <v>0</v>
      </c>
      <c r="K318" t="b">
        <f t="shared" si="14"/>
        <v>1</v>
      </c>
    </row>
    <row r="319" spans="1:11">
      <c r="A319" t="s">
        <v>901</v>
      </c>
      <c r="B319" s="1">
        <v>330</v>
      </c>
      <c r="C319">
        <f>_xlfn.XLOOKUP(A319,保证金登记!B:B,保证金登记!E:E)</f>
        <v>44694</v>
      </c>
      <c r="D319" t="str">
        <f t="array" ref="D319">_xlfn.XLOOKUP(B319,1*[2]保证金申请!$A:$A,[2]保证金申请!$C:$C)</f>
        <v>2022-05-13</v>
      </c>
      <c r="E319" t="str">
        <f>_xlfn.XLOOKUP(A319,保证金登记!B:B,保证金登记!I:I)</f>
        <v>华沃（枣庄）水泥有限公司</v>
      </c>
      <c r="F319" t="str">
        <f t="array" ref="F319">_xlfn.XLOOKUP(B319,1*[2]保证金申请!$A:$A,[2]保证金申请!$Q:$Q)</f>
        <v>华沃（枣庄）水泥有限公司</v>
      </c>
      <c r="G319">
        <f>_xlfn.XLOOKUP(A319,保证金登记!B:B,保证金登记!J:J)</f>
        <v>3000</v>
      </c>
      <c r="H319">
        <f t="array" ref="H319">_xlfn.XLOOKUP(B319,1*[2]保证金申请!$A:$A,[2]保证金申请!$K:$K)</f>
        <v>3000</v>
      </c>
      <c r="I319">
        <f t="shared" si="12"/>
        <v>0</v>
      </c>
      <c r="J319">
        <f t="shared" si="13"/>
        <v>0</v>
      </c>
      <c r="K319" t="b">
        <f t="shared" si="14"/>
        <v>1</v>
      </c>
    </row>
    <row r="320" spans="1:11">
      <c r="A320" t="s">
        <v>903</v>
      </c>
      <c r="B320" s="1">
        <v>331</v>
      </c>
      <c r="C320">
        <f>_xlfn.XLOOKUP(A320,保证金登记!B:B,保证金登记!E:E)</f>
        <v>44694</v>
      </c>
      <c r="D320" t="str">
        <f t="array" ref="D320">_xlfn.XLOOKUP(B320,1*[2]保证金申请!$A:$A,[2]保证金申请!$C:$C)</f>
        <v>2022-05-13</v>
      </c>
      <c r="E320" t="str">
        <f>_xlfn.XLOOKUP(A320,保证金登记!B:B,保证金登记!I:I)</f>
        <v>华沃（枣庄）水泥有限公司</v>
      </c>
      <c r="F320" t="str">
        <f t="array" ref="F320">_xlfn.XLOOKUP(B320,1*[2]保证金申请!$A:$A,[2]保证金申请!$Q:$Q)</f>
        <v>华沃（枣庄）水泥有限公司</v>
      </c>
      <c r="G320">
        <f>_xlfn.XLOOKUP(A320,保证金登记!B:B,保证金登记!J:J)</f>
        <v>1000</v>
      </c>
      <c r="H320">
        <f t="array" ref="H320">_xlfn.XLOOKUP(B320,1*[2]保证金申请!$A:$A,[2]保证金申请!$K:$K)</f>
        <v>1000</v>
      </c>
      <c r="I320">
        <f t="shared" si="12"/>
        <v>0</v>
      </c>
      <c r="J320">
        <f t="shared" si="13"/>
        <v>0</v>
      </c>
      <c r="K320" t="b">
        <f t="shared" si="14"/>
        <v>1</v>
      </c>
    </row>
    <row r="321" spans="1:11">
      <c r="A321" t="s">
        <v>904</v>
      </c>
      <c r="B321" s="1">
        <v>332</v>
      </c>
      <c r="C321">
        <f>_xlfn.XLOOKUP(A321,保证金登记!B:B,保证金登记!E:E)</f>
        <v>44694</v>
      </c>
      <c r="D321" t="str">
        <f t="array" ref="D321">_xlfn.XLOOKUP(B321,1*[2]保证金申请!$A:$A,[2]保证金申请!$C:$C)</f>
        <v>2022-05-13</v>
      </c>
      <c r="E321" t="str">
        <f>_xlfn.XLOOKUP(A321,保证金登记!B:B,保证金登记!I:I)</f>
        <v>河北新金轧材有限公司</v>
      </c>
      <c r="F321" t="str">
        <f t="array" ref="F321">_xlfn.XLOOKUP(B321,1*[2]保证金申请!$A:$A,[2]保证金申请!$Q:$Q)</f>
        <v>河北新金轧材有限公司</v>
      </c>
      <c r="G321">
        <f>_xlfn.XLOOKUP(A321,保证金登记!B:B,保证金登记!J:J)</f>
        <v>10000</v>
      </c>
      <c r="H321">
        <f t="array" ref="H321">_xlfn.XLOOKUP(B321,1*[2]保证金申请!$A:$A,[2]保证金申请!$K:$K)</f>
        <v>10000</v>
      </c>
      <c r="I321">
        <f t="shared" si="12"/>
        <v>0</v>
      </c>
      <c r="J321">
        <f t="shared" si="13"/>
        <v>0</v>
      </c>
      <c r="K321" t="b">
        <f t="shared" si="14"/>
        <v>1</v>
      </c>
    </row>
    <row r="322" spans="1:11">
      <c r="A322" t="s">
        <v>905</v>
      </c>
      <c r="B322" s="1">
        <v>357</v>
      </c>
      <c r="C322">
        <f>_xlfn.XLOOKUP(A322,保证金登记!B:B,保证金登记!E:E)</f>
        <v>44698</v>
      </c>
      <c r="D322" t="str">
        <f t="array" ref="D322">_xlfn.XLOOKUP(B322,1*[2]保证金申请!$A:$A,[2]保证金申请!$C:$C)</f>
        <v>2022-05-17</v>
      </c>
      <c r="E322" t="str">
        <f>_xlfn.XLOOKUP(A322,保证金登记!B:B,保证金登记!I:I)</f>
        <v>葛洲坝钟祥水泥有限公司</v>
      </c>
      <c r="F322" t="str">
        <f t="array" ref="F322">_xlfn.XLOOKUP(B322,1*[2]保证金申请!$A:$A,[2]保证金申请!$Q:$Q)</f>
        <v>葛洲坝钟祥水泥有限公司</v>
      </c>
      <c r="G322">
        <f>_xlfn.XLOOKUP(A322,保证金登记!B:B,保证金登记!J:J)</f>
        <v>30900</v>
      </c>
      <c r="H322">
        <f t="array" ref="H322">_xlfn.XLOOKUP(B322,1*[2]保证金申请!$A:$A,[2]保证金申请!$K:$K)</f>
        <v>30900</v>
      </c>
      <c r="I322">
        <f t="shared" ref="I322:I385" si="15">C322-D322</f>
        <v>0</v>
      </c>
      <c r="J322">
        <f t="shared" ref="J322:J385" si="16">G322-H322</f>
        <v>0</v>
      </c>
      <c r="K322" t="b">
        <f t="shared" ref="K322:K385" si="17">EXACT(E322,F322)</f>
        <v>1</v>
      </c>
    </row>
    <row r="323" spans="1:11">
      <c r="A323" t="s">
        <v>913</v>
      </c>
      <c r="B323" s="1">
        <v>333</v>
      </c>
      <c r="C323">
        <f>_xlfn.XLOOKUP(A323,保证金登记!B:B,保证金登记!E:E)</f>
        <v>44699</v>
      </c>
      <c r="D323" t="str">
        <f t="array" ref="D323">_xlfn.XLOOKUP(B323,1*[2]保证金申请!$A:$A,[2]保证金申请!$C:$C)</f>
        <v>2022-05-18</v>
      </c>
      <c r="E323" t="str">
        <f>_xlfn.XLOOKUP(A323,保证金登记!B:B,保证金登记!I:I)</f>
        <v>新疆米东天山水泥有限责任公司</v>
      </c>
      <c r="F323" t="str">
        <f t="array" ref="F323">_xlfn.XLOOKUP(B323,1*[2]保证金申请!$A:$A,[2]保证金申请!$Q:$Q)</f>
        <v>米东天山</v>
      </c>
      <c r="G323">
        <f>_xlfn.XLOOKUP(A323,保证金登记!B:B,保证金登记!J:J)</f>
        <v>10000</v>
      </c>
      <c r="H323">
        <f t="array" ref="H323">_xlfn.XLOOKUP(B323,1*[2]保证金申请!$A:$A,[2]保证金申请!$K:$K)</f>
        <v>10000</v>
      </c>
      <c r="I323">
        <f t="shared" si="15"/>
        <v>0</v>
      </c>
      <c r="J323">
        <f t="shared" si="16"/>
        <v>0</v>
      </c>
      <c r="K323" t="b">
        <f t="shared" si="17"/>
        <v>0</v>
      </c>
    </row>
    <row r="324" spans="1:11">
      <c r="A324" t="s">
        <v>915</v>
      </c>
      <c r="B324" s="1">
        <v>334</v>
      </c>
      <c r="C324">
        <f>_xlfn.XLOOKUP(A324,保证金登记!B:B,保证金登记!E:E)</f>
        <v>44699</v>
      </c>
      <c r="D324" t="str">
        <f t="array" ref="D324">_xlfn.XLOOKUP(B324,1*[2]保证金申请!$A:$A,[2]保证金申请!$C:$C)</f>
        <v>2022-05-18</v>
      </c>
      <c r="E324" t="str">
        <f>_xlfn.XLOOKUP(A324,保证金登记!B:B,保证金登记!I:I)</f>
        <v>商务部周奇用款阜康天山投标保证金--对公</v>
      </c>
      <c r="F324" t="str">
        <f t="array" ref="F324">_xlfn.XLOOKUP(B324,1*[2]保证金申请!$A:$A,[2]保证金申请!$Q:$Q)</f>
        <v>商务部周奇用款阜康天山投标保证金--对公</v>
      </c>
      <c r="G324">
        <f>_xlfn.XLOOKUP(A324,保证金登记!B:B,保证金登记!J:J)</f>
        <v>5000</v>
      </c>
      <c r="H324">
        <f t="array" ref="H324">_xlfn.XLOOKUP(B324,1*[2]保证金申请!$A:$A,[2]保证金申请!$K:$K)</f>
        <v>5000</v>
      </c>
      <c r="I324">
        <f t="shared" si="15"/>
        <v>0</v>
      </c>
      <c r="J324">
        <f t="shared" si="16"/>
        <v>0</v>
      </c>
      <c r="K324" t="b">
        <f t="shared" si="17"/>
        <v>1</v>
      </c>
    </row>
    <row r="325" spans="1:11">
      <c r="A325" t="s">
        <v>919</v>
      </c>
      <c r="B325" s="1">
        <v>335</v>
      </c>
      <c r="C325">
        <f>_xlfn.XLOOKUP(A325,保证金登记!B:B,保证金登记!E:E)</f>
        <v>44705</v>
      </c>
      <c r="D325" t="str">
        <f t="array" ref="D325">_xlfn.XLOOKUP(B325,1*[2]保证金申请!$A:$A,[2]保证金申请!$C:$C)</f>
        <v>2022-05-24</v>
      </c>
      <c r="E325" t="str">
        <f>_xlfn.XLOOKUP(A325,保证金登记!B:B,保证金登记!I:I)</f>
        <v>北京金隅琉水环保科技有限公司</v>
      </c>
      <c r="F325" t="str">
        <f t="array" ref="F325">_xlfn.XLOOKUP(B325,1*[2]保证金申请!$A:$A,[2]保证金申请!$Q:$Q)</f>
        <v>北京金隅琉水环保科技有限公司</v>
      </c>
      <c r="G325">
        <f>_xlfn.XLOOKUP(A325,保证金登记!B:B,保证金登记!J:J)</f>
        <v>5000</v>
      </c>
      <c r="H325">
        <f t="array" ref="H325">_xlfn.XLOOKUP(B325,1*[2]保证金申请!$A:$A,[2]保证金申请!$K:$K)</f>
        <v>5000</v>
      </c>
      <c r="I325">
        <f t="shared" si="15"/>
        <v>0</v>
      </c>
      <c r="J325">
        <f t="shared" si="16"/>
        <v>0</v>
      </c>
      <c r="K325" t="b">
        <f t="shared" si="17"/>
        <v>1</v>
      </c>
    </row>
    <row r="326" spans="1:11">
      <c r="A326" t="s">
        <v>920</v>
      </c>
      <c r="B326" s="1">
        <v>172</v>
      </c>
      <c r="C326">
        <f>_xlfn.XLOOKUP(A326,保证金登记!B:B,保证金登记!E:E)</f>
        <v>44706</v>
      </c>
      <c r="D326" t="str">
        <f t="array" ref="D326">_xlfn.XLOOKUP(B326,1*[2]保证金申请!$A:$A,[2]保证金申请!$C:$C)</f>
        <v>2022-05-25</v>
      </c>
      <c r="E326" t="str">
        <f>_xlfn.XLOOKUP(A326,保证金登记!B:B,保证金登记!I:I)</f>
        <v>广西北港新材料有限公司</v>
      </c>
      <c r="F326" t="str">
        <f t="array" ref="F326">_xlfn.XLOOKUP(B326,1*[2]保证金申请!$A:$A,[2]保证金申请!$Q:$Q)</f>
        <v>广西北港新材料有限公司</v>
      </c>
      <c r="G326">
        <f>_xlfn.XLOOKUP(A326,保证金登记!B:B,保证金登记!J:J)</f>
        <v>20000</v>
      </c>
      <c r="H326">
        <f t="array" ref="H326">_xlfn.XLOOKUP(B326,1*[2]保证金申请!$A:$A,[2]保证金申请!$K:$K)</f>
        <v>20000</v>
      </c>
      <c r="I326">
        <f t="shared" si="15"/>
        <v>0</v>
      </c>
      <c r="J326">
        <f t="shared" si="16"/>
        <v>0</v>
      </c>
      <c r="K326" t="b">
        <f t="shared" si="17"/>
        <v>1</v>
      </c>
    </row>
    <row r="327" spans="1:11">
      <c r="A327" t="s">
        <v>925</v>
      </c>
      <c r="B327" s="1">
        <v>336</v>
      </c>
      <c r="C327">
        <f>_xlfn.XLOOKUP(A327,保证金登记!B:B,保证金登记!E:E)</f>
        <v>44706</v>
      </c>
      <c r="D327" t="str">
        <f t="array" ref="D327">_xlfn.XLOOKUP(B327,1*[2]保证金申请!$A:$A,[2]保证金申请!$C:$C)</f>
        <v>2022-05-25</v>
      </c>
      <c r="E327" t="str">
        <f>_xlfn.XLOOKUP(A327,保证金登记!B:B,保证金登记!I:I)</f>
        <v>奎山水泥有限公司</v>
      </c>
      <c r="F327" t="str">
        <f t="array" ref="F327">_xlfn.XLOOKUP(B327,1*[2]保证金申请!$A:$A,[2]保证金申请!$Q:$Q)</f>
        <v>奎山水泥有限公司</v>
      </c>
      <c r="G327">
        <f>_xlfn.XLOOKUP(A327,保证金登记!B:B,保证金登记!J:J)</f>
        <v>10000</v>
      </c>
      <c r="H327">
        <f t="array" ref="H327">_xlfn.XLOOKUP(B327,1*[2]保证金申请!$A:$A,[2]保证金申请!$K:$K)</f>
        <v>10000</v>
      </c>
      <c r="I327">
        <f t="shared" si="15"/>
        <v>0</v>
      </c>
      <c r="J327">
        <f t="shared" si="16"/>
        <v>0</v>
      </c>
      <c r="K327" t="b">
        <f t="shared" si="17"/>
        <v>1</v>
      </c>
    </row>
    <row r="328" spans="1:11">
      <c r="A328" t="s">
        <v>927</v>
      </c>
      <c r="B328" s="1">
        <v>337</v>
      </c>
      <c r="C328">
        <f>_xlfn.XLOOKUP(A328,保证金登记!B:B,保证金登记!E:E)</f>
        <v>44707</v>
      </c>
      <c r="D328" t="str">
        <f t="array" ref="D328">_xlfn.XLOOKUP(B328,1*[2]保证金申请!$A:$A,[2]保证金申请!$C:$C)</f>
        <v>2022-05-26</v>
      </c>
      <c r="E328" t="str">
        <f>_xlfn.XLOOKUP(A328,保证金登记!B:B,保证金登记!I:I)</f>
        <v>青海发投碱业有限公司</v>
      </c>
      <c r="F328" t="str">
        <f t="array" ref="F328">_xlfn.XLOOKUP(B328,1*[2]保证金申请!$A:$A,[2]保证金申请!$Q:$Q)</f>
        <v>青海发投碱业有限公司</v>
      </c>
      <c r="G328">
        <f>_xlfn.XLOOKUP(A328,保证金登记!B:B,保证金登记!J:J)</f>
        <v>10000</v>
      </c>
      <c r="H328">
        <f t="array" ref="H328">_xlfn.XLOOKUP(B328,1*[2]保证金申请!$A:$A,[2]保证金申请!$K:$K)</f>
        <v>10000</v>
      </c>
      <c r="I328">
        <f t="shared" si="15"/>
        <v>0</v>
      </c>
      <c r="J328">
        <f t="shared" si="16"/>
        <v>0</v>
      </c>
      <c r="K328" t="b">
        <f t="shared" si="17"/>
        <v>1</v>
      </c>
    </row>
    <row r="329" spans="1:11">
      <c r="A329" t="s">
        <v>929</v>
      </c>
      <c r="B329" s="1">
        <v>173</v>
      </c>
      <c r="C329">
        <f>_xlfn.XLOOKUP(A329,保证金登记!B:B,保证金登记!E:E)</f>
        <v>44708</v>
      </c>
      <c r="D329" t="str">
        <f t="array" ref="D329">_xlfn.XLOOKUP(B329,1*[2]保证金申请!$A:$A,[2]保证金申请!$C:$C)</f>
        <v>2022-05-27</v>
      </c>
      <c r="E329" t="str">
        <f>_xlfn.XLOOKUP(A329,保证金登记!B:B,保证金登记!I:I)</f>
        <v>亚泰集团哈尔滨水泥有限公司</v>
      </c>
      <c r="F329" t="str">
        <f t="array" ref="F329">_xlfn.XLOOKUP(B329,1*[2]保证金申请!$A:$A,[2]保证金申请!$Q:$Q)</f>
        <v>亚泰集团哈尔滨水泥有限公司</v>
      </c>
      <c r="G329">
        <f>_xlfn.XLOOKUP(A329,保证金登记!B:B,保证金登记!J:J)</f>
        <v>3000</v>
      </c>
      <c r="H329">
        <f t="array" ref="H329">_xlfn.XLOOKUP(B329,1*[2]保证金申请!$A:$A,[2]保证金申请!$K:$K)</f>
        <v>3000</v>
      </c>
      <c r="I329">
        <f t="shared" si="15"/>
        <v>0</v>
      </c>
      <c r="J329">
        <f t="shared" si="16"/>
        <v>0</v>
      </c>
      <c r="K329" t="b">
        <f t="shared" si="17"/>
        <v>1</v>
      </c>
    </row>
    <row r="330" spans="1:11">
      <c r="A330" t="s">
        <v>931</v>
      </c>
      <c r="B330" s="1">
        <v>358</v>
      </c>
      <c r="C330">
        <f>_xlfn.XLOOKUP(A330,保证金登记!B:B,保证金登记!E:E)</f>
        <v>44708</v>
      </c>
      <c r="D330" t="str">
        <f t="array" ref="D330">_xlfn.XLOOKUP(B330,1*[2]保证金申请!$A:$A,[2]保证金申请!$C:$C)</f>
        <v>2022-05-27</v>
      </c>
      <c r="E330" t="str">
        <f>_xlfn.XLOOKUP(A330,保证金登记!B:B,保证金登记!I:I)</f>
        <v>青海发投碱业有限公司</v>
      </c>
      <c r="F330" t="str">
        <f t="array" ref="F330">_xlfn.XLOOKUP(B330,1*[2]保证金申请!$A:$A,[2]保证金申请!$Q:$Q)</f>
        <v>青海发投碱业有限公司</v>
      </c>
      <c r="G330">
        <f>_xlfn.XLOOKUP(A330,保证金登记!B:B,保证金登记!J:J)</f>
        <v>12500</v>
      </c>
      <c r="H330">
        <f t="array" ref="H330">_xlfn.XLOOKUP(B330,1*[2]保证金申请!$A:$A,[2]保证金申请!$K:$K)</f>
        <v>12500</v>
      </c>
      <c r="I330">
        <f t="shared" si="15"/>
        <v>0</v>
      </c>
      <c r="J330">
        <f t="shared" si="16"/>
        <v>0</v>
      </c>
      <c r="K330" t="b">
        <f t="shared" si="17"/>
        <v>1</v>
      </c>
    </row>
    <row r="331" spans="1:11">
      <c r="A331" t="s">
        <v>933</v>
      </c>
      <c r="B331" s="1">
        <v>359</v>
      </c>
      <c r="C331">
        <f>_xlfn.XLOOKUP(A331,保证金登记!B:B,保证金登记!E:E)</f>
        <v>44708</v>
      </c>
      <c r="D331" t="str">
        <f t="array" ref="D331">_xlfn.XLOOKUP(B331,1*[2]保证金申请!$A:$A,[2]保证金申请!$C:$C)</f>
        <v>2022-05-27</v>
      </c>
      <c r="E331" t="str">
        <f>_xlfn.XLOOKUP(A331,保证金登记!B:B,保证金登记!I:I)</f>
        <v>青海发投碱业有限公司</v>
      </c>
      <c r="F331" t="str">
        <f t="array" ref="F331">_xlfn.XLOOKUP(B331,1*[2]保证金申请!$A:$A,[2]保证金申请!$Q:$Q)</f>
        <v>青海发投碱业有限公司</v>
      </c>
      <c r="G331">
        <f>_xlfn.XLOOKUP(A331,保证金登记!B:B,保证金登记!J:J)</f>
        <v>15500</v>
      </c>
      <c r="H331">
        <f t="array" ref="H331">_xlfn.XLOOKUP(B331,1*[2]保证金申请!$A:$A,[2]保证金申请!$K:$K)</f>
        <v>15500</v>
      </c>
      <c r="I331">
        <f t="shared" si="15"/>
        <v>0</v>
      </c>
      <c r="J331">
        <f t="shared" si="16"/>
        <v>0</v>
      </c>
      <c r="K331" t="b">
        <f t="shared" si="17"/>
        <v>1</v>
      </c>
    </row>
    <row r="332" spans="1:11">
      <c r="A332" t="s">
        <v>935</v>
      </c>
      <c r="B332" s="1">
        <v>360</v>
      </c>
      <c r="C332">
        <f>_xlfn.XLOOKUP(A332,保证金登记!B:B,保证金登记!E:E)</f>
        <v>44708</v>
      </c>
      <c r="D332" t="str">
        <f t="array" ref="D332">_xlfn.XLOOKUP(B332,1*[2]保证金申请!$A:$A,[2]保证金申请!$C:$C)</f>
        <v>2022-05-27</v>
      </c>
      <c r="E332" t="str">
        <f>_xlfn.XLOOKUP(A332,保证金登记!B:B,保证金登记!I:I)</f>
        <v>青海发投碱业有限公司</v>
      </c>
      <c r="F332" t="str">
        <f t="array" ref="F332">_xlfn.XLOOKUP(B332,1*[2]保证金申请!$A:$A,[2]保证金申请!$Q:$Q)</f>
        <v>青海发投碱业有限公司</v>
      </c>
      <c r="G332">
        <f>_xlfn.XLOOKUP(A332,保证金登记!B:B,保证金登记!J:J)</f>
        <v>22000</v>
      </c>
      <c r="H332">
        <f t="array" ref="H332">_xlfn.XLOOKUP(B332,1*[2]保证金申请!$A:$A,[2]保证金申请!$K:$K)</f>
        <v>22000</v>
      </c>
      <c r="I332">
        <f t="shared" si="15"/>
        <v>0</v>
      </c>
      <c r="J332">
        <f t="shared" si="16"/>
        <v>0</v>
      </c>
      <c r="K332" t="b">
        <f t="shared" si="17"/>
        <v>1</v>
      </c>
    </row>
    <row r="333" spans="1:11">
      <c r="A333" t="s">
        <v>937</v>
      </c>
      <c r="B333" s="1">
        <v>338</v>
      </c>
      <c r="C333">
        <f>_xlfn.XLOOKUP(A333,保证金登记!B:B,保证金登记!E:E)</f>
        <v>44711</v>
      </c>
      <c r="D333" t="str">
        <f t="array" ref="D333">_xlfn.XLOOKUP(B333,1*[2]保证金申请!$A:$A,[2]保证金申请!$C:$C)</f>
        <v>2022-05-30</v>
      </c>
      <c r="E333" t="str">
        <f>_xlfn.XLOOKUP(A333,保证金登记!B:B,保证金登记!I:I)</f>
        <v>兰州铝业有限公司</v>
      </c>
      <c r="F333" t="str">
        <f t="array" ref="F333">_xlfn.XLOOKUP(B333,1*[2]保证金申请!$A:$A,[2]保证金申请!$Q:$Q)</f>
        <v>兰州铝业有限公司</v>
      </c>
      <c r="G333">
        <f>_xlfn.XLOOKUP(A333,保证金登记!B:B,保证金登记!J:J)</f>
        <v>2000</v>
      </c>
      <c r="H333">
        <f t="array" ref="H333">_xlfn.XLOOKUP(B333,1*[2]保证金申请!$A:$A,[2]保证金申请!$K:$K)</f>
        <v>2000</v>
      </c>
      <c r="I333">
        <f t="shared" si="15"/>
        <v>0</v>
      </c>
      <c r="J333">
        <f t="shared" si="16"/>
        <v>0</v>
      </c>
      <c r="K333" t="b">
        <f t="shared" si="17"/>
        <v>1</v>
      </c>
    </row>
    <row r="334" spans="1:11">
      <c r="A334" t="s">
        <v>939</v>
      </c>
      <c r="B334" s="1">
        <v>174</v>
      </c>
      <c r="C334">
        <f>_xlfn.XLOOKUP(A334,保证金登记!B:B,保证金登记!E:E)</f>
        <v>44712</v>
      </c>
      <c r="D334" t="str">
        <f t="array" ref="D334">_xlfn.XLOOKUP(B334,1*[2]保证金申请!$A:$A,[2]保证金申请!$C:$C)</f>
        <v>2022-05-31</v>
      </c>
      <c r="E334" t="str">
        <f>_xlfn.XLOOKUP(A334,保证金登记!B:B,保证金登记!I:I)</f>
        <v>青海发投碱业有限公司</v>
      </c>
      <c r="F334" t="str">
        <f t="array" ref="F334">_xlfn.XLOOKUP(B334,1*[2]保证金申请!$A:$A,[2]保证金申请!$Q:$Q)</f>
        <v>青海发投碱业有限公司</v>
      </c>
      <c r="G334">
        <f>_xlfn.XLOOKUP(A334,保证金登记!B:B,保证金登记!J:J)</f>
        <v>15500</v>
      </c>
      <c r="H334">
        <f t="array" ref="H334">_xlfn.XLOOKUP(B334,1*[2]保证金申请!$A:$A,[2]保证金申请!$K:$K)</f>
        <v>15500</v>
      </c>
      <c r="I334">
        <f t="shared" si="15"/>
        <v>0</v>
      </c>
      <c r="J334">
        <f t="shared" si="16"/>
        <v>0</v>
      </c>
      <c r="K334" t="b">
        <f t="shared" si="17"/>
        <v>1</v>
      </c>
    </row>
    <row r="335" spans="1:11">
      <c r="A335" t="s">
        <v>943</v>
      </c>
      <c r="B335" s="1">
        <v>175</v>
      </c>
      <c r="C335">
        <f>_xlfn.XLOOKUP(A335,保证金登记!B:B,保证金登记!E:E)</f>
        <v>44712</v>
      </c>
      <c r="D335" t="str">
        <f t="array" ref="D335">_xlfn.XLOOKUP(B335,1*[2]保证金申请!$A:$A,[2]保证金申请!$C:$C)</f>
        <v>2022-05-31</v>
      </c>
      <c r="E335" t="str">
        <f>_xlfn.XLOOKUP(A335,保证金登记!B:B,保证金登记!I:I)</f>
        <v>青海发投碱业有限公司</v>
      </c>
      <c r="F335" t="str">
        <f t="array" ref="F335">_xlfn.XLOOKUP(B335,1*[2]保证金申请!$A:$A,[2]保证金申请!$Q:$Q)</f>
        <v>青海发投碱业有限公司</v>
      </c>
      <c r="G335">
        <f>_xlfn.XLOOKUP(A335,保证金登记!B:B,保证金登记!J:J)</f>
        <v>12500</v>
      </c>
      <c r="H335">
        <f t="array" ref="H335">_xlfn.XLOOKUP(B335,1*[2]保证金申请!$A:$A,[2]保证金申请!$K:$K)</f>
        <v>12500</v>
      </c>
      <c r="I335">
        <f t="shared" si="15"/>
        <v>0</v>
      </c>
      <c r="J335">
        <f t="shared" si="16"/>
        <v>0</v>
      </c>
      <c r="K335" t="b">
        <f t="shared" si="17"/>
        <v>1</v>
      </c>
    </row>
    <row r="336" spans="1:11">
      <c r="A336" t="s">
        <v>944</v>
      </c>
      <c r="B336" s="1">
        <v>176</v>
      </c>
      <c r="C336">
        <f>_xlfn.XLOOKUP(A336,保证金登记!B:B,保证金登记!E:E)</f>
        <v>44712</v>
      </c>
      <c r="D336" t="str">
        <f t="array" ref="D336">_xlfn.XLOOKUP(B336,1*[2]保证金申请!$A:$A,[2]保证金申请!$C:$C)</f>
        <v>2022-05-31</v>
      </c>
      <c r="E336" t="str">
        <f>_xlfn.XLOOKUP(A336,保证金登记!B:B,保证金登记!I:I)</f>
        <v>青海发投碱业有限公司</v>
      </c>
      <c r="F336" t="str">
        <f t="array" ref="F336">_xlfn.XLOOKUP(B336,1*[2]保证金申请!$A:$A,[2]保证金申请!$Q:$Q)</f>
        <v>青海发投碱业有限公司</v>
      </c>
      <c r="G336">
        <f>_xlfn.XLOOKUP(A336,保证金登记!B:B,保证金登记!J:J)</f>
        <v>22000</v>
      </c>
      <c r="H336">
        <f t="array" ref="H336">_xlfn.XLOOKUP(B336,1*[2]保证金申请!$A:$A,[2]保证金申请!$K:$K)</f>
        <v>22000</v>
      </c>
      <c r="I336">
        <f t="shared" si="15"/>
        <v>0</v>
      </c>
      <c r="J336">
        <f t="shared" si="16"/>
        <v>0</v>
      </c>
      <c r="K336" t="b">
        <f t="shared" si="17"/>
        <v>1</v>
      </c>
    </row>
    <row r="337" spans="1:11">
      <c r="A337" t="s">
        <v>946</v>
      </c>
      <c r="B337" s="1">
        <v>177</v>
      </c>
      <c r="C337">
        <f>_xlfn.XLOOKUP(A337,保证金登记!B:B,保证金登记!E:E)</f>
        <v>44713</v>
      </c>
      <c r="D337" t="str">
        <f t="array" ref="D337">_xlfn.XLOOKUP(B337,1*[2]保证金申请!$A:$A,[2]保证金申请!$C:$C)</f>
        <v>2022-06-01</v>
      </c>
      <c r="E337" t="str">
        <f>_xlfn.XLOOKUP(A337,保证金登记!B:B,保证金登记!I:I)</f>
        <v>富民金锐水泥建材有限责任公司</v>
      </c>
      <c r="F337" t="str">
        <f t="array" ref="F337">_xlfn.XLOOKUP(B337,1*[2]保证金申请!$A:$A,[2]保证金申请!$Q:$Q)</f>
        <v>富民金锐水泥建材有限责任公司</v>
      </c>
      <c r="G337">
        <f>_xlfn.XLOOKUP(A337,保证金登记!B:B,保证金登记!J:J)</f>
        <v>3600</v>
      </c>
      <c r="H337">
        <f t="array" ref="H337">_xlfn.XLOOKUP(B337,1*[2]保证金申请!$A:$A,[2]保证金申请!$K:$K)</f>
        <v>3600</v>
      </c>
      <c r="I337">
        <f t="shared" si="15"/>
        <v>0</v>
      </c>
      <c r="J337">
        <f t="shared" si="16"/>
        <v>0</v>
      </c>
      <c r="K337" t="b">
        <f t="shared" si="17"/>
        <v>1</v>
      </c>
    </row>
    <row r="338" spans="1:11">
      <c r="A338" t="s">
        <v>952</v>
      </c>
      <c r="B338" s="1">
        <v>178</v>
      </c>
      <c r="C338">
        <f>_xlfn.XLOOKUP(A338,保证金登记!B:B,保证金登记!E:E)</f>
        <v>44718</v>
      </c>
      <c r="D338" t="str">
        <f t="array" ref="D338">_xlfn.XLOOKUP(B338,1*[2]保证金申请!$A:$A,[2]保证金申请!$C:$C)</f>
        <v>2022-06-06</v>
      </c>
      <c r="E338" t="str">
        <f>_xlfn.XLOOKUP(A338,保证金登记!B:B,保证金登记!I:I)</f>
        <v>阳泉冀东水泥有限责任公司</v>
      </c>
      <c r="F338" t="str">
        <f t="array" ref="F338">_xlfn.XLOOKUP(B338,1*[2]保证金申请!$A:$A,[2]保证金申请!$Q:$Q)</f>
        <v>阳泉冀东水泥有限责任公司</v>
      </c>
      <c r="G338">
        <f>_xlfn.XLOOKUP(A338,保证金登记!B:B,保证金登记!J:J)</f>
        <v>2000</v>
      </c>
      <c r="H338">
        <f t="array" ref="H338">_xlfn.XLOOKUP(B338,1*[2]保证金申请!$A:$A,[2]保证金申请!$K:$K)</f>
        <v>2000</v>
      </c>
      <c r="I338">
        <f t="shared" si="15"/>
        <v>0</v>
      </c>
      <c r="J338">
        <f t="shared" si="16"/>
        <v>0</v>
      </c>
      <c r="K338" t="b">
        <f t="shared" si="17"/>
        <v>1</v>
      </c>
    </row>
    <row r="339" spans="1:11">
      <c r="A339" t="s">
        <v>953</v>
      </c>
      <c r="B339" s="1">
        <v>179</v>
      </c>
      <c r="C339">
        <f>_xlfn.XLOOKUP(A339,保证金登记!B:B,保证金登记!E:E)</f>
        <v>44718</v>
      </c>
      <c r="D339" t="str">
        <f t="array" ref="D339">_xlfn.XLOOKUP(B339,1*[2]保证金申请!$A:$A,[2]保证金申请!$C:$C)</f>
        <v>2022-06-06</v>
      </c>
      <c r="E339" t="str">
        <f>_xlfn.XLOOKUP(A339,保证金登记!B:B,保证金登记!I:I)</f>
        <v>南京中联水泥有限公司</v>
      </c>
      <c r="F339" t="str">
        <f t="array" ref="F339">_xlfn.XLOOKUP(B339,1*[2]保证金申请!$A:$A,[2]保证金申请!$Q:$Q)</f>
        <v>南京中联水泥有限公司</v>
      </c>
      <c r="G339">
        <f>_xlfn.XLOOKUP(A339,保证金登记!B:B,保证金登记!J:J)</f>
        <v>10000</v>
      </c>
      <c r="H339">
        <f t="array" ref="H339">_xlfn.XLOOKUP(B339,1*[2]保证金申请!$A:$A,[2]保证金申请!$K:$K)</f>
        <v>10000</v>
      </c>
      <c r="I339">
        <f t="shared" si="15"/>
        <v>0</v>
      </c>
      <c r="J339">
        <f t="shared" si="16"/>
        <v>0</v>
      </c>
      <c r="K339" t="b">
        <f t="shared" si="17"/>
        <v>1</v>
      </c>
    </row>
    <row r="340" spans="1:11">
      <c r="A340" t="s">
        <v>956</v>
      </c>
      <c r="B340" s="1">
        <v>322</v>
      </c>
      <c r="C340">
        <f>_xlfn.XLOOKUP(A340,保证金登记!B:B,保证金登记!E:E)</f>
        <v>44718</v>
      </c>
      <c r="D340" t="str">
        <f t="array" ref="D340">_xlfn.XLOOKUP(B340,1*[2]保证金申请!$A:$A,[2]保证金申请!$C:$C)</f>
        <v>2022-06-06</v>
      </c>
      <c r="E340" t="str">
        <f>_xlfn.XLOOKUP(A340,保证金登记!B:B,保证金登记!I:I)</f>
        <v>鞍山冀东水泥有限责任公司</v>
      </c>
      <c r="F340" t="str">
        <f t="array" ref="F340">_xlfn.XLOOKUP(B340,1*[2]保证金申请!$A:$A,[2]保证金申请!$Q:$Q)</f>
        <v>鞍山冀东水泥有限责任公司</v>
      </c>
      <c r="G340">
        <f>_xlfn.XLOOKUP(A340,保证金登记!B:B,保证金登记!J:J)</f>
        <v>2000</v>
      </c>
      <c r="H340">
        <f t="array" ref="H340">_xlfn.XLOOKUP(B340,1*[2]保证金申请!$A:$A,[2]保证金申请!$K:$K)</f>
        <v>2000</v>
      </c>
      <c r="I340">
        <f t="shared" si="15"/>
        <v>0</v>
      </c>
      <c r="J340">
        <f t="shared" si="16"/>
        <v>0</v>
      </c>
      <c r="K340" t="b">
        <f t="shared" si="17"/>
        <v>1</v>
      </c>
    </row>
    <row r="341" spans="1:11">
      <c r="A341" t="s">
        <v>960</v>
      </c>
      <c r="B341" s="1">
        <v>339</v>
      </c>
      <c r="C341">
        <f>_xlfn.XLOOKUP(A341,保证金登记!B:B,保证金登记!E:E)</f>
        <v>44719</v>
      </c>
      <c r="D341" t="str">
        <f t="array" ref="D341">_xlfn.XLOOKUP(B341,1*[2]保证金申请!$A:$A,[2]保证金申请!$C:$C)</f>
        <v>2022-06-07</v>
      </c>
      <c r="E341" t="str">
        <f>_xlfn.XLOOKUP(A341,保证金登记!B:B,保证金登记!I:I)</f>
        <v>宁夏建材集团股份有限公司</v>
      </c>
      <c r="F341" t="str">
        <f t="array" ref="F341">_xlfn.XLOOKUP(B341,1*[2]保证金申请!$A:$A,[2]保证金申请!$Q:$Q)</f>
        <v>宁夏建材集团股份有限公司</v>
      </c>
      <c r="G341">
        <f>_xlfn.XLOOKUP(A341,保证金登记!B:B,保证金登记!J:J)</f>
        <v>10000</v>
      </c>
      <c r="H341">
        <f t="array" ref="H341">_xlfn.XLOOKUP(B341,1*[2]保证金申请!$A:$A,[2]保证金申请!$K:$K)</f>
        <v>10000</v>
      </c>
      <c r="I341">
        <f t="shared" si="15"/>
        <v>0</v>
      </c>
      <c r="J341">
        <f t="shared" si="16"/>
        <v>0</v>
      </c>
      <c r="K341" t="b">
        <f t="shared" si="17"/>
        <v>1</v>
      </c>
    </row>
    <row r="342" spans="1:11">
      <c r="A342" t="s">
        <v>961</v>
      </c>
      <c r="B342" s="1">
        <v>180</v>
      </c>
      <c r="C342">
        <f>_xlfn.XLOOKUP(A342,保证金登记!B:B,保证金登记!E:E)</f>
        <v>44720</v>
      </c>
      <c r="D342" t="str">
        <f t="array" ref="D342">_xlfn.XLOOKUP(B342,1*[2]保证金申请!$A:$A,[2]保证金申请!$C:$C)</f>
        <v>2022-06-08</v>
      </c>
      <c r="E342" t="str">
        <f>_xlfn.XLOOKUP(A342,保证金登记!B:B,保证金登记!I:I)</f>
        <v>广安昌兴水泥有限公司</v>
      </c>
      <c r="F342" t="str">
        <f t="array" ref="F342">_xlfn.XLOOKUP(B342,1*[2]保证金申请!$A:$A,[2]保证金申请!$Q:$Q)</f>
        <v>广安昌兴水泥有限公司</v>
      </c>
      <c r="G342">
        <f>_xlfn.XLOOKUP(A342,保证金登记!B:B,保证金登记!J:J)</f>
        <v>4300</v>
      </c>
      <c r="H342">
        <f t="array" ref="H342">_xlfn.XLOOKUP(B342,1*[2]保证金申请!$A:$A,[2]保证金申请!$K:$K)</f>
        <v>4300</v>
      </c>
      <c r="I342">
        <f t="shared" si="15"/>
        <v>0</v>
      </c>
      <c r="J342">
        <f t="shared" si="16"/>
        <v>0</v>
      </c>
      <c r="K342" t="b">
        <f t="shared" si="17"/>
        <v>1</v>
      </c>
    </row>
    <row r="343" spans="1:11">
      <c r="A343" t="s">
        <v>965</v>
      </c>
      <c r="B343" s="1">
        <v>340</v>
      </c>
      <c r="C343">
        <f>_xlfn.XLOOKUP(A343,保证金登记!B:B,保证金登记!E:E)</f>
        <v>44725</v>
      </c>
      <c r="D343" t="str">
        <f t="array" ref="D343">_xlfn.XLOOKUP(B343,1*[2]保证金申请!$A:$A,[2]保证金申请!$C:$C)</f>
        <v>2022-06-13</v>
      </c>
      <c r="E343" t="str">
        <f>_xlfn.XLOOKUP(A343,保证金登记!B:B,保证金登记!I:I)</f>
        <v>日照钢铁有限公司</v>
      </c>
      <c r="F343" t="str">
        <f t="array" ref="F343">_xlfn.XLOOKUP(B343,1*[2]保证金申请!$A:$A,[2]保证金申请!$Q:$Q)</f>
        <v>日照钢铁有限公司</v>
      </c>
      <c r="G343">
        <f>_xlfn.XLOOKUP(A343,保证金登记!B:B,保证金登记!J:J)</f>
        <v>10000</v>
      </c>
      <c r="H343">
        <f t="array" ref="H343">_xlfn.XLOOKUP(B343,1*[2]保证金申请!$A:$A,[2]保证金申请!$K:$K)</f>
        <v>10000</v>
      </c>
      <c r="I343">
        <f t="shared" si="15"/>
        <v>0</v>
      </c>
      <c r="J343">
        <f t="shared" si="16"/>
        <v>0</v>
      </c>
      <c r="K343" t="b">
        <f t="shared" si="17"/>
        <v>1</v>
      </c>
    </row>
    <row r="344" spans="1:11">
      <c r="A344" t="s">
        <v>970</v>
      </c>
      <c r="B344" s="1">
        <v>181</v>
      </c>
      <c r="C344">
        <f>_xlfn.XLOOKUP(A344,保证金登记!B:B,保证金登记!E:E)</f>
        <v>44733</v>
      </c>
      <c r="D344" t="str">
        <f t="array" ref="D344">_xlfn.XLOOKUP(B344,1*[2]保证金申请!$A:$A,[2]保证金申请!$C:$C)</f>
        <v>2022-06-21</v>
      </c>
      <c r="E344" t="str">
        <f>_xlfn.XLOOKUP(A344,保证金登记!B:B,保证金登记!I:I)</f>
        <v>青海发投碱业有限公司</v>
      </c>
      <c r="F344" t="str">
        <f t="array" ref="F344">_xlfn.XLOOKUP(B344,1*[2]保证金申请!$A:$A,[2]保证金申请!$Q:$Q)</f>
        <v>青海发投碱业有限公司</v>
      </c>
      <c r="G344">
        <f>_xlfn.XLOOKUP(A344,保证金登记!B:B,保证金登记!J:J)</f>
        <v>50000</v>
      </c>
      <c r="H344">
        <f t="array" ref="H344">_xlfn.XLOOKUP(B344,1*[2]保证金申请!$A:$A,[2]保证金申请!$K:$K)</f>
        <v>50000</v>
      </c>
      <c r="I344">
        <f t="shared" si="15"/>
        <v>0</v>
      </c>
      <c r="J344">
        <f t="shared" si="16"/>
        <v>0</v>
      </c>
      <c r="K344" t="b">
        <f t="shared" si="17"/>
        <v>1</v>
      </c>
    </row>
    <row r="345" spans="1:11">
      <c r="A345" t="s">
        <v>978</v>
      </c>
      <c r="B345" s="1">
        <v>414</v>
      </c>
      <c r="C345">
        <f>_xlfn.XLOOKUP(A345,保证金登记!B:B,保证金登记!E:E)</f>
        <v>44740</v>
      </c>
      <c r="D345" t="str">
        <f t="array" ref="D345">_xlfn.XLOOKUP(B345,1*[2]保证金申请!$A:$A,[2]保证金申请!$C:$C)</f>
        <v>2022-06-28</v>
      </c>
      <c r="E345" t="str">
        <f>_xlfn.XLOOKUP(A345,保证金登记!B:B,保证金登记!I:I)</f>
        <v>新疆米东天山水泥有限责任公司</v>
      </c>
      <c r="F345" t="str">
        <f t="array" ref="F345">_xlfn.XLOOKUP(B345,1*[2]保证金申请!$A:$A,[2]保证金申请!$Q:$Q)</f>
        <v>米东天山</v>
      </c>
      <c r="G345">
        <f>_xlfn.XLOOKUP(A345,保证金登记!B:B,保证金登记!J:J)</f>
        <v>10000</v>
      </c>
      <c r="H345">
        <f t="array" ref="H345">_xlfn.XLOOKUP(B345,1*[2]保证金申请!$A:$A,[2]保证金申请!$K:$K)</f>
        <v>10000</v>
      </c>
      <c r="I345">
        <f t="shared" si="15"/>
        <v>0</v>
      </c>
      <c r="J345">
        <f t="shared" si="16"/>
        <v>0</v>
      </c>
      <c r="K345" t="b">
        <f t="shared" si="17"/>
        <v>0</v>
      </c>
    </row>
    <row r="346" spans="1:11">
      <c r="A346" t="s">
        <v>980</v>
      </c>
      <c r="B346" s="1">
        <v>416</v>
      </c>
      <c r="C346">
        <f>_xlfn.XLOOKUP(A346,保证金登记!B:B,保证金登记!E:E)</f>
        <v>44743</v>
      </c>
      <c r="D346" t="str">
        <f t="array" ref="D346">_xlfn.XLOOKUP(B346,1*[2]保证金申请!$A:$A,[2]保证金申请!$C:$C)</f>
        <v>2022-07-01</v>
      </c>
      <c r="E346" t="str">
        <f>_xlfn.XLOOKUP(A346,保证金登记!B:B,保证金登记!I:I)</f>
        <v>云南普洱西南水泥有限公司</v>
      </c>
      <c r="F346" t="str">
        <f t="array" ref="F346">_xlfn.XLOOKUP(B346,1*[2]保证金申请!$A:$A,[2]保证金申请!$Q:$Q)</f>
        <v>云南普洱西南水泥有限公司</v>
      </c>
      <c r="G346">
        <f>_xlfn.XLOOKUP(A346,保证金登记!B:B,保证金登记!J:J)</f>
        <v>11200</v>
      </c>
      <c r="H346">
        <f t="array" ref="H346">_xlfn.XLOOKUP(B346,1*[2]保证金申请!$A:$A,[2]保证金申请!$K:$K)</f>
        <v>11200</v>
      </c>
      <c r="I346">
        <f t="shared" si="15"/>
        <v>0</v>
      </c>
      <c r="J346">
        <f t="shared" si="16"/>
        <v>0</v>
      </c>
      <c r="K346" t="b">
        <f t="shared" si="17"/>
        <v>1</v>
      </c>
    </row>
    <row r="347" spans="1:11">
      <c r="A347" t="s">
        <v>985</v>
      </c>
      <c r="B347" s="1">
        <v>417</v>
      </c>
      <c r="C347">
        <f>_xlfn.XLOOKUP(A347,保证金登记!B:B,保证金登记!E:E)</f>
        <v>44747</v>
      </c>
      <c r="D347" t="str">
        <f t="array" ref="D347">_xlfn.XLOOKUP(B347,1*[2]保证金申请!$A:$A,[2]保证金申请!$C:$C)</f>
        <v>2022-07-05</v>
      </c>
      <c r="E347" t="str">
        <f>_xlfn.XLOOKUP(A347,保证金登记!B:B,保证金登记!I:I)</f>
        <v>三门峡腾跃同力水泥有限公司</v>
      </c>
      <c r="F347" t="str">
        <f t="array" ref="F347">_xlfn.XLOOKUP(B347,1*[2]保证金申请!$A:$A,[2]保证金申请!$Q:$Q)</f>
        <v>三门峡腾跃同力水泥有限公司</v>
      </c>
      <c r="G347">
        <f>_xlfn.XLOOKUP(A347,保证金登记!B:B,保证金登记!J:J)</f>
        <v>3000</v>
      </c>
      <c r="H347">
        <f t="array" ref="H347">_xlfn.XLOOKUP(B347,1*[2]保证金申请!$A:$A,[2]保证金申请!$K:$K)</f>
        <v>3000</v>
      </c>
      <c r="I347">
        <f t="shared" si="15"/>
        <v>0</v>
      </c>
      <c r="J347">
        <f t="shared" si="16"/>
        <v>0</v>
      </c>
      <c r="K347" t="b">
        <f t="shared" si="17"/>
        <v>1</v>
      </c>
    </row>
    <row r="348" spans="1:11">
      <c r="A348" t="s">
        <v>990</v>
      </c>
      <c r="B348" s="1">
        <v>419</v>
      </c>
      <c r="C348">
        <f>_xlfn.XLOOKUP(A348,保证金登记!B:B,保证金登记!E:E)</f>
        <v>44757</v>
      </c>
      <c r="D348" t="str">
        <f t="array" ref="D348">_xlfn.XLOOKUP(B348,1*[2]保证金申请!$A:$A,[2]保证金申请!$C:$C)</f>
        <v>2022-07-15</v>
      </c>
      <c r="E348" t="str">
        <f>_xlfn.XLOOKUP(A348,保证金登记!B:B,保证金登记!I:I)</f>
        <v>邢台金隅冀东水泥有限公司</v>
      </c>
      <c r="F348" t="str">
        <f t="array" ref="F348">_xlfn.XLOOKUP(B348,1*[2]保证金申请!$A:$A,[2]保证金申请!$Q:$Q)</f>
        <v>邢台金隅冀东水泥有限公司</v>
      </c>
      <c r="G348">
        <f>_xlfn.XLOOKUP(A348,保证金登记!B:B,保证金登记!J:J)</f>
        <v>2000</v>
      </c>
      <c r="H348">
        <f t="array" ref="H348">_xlfn.XLOOKUP(B348,1*[2]保证金申请!$A:$A,[2]保证金申请!$K:$K)</f>
        <v>2000</v>
      </c>
      <c r="I348">
        <f t="shared" si="15"/>
        <v>0</v>
      </c>
      <c r="J348">
        <f t="shared" si="16"/>
        <v>0</v>
      </c>
      <c r="K348" t="b">
        <f t="shared" si="17"/>
        <v>1</v>
      </c>
    </row>
    <row r="349" spans="1:11">
      <c r="A349" t="s">
        <v>992</v>
      </c>
      <c r="B349" s="1">
        <v>420</v>
      </c>
      <c r="C349">
        <f>_xlfn.XLOOKUP(A349,保证金登记!B:B,保证金登记!E:E)</f>
        <v>44757</v>
      </c>
      <c r="D349" t="str">
        <f t="array" ref="D349">_xlfn.XLOOKUP(B349,1*[2]保证金申请!$A:$A,[2]保证金申请!$C:$C)</f>
        <v>2022-07-15</v>
      </c>
      <c r="E349" t="str">
        <f>_xlfn.XLOOKUP(A349,保证金登记!B:B,保证金登记!I:I)</f>
        <v>江苏永钢集团有限公司</v>
      </c>
      <c r="F349" t="str">
        <f t="array" ref="F349">_xlfn.XLOOKUP(B349,1*[2]保证金申请!$A:$A,[2]保证金申请!$Q:$Q)</f>
        <v>江苏永钢集团有限公司</v>
      </c>
      <c r="G349">
        <f>_xlfn.XLOOKUP(A349,保证金登记!B:B,保证金登记!J:J)</f>
        <v>10000</v>
      </c>
      <c r="H349">
        <f t="array" ref="H349">_xlfn.XLOOKUP(B349,1*[2]保证金申请!$A:$A,[2]保证金申请!$K:$K)</f>
        <v>10000</v>
      </c>
      <c r="I349">
        <f t="shared" si="15"/>
        <v>0</v>
      </c>
      <c r="J349">
        <f t="shared" si="16"/>
        <v>0</v>
      </c>
      <c r="K349" t="b">
        <f t="shared" si="17"/>
        <v>1</v>
      </c>
    </row>
    <row r="350" spans="1:11">
      <c r="A350" t="s">
        <v>994</v>
      </c>
      <c r="B350" s="1">
        <v>421</v>
      </c>
      <c r="C350">
        <f>_xlfn.XLOOKUP(A350,保证金登记!B:B,保证金登记!E:E)</f>
        <v>44757</v>
      </c>
      <c r="D350" t="str">
        <f t="array" ref="D350">_xlfn.XLOOKUP(B350,1*[2]保证金申请!$A:$A,[2]保证金申请!$C:$C)</f>
        <v>2022-07-15</v>
      </c>
      <c r="E350" t="str">
        <f>_xlfn.XLOOKUP(A350,保证金登记!B:B,保证金登记!I:I)</f>
        <v>江苏永钢集团有限公司</v>
      </c>
      <c r="F350" t="str">
        <f t="array" ref="F350">_xlfn.XLOOKUP(B350,1*[2]保证金申请!$A:$A,[2]保证金申请!$Q:$Q)</f>
        <v>江苏永钢集团有限公司</v>
      </c>
      <c r="G350">
        <f>_xlfn.XLOOKUP(A350,保证金登记!B:B,保证金登记!J:J)</f>
        <v>10000</v>
      </c>
      <c r="H350">
        <f t="array" ref="H350">_xlfn.XLOOKUP(B350,1*[2]保证金申请!$A:$A,[2]保证金申请!$K:$K)</f>
        <v>10000</v>
      </c>
      <c r="I350">
        <f t="shared" si="15"/>
        <v>0</v>
      </c>
      <c r="J350">
        <f t="shared" si="16"/>
        <v>0</v>
      </c>
      <c r="K350" t="b">
        <f t="shared" si="17"/>
        <v>1</v>
      </c>
    </row>
    <row r="351" spans="1:11">
      <c r="A351" t="s">
        <v>995</v>
      </c>
      <c r="B351" s="1">
        <v>422</v>
      </c>
      <c r="C351">
        <f>_xlfn.XLOOKUP(A351,保证金登记!B:B,保证金登记!E:E)</f>
        <v>44760</v>
      </c>
      <c r="D351" t="str">
        <f t="array" ref="D351">_xlfn.XLOOKUP(B351,1*[2]保证金申请!$A:$A,[2]保证金申请!$C:$C)</f>
        <v>2022-07-18</v>
      </c>
      <c r="E351" t="str">
        <f>_xlfn.XLOOKUP(A351,保证金登记!B:B,保证金登记!I:I)</f>
        <v>吉林金隅冀东环保科技有限公司</v>
      </c>
      <c r="F351" t="str">
        <f t="array" ref="F351">_xlfn.XLOOKUP(B351,1*[2]保证金申请!$A:$A,[2]保证金申请!$Q:$Q)</f>
        <v>吉林金隅冀东环保科技有限公司</v>
      </c>
      <c r="G351">
        <f>_xlfn.XLOOKUP(A351,保证金登记!B:B,保证金登记!J:J)</f>
        <v>3400</v>
      </c>
      <c r="H351">
        <f t="array" ref="H351">_xlfn.XLOOKUP(B351,1*[2]保证金申请!$A:$A,[2]保证金申请!$K:$K)</f>
        <v>3400</v>
      </c>
      <c r="I351">
        <f t="shared" si="15"/>
        <v>0</v>
      </c>
      <c r="J351">
        <f t="shared" si="16"/>
        <v>0</v>
      </c>
      <c r="K351" t="b">
        <f t="shared" si="17"/>
        <v>1</v>
      </c>
    </row>
    <row r="352" spans="1:11">
      <c r="A352" t="s">
        <v>999</v>
      </c>
      <c r="B352" s="1">
        <v>423</v>
      </c>
      <c r="C352">
        <f>_xlfn.XLOOKUP(A352,保证金登记!B:B,保证金登记!E:E)</f>
        <v>44761</v>
      </c>
      <c r="D352" t="str">
        <f t="array" ref="D352">_xlfn.XLOOKUP(B352,1*[2]保证金申请!$A:$A,[2]保证金申请!$C:$C)</f>
        <v>2022-07-19</v>
      </c>
      <c r="E352" t="str">
        <f>_xlfn.XLOOKUP(A352,保证金登记!B:B,保证金登记!I:I)</f>
        <v>山东鲁泰环保建材有限公司</v>
      </c>
      <c r="F352" t="str">
        <f t="array" ref="F352">_xlfn.XLOOKUP(B352,1*[2]保证金申请!$A:$A,[2]保证金申请!$Q:$Q)</f>
        <v>山东鲁泰环保建材有限公司</v>
      </c>
      <c r="G352">
        <f>_xlfn.XLOOKUP(A352,保证金登记!B:B,保证金登记!J:J)</f>
        <v>7750</v>
      </c>
      <c r="H352">
        <f t="array" ref="H352">_xlfn.XLOOKUP(B352,1*[2]保证金申请!$A:$A,[2]保证金申请!$K:$K)</f>
        <v>7750</v>
      </c>
      <c r="I352">
        <f t="shared" si="15"/>
        <v>0</v>
      </c>
      <c r="J352">
        <f t="shared" si="16"/>
        <v>0</v>
      </c>
      <c r="K352" t="b">
        <f t="shared" si="17"/>
        <v>1</v>
      </c>
    </row>
    <row r="353" spans="1:11">
      <c r="A353" t="s">
        <v>1001</v>
      </c>
      <c r="B353" s="1">
        <v>424</v>
      </c>
      <c r="C353">
        <f>_xlfn.XLOOKUP(A353,保证金登记!B:B,保证金登记!E:E)</f>
        <v>44763</v>
      </c>
      <c r="D353" t="str">
        <f t="array" ref="D353">_xlfn.XLOOKUP(B353,1*[2]保证金申请!$A:$A,[2]保证金申请!$C:$C)</f>
        <v>2022-07-21</v>
      </c>
      <c r="E353" t="str">
        <f>_xlfn.XLOOKUP(A353,保证金登记!B:B,保证金登记!I:I)</f>
        <v>邯郸钢铁集团有限责任公司</v>
      </c>
      <c r="F353" t="str">
        <f t="array" ref="F353">_xlfn.XLOOKUP(B353,1*[2]保证金申请!$A:$A,[2]保证金申请!$Q:$Q)</f>
        <v>邯郸钢铁集团有限责任公司</v>
      </c>
      <c r="G353">
        <f>_xlfn.XLOOKUP(A353,保证金登记!B:B,保证金登记!J:J)</f>
        <v>38000</v>
      </c>
      <c r="H353">
        <f t="array" ref="H353">_xlfn.XLOOKUP(B353,1*[2]保证金申请!$A:$A,[2]保证金申请!$K:$K)</f>
        <v>38000</v>
      </c>
      <c r="I353">
        <f t="shared" si="15"/>
        <v>0</v>
      </c>
      <c r="J353">
        <f t="shared" si="16"/>
        <v>0</v>
      </c>
      <c r="K353" t="b">
        <f t="shared" si="17"/>
        <v>1</v>
      </c>
    </row>
    <row r="354" spans="1:11">
      <c r="A354" t="s">
        <v>1003</v>
      </c>
      <c r="B354" s="1">
        <v>425</v>
      </c>
      <c r="C354">
        <f>_xlfn.XLOOKUP(A354,保证金登记!B:B,保证金登记!E:E)</f>
        <v>44764</v>
      </c>
      <c r="D354" t="str">
        <f t="array" ref="D354">_xlfn.XLOOKUP(B354,1*[2]保证金申请!$A:$A,[2]保证金申请!$C:$C)</f>
        <v>2022-07-22</v>
      </c>
      <c r="E354" t="str">
        <f>_xlfn.XLOOKUP(A354,保证金登记!B:B,保证金登记!I:I)</f>
        <v>富民金锐水泥建材有限责任公司</v>
      </c>
      <c r="F354" t="str">
        <f t="array" ref="F354">_xlfn.XLOOKUP(B354,1*[2]保证金申请!$A:$A,[2]保证金申请!$Q:$Q)</f>
        <v>富民金锐水泥建材有限责任公司</v>
      </c>
      <c r="G354">
        <f>_xlfn.XLOOKUP(A354,保证金登记!B:B,保证金登记!J:J)</f>
        <v>10000</v>
      </c>
      <c r="H354">
        <f t="array" ref="H354">_xlfn.XLOOKUP(B354,1*[2]保证金申请!$A:$A,[2]保证金申请!$K:$K)</f>
        <v>10000</v>
      </c>
      <c r="I354">
        <f t="shared" si="15"/>
        <v>0</v>
      </c>
      <c r="J354">
        <f t="shared" si="16"/>
        <v>0</v>
      </c>
      <c r="K354" t="b">
        <f t="shared" si="17"/>
        <v>1</v>
      </c>
    </row>
    <row r="355" spans="1:11">
      <c r="A355" t="s">
        <v>1004</v>
      </c>
      <c r="B355" s="1">
        <v>427</v>
      </c>
      <c r="C355">
        <f>_xlfn.XLOOKUP(A355,保证金登记!B:B,保证金登记!E:E)</f>
        <v>44770</v>
      </c>
      <c r="D355" t="str">
        <f t="array" ref="D355">_xlfn.XLOOKUP(B355,1*[2]保证金申请!$A:$A,[2]保证金申请!$C:$C)</f>
        <v>2022-07-28</v>
      </c>
      <c r="E355" t="str">
        <f>_xlfn.XLOOKUP(A355,保证金登记!B:B,保证金登记!I:I)</f>
        <v>山西金隅冀东环保科技有限公司</v>
      </c>
      <c r="F355" t="str">
        <f t="array" ref="F355">_xlfn.XLOOKUP(B355,1*[2]保证金申请!$A:$A,[2]保证金申请!$Q:$Q)</f>
        <v>山西金隅冀东环保科技有限公司</v>
      </c>
      <c r="G355">
        <f>_xlfn.XLOOKUP(A355,保证金登记!B:B,保证金登记!J:J)</f>
        <v>10000</v>
      </c>
      <c r="H355">
        <f t="array" ref="H355">_xlfn.XLOOKUP(B355,1*[2]保证金申请!$A:$A,[2]保证金申请!$K:$K)</f>
        <v>10000</v>
      </c>
      <c r="I355">
        <f t="shared" si="15"/>
        <v>0</v>
      </c>
      <c r="J355">
        <f t="shared" si="16"/>
        <v>0</v>
      </c>
      <c r="K355" t="b">
        <f t="shared" si="17"/>
        <v>1</v>
      </c>
    </row>
    <row r="356" spans="1:11">
      <c r="A356" t="s">
        <v>1010</v>
      </c>
      <c r="B356" s="1">
        <v>428</v>
      </c>
      <c r="C356">
        <f>_xlfn.XLOOKUP(A356,保证金登记!B:B,保证金登记!E:E)</f>
        <v>44774</v>
      </c>
      <c r="D356" t="str">
        <f t="array" ref="D356">_xlfn.XLOOKUP(B356,1*[2]保证金申请!$A:$A,[2]保证金申请!$C:$C)</f>
        <v>2022-08-01</v>
      </c>
      <c r="E356" t="str">
        <f>_xlfn.XLOOKUP(A356,保证金登记!B:B,保证金登记!I:I)</f>
        <v>陵川金隅冀东环保科技有限公司</v>
      </c>
      <c r="F356" t="str">
        <f t="array" ref="F356">_xlfn.XLOOKUP(B356,1*[2]保证金申请!$A:$A,[2]保证金申请!$Q:$Q)</f>
        <v>陵川金隅冀东环保科技有限公司</v>
      </c>
      <c r="G356">
        <f>_xlfn.XLOOKUP(A356,保证金登记!B:B,保证金登记!J:J)</f>
        <v>1000</v>
      </c>
      <c r="H356">
        <f t="array" ref="H356">_xlfn.XLOOKUP(B356,1*[2]保证金申请!$A:$A,[2]保证金申请!$K:$K)</f>
        <v>1000</v>
      </c>
      <c r="I356">
        <f t="shared" si="15"/>
        <v>0</v>
      </c>
      <c r="J356">
        <f t="shared" si="16"/>
        <v>0</v>
      </c>
      <c r="K356" t="b">
        <f t="shared" si="17"/>
        <v>1</v>
      </c>
    </row>
    <row r="357" spans="1:11">
      <c r="A357" t="s">
        <v>1013</v>
      </c>
      <c r="B357" s="1">
        <v>430</v>
      </c>
      <c r="C357">
        <f>_xlfn.XLOOKUP(A357,保证金登记!B:B,保证金登记!E:E)</f>
        <v>44778</v>
      </c>
      <c r="D357" t="str">
        <f t="array" ref="D357">_xlfn.XLOOKUP(B357,1*[2]保证金申请!$A:$A,[2]保证金申请!$C:$C)</f>
        <v>2022-08-05</v>
      </c>
      <c r="E357" t="str">
        <f>_xlfn.XLOOKUP(A357,保证金登记!B:B,保证金登记!I:I)</f>
        <v>兰州铝业有限公司</v>
      </c>
      <c r="F357" t="str">
        <f t="array" ref="F357">_xlfn.XLOOKUP(B357,1*[2]保证金申请!$A:$A,[2]保证金申请!$Q:$Q)</f>
        <v>兰州铝业有限公司</v>
      </c>
      <c r="G357">
        <f>_xlfn.XLOOKUP(A357,保证金登记!B:B,保证金登记!J:J)</f>
        <v>1000</v>
      </c>
      <c r="H357">
        <f t="array" ref="H357">_xlfn.XLOOKUP(B357,1*[2]保证金申请!$A:$A,[2]保证金申请!$K:$K)</f>
        <v>1000</v>
      </c>
      <c r="I357">
        <f t="shared" si="15"/>
        <v>0</v>
      </c>
      <c r="J357">
        <f t="shared" si="16"/>
        <v>0</v>
      </c>
      <c r="K357" t="b">
        <f t="shared" si="17"/>
        <v>1</v>
      </c>
    </row>
    <row r="358" spans="1:11">
      <c r="A358" t="s">
        <v>1021</v>
      </c>
      <c r="B358" s="1">
        <v>434</v>
      </c>
      <c r="C358">
        <f>_xlfn.XLOOKUP(A358,保证金登记!B:B,保证金登记!E:E)</f>
        <v>44792</v>
      </c>
      <c r="D358" t="str">
        <f t="array" ref="D358">_xlfn.XLOOKUP(B358,1*[2]保证金申请!$A:$A,[2]保证金申请!$C:$C)</f>
        <v>2022-08-19</v>
      </c>
      <c r="E358" t="str">
        <f>_xlfn.XLOOKUP(A358,保证金登记!B:B,保证金登记!I:I)</f>
        <v>大方永贵建材有限责任公司</v>
      </c>
      <c r="F358" t="str">
        <f t="array" ref="F358">_xlfn.XLOOKUP(B358,1*[2]保证金申请!$A:$A,[2]保证金申请!$Q:$Q)</f>
        <v>大方永贵建材有限责任公司</v>
      </c>
      <c r="G358">
        <f>_xlfn.XLOOKUP(A358,保证金登记!B:B,保证金登记!J:J)</f>
        <v>2100</v>
      </c>
      <c r="H358">
        <f t="array" ref="H358">_xlfn.XLOOKUP(B358,1*[2]保证金申请!$A:$A,[2]保证金申请!$K:$K)</f>
        <v>2100</v>
      </c>
      <c r="I358">
        <f t="shared" si="15"/>
        <v>0</v>
      </c>
      <c r="J358">
        <f t="shared" si="16"/>
        <v>0</v>
      </c>
      <c r="K358" t="b">
        <f t="shared" si="17"/>
        <v>1</v>
      </c>
    </row>
    <row r="359" spans="1:11">
      <c r="A359" t="s">
        <v>1025</v>
      </c>
      <c r="B359" s="1">
        <v>435</v>
      </c>
      <c r="C359">
        <f>_xlfn.XLOOKUP(A359,保证金登记!B:B,保证金登记!E:E)</f>
        <v>44795</v>
      </c>
      <c r="D359" t="str">
        <f t="array" ref="D359">_xlfn.XLOOKUP(B359,1*[2]保证金申请!$A:$A,[2]保证金申请!$C:$C)</f>
        <v>2022-08-22</v>
      </c>
      <c r="E359" t="str">
        <f>_xlfn.XLOOKUP(A359,保证金登记!B:B,保证金登记!I:I)</f>
        <v>冀东水泥重庆合川有限责任公司</v>
      </c>
      <c r="F359" t="str">
        <f t="array" ref="F359">_xlfn.XLOOKUP(B359,1*[2]保证金申请!$A:$A,[2]保证金申请!$Q:$Q)</f>
        <v>冀东水泥重庆合川有限责任公司</v>
      </c>
      <c r="G359">
        <f>_xlfn.XLOOKUP(A359,保证金登记!B:B,保证金登记!J:J)</f>
        <v>2600</v>
      </c>
      <c r="H359">
        <f t="array" ref="H359">_xlfn.XLOOKUP(B359,1*[2]保证金申请!$A:$A,[2]保证金申请!$K:$K)</f>
        <v>2600</v>
      </c>
      <c r="I359">
        <f t="shared" si="15"/>
        <v>0</v>
      </c>
      <c r="J359">
        <f t="shared" si="16"/>
        <v>0</v>
      </c>
      <c r="K359" t="b">
        <f t="shared" si="17"/>
        <v>1</v>
      </c>
    </row>
    <row r="360" spans="1:11">
      <c r="A360" t="s">
        <v>1027</v>
      </c>
      <c r="B360" s="1">
        <v>436</v>
      </c>
      <c r="C360">
        <f>_xlfn.XLOOKUP(A360,保证金登记!B:B,保证金登记!E:E)</f>
        <v>44795</v>
      </c>
      <c r="D360" t="str">
        <f t="array" ref="D360">_xlfn.XLOOKUP(B360,1*[2]保证金申请!$A:$A,[2]保证金申请!$C:$C)</f>
        <v>2022-08-22</v>
      </c>
      <c r="E360" t="str">
        <f>_xlfn.XLOOKUP(A360,保证金登记!B:B,保证金登记!I:I)</f>
        <v>泰州杨湾海螺水泥有限责任公司</v>
      </c>
      <c r="F360" t="str">
        <f t="array" ref="F360">_xlfn.XLOOKUP(B360,1*[2]保证金申请!$A:$A,[2]保证金申请!$Q:$Q)</f>
        <v>泰州杨湾海螺水泥有限责任公司</v>
      </c>
      <c r="G360">
        <f>_xlfn.XLOOKUP(A360,保证金登记!B:B,保证金登记!J:J)</f>
        <v>5000</v>
      </c>
      <c r="H360">
        <f t="array" ref="H360">_xlfn.XLOOKUP(B360,1*[2]保证金申请!$A:$A,[2]保证金申请!$K:$K)</f>
        <v>5000</v>
      </c>
      <c r="I360">
        <f t="shared" si="15"/>
        <v>0</v>
      </c>
      <c r="J360">
        <f t="shared" si="16"/>
        <v>0</v>
      </c>
      <c r="K360" t="b">
        <f t="shared" si="17"/>
        <v>1</v>
      </c>
    </row>
    <row r="361" spans="1:11">
      <c r="A361" t="s">
        <v>1032</v>
      </c>
      <c r="B361" s="1">
        <v>439</v>
      </c>
      <c r="C361">
        <f>_xlfn.XLOOKUP(A361,保证金登记!B:B,保证金登记!E:E)</f>
        <v>44796</v>
      </c>
      <c r="D361" t="str">
        <f t="array" ref="D361">_xlfn.XLOOKUP(B361,1*[2]保证金申请!$A:$A,[2]保证金申请!$C:$C)</f>
        <v>2022-08-23</v>
      </c>
      <c r="E361" t="str">
        <f>_xlfn.XLOOKUP(A361,保证金登记!B:B,保证金登记!I:I)</f>
        <v>兴业葵阳海螺水泥有限责任公司</v>
      </c>
      <c r="F361" t="str">
        <f t="array" ref="F361">_xlfn.XLOOKUP(B361,1*[2]保证金申请!$A:$A,[2]保证金申请!$Q:$Q)</f>
        <v>兴业葵阳海螺水泥有限责任公司</v>
      </c>
      <c r="G361">
        <f>_xlfn.XLOOKUP(A361,保证金登记!B:B,保证金登记!J:J)</f>
        <v>10000</v>
      </c>
      <c r="H361">
        <f t="array" ref="H361">_xlfn.XLOOKUP(B361,1*[2]保证金申请!$A:$A,[2]保证金申请!$K:$K)</f>
        <v>10000</v>
      </c>
      <c r="I361">
        <f t="shared" si="15"/>
        <v>0</v>
      </c>
      <c r="J361">
        <f t="shared" si="16"/>
        <v>0</v>
      </c>
      <c r="K361" t="b">
        <f t="shared" si="17"/>
        <v>1</v>
      </c>
    </row>
    <row r="362" spans="1:11">
      <c r="A362" t="s">
        <v>1035</v>
      </c>
      <c r="B362" s="1">
        <v>441</v>
      </c>
      <c r="C362">
        <f>_xlfn.XLOOKUP(A362,保证金登记!B:B,保证金登记!E:E)</f>
        <v>44796</v>
      </c>
      <c r="D362" t="str">
        <f t="array" ref="D362">_xlfn.XLOOKUP(B362,1*[2]保证金申请!$A:$A,[2]保证金申请!$C:$C)</f>
        <v>2022-08-23</v>
      </c>
      <c r="E362" t="str">
        <f>_xlfn.XLOOKUP(A362,保证金登记!B:B,保证金登记!I:I)</f>
        <v>奎山水泥有限公司</v>
      </c>
      <c r="F362" t="str">
        <f t="array" ref="F362">_xlfn.XLOOKUP(B362,1*[2]保证金申请!$A:$A,[2]保证金申请!$Q:$Q)</f>
        <v>奎山水泥有限公司</v>
      </c>
      <c r="G362">
        <f>_xlfn.XLOOKUP(A362,保证金登记!B:B,保证金登记!J:J)</f>
        <v>20000</v>
      </c>
      <c r="H362">
        <f t="array" ref="H362">_xlfn.XLOOKUP(B362,1*[2]保证金申请!$A:$A,[2]保证金申请!$K:$K)</f>
        <v>20000</v>
      </c>
      <c r="I362">
        <f t="shared" si="15"/>
        <v>0</v>
      </c>
      <c r="J362">
        <f t="shared" si="16"/>
        <v>0</v>
      </c>
      <c r="K362" t="b">
        <f t="shared" si="17"/>
        <v>1</v>
      </c>
    </row>
    <row r="363" spans="1:11">
      <c r="A363" t="s">
        <v>1039</v>
      </c>
      <c r="B363" s="1">
        <v>444</v>
      </c>
      <c r="C363">
        <f>_xlfn.XLOOKUP(A363,保证金登记!B:B,保证金登记!E:E)</f>
        <v>44797</v>
      </c>
      <c r="D363" t="str">
        <f t="array" ref="D363">_xlfn.XLOOKUP(B363,1*[2]保证金申请!$A:$A,[2]保证金申请!$C:$C)</f>
        <v>2022-08-24</v>
      </c>
      <c r="E363" t="str">
        <f>_xlfn.XLOOKUP(A363,保证金登记!B:B,保证金登记!I:I)</f>
        <v>邢台金隅咏宁水泥有限公司</v>
      </c>
      <c r="F363" t="str">
        <f t="array" ref="F363">_xlfn.XLOOKUP(B363,1*[2]保证金申请!$A:$A,[2]保证金申请!$Q:$Q)</f>
        <v>邢台金隅咏宁水泥有限公司</v>
      </c>
      <c r="G363">
        <f>_xlfn.XLOOKUP(A363,保证金登记!B:B,保证金登记!J:J)</f>
        <v>10000</v>
      </c>
      <c r="H363">
        <f t="array" ref="H363">_xlfn.XLOOKUP(B363,1*[2]保证金申请!$A:$A,[2]保证金申请!$K:$K)</f>
        <v>10000</v>
      </c>
      <c r="I363">
        <f t="shared" si="15"/>
        <v>0</v>
      </c>
      <c r="J363">
        <f t="shared" si="16"/>
        <v>0</v>
      </c>
      <c r="K363" t="b">
        <f t="shared" si="17"/>
        <v>1</v>
      </c>
    </row>
    <row r="364" spans="1:11">
      <c r="A364" t="s">
        <v>1041</v>
      </c>
      <c r="B364" s="1">
        <v>445</v>
      </c>
      <c r="C364">
        <f>_xlfn.XLOOKUP(A364,保证金登记!B:B,保证金登记!E:E)</f>
        <v>44797</v>
      </c>
      <c r="D364" t="str">
        <f t="array" ref="D364">_xlfn.XLOOKUP(B364,1*[2]保证金申请!$A:$A,[2]保证金申请!$C:$C)</f>
        <v>2022-08-24</v>
      </c>
      <c r="E364" t="str">
        <f>_xlfn.XLOOKUP(A364,保证金登记!B:B,保证金登记!I:I)</f>
        <v>湖北省黄麦岭磷化工有限责任公司</v>
      </c>
      <c r="F364" t="str">
        <f t="array" ref="F364">_xlfn.XLOOKUP(B364,1*[2]保证金申请!$A:$A,[2]保证金申请!$Q:$Q)</f>
        <v>湖北省黄麦岭磷化工有限责任公司</v>
      </c>
      <c r="G364">
        <f>_xlfn.XLOOKUP(A364,保证金登记!B:B,保证金登记!J:J)</f>
        <v>10000</v>
      </c>
      <c r="H364">
        <f t="array" ref="H364">_xlfn.XLOOKUP(B364,1*[2]保证金申请!$A:$A,[2]保证金申请!$K:$K)</f>
        <v>10000</v>
      </c>
      <c r="I364">
        <f t="shared" si="15"/>
        <v>0</v>
      </c>
      <c r="J364">
        <f t="shared" si="16"/>
        <v>0</v>
      </c>
      <c r="K364" t="b">
        <f t="shared" si="17"/>
        <v>1</v>
      </c>
    </row>
    <row r="365" spans="1:11">
      <c r="A365" t="s">
        <v>1045</v>
      </c>
      <c r="B365" s="1">
        <v>447</v>
      </c>
      <c r="C365">
        <f>_xlfn.XLOOKUP(A365,保证金登记!B:B,保证金登记!E:E)</f>
        <v>44805</v>
      </c>
      <c r="D365" t="str">
        <f t="array" ref="D365">_xlfn.XLOOKUP(B365,1*[2]保证金申请!$A:$A,[2]保证金申请!$C:$C)</f>
        <v>2022-09-01</v>
      </c>
      <c r="E365" t="str">
        <f>_xlfn.XLOOKUP(A365,保证金登记!B:B,保证金登记!I:I)</f>
        <v>唐山冀东水泥股份有限公司唐山分公司</v>
      </c>
      <c r="F365" t="str">
        <f t="array" ref="F365">_xlfn.XLOOKUP(B365,1*[2]保证金申请!$A:$A,[2]保证金申请!$Q:$Q)</f>
        <v>唐山冀东水泥股份有限公司唐山分公司</v>
      </c>
      <c r="G365">
        <f>_xlfn.XLOOKUP(A365,保证金登记!B:B,保证金登记!J:J)</f>
        <v>10000</v>
      </c>
      <c r="H365">
        <f t="array" ref="H365">_xlfn.XLOOKUP(B365,1*[2]保证金申请!$A:$A,[2]保证金申请!$K:$K)</f>
        <v>10000</v>
      </c>
      <c r="I365">
        <f t="shared" si="15"/>
        <v>0</v>
      </c>
      <c r="J365">
        <f t="shared" si="16"/>
        <v>0</v>
      </c>
      <c r="K365" t="b">
        <f t="shared" si="17"/>
        <v>1</v>
      </c>
    </row>
    <row r="366" spans="1:11">
      <c r="A366" t="s">
        <v>1047</v>
      </c>
      <c r="B366" s="1">
        <v>448</v>
      </c>
      <c r="C366">
        <f>_xlfn.XLOOKUP(A366,保证金登记!B:B,保证金登记!E:E)</f>
        <v>44806</v>
      </c>
      <c r="D366" t="str">
        <f t="array" ref="D366">_xlfn.XLOOKUP(B366,1*[2]保证金申请!$A:$A,[2]保证金申请!$C:$C)</f>
        <v>2022-09-02</v>
      </c>
      <c r="E366" t="str">
        <f>_xlfn.XLOOKUP(A366,保证金登记!B:B,保证金登记!I:I)</f>
        <v>黑龙江建龙钢铁有限公司（建龙钒业）</v>
      </c>
      <c r="F366" t="str">
        <f t="array" ref="F366">_xlfn.XLOOKUP(B366,1*[2]保证金申请!$A:$A,[2]保证金申请!$Q:$Q)</f>
        <v>黑龙江建龙钢铁有限公司（建龙钒业）</v>
      </c>
      <c r="G366">
        <f>_xlfn.XLOOKUP(A366,保证金登记!B:B,保证金登记!J:J)</f>
        <v>10000</v>
      </c>
      <c r="H366">
        <f t="array" ref="H366">_xlfn.XLOOKUP(B366,1*[2]保证金申请!$A:$A,[2]保证金申请!$K:$K)</f>
        <v>10000</v>
      </c>
      <c r="I366">
        <f t="shared" si="15"/>
        <v>0</v>
      </c>
      <c r="J366">
        <f t="shared" si="16"/>
        <v>0</v>
      </c>
      <c r="K366" t="b">
        <f t="shared" si="17"/>
        <v>1</v>
      </c>
    </row>
    <row r="367" spans="1:11">
      <c r="A367" t="s">
        <v>1050</v>
      </c>
      <c r="B367" s="1">
        <v>449</v>
      </c>
      <c r="C367">
        <f>_xlfn.XLOOKUP(A367,保证金登记!B:B,保证金登记!E:E)</f>
        <v>44806</v>
      </c>
      <c r="D367" t="str">
        <f t="array" ref="D367">_xlfn.XLOOKUP(B367,1*[2]保证金申请!$A:$A,[2]保证金申请!$C:$C)</f>
        <v>2022-09-02</v>
      </c>
      <c r="E367" t="str">
        <f>_xlfn.XLOOKUP(A367,保证金登记!B:B,保证金登记!I:I)</f>
        <v>新疆千益工程项目咨询管理有限公司（天伟水泥有限公司）</v>
      </c>
      <c r="F367" t="str">
        <f t="array" ref="F367">_xlfn.XLOOKUP(B367,1*[2]保证金申请!$A:$A,[2]保证金申请!$Q:$Q)</f>
        <v>新疆千益工程项目咨询管理有限公司（天伟水泥有限公司）</v>
      </c>
      <c r="G367">
        <f>_xlfn.XLOOKUP(A367,保证金登记!B:B,保证金登记!J:J)</f>
        <v>28000</v>
      </c>
      <c r="H367">
        <f t="array" ref="H367">_xlfn.XLOOKUP(B367,1*[2]保证金申请!$A:$A,[2]保证金申请!$K:$K)</f>
        <v>28000</v>
      </c>
      <c r="I367">
        <f t="shared" si="15"/>
        <v>0</v>
      </c>
      <c r="J367">
        <f t="shared" si="16"/>
        <v>0</v>
      </c>
      <c r="K367" t="b">
        <f t="shared" si="17"/>
        <v>1</v>
      </c>
    </row>
    <row r="368" spans="1:11">
      <c r="A368" t="s">
        <v>1053</v>
      </c>
      <c r="B368" s="1">
        <v>450</v>
      </c>
      <c r="C368">
        <f>_xlfn.XLOOKUP(A368,保证金登记!B:B,保证金登记!E:E)</f>
        <v>44806</v>
      </c>
      <c r="D368" t="str">
        <f t="array" ref="D368">_xlfn.XLOOKUP(B368,1*[2]保证金申请!$A:$A,[2]保证金申请!$C:$C)</f>
        <v>2022-09-02</v>
      </c>
      <c r="E368" t="str">
        <f>_xlfn.XLOOKUP(A368,保证金登记!B:B,保证金登记!I:I)</f>
        <v>湖北省黄麦岭磷化工有限责任公司</v>
      </c>
      <c r="F368" t="str">
        <f t="array" ref="F368">_xlfn.XLOOKUP(B368,1*[2]保证金申请!$A:$A,[2]保证金申请!$Q:$Q)</f>
        <v>湖北省黄麦岭磷化工有限责任公司</v>
      </c>
      <c r="G368">
        <f>_xlfn.XLOOKUP(A368,保证金登记!B:B,保证金登记!J:J)</f>
        <v>10000</v>
      </c>
      <c r="H368">
        <f t="array" ref="H368">_xlfn.XLOOKUP(B368,1*[2]保证金申请!$A:$A,[2]保证金申请!$K:$K)</f>
        <v>10000</v>
      </c>
      <c r="I368">
        <f t="shared" si="15"/>
        <v>0</v>
      </c>
      <c r="J368">
        <f t="shared" si="16"/>
        <v>0</v>
      </c>
      <c r="K368" t="b">
        <f t="shared" si="17"/>
        <v>1</v>
      </c>
    </row>
    <row r="369" spans="1:11">
      <c r="A369" t="s">
        <v>1056</v>
      </c>
      <c r="B369" s="1">
        <v>451</v>
      </c>
      <c r="C369">
        <f>_xlfn.XLOOKUP(A369,保证金登记!B:B,保证金登记!E:E)</f>
        <v>44806</v>
      </c>
      <c r="D369" t="str">
        <f t="array" ref="D369">_xlfn.XLOOKUP(B369,1*[2]保证金申请!$A:$A,[2]保证金申请!$C:$C)</f>
        <v>2022-09-02</v>
      </c>
      <c r="E369" t="str">
        <f>_xlfn.XLOOKUP(A369,保证金登记!B:B,保证金登记!I:I)</f>
        <v>湖北省黄麦岭磷化工有限责任公司</v>
      </c>
      <c r="F369" t="str">
        <f t="array" ref="F369">_xlfn.XLOOKUP(B369,1*[2]保证金申请!$A:$A,[2]保证金申请!$Q:$Q)</f>
        <v>湖北省黄麦岭磷化工有限责任公司</v>
      </c>
      <c r="G369">
        <f>_xlfn.XLOOKUP(A369,保证金登记!B:B,保证金登记!J:J)</f>
        <v>5000</v>
      </c>
      <c r="H369">
        <f t="array" ref="H369">_xlfn.XLOOKUP(B369,1*[2]保证金申请!$A:$A,[2]保证金申请!$K:$K)</f>
        <v>5000</v>
      </c>
      <c r="I369">
        <f t="shared" si="15"/>
        <v>0</v>
      </c>
      <c r="J369">
        <f t="shared" si="16"/>
        <v>0</v>
      </c>
      <c r="K369" t="b">
        <f t="shared" si="17"/>
        <v>1</v>
      </c>
    </row>
    <row r="370" spans="1:11">
      <c r="A370" t="s">
        <v>1057</v>
      </c>
      <c r="B370" s="1">
        <v>452</v>
      </c>
      <c r="C370">
        <f>_xlfn.XLOOKUP(A370,保证金登记!B:B,保证金登记!E:E)</f>
        <v>44809</v>
      </c>
      <c r="D370" t="str">
        <f t="array" ref="D370">_xlfn.XLOOKUP(B370,1*[2]保证金申请!$A:$A,[2]保证金申请!$C:$C)</f>
        <v>2022-09-05</v>
      </c>
      <c r="E370" t="str">
        <f>_xlfn.XLOOKUP(A370,保证金登记!B:B,保证金登记!I:I)</f>
        <v>青海发投碱业有限公司</v>
      </c>
      <c r="F370" t="str">
        <f t="array" ref="F370">_xlfn.XLOOKUP(B370,1*[2]保证金申请!$A:$A,[2]保证金申请!$Q:$Q)</f>
        <v>青海发投碱业有限公司</v>
      </c>
      <c r="G370">
        <f>_xlfn.XLOOKUP(A370,保证金登记!B:B,保证金登记!J:J)</f>
        <v>20000</v>
      </c>
      <c r="H370">
        <f t="array" ref="H370">_xlfn.XLOOKUP(B370,1*[2]保证金申请!$A:$A,[2]保证金申请!$K:$K)</f>
        <v>20000</v>
      </c>
      <c r="I370">
        <f t="shared" si="15"/>
        <v>0</v>
      </c>
      <c r="J370">
        <f t="shared" si="16"/>
        <v>0</v>
      </c>
      <c r="K370" t="b">
        <f t="shared" si="17"/>
        <v>1</v>
      </c>
    </row>
    <row r="371" spans="1:11">
      <c r="A371" t="s">
        <v>1059</v>
      </c>
      <c r="B371" s="1">
        <v>453</v>
      </c>
      <c r="C371">
        <f>_xlfn.XLOOKUP(A371,保证金登记!B:B,保证金登记!E:E)</f>
        <v>44809</v>
      </c>
      <c r="D371" t="str">
        <f t="array" ref="D371">_xlfn.XLOOKUP(B371,1*[2]保证金申请!$A:$A,[2]保证金申请!$C:$C)</f>
        <v>2022-09-05</v>
      </c>
      <c r="E371" t="str">
        <f>_xlfn.XLOOKUP(A371,保证金登记!B:B,保证金登记!I:I)</f>
        <v>吉林亚泰明城水泥有限公司</v>
      </c>
      <c r="F371" t="str">
        <f t="array" ref="F371">_xlfn.XLOOKUP(B371,1*[2]保证金申请!$A:$A,[2]保证金申请!$Q:$Q)</f>
        <v>吉林亚泰明城水泥有限公司</v>
      </c>
      <c r="G371">
        <f>_xlfn.XLOOKUP(A371,保证金登记!B:B,保证金登记!J:J)</f>
        <v>2000</v>
      </c>
      <c r="H371">
        <f t="array" ref="H371">_xlfn.XLOOKUP(B371,1*[2]保证金申请!$A:$A,[2]保证金申请!$K:$K)</f>
        <v>2000</v>
      </c>
      <c r="I371">
        <f t="shared" si="15"/>
        <v>0</v>
      </c>
      <c r="J371">
        <f t="shared" si="16"/>
        <v>0</v>
      </c>
      <c r="K371" t="b">
        <f t="shared" si="17"/>
        <v>1</v>
      </c>
    </row>
    <row r="372" spans="1:11">
      <c r="A372" t="s">
        <v>1061</v>
      </c>
      <c r="B372" s="1">
        <v>454</v>
      </c>
      <c r="C372">
        <f>_xlfn.XLOOKUP(A372,保证金登记!B:B,保证金登记!E:E)</f>
        <v>44812</v>
      </c>
      <c r="D372" t="str">
        <f t="array" ref="D372">_xlfn.XLOOKUP(B372,1*[2]保证金申请!$A:$A,[2]保证金申请!$C:$C)</f>
        <v>2022-09-08</v>
      </c>
      <c r="E372" t="str">
        <f>_xlfn.XLOOKUP(A372,保证金登记!B:B,保证金登记!I:I)</f>
        <v>叶城天山水泥有限责任公司</v>
      </c>
      <c r="F372" t="str">
        <f t="array" ref="F372">_xlfn.XLOOKUP(B372,1*[2]保证金申请!$A:$A,[2]保证金申请!$Q:$Q)</f>
        <v>叶城天山水泥有限公司</v>
      </c>
      <c r="G372">
        <f>_xlfn.XLOOKUP(A372,保证金登记!B:B,保证金登记!J:J)</f>
        <v>2000</v>
      </c>
      <c r="H372">
        <f t="array" ref="H372">_xlfn.XLOOKUP(B372,1*[2]保证金申请!$A:$A,[2]保证金申请!$K:$K)</f>
        <v>2000</v>
      </c>
      <c r="I372">
        <f t="shared" si="15"/>
        <v>0</v>
      </c>
      <c r="J372">
        <f t="shared" si="16"/>
        <v>0</v>
      </c>
      <c r="K372" t="b">
        <f t="shared" si="17"/>
        <v>0</v>
      </c>
    </row>
    <row r="373" spans="1:11">
      <c r="A373" t="s">
        <v>1063</v>
      </c>
      <c r="B373" s="1">
        <v>455</v>
      </c>
      <c r="C373">
        <f>_xlfn.XLOOKUP(A373,保证金登记!B:B,保证金登记!E:E)</f>
        <v>44812</v>
      </c>
      <c r="D373" t="str">
        <f t="array" ref="D373">_xlfn.XLOOKUP(B373,1*[2]保证金申请!$A:$A,[2]保证金申请!$C:$C)</f>
        <v>2022-09-08</v>
      </c>
      <c r="E373" t="str">
        <f>_xlfn.XLOOKUP(A373,保证金登记!B:B,保证金登记!I:I)</f>
        <v>河南龙宇煤化工有限公司</v>
      </c>
      <c r="F373" t="str">
        <f t="array" ref="F373">_xlfn.XLOOKUP(B373,1*[2]保证金申请!$A:$A,[2]保证金申请!$Q:$Q)</f>
        <v>河南龙宇煤化工有限公司</v>
      </c>
      <c r="G373">
        <f>_xlfn.XLOOKUP(A373,保证金登记!B:B,保证金登记!J:J)</f>
        <v>2000</v>
      </c>
      <c r="H373">
        <f t="array" ref="H373">_xlfn.XLOOKUP(B373,1*[2]保证金申请!$A:$A,[2]保证金申请!$K:$K)</f>
        <v>2000</v>
      </c>
      <c r="I373">
        <f t="shared" si="15"/>
        <v>0</v>
      </c>
      <c r="J373">
        <f t="shared" si="16"/>
        <v>0</v>
      </c>
      <c r="K373" t="b">
        <f t="shared" si="17"/>
        <v>1</v>
      </c>
    </row>
    <row r="374" spans="1:11">
      <c r="A374" t="s">
        <v>1065</v>
      </c>
      <c r="B374" s="1">
        <v>457</v>
      </c>
      <c r="C374">
        <f>_xlfn.XLOOKUP(A374,保证金登记!B:B,保证金登记!E:E)</f>
        <v>44812</v>
      </c>
      <c r="D374" t="str">
        <f t="array" ref="D374">_xlfn.XLOOKUP(B374,1*[2]保证金申请!$A:$A,[2]保证金申请!$C:$C)</f>
        <v>2022-09-08</v>
      </c>
      <c r="E374" t="str">
        <f>_xlfn.XLOOKUP(A374,保证金登记!B:B,保证金登记!I:I)</f>
        <v>叶城天山水泥有限责任公司</v>
      </c>
      <c r="F374" t="str">
        <f t="array" ref="F374">_xlfn.XLOOKUP(B374,1*[2]保证金申请!$A:$A,[2]保证金申请!$Q:$Q)</f>
        <v>叶城天山水泥有限公司</v>
      </c>
      <c r="G374">
        <f>_xlfn.XLOOKUP(A374,保证金登记!B:B,保证金登记!J:J)</f>
        <v>2000</v>
      </c>
      <c r="H374">
        <f t="array" ref="H374">_xlfn.XLOOKUP(B374,1*[2]保证金申请!$A:$A,[2]保证金申请!$K:$K)</f>
        <v>2000</v>
      </c>
      <c r="I374">
        <f t="shared" si="15"/>
        <v>0</v>
      </c>
      <c r="J374">
        <f t="shared" si="16"/>
        <v>0</v>
      </c>
      <c r="K374" t="b">
        <f t="shared" si="17"/>
        <v>0</v>
      </c>
    </row>
    <row r="375" spans="1:11">
      <c r="A375" t="s">
        <v>1071</v>
      </c>
      <c r="B375" s="1">
        <v>461</v>
      </c>
      <c r="C375">
        <f>_xlfn.XLOOKUP(A375,保证金登记!B:B,保证金登记!E:E)</f>
        <v>44819</v>
      </c>
      <c r="D375" t="str">
        <f t="array" ref="D375">_xlfn.XLOOKUP(B375,1*[2]保证金申请!$A:$A,[2]保证金申请!$C:$C)</f>
        <v>2022-09-15</v>
      </c>
      <c r="E375" t="str">
        <f>_xlfn.XLOOKUP(A375,保证金登记!B:B,保证金登记!I:I)</f>
        <v>青海发投碱业有限公司</v>
      </c>
      <c r="F375" t="str">
        <f t="array" ref="F375">_xlfn.XLOOKUP(B375,1*[2]保证金申请!$A:$A,[2]保证金申请!$Q:$Q)</f>
        <v>青海发投碱业有限公司</v>
      </c>
      <c r="G375">
        <f>_xlfn.XLOOKUP(A375,保证金登记!B:B,保证金登记!J:J)</f>
        <v>9450</v>
      </c>
      <c r="H375">
        <f t="array" ref="H375">_xlfn.XLOOKUP(B375,1*[2]保证金申请!$A:$A,[2]保证金申请!$K:$K)</f>
        <v>9450</v>
      </c>
      <c r="I375">
        <f t="shared" si="15"/>
        <v>0</v>
      </c>
      <c r="J375">
        <f t="shared" si="16"/>
        <v>0</v>
      </c>
      <c r="K375" t="b">
        <f t="shared" si="17"/>
        <v>1</v>
      </c>
    </row>
    <row r="376" spans="1:11">
      <c r="A376" t="s">
        <v>1074</v>
      </c>
      <c r="B376" s="1">
        <v>462</v>
      </c>
      <c r="C376">
        <f>_xlfn.XLOOKUP(A376,保证金登记!B:B,保证金登记!E:E)</f>
        <v>44819</v>
      </c>
      <c r="D376" t="str">
        <f t="array" ref="D376">_xlfn.XLOOKUP(B376,1*[2]保证金申请!$A:$A,[2]保证金申请!$C:$C)</f>
        <v>2022-09-15</v>
      </c>
      <c r="E376" t="str">
        <f>_xlfn.XLOOKUP(A376,保证金登记!B:B,保证金登记!I:I)</f>
        <v>青海发投碱业有限公司</v>
      </c>
      <c r="F376" t="str">
        <f t="array" ref="F376">_xlfn.XLOOKUP(B376,1*[2]保证金申请!$A:$A,[2]保证金申请!$Q:$Q)</f>
        <v>青海发投碱业有限公司</v>
      </c>
      <c r="G376">
        <f>_xlfn.XLOOKUP(A376,保证金登记!B:B,保证金登记!J:J)</f>
        <v>9450</v>
      </c>
      <c r="H376">
        <f t="array" ref="H376">_xlfn.XLOOKUP(B376,1*[2]保证金申请!$A:$A,[2]保证金申请!$K:$K)</f>
        <v>9450</v>
      </c>
      <c r="I376">
        <f t="shared" si="15"/>
        <v>0</v>
      </c>
      <c r="J376">
        <f t="shared" si="16"/>
        <v>0</v>
      </c>
      <c r="K376" t="b">
        <f t="shared" si="17"/>
        <v>1</v>
      </c>
    </row>
    <row r="377" spans="1:11">
      <c r="A377" t="s">
        <v>1076</v>
      </c>
      <c r="B377" s="1">
        <v>463</v>
      </c>
      <c r="C377">
        <f>_xlfn.XLOOKUP(A377,保证金登记!B:B,保证金登记!E:E)</f>
        <v>44819</v>
      </c>
      <c r="D377" t="str">
        <f t="array" ref="D377">_xlfn.XLOOKUP(B377,1*[2]保证金申请!$A:$A,[2]保证金申请!$C:$C)</f>
        <v>2022-09-15</v>
      </c>
      <c r="E377" t="str">
        <f>_xlfn.XLOOKUP(A377,保证金登记!B:B,保证金登记!I:I)</f>
        <v>青海发投碱业有限公司</v>
      </c>
      <c r="F377" t="str">
        <f t="array" ref="F377">_xlfn.XLOOKUP(B377,1*[2]保证金申请!$A:$A,[2]保证金申请!$Q:$Q)</f>
        <v>青海发投碱业有限公司</v>
      </c>
      <c r="G377">
        <f>_xlfn.XLOOKUP(A377,保证金登记!B:B,保证金登记!J:J)</f>
        <v>10500</v>
      </c>
      <c r="H377">
        <f t="array" ref="H377">_xlfn.XLOOKUP(B377,1*[2]保证金申请!$A:$A,[2]保证金申请!$K:$K)</f>
        <v>10500</v>
      </c>
      <c r="I377">
        <f t="shared" si="15"/>
        <v>0</v>
      </c>
      <c r="J377">
        <f t="shared" si="16"/>
        <v>0</v>
      </c>
      <c r="K377" t="b">
        <f t="shared" si="17"/>
        <v>1</v>
      </c>
    </row>
    <row r="378" spans="1:11">
      <c r="A378" t="s">
        <v>1079</v>
      </c>
      <c r="B378" s="1">
        <v>464</v>
      </c>
      <c r="C378">
        <f>_xlfn.XLOOKUP(A378,保证金登记!B:B,保证金登记!E:E)</f>
        <v>44819</v>
      </c>
      <c r="D378" t="str">
        <f t="array" ref="D378">_xlfn.XLOOKUP(B378,1*[2]保证金申请!$A:$A,[2]保证金申请!$C:$C)</f>
        <v>2022-09-15</v>
      </c>
      <c r="E378" t="str">
        <f>_xlfn.XLOOKUP(A378,保证金登记!B:B,保证金登记!I:I)</f>
        <v>青海发投碱业有限公司</v>
      </c>
      <c r="F378" t="str">
        <f t="array" ref="F378">_xlfn.XLOOKUP(B378,1*[2]保证金申请!$A:$A,[2]保证金申请!$Q:$Q)</f>
        <v>青海发投碱业有限公司</v>
      </c>
      <c r="G378">
        <f>_xlfn.XLOOKUP(A378,保证金登记!B:B,保证金登记!J:J)</f>
        <v>20063.75</v>
      </c>
      <c r="H378">
        <f t="array" ref="H378">_xlfn.XLOOKUP(B378,1*[2]保证金申请!$A:$A,[2]保证金申请!$K:$K)</f>
        <v>20063.75</v>
      </c>
      <c r="I378">
        <f t="shared" si="15"/>
        <v>0</v>
      </c>
      <c r="J378">
        <f t="shared" si="16"/>
        <v>0</v>
      </c>
      <c r="K378" t="b">
        <f t="shared" si="17"/>
        <v>1</v>
      </c>
    </row>
    <row r="379" spans="1:11">
      <c r="A379" t="s">
        <v>1081</v>
      </c>
      <c r="B379" s="1">
        <v>465</v>
      </c>
      <c r="C379">
        <f>_xlfn.XLOOKUP(A379,保证金登记!B:B,保证金登记!E:E)</f>
        <v>44819</v>
      </c>
      <c r="D379" t="str">
        <f t="array" ref="D379">_xlfn.XLOOKUP(B379,1*[2]保证金申请!$A:$A,[2]保证金申请!$C:$C)</f>
        <v>2022-09-15</v>
      </c>
      <c r="E379" t="str">
        <f>_xlfn.XLOOKUP(A379,保证金登记!B:B,保证金登记!I:I)</f>
        <v>青海发投碱业有限公司</v>
      </c>
      <c r="F379" t="str">
        <f t="array" ref="F379">_xlfn.XLOOKUP(B379,1*[2]保证金申请!$A:$A,[2]保证金申请!$Q:$Q)</f>
        <v>青海发投碱业有限公司</v>
      </c>
      <c r="G379">
        <f>_xlfn.XLOOKUP(A379,保证金登记!B:B,保证金登记!J:J)</f>
        <v>20063.75</v>
      </c>
      <c r="H379">
        <f t="array" ref="H379">_xlfn.XLOOKUP(B379,1*[2]保证金申请!$A:$A,[2]保证金申请!$K:$K)</f>
        <v>20063.75</v>
      </c>
      <c r="I379">
        <f t="shared" si="15"/>
        <v>0</v>
      </c>
      <c r="J379">
        <f t="shared" si="16"/>
        <v>0</v>
      </c>
      <c r="K379" t="b">
        <f t="shared" si="17"/>
        <v>1</v>
      </c>
    </row>
    <row r="380" spans="1:11">
      <c r="A380" t="s">
        <v>1083</v>
      </c>
      <c r="B380" s="1">
        <v>460</v>
      </c>
      <c r="C380">
        <f>_xlfn.XLOOKUP(A380,保证金登记!B:B,保证金登记!E:E)</f>
        <v>44820</v>
      </c>
      <c r="D380" t="str">
        <f t="array" ref="D380">_xlfn.XLOOKUP(B380,1*[2]保证金申请!$A:$A,[2]保证金申请!$C:$C)</f>
        <v>2022-09-16</v>
      </c>
      <c r="E380" t="str">
        <f>_xlfn.XLOOKUP(A380,保证金登记!B:B,保证金登记!I:I)</f>
        <v>辛集市澳森钢铁有限公司</v>
      </c>
      <c r="F380" t="str">
        <f t="array" ref="F380">_xlfn.XLOOKUP(B380,1*[2]保证金申请!$A:$A,[2]保证金申请!$Q:$Q)</f>
        <v>辛集市澳森钢铁有限公司</v>
      </c>
      <c r="G380">
        <f>_xlfn.XLOOKUP(A380,保证金登记!B:B,保证金登记!J:J)</f>
        <v>20000</v>
      </c>
      <c r="H380">
        <f t="array" ref="H380">_xlfn.XLOOKUP(B380,1*[2]保证金申请!$A:$A,[2]保证金申请!$K:$K)</f>
        <v>20000</v>
      </c>
      <c r="I380">
        <f t="shared" si="15"/>
        <v>0</v>
      </c>
      <c r="J380">
        <f t="shared" si="16"/>
        <v>0</v>
      </c>
      <c r="K380" t="b">
        <f t="shared" si="17"/>
        <v>1</v>
      </c>
    </row>
    <row r="381" spans="1:11">
      <c r="A381" t="s">
        <v>1086</v>
      </c>
      <c r="B381" s="1">
        <v>466</v>
      </c>
      <c r="C381">
        <f>_xlfn.XLOOKUP(A381,保证金登记!B:B,保证金登记!E:E)</f>
        <v>44824</v>
      </c>
      <c r="D381" t="str">
        <f t="array" ref="D381">_xlfn.XLOOKUP(B381,1*[2]保证金申请!$A:$A,[2]保证金申请!$C:$C)</f>
        <v>2022-09-20</v>
      </c>
      <c r="E381" t="str">
        <f>_xlfn.XLOOKUP(A381,保证金登记!B:B,保证金登记!I:I)</f>
        <v>葛洲坝嘉鱼水泥有限公司</v>
      </c>
      <c r="F381" t="str">
        <f t="array" ref="F381">_xlfn.XLOOKUP(B381,1*[2]保证金申请!$A:$A,[2]保证金申请!$Q:$Q)</f>
        <v>葛洲坝嘉鱼水泥有限公司</v>
      </c>
      <c r="G381">
        <f>_xlfn.XLOOKUP(A381,保证金登记!B:B,保证金登记!J:J)</f>
        <v>6000</v>
      </c>
      <c r="H381">
        <f t="array" ref="H381">_xlfn.XLOOKUP(B381,1*[2]保证金申请!$A:$A,[2]保证金申请!$K:$K)</f>
        <v>6000</v>
      </c>
      <c r="I381">
        <f t="shared" si="15"/>
        <v>0</v>
      </c>
      <c r="J381">
        <f t="shared" si="16"/>
        <v>0</v>
      </c>
      <c r="K381" t="b">
        <f t="shared" si="17"/>
        <v>1</v>
      </c>
    </row>
    <row r="382" spans="1:11">
      <c r="A382" t="s">
        <v>1090</v>
      </c>
      <c r="B382" s="1">
        <v>468</v>
      </c>
      <c r="C382">
        <f>_xlfn.XLOOKUP(A382,保证金登记!B:B,保证金登记!E:E)</f>
        <v>44824</v>
      </c>
      <c r="D382" t="str">
        <f t="array" ref="D382">_xlfn.XLOOKUP(B382,1*[2]保证金申请!$A:$A,[2]保证金申请!$C:$C)</f>
        <v>2022-09-20</v>
      </c>
      <c r="E382" t="str">
        <f>_xlfn.XLOOKUP(A382,保证金登记!B:B,保证金登记!I:I)</f>
        <v>云南西南水泥有限公司</v>
      </c>
      <c r="F382" t="str">
        <f t="array" ref="F382">_xlfn.XLOOKUP(B382,1*[2]保证金申请!$A:$A,[2]保证金申请!$Q:$Q)</f>
        <v>云南西南水泥有限公司</v>
      </c>
      <c r="G382">
        <f>_xlfn.XLOOKUP(A382,保证金登记!B:B,保证金登记!J:J)</f>
        <v>50000</v>
      </c>
      <c r="H382">
        <f t="array" ref="H382">_xlfn.XLOOKUP(B382,1*[2]保证金申请!$A:$A,[2]保证金申请!$K:$K)</f>
        <v>50000</v>
      </c>
      <c r="I382">
        <f t="shared" si="15"/>
        <v>0</v>
      </c>
      <c r="J382">
        <f t="shared" si="16"/>
        <v>0</v>
      </c>
      <c r="K382" t="b">
        <f t="shared" si="17"/>
        <v>1</v>
      </c>
    </row>
    <row r="383" spans="1:11">
      <c r="A383" t="s">
        <v>1092</v>
      </c>
      <c r="B383" s="1">
        <v>469</v>
      </c>
      <c r="C383">
        <f>_xlfn.XLOOKUP(A383,保证金登记!B:B,保证金登记!E:E)</f>
        <v>44824</v>
      </c>
      <c r="D383" t="str">
        <f t="array" ref="D383">_xlfn.XLOOKUP(B383,1*[2]保证金申请!$A:$A,[2]保证金申请!$C:$C)</f>
        <v>2022-09-20</v>
      </c>
      <c r="E383" t="str">
        <f>_xlfn.XLOOKUP(A383,保证金登记!B:B,保证金登记!I:I)</f>
        <v>云南西南水泥有限公司</v>
      </c>
      <c r="F383" t="str">
        <f t="array" ref="F383">_xlfn.XLOOKUP(B383,1*[2]保证金申请!$A:$A,[2]保证金申请!$Q:$Q)</f>
        <v>云南西南水泥有限公司</v>
      </c>
      <c r="G383">
        <f>_xlfn.XLOOKUP(A383,保证金登记!B:B,保证金登记!J:J)</f>
        <v>50000</v>
      </c>
      <c r="H383">
        <f t="array" ref="H383">_xlfn.XLOOKUP(B383,1*[2]保证金申请!$A:$A,[2]保证金申请!$K:$K)</f>
        <v>50000</v>
      </c>
      <c r="I383">
        <f t="shared" si="15"/>
        <v>0</v>
      </c>
      <c r="J383">
        <f t="shared" si="16"/>
        <v>0</v>
      </c>
      <c r="K383" t="b">
        <f t="shared" si="17"/>
        <v>1</v>
      </c>
    </row>
    <row r="384" spans="1:11">
      <c r="A384" t="s">
        <v>1094</v>
      </c>
      <c r="B384" s="1">
        <v>470</v>
      </c>
      <c r="C384">
        <f>_xlfn.XLOOKUP(A384,保证金登记!B:B,保证金登记!E:E)</f>
        <v>44824</v>
      </c>
      <c r="D384" t="str">
        <f t="array" ref="D384">_xlfn.XLOOKUP(B384,1*[2]保证金申请!$A:$A,[2]保证金申请!$C:$C)</f>
        <v>2022-09-20</v>
      </c>
      <c r="E384" t="str">
        <f>_xlfn.XLOOKUP(A384,保证金登记!B:B,保证金登记!I:I)</f>
        <v>陵川金隅冀东环保科技有限公司</v>
      </c>
      <c r="F384" t="str">
        <f t="array" ref="F384">_xlfn.XLOOKUP(B384,1*[2]保证金申请!$A:$A,[2]保证金申请!$Q:$Q)</f>
        <v>陵川金隅冀东环保科技有限公司</v>
      </c>
      <c r="G384">
        <f>_xlfn.XLOOKUP(A384,保证金登记!B:B,保证金登记!J:J)</f>
        <v>10000</v>
      </c>
      <c r="H384">
        <f t="array" ref="H384">_xlfn.XLOOKUP(B384,1*[2]保证金申请!$A:$A,[2]保证金申请!$K:$K)</f>
        <v>10000</v>
      </c>
      <c r="I384">
        <f t="shared" si="15"/>
        <v>0</v>
      </c>
      <c r="J384">
        <f t="shared" si="16"/>
        <v>0</v>
      </c>
      <c r="K384" t="b">
        <f t="shared" si="17"/>
        <v>1</v>
      </c>
    </row>
    <row r="385" spans="1:11">
      <c r="A385" t="s">
        <v>1098</v>
      </c>
      <c r="B385" s="1">
        <v>472</v>
      </c>
      <c r="C385">
        <f>_xlfn.XLOOKUP(A385,保证金登记!B:B,保证金登记!E:E)</f>
        <v>44826</v>
      </c>
      <c r="D385" t="str">
        <f t="array" ref="D385">_xlfn.XLOOKUP(B385,1*[2]保证金申请!$A:$A,[2]保证金申请!$C:$C)</f>
        <v>2022-09-22</v>
      </c>
      <c r="E385" t="str">
        <f>_xlfn.XLOOKUP(A385,保证金登记!B:B,保证金登记!I:I)</f>
        <v>河北金隅鼎鑫水泥有限公司</v>
      </c>
      <c r="F385" t="str">
        <f t="array" ref="F385">_xlfn.XLOOKUP(B385,1*[2]保证金申请!$A:$A,[2]保证金申请!$Q:$Q)</f>
        <v>河北金隅鼎鑫水泥有限公司</v>
      </c>
      <c r="G385">
        <f>_xlfn.XLOOKUP(A385,保证金登记!B:B,保证金登记!J:J)</f>
        <v>5000</v>
      </c>
      <c r="H385">
        <f t="array" ref="H385">_xlfn.XLOOKUP(B385,1*[2]保证金申请!$A:$A,[2]保证金申请!$K:$K)</f>
        <v>5000</v>
      </c>
      <c r="I385">
        <f t="shared" si="15"/>
        <v>0</v>
      </c>
      <c r="J385">
        <f t="shared" si="16"/>
        <v>0</v>
      </c>
      <c r="K385" t="b">
        <f t="shared" si="17"/>
        <v>1</v>
      </c>
    </row>
    <row r="386" spans="1:11">
      <c r="A386" t="s">
        <v>1100</v>
      </c>
      <c r="B386" s="1">
        <v>473</v>
      </c>
      <c r="C386">
        <f>_xlfn.XLOOKUP(A386,保证金登记!B:B,保证金登记!E:E)</f>
        <v>44827</v>
      </c>
      <c r="D386" t="str">
        <f t="array" ref="D386">_xlfn.XLOOKUP(B386,1*[2]保证金申请!$A:$A,[2]保证金申请!$C:$C)</f>
        <v>2022-09-23</v>
      </c>
      <c r="E386" t="str">
        <f>_xlfn.XLOOKUP(A386,保证金登记!B:B,保证金登记!I:I)</f>
        <v>包头冀东水泥有限公司</v>
      </c>
      <c r="F386" t="str">
        <f t="array" ref="F386">_xlfn.XLOOKUP(B386,1*[2]保证金申请!$A:$A,[2]保证金申请!$Q:$Q)</f>
        <v>包头冀东水泥有限公司</v>
      </c>
      <c r="G386">
        <f>_xlfn.XLOOKUP(A386,保证金登记!B:B,保证金登记!J:J)</f>
        <v>5000</v>
      </c>
      <c r="H386">
        <f t="array" ref="H386">_xlfn.XLOOKUP(B386,1*[2]保证金申请!$A:$A,[2]保证金申请!$K:$K)</f>
        <v>5000</v>
      </c>
      <c r="I386">
        <f t="shared" ref="I386:I449" si="18">C386-D386</f>
        <v>0</v>
      </c>
      <c r="J386">
        <f t="shared" ref="J386:J449" si="19">G386-H386</f>
        <v>0</v>
      </c>
      <c r="K386" t="b">
        <f t="shared" ref="K386:K449" si="20">EXACT(E386,F386)</f>
        <v>1</v>
      </c>
    </row>
    <row r="387" spans="1:11">
      <c r="A387" t="s">
        <v>1103</v>
      </c>
      <c r="B387" s="1">
        <v>474</v>
      </c>
      <c r="C387">
        <f>_xlfn.XLOOKUP(A387,保证金登记!B:B,保证金登记!E:E)</f>
        <v>44827</v>
      </c>
      <c r="D387" t="str">
        <f t="array" ref="D387">_xlfn.XLOOKUP(B387,1*[2]保证金申请!$A:$A,[2]保证金申请!$C:$C)</f>
        <v>2022-09-23</v>
      </c>
      <c r="E387" t="str">
        <f>_xlfn.XLOOKUP(A387,保证金登记!B:B,保证金登记!I:I)</f>
        <v>洛阳万基发电有限公司</v>
      </c>
      <c r="F387" t="str">
        <f t="array" ref="F387">_xlfn.XLOOKUP(B387,1*[2]保证金申请!$A:$A,[2]保证金申请!$Q:$Q)</f>
        <v>洛阳万基发电有限公司</v>
      </c>
      <c r="G387">
        <f>_xlfn.XLOOKUP(A387,保证金登记!B:B,保证金登记!J:J)</f>
        <v>5000</v>
      </c>
      <c r="H387">
        <f t="array" ref="H387">_xlfn.XLOOKUP(B387,1*[2]保证金申请!$A:$A,[2]保证金申请!$K:$K)</f>
        <v>5000</v>
      </c>
      <c r="I387">
        <f t="shared" si="18"/>
        <v>0</v>
      </c>
      <c r="J387">
        <f t="shared" si="19"/>
        <v>0</v>
      </c>
      <c r="K387" t="b">
        <f t="shared" si="20"/>
        <v>1</v>
      </c>
    </row>
    <row r="388" spans="1:11">
      <c r="A388" t="s">
        <v>1106</v>
      </c>
      <c r="B388" s="1">
        <v>475</v>
      </c>
      <c r="C388">
        <f>_xlfn.XLOOKUP(A388,保证金登记!B:B,保证金登记!E:E)</f>
        <v>44827</v>
      </c>
      <c r="D388" t="str">
        <f t="array" ref="D388">_xlfn.XLOOKUP(B388,1*[2]保证金申请!$A:$A,[2]保证金申请!$C:$C)</f>
        <v>2022-09-23</v>
      </c>
      <c r="E388" t="str">
        <f>_xlfn.XLOOKUP(A388,保证金登记!B:B,保证金登记!I:I)</f>
        <v>洛阳万基炭素有限公司</v>
      </c>
      <c r="F388" t="str">
        <f t="array" ref="F388">_xlfn.XLOOKUP(B388,1*[2]保证金申请!$A:$A,[2]保证金申请!$Q:$Q)</f>
        <v>洛阳万基炭素有限公司</v>
      </c>
      <c r="G388">
        <f>_xlfn.XLOOKUP(A388,保证金登记!B:B,保证金登记!J:J)</f>
        <v>5000</v>
      </c>
      <c r="H388">
        <f t="array" ref="H388">_xlfn.XLOOKUP(B388,1*[2]保证金申请!$A:$A,[2]保证金申请!$K:$K)</f>
        <v>5000</v>
      </c>
      <c r="I388">
        <f t="shared" si="18"/>
        <v>0</v>
      </c>
      <c r="J388">
        <f t="shared" si="19"/>
        <v>0</v>
      </c>
      <c r="K388" t="b">
        <f t="shared" si="20"/>
        <v>1</v>
      </c>
    </row>
    <row r="389" spans="1:11">
      <c r="A389" t="s">
        <v>1108</v>
      </c>
      <c r="B389" s="1">
        <v>476</v>
      </c>
      <c r="C389">
        <f>_xlfn.XLOOKUP(A389,保证金登记!B:B,保证金登记!E:E)</f>
        <v>44830</v>
      </c>
      <c r="D389" t="str">
        <f t="array" ref="D389">_xlfn.XLOOKUP(B389,1*[2]保证金申请!$A:$A,[2]保证金申请!$C:$C)</f>
        <v>2022-09-26</v>
      </c>
      <c r="E389" t="str">
        <f>_xlfn.XLOOKUP(A389,保证金登记!B:B,保证金登记!I:I)</f>
        <v>内蒙古宜化化工有限公司</v>
      </c>
      <c r="F389" t="str">
        <f t="array" ref="F389">_xlfn.XLOOKUP(B389,1*[2]保证金申请!$A:$A,[2]保证金申请!$Q:$Q)</f>
        <v>内蒙古宜化化工有限公司</v>
      </c>
      <c r="G389">
        <f>_xlfn.XLOOKUP(A389,保证金登记!B:B,保证金登记!J:J)</f>
        <v>9800</v>
      </c>
      <c r="H389">
        <f t="array" ref="H389">_xlfn.XLOOKUP(B389,1*[2]保证金申请!$A:$A,[2]保证金申请!$K:$K)</f>
        <v>9800</v>
      </c>
      <c r="I389">
        <f t="shared" si="18"/>
        <v>0</v>
      </c>
      <c r="J389">
        <f t="shared" si="19"/>
        <v>0</v>
      </c>
      <c r="K389" t="b">
        <f t="shared" si="20"/>
        <v>1</v>
      </c>
    </row>
    <row r="390" spans="1:11">
      <c r="A390" t="s">
        <v>1111</v>
      </c>
      <c r="B390" s="1">
        <v>478</v>
      </c>
      <c r="C390">
        <f>_xlfn.XLOOKUP(A390,保证金登记!B:B,保证金登记!E:E)</f>
        <v>44831</v>
      </c>
      <c r="D390" t="str">
        <f t="array" ref="D390">_xlfn.XLOOKUP(B390,1*[2]保证金申请!$A:$A,[2]保证金申请!$C:$C)</f>
        <v>2022-09-27</v>
      </c>
      <c r="E390" t="str">
        <f>_xlfn.XLOOKUP(A390,保证金登记!B:B,保证金登记!I:I)</f>
        <v>包头冀东水泥有限公司</v>
      </c>
      <c r="F390" t="str">
        <f t="array" ref="F390">_xlfn.XLOOKUP(B390,1*[2]保证金申请!$A:$A,[2]保证金申请!$Q:$Q)</f>
        <v>包头冀东水泥有限公司</v>
      </c>
      <c r="G390">
        <f>_xlfn.XLOOKUP(A390,保证金登记!B:B,保证金登记!J:J)</f>
        <v>2000</v>
      </c>
      <c r="H390">
        <f t="array" ref="H390">_xlfn.XLOOKUP(B390,1*[2]保证金申请!$A:$A,[2]保证金申请!$K:$K)</f>
        <v>2000</v>
      </c>
      <c r="I390">
        <f t="shared" si="18"/>
        <v>0</v>
      </c>
      <c r="J390">
        <f t="shared" si="19"/>
        <v>0</v>
      </c>
      <c r="K390" t="b">
        <f t="shared" si="20"/>
        <v>1</v>
      </c>
    </row>
    <row r="391" spans="1:11">
      <c r="A391" t="s">
        <v>1113</v>
      </c>
      <c r="B391" s="1">
        <v>479</v>
      </c>
      <c r="C391">
        <f>_xlfn.XLOOKUP(A391,保证金登记!B:B,保证金登记!E:E)</f>
        <v>44832</v>
      </c>
      <c r="D391" t="str">
        <f t="array" ref="D391">_xlfn.XLOOKUP(B391,1*[2]保证金申请!$A:$A,[2]保证金申请!$C:$C)</f>
        <v>2022-09-28</v>
      </c>
      <c r="E391" t="str">
        <f>_xlfn.XLOOKUP(A391,保证金登记!B:B,保证金登记!I:I)</f>
        <v>包头冀东水泥有限公司</v>
      </c>
      <c r="F391" t="str">
        <f t="array" ref="F391">_xlfn.XLOOKUP(B391,1*[2]保证金申请!$A:$A,[2]保证金申请!$Q:$Q)</f>
        <v>包头冀东水泥有限公司</v>
      </c>
      <c r="G391">
        <f>_xlfn.XLOOKUP(A391,保证金登记!B:B,保证金登记!J:J)</f>
        <v>5000</v>
      </c>
      <c r="H391">
        <f t="array" ref="H391">_xlfn.XLOOKUP(B391,1*[2]保证金申请!$A:$A,[2]保证金申请!$K:$K)</f>
        <v>5000</v>
      </c>
      <c r="I391">
        <f t="shared" si="18"/>
        <v>0</v>
      </c>
      <c r="J391">
        <f t="shared" si="19"/>
        <v>0</v>
      </c>
      <c r="K391" t="b">
        <f t="shared" si="20"/>
        <v>1</v>
      </c>
    </row>
    <row r="392" spans="1:11">
      <c r="A392" t="s">
        <v>1115</v>
      </c>
      <c r="B392" s="1">
        <v>480</v>
      </c>
      <c r="C392">
        <f>_xlfn.XLOOKUP(A392,保证金登记!B:B,保证金登记!E:E)</f>
        <v>44833</v>
      </c>
      <c r="D392" t="str">
        <f t="array" ref="D392">_xlfn.XLOOKUP(B392,1*[2]保证金申请!$A:$A,[2]保证金申请!$C:$C)</f>
        <v>2022-09-29</v>
      </c>
      <c r="E392" t="str">
        <f>_xlfn.XLOOKUP(A392,保证金登记!B:B,保证金登记!I:I)</f>
        <v>贵州西南水泥有限公司</v>
      </c>
      <c r="F392" t="str">
        <f t="array" ref="F392">_xlfn.XLOOKUP(B392,1*[2]保证金申请!$A:$A,[2]保证金申请!$Q:$Q)</f>
        <v>贵州西南水泥有限公司</v>
      </c>
      <c r="G392">
        <f>_xlfn.XLOOKUP(A392,保证金登记!B:B,保证金登记!J:J)</f>
        <v>50000</v>
      </c>
      <c r="H392">
        <f t="array" ref="H392">_xlfn.XLOOKUP(B392,1*[2]保证金申请!$A:$A,[2]保证金申请!$K:$K)</f>
        <v>50000</v>
      </c>
      <c r="I392">
        <f t="shared" si="18"/>
        <v>0</v>
      </c>
      <c r="J392">
        <f t="shared" si="19"/>
        <v>0</v>
      </c>
      <c r="K392" t="b">
        <f t="shared" si="20"/>
        <v>1</v>
      </c>
    </row>
    <row r="393" spans="1:11">
      <c r="A393" t="s">
        <v>1119</v>
      </c>
      <c r="B393" s="1">
        <v>482</v>
      </c>
      <c r="C393">
        <f>_xlfn.XLOOKUP(A393,保证金登记!B:B,保证金登记!E:E)</f>
        <v>44841</v>
      </c>
      <c r="D393" t="str">
        <f t="array" ref="D393">_xlfn.XLOOKUP(B393,1*[2]保证金申请!$A:$A,[2]保证金申请!$C:$C)</f>
        <v>2022-10-07</v>
      </c>
      <c r="E393" t="str">
        <f>_xlfn.XLOOKUP(A393,保证金登记!B:B,保证金登记!I:I)</f>
        <v>青海发投碱业有限公司</v>
      </c>
      <c r="F393" t="str">
        <f t="array" ref="F393">_xlfn.XLOOKUP(B393,1*[2]保证金申请!$A:$A,[2]保证金申请!$Q:$Q)</f>
        <v>青海发投碱业有限公司</v>
      </c>
      <c r="G393">
        <f>_xlfn.XLOOKUP(A393,保证金登记!B:B,保证金登记!J:J)</f>
        <v>20000</v>
      </c>
      <c r="H393">
        <f t="array" ref="H393">_xlfn.XLOOKUP(B393,1*[2]保证金申请!$A:$A,[2]保证金申请!$K:$K)</f>
        <v>20000</v>
      </c>
      <c r="I393">
        <f t="shared" si="18"/>
        <v>0</v>
      </c>
      <c r="J393">
        <f t="shared" si="19"/>
        <v>0</v>
      </c>
      <c r="K393" t="b">
        <f t="shared" si="20"/>
        <v>1</v>
      </c>
    </row>
    <row r="394" spans="1:11">
      <c r="A394" t="s">
        <v>1124</v>
      </c>
      <c r="B394" s="1">
        <v>485</v>
      </c>
      <c r="C394">
        <f>_xlfn.XLOOKUP(A394,保证金登记!B:B,保证金登记!E:E)</f>
        <v>44851</v>
      </c>
      <c r="D394" t="str">
        <f t="array" ref="D394">_xlfn.XLOOKUP(B394,1*[2]保证金申请!$A:$A,[2]保证金申请!$C:$C)</f>
        <v>2022-10-17</v>
      </c>
      <c r="E394" t="str">
        <f>_xlfn.XLOOKUP(A394,保证金登记!B:B,保证金登记!I:I)</f>
        <v>山东韶华项目管理有限公司
（山东泉兴水泥有限公司）</v>
      </c>
      <c r="F394" t="str">
        <f t="array" ref="F394">_xlfn.XLOOKUP(B394,1*[2]保证金申请!$A:$A,[2]保证金申请!$Q:$Q)</f>
        <v>山东韶华项目管理有限公司
（山东泉兴水泥有限公司）</v>
      </c>
      <c r="G394">
        <f>_xlfn.XLOOKUP(A394,保证金登记!B:B,保证金登记!J:J)</f>
        <v>3000</v>
      </c>
      <c r="H394">
        <f t="array" ref="H394">_xlfn.XLOOKUP(B394,1*[2]保证金申请!$A:$A,[2]保证金申请!$K:$K)</f>
        <v>3000</v>
      </c>
      <c r="I394">
        <f t="shared" si="18"/>
        <v>0</v>
      </c>
      <c r="J394">
        <f t="shared" si="19"/>
        <v>0</v>
      </c>
      <c r="K394" t="b">
        <f t="shared" si="20"/>
        <v>1</v>
      </c>
    </row>
    <row r="395" spans="1:11">
      <c r="A395" t="s">
        <v>1127</v>
      </c>
      <c r="B395" s="1">
        <v>486</v>
      </c>
      <c r="C395">
        <f>_xlfn.XLOOKUP(A395,保证金登记!B:B,保证金登记!E:E)</f>
        <v>44851</v>
      </c>
      <c r="D395" t="str">
        <f t="array" ref="D395">_xlfn.XLOOKUP(B395,1*[2]保证金申请!$A:$A,[2]保证金申请!$C:$C)</f>
        <v>2022-10-17</v>
      </c>
      <c r="E395" t="str">
        <f>_xlfn.XLOOKUP(A395,保证金登记!B:B,保证金登记!I:I)</f>
        <v>山东韶华项目管理有限公司
（山东泉兴水泥有限公司）</v>
      </c>
      <c r="F395" t="str">
        <f t="array" ref="F395">_xlfn.XLOOKUP(B395,1*[2]保证金申请!$A:$A,[2]保证金申请!$Q:$Q)</f>
        <v>山东韶华项目管理有限公司
（山东泉兴水泥有限公司）</v>
      </c>
      <c r="G395">
        <f>_xlfn.XLOOKUP(A395,保证金登记!B:B,保证金登记!J:J)</f>
        <v>4000</v>
      </c>
      <c r="H395">
        <f t="array" ref="H395">_xlfn.XLOOKUP(B395,1*[2]保证金申请!$A:$A,[2]保证金申请!$K:$K)</f>
        <v>4000</v>
      </c>
      <c r="I395">
        <f t="shared" si="18"/>
        <v>0</v>
      </c>
      <c r="J395">
        <f t="shared" si="19"/>
        <v>0</v>
      </c>
      <c r="K395" t="b">
        <f t="shared" si="20"/>
        <v>1</v>
      </c>
    </row>
    <row r="396" spans="1:11">
      <c r="A396" t="s">
        <v>1129</v>
      </c>
      <c r="B396" s="1">
        <v>487</v>
      </c>
      <c r="C396">
        <f>_xlfn.XLOOKUP(A396,保证金登记!B:B,保证金登记!E:E)</f>
        <v>44851</v>
      </c>
      <c r="D396" t="str">
        <f t="array" ref="D396">_xlfn.XLOOKUP(B396,1*[2]保证金申请!$A:$A,[2]保证金申请!$C:$C)</f>
        <v>2022-10-17</v>
      </c>
      <c r="E396" t="str">
        <f>_xlfn.XLOOKUP(A396,保证金登记!B:B,保证金登记!I:I)</f>
        <v>山东韶华项目管理有限公司
（山东泉兴水泥有限公司）</v>
      </c>
      <c r="F396" t="str">
        <f t="array" ref="F396">_xlfn.XLOOKUP(B396,1*[2]保证金申请!$A:$A,[2]保证金申请!$Q:$Q)</f>
        <v>山东韶华项目管理有限公司
（山东泉兴水泥有限公司）</v>
      </c>
      <c r="G396">
        <f>_xlfn.XLOOKUP(A396,保证金登记!B:B,保证金登记!J:J)</f>
        <v>5000</v>
      </c>
      <c r="H396">
        <f t="array" ref="H396">_xlfn.XLOOKUP(B396,1*[2]保证金申请!$A:$A,[2]保证金申请!$K:$K)</f>
        <v>5000</v>
      </c>
      <c r="I396">
        <f t="shared" si="18"/>
        <v>0</v>
      </c>
      <c r="J396">
        <f t="shared" si="19"/>
        <v>0</v>
      </c>
      <c r="K396" t="b">
        <f t="shared" si="20"/>
        <v>1</v>
      </c>
    </row>
    <row r="397" spans="1:11">
      <c r="A397" t="s">
        <v>1131</v>
      </c>
      <c r="B397" s="1">
        <v>488</v>
      </c>
      <c r="C397">
        <f>_xlfn.XLOOKUP(A397,保证金登记!B:B,保证金登记!E:E)</f>
        <v>44851</v>
      </c>
      <c r="D397" t="str">
        <f t="array" ref="D397">_xlfn.XLOOKUP(B397,1*[2]保证金申请!$A:$A,[2]保证金申请!$C:$C)</f>
        <v>2022-10-17</v>
      </c>
      <c r="E397" t="str">
        <f>_xlfn.XLOOKUP(A397,保证金登记!B:B,保证金登记!I:I)</f>
        <v>山东韶华项目管理有限公司
（山东泉兴水泥有限公司）</v>
      </c>
      <c r="F397" t="str">
        <f t="array" ref="F397">_xlfn.XLOOKUP(B397,1*[2]保证金申请!$A:$A,[2]保证金申请!$Q:$Q)</f>
        <v>山东韶华项目管理有限公司
（山东泉兴水泥有限公司）</v>
      </c>
      <c r="G397">
        <f>_xlfn.XLOOKUP(A397,保证金登记!B:B,保证金登记!J:J)</f>
        <v>7000</v>
      </c>
      <c r="H397">
        <f t="array" ref="H397">_xlfn.XLOOKUP(B397,1*[2]保证金申请!$A:$A,[2]保证金申请!$K:$K)</f>
        <v>7000</v>
      </c>
      <c r="I397">
        <f t="shared" si="18"/>
        <v>0</v>
      </c>
      <c r="J397">
        <f t="shared" si="19"/>
        <v>0</v>
      </c>
      <c r="K397" t="b">
        <f t="shared" si="20"/>
        <v>1</v>
      </c>
    </row>
    <row r="398" spans="1:11">
      <c r="A398" t="s">
        <v>1134</v>
      </c>
      <c r="B398" s="1">
        <v>489</v>
      </c>
      <c r="C398">
        <f>_xlfn.XLOOKUP(A398,保证金登记!B:B,保证金登记!E:E)</f>
        <v>44851</v>
      </c>
      <c r="D398" t="str">
        <f t="array" ref="D398">_xlfn.XLOOKUP(B398,1*[2]保证金申请!$A:$A,[2]保证金申请!$C:$C)</f>
        <v>2022-10-17</v>
      </c>
      <c r="E398" t="str">
        <f>_xlfn.XLOOKUP(A398,保证金登记!B:B,保证金登记!I:I)</f>
        <v>山东韶华项目管理有限公司
（山东申丰水泥集团有限公司）</v>
      </c>
      <c r="F398" t="str">
        <f t="array" ref="F398">_xlfn.XLOOKUP(B398,1*[2]保证金申请!$A:$A,[2]保证金申请!$Q:$Q)</f>
        <v>山东韶华项目管理有限公司
（山东申丰水泥集团有限公司）</v>
      </c>
      <c r="G398">
        <f>_xlfn.XLOOKUP(A398,保证金登记!B:B,保证金登记!J:J)</f>
        <v>15000</v>
      </c>
      <c r="H398">
        <f t="array" ref="H398">_xlfn.XLOOKUP(B398,1*[2]保证金申请!$A:$A,[2]保证金申请!$K:$K)</f>
        <v>15000</v>
      </c>
      <c r="I398">
        <f t="shared" si="18"/>
        <v>0</v>
      </c>
      <c r="J398">
        <f t="shared" si="19"/>
        <v>0</v>
      </c>
      <c r="K398" t="b">
        <f t="shared" si="20"/>
        <v>1</v>
      </c>
    </row>
    <row r="399" spans="1:11">
      <c r="A399" t="s">
        <v>1138</v>
      </c>
      <c r="B399" s="1">
        <v>490</v>
      </c>
      <c r="C399">
        <f>_xlfn.XLOOKUP(A399,保证金登记!B:B,保证金登记!E:E)</f>
        <v>44851</v>
      </c>
      <c r="D399" t="str">
        <f t="array" ref="D399">_xlfn.XLOOKUP(B399,1*[2]保证金申请!$A:$A,[2]保证金申请!$C:$C)</f>
        <v>2022-10-17</v>
      </c>
      <c r="E399" t="str">
        <f>_xlfn.XLOOKUP(A399,保证金登记!B:B,保证金登记!I:I)</f>
        <v>山东韶华项目管理有限公司
（山东申丰水泥集团有限公司）</v>
      </c>
      <c r="F399" t="str">
        <f t="array" ref="F399">_xlfn.XLOOKUP(B399,1*[2]保证金申请!$A:$A,[2]保证金申请!$Q:$Q)</f>
        <v>山东韶华项目管理有限公司
（山东申丰水泥集团有限公司）</v>
      </c>
      <c r="G399">
        <f>_xlfn.XLOOKUP(A399,保证金登记!B:B,保证金登记!J:J)</f>
        <v>10000</v>
      </c>
      <c r="H399">
        <f t="array" ref="H399">_xlfn.XLOOKUP(B399,1*[2]保证金申请!$A:$A,[2]保证金申请!$K:$K)</f>
        <v>10000</v>
      </c>
      <c r="I399">
        <f t="shared" si="18"/>
        <v>0</v>
      </c>
      <c r="J399">
        <f t="shared" si="19"/>
        <v>0</v>
      </c>
      <c r="K399" t="b">
        <f t="shared" si="20"/>
        <v>1</v>
      </c>
    </row>
    <row r="400" spans="1:11">
      <c r="A400" t="s">
        <v>1145</v>
      </c>
      <c r="B400" s="1">
        <v>493</v>
      </c>
      <c r="C400">
        <f>_xlfn.XLOOKUP(A400,保证金登记!B:B,保证金登记!E:E)</f>
        <v>44855</v>
      </c>
      <c r="D400" t="str">
        <f t="array" ref="D400">_xlfn.XLOOKUP(B400,1*[2]保证金申请!$A:$A,[2]保证金申请!$C:$C)</f>
        <v>2022-10-21</v>
      </c>
      <c r="E400" t="str">
        <f>_xlfn.XLOOKUP(A400,保证金登记!B:B,保证金登记!I:I)</f>
        <v>青海发投碱业有限公司</v>
      </c>
      <c r="F400" t="str">
        <f t="array" ref="F400">_xlfn.XLOOKUP(B400,1*[2]保证金申请!$A:$A,[2]保证金申请!$Q:$Q)</f>
        <v>青海发投碱业有限公司</v>
      </c>
      <c r="G400">
        <f>_xlfn.XLOOKUP(A400,保证金登记!B:B,保证金登记!J:J)</f>
        <v>20000</v>
      </c>
      <c r="H400">
        <f t="array" ref="H400">_xlfn.XLOOKUP(B400,1*[2]保证金申请!$A:$A,[2]保证金申请!$K:$K)</f>
        <v>20000</v>
      </c>
      <c r="I400">
        <f t="shared" si="18"/>
        <v>0</v>
      </c>
      <c r="J400">
        <f t="shared" si="19"/>
        <v>0</v>
      </c>
      <c r="K400" t="b">
        <f t="shared" si="20"/>
        <v>1</v>
      </c>
    </row>
    <row r="401" spans="1:11">
      <c r="A401" t="s">
        <v>1147</v>
      </c>
      <c r="B401" s="1">
        <v>494</v>
      </c>
      <c r="C401">
        <f>_xlfn.XLOOKUP(A401,保证金登记!B:B,保证金登记!E:E)</f>
        <v>44858</v>
      </c>
      <c r="D401" t="str">
        <f t="array" ref="D401">_xlfn.XLOOKUP(B401,1*[2]保证金申请!$A:$A,[2]保证金申请!$C:$C)</f>
        <v>2022-10-24</v>
      </c>
      <c r="E401" t="str">
        <f>_xlfn.XLOOKUP(A401,保证金登记!B:B,保证金登记!I:I)</f>
        <v>宁夏建材集团股份有限公司</v>
      </c>
      <c r="F401" t="str">
        <f t="array" ref="F401">_xlfn.XLOOKUP(B401,1*[2]保证金申请!$A:$A,[2]保证金申请!$Q:$Q)</f>
        <v>宁夏建材集团股份有限公司</v>
      </c>
      <c r="G401">
        <f>_xlfn.XLOOKUP(A401,保证金登记!B:B,保证金登记!J:J)</f>
        <v>10000</v>
      </c>
      <c r="H401">
        <f t="array" ref="H401">_xlfn.XLOOKUP(B401,1*[2]保证金申请!$A:$A,[2]保证金申请!$K:$K)</f>
        <v>10000</v>
      </c>
      <c r="I401">
        <f t="shared" si="18"/>
        <v>0</v>
      </c>
      <c r="J401">
        <f t="shared" si="19"/>
        <v>0</v>
      </c>
      <c r="K401" t="b">
        <f t="shared" si="20"/>
        <v>1</v>
      </c>
    </row>
    <row r="402" spans="1:11">
      <c r="A402" t="s">
        <v>1149</v>
      </c>
      <c r="B402" s="1">
        <v>495</v>
      </c>
      <c r="C402">
        <f>_xlfn.XLOOKUP(A402,保证金登记!B:B,保证金登记!E:E)</f>
        <v>44858</v>
      </c>
      <c r="D402" t="str">
        <f t="array" ref="D402">_xlfn.XLOOKUP(B402,1*[2]保证金申请!$A:$A,[2]保证金申请!$C:$C)</f>
        <v>2022-10-24</v>
      </c>
      <c r="E402" t="str">
        <f>_xlfn.XLOOKUP(A402,保证金登记!B:B,保证金登记!I:I)</f>
        <v>湖南骏泰新材料科技有限责任公司</v>
      </c>
      <c r="F402" t="str">
        <f t="array" ref="F402">_xlfn.XLOOKUP(B402,1*[2]保证金申请!$A:$A,[2]保证金申请!$Q:$Q)</f>
        <v>湖南骏泰新材料科技有限责任公司</v>
      </c>
      <c r="G402">
        <f>_xlfn.XLOOKUP(A402,保证金登记!B:B,保证金登记!J:J)</f>
        <v>5000</v>
      </c>
      <c r="H402">
        <f t="array" ref="H402">_xlfn.XLOOKUP(B402,1*[2]保证金申请!$A:$A,[2]保证金申请!$K:$K)</f>
        <v>5000</v>
      </c>
      <c r="I402">
        <f t="shared" si="18"/>
        <v>0</v>
      </c>
      <c r="J402">
        <f t="shared" si="19"/>
        <v>0</v>
      </c>
      <c r="K402" t="b">
        <f t="shared" si="20"/>
        <v>1</v>
      </c>
    </row>
    <row r="403" spans="1:11">
      <c r="A403" t="s">
        <v>1156</v>
      </c>
      <c r="B403" s="1">
        <v>497</v>
      </c>
      <c r="C403">
        <f>_xlfn.XLOOKUP(A403,保证金登记!B:B,保证金登记!E:E)</f>
        <v>44860</v>
      </c>
      <c r="D403" t="str">
        <f t="array" ref="D403">_xlfn.XLOOKUP(B403,1*[2]保证金申请!$A:$A,[2]保证金申请!$C:$C)</f>
        <v>2022-10-26</v>
      </c>
      <c r="E403" t="str">
        <f>_xlfn.XLOOKUP(A403,保证金登记!B:B,保证金登记!I:I)</f>
        <v>江阴兴澄特种钢铁有限公司</v>
      </c>
      <c r="F403" t="str">
        <f t="array" ref="F403">_xlfn.XLOOKUP(B403,1*[2]保证金申请!$A:$A,[2]保证金申请!$Q:$Q)</f>
        <v>江阴兴澄特种钢铁有限公司</v>
      </c>
      <c r="G403">
        <f>_xlfn.XLOOKUP(A403,保证金登记!B:B,保证金登记!J:J)</f>
        <v>15000</v>
      </c>
      <c r="H403">
        <f t="array" ref="H403">_xlfn.XLOOKUP(B403,1*[2]保证金申请!$A:$A,[2]保证金申请!$K:$K)</f>
        <v>15000</v>
      </c>
      <c r="I403">
        <f t="shared" si="18"/>
        <v>0</v>
      </c>
      <c r="J403">
        <f t="shared" si="19"/>
        <v>0</v>
      </c>
      <c r="K403" t="b">
        <f t="shared" si="20"/>
        <v>1</v>
      </c>
    </row>
    <row r="404" spans="1:11">
      <c r="A404" t="s">
        <v>1160</v>
      </c>
      <c r="B404" s="1">
        <v>498</v>
      </c>
      <c r="C404">
        <f>_xlfn.XLOOKUP(A404,保证金登记!B:B,保证金登记!E:E)</f>
        <v>44860</v>
      </c>
      <c r="D404" t="str">
        <f t="array" ref="D404">_xlfn.XLOOKUP(B404,1*[2]保证金申请!$A:$A,[2]保证金申请!$C:$C)</f>
        <v>2022-10-26</v>
      </c>
      <c r="E404" t="str">
        <f>_xlfn.XLOOKUP(A404,保证金登记!B:B,保证金登记!I:I)</f>
        <v>山东合标项目管理有限公司
华沃（枣庄）水泥有限公司</v>
      </c>
      <c r="F404" t="str">
        <f t="array" ref="F404">_xlfn.XLOOKUP(B404,1*[2]保证金申请!$A:$A,[2]保证金申请!$Q:$Q)</f>
        <v>山东合标项目管理有限公司
华沃（枣庄）水泥有限公司</v>
      </c>
      <c r="G404">
        <f>_xlfn.XLOOKUP(A404,保证金登记!B:B,保证金登记!J:J)</f>
        <v>10000</v>
      </c>
      <c r="H404">
        <f t="array" ref="H404">_xlfn.XLOOKUP(B404,1*[2]保证金申请!$A:$A,[2]保证金申请!$K:$K)</f>
        <v>10000</v>
      </c>
      <c r="I404">
        <f t="shared" si="18"/>
        <v>0</v>
      </c>
      <c r="J404">
        <f t="shared" si="19"/>
        <v>0</v>
      </c>
      <c r="K404" t="b">
        <f t="shared" si="20"/>
        <v>1</v>
      </c>
    </row>
    <row r="405" spans="1:11">
      <c r="A405" t="s">
        <v>1161</v>
      </c>
      <c r="B405" s="1">
        <v>499</v>
      </c>
      <c r="C405">
        <f>_xlfn.XLOOKUP(A405,保证金登记!B:B,保证金登记!E:E)</f>
        <v>44861</v>
      </c>
      <c r="D405" t="str">
        <f t="array" ref="D405">_xlfn.XLOOKUP(B405,1*[2]保证金申请!$A:$A,[2]保证金申请!$C:$C)</f>
        <v>2022-10-27</v>
      </c>
      <c r="E405" t="str">
        <f>_xlfn.XLOOKUP(A405,保证金登记!B:B,保证金登记!I:I)</f>
        <v>中技兴安工程项目管理有限公司（枣庄沃丰水泥有限公司）</v>
      </c>
      <c r="F405" t="str">
        <f t="array" ref="F405">_xlfn.XLOOKUP(B405,1*[2]保证金申请!$A:$A,[2]保证金申请!$Q:$Q)</f>
        <v>中技兴安工程项目管理有限公司（枣庄沃丰水泥有限公司）</v>
      </c>
      <c r="G405">
        <f>_xlfn.XLOOKUP(A405,保证金登记!B:B,保证金登记!J:J)</f>
        <v>4600</v>
      </c>
      <c r="H405">
        <f t="array" ref="H405">_xlfn.XLOOKUP(B405,1*[2]保证金申请!$A:$A,[2]保证金申请!$K:$K)</f>
        <v>4600</v>
      </c>
      <c r="I405">
        <f t="shared" si="18"/>
        <v>0</v>
      </c>
      <c r="J405">
        <f t="shared" si="19"/>
        <v>0</v>
      </c>
      <c r="K405" t="b">
        <f t="shared" si="20"/>
        <v>1</v>
      </c>
    </row>
    <row r="406" spans="1:11">
      <c r="A406" t="s">
        <v>1164</v>
      </c>
      <c r="B406" s="1">
        <v>501</v>
      </c>
      <c r="C406">
        <f>_xlfn.XLOOKUP(A406,保证金登记!B:B,保证金登记!E:E)</f>
        <v>44862</v>
      </c>
      <c r="D406" t="str">
        <f t="array" ref="D406">_xlfn.XLOOKUP(B406,1*[2]保证金申请!$A:$A,[2]保证金申请!$C:$C)</f>
        <v>2022-10-28</v>
      </c>
      <c r="E406" t="str">
        <f>_xlfn.XLOOKUP(A406,保证金登记!B:B,保证金登记!I:I)</f>
        <v>阿克苏天山</v>
      </c>
      <c r="F406" t="str">
        <f t="array" ref="F406">_xlfn.XLOOKUP(B406,1*[2]保证金申请!$A:$A,[2]保证金申请!$Q:$Q)</f>
        <v>阿克苏天山</v>
      </c>
      <c r="G406">
        <f>_xlfn.XLOOKUP(A406,保证金登记!B:B,保证金登记!J:J)</f>
        <v>20000</v>
      </c>
      <c r="H406">
        <f t="array" ref="H406">_xlfn.XLOOKUP(B406,1*[2]保证金申请!$A:$A,[2]保证金申请!$K:$K)</f>
        <v>20000</v>
      </c>
      <c r="I406">
        <f t="shared" si="18"/>
        <v>0</v>
      </c>
      <c r="J406">
        <f t="shared" si="19"/>
        <v>0</v>
      </c>
      <c r="K406" t="b">
        <f t="shared" si="20"/>
        <v>1</v>
      </c>
    </row>
    <row r="407" spans="1:11">
      <c r="A407" t="s">
        <v>1165</v>
      </c>
      <c r="B407" s="1">
        <v>502</v>
      </c>
      <c r="C407">
        <f>_xlfn.XLOOKUP(A407,保证金登记!B:B,保证金登记!E:E)</f>
        <v>44862</v>
      </c>
      <c r="D407" t="str">
        <f t="array" ref="D407">_xlfn.XLOOKUP(B407,1*[2]保证金申请!$A:$A,[2]保证金申请!$C:$C)</f>
        <v>2022-10-28</v>
      </c>
      <c r="E407" t="str">
        <f>_xlfn.XLOOKUP(A407,保证金登记!B:B,保证金登记!I:I)</f>
        <v>四川兴恒晟商贸有限公司
（四川省星船城水泥有限公司）</v>
      </c>
      <c r="F407" t="str">
        <f t="array" ref="F407">_xlfn.XLOOKUP(B407,1*[2]保证金申请!$A:$A,[2]保证金申请!$Q:$Q)</f>
        <v>四川兴恒晟商贸有限公司
（四川省星船城水泥有限公司）</v>
      </c>
      <c r="G407">
        <f>_xlfn.XLOOKUP(A407,保证金登记!B:B,保证金登记!J:J)</f>
        <v>6000</v>
      </c>
      <c r="H407">
        <f t="array" ref="H407">_xlfn.XLOOKUP(B407,1*[2]保证金申请!$A:$A,[2]保证金申请!$K:$K)</f>
        <v>6000</v>
      </c>
      <c r="I407">
        <f t="shared" si="18"/>
        <v>0</v>
      </c>
      <c r="J407">
        <f t="shared" si="19"/>
        <v>0</v>
      </c>
      <c r="K407" t="b">
        <f t="shared" si="20"/>
        <v>1</v>
      </c>
    </row>
    <row r="408" spans="1:11">
      <c r="A408" t="s">
        <v>1168</v>
      </c>
      <c r="B408" s="1">
        <v>503</v>
      </c>
      <c r="C408">
        <f>_xlfn.XLOOKUP(A408,保证金登记!B:B,保证金登记!E:E)</f>
        <v>44865</v>
      </c>
      <c r="D408" t="str">
        <f t="array" ref="D408">_xlfn.XLOOKUP(B408,1*[2]保证金申请!$A:$A,[2]保证金申请!$C:$C)</f>
        <v>2022-10-31</v>
      </c>
      <c r="E408" t="str">
        <f>_xlfn.XLOOKUP(A408,保证金登记!B:B,保证金登记!I:I)</f>
        <v>东方希望重庆水泥有限公司</v>
      </c>
      <c r="F408" t="str">
        <f t="array" ref="F408">_xlfn.XLOOKUP(B408,1*[2]保证金申请!$A:$A,[2]保证金申请!$Q:$Q)</f>
        <v>东方希望重庆水泥有限公司</v>
      </c>
      <c r="G408">
        <f>_xlfn.XLOOKUP(A408,保证金登记!B:B,保证金登记!J:J)</f>
        <v>10000</v>
      </c>
      <c r="H408">
        <f t="array" ref="H408">_xlfn.XLOOKUP(B408,1*[2]保证金申请!$A:$A,[2]保证金申请!$K:$K)</f>
        <v>10000</v>
      </c>
      <c r="I408">
        <f t="shared" si="18"/>
        <v>0</v>
      </c>
      <c r="J408">
        <f t="shared" si="19"/>
        <v>0</v>
      </c>
      <c r="K408" t="b">
        <f t="shared" si="20"/>
        <v>1</v>
      </c>
    </row>
    <row r="409" spans="1:11">
      <c r="A409" t="s">
        <v>1171</v>
      </c>
      <c r="B409" s="1">
        <v>504</v>
      </c>
      <c r="C409">
        <f>_xlfn.XLOOKUP(A409,保证金登记!B:B,保证金登记!E:E)</f>
        <v>44869</v>
      </c>
      <c r="D409" t="str">
        <f t="array" ref="D409">_xlfn.XLOOKUP(B409,1*[2]保证金申请!$A:$A,[2]保证金申请!$C:$C)</f>
        <v>2022-11-04</v>
      </c>
      <c r="E409" t="str">
        <f>_xlfn.XLOOKUP(A409,保证金登记!B:B,保证金登记!I:I)</f>
        <v>中联水泥（山东）研发中心有限公司（沂南中联水泥有限公司）</v>
      </c>
      <c r="F409" t="str">
        <f t="array" ref="F409">_xlfn.XLOOKUP(B409,1*[2]保证金申请!$A:$A,[2]保证金申请!$Q:$Q)</f>
        <v>中联水泥（山东）研发中心有限公司（沂南中联水泥有限公司）</v>
      </c>
      <c r="G409">
        <f>_xlfn.XLOOKUP(A409,保证金登记!B:B,保证金登记!J:J)</f>
        <v>5000</v>
      </c>
      <c r="H409">
        <f t="array" ref="H409">_xlfn.XLOOKUP(B409,1*[2]保证金申请!$A:$A,[2]保证金申请!$K:$K)</f>
        <v>5000</v>
      </c>
      <c r="I409">
        <f t="shared" si="18"/>
        <v>0</v>
      </c>
      <c r="J409">
        <f t="shared" si="19"/>
        <v>0</v>
      </c>
      <c r="K409" t="b">
        <f t="shared" si="20"/>
        <v>1</v>
      </c>
    </row>
    <row r="410" spans="1:11">
      <c r="A410" t="s">
        <v>1174</v>
      </c>
      <c r="B410" s="1">
        <v>505</v>
      </c>
      <c r="C410">
        <f>_xlfn.XLOOKUP(A410,保证金登记!B:B,保证金登记!E:E)</f>
        <v>44872</v>
      </c>
      <c r="D410" t="str">
        <f t="array" ref="D410">_xlfn.XLOOKUP(B410,1*[2]保证金申请!$A:$A,[2]保证金申请!$C:$C)</f>
        <v>2022-11-07</v>
      </c>
      <c r="E410" t="str">
        <f>_xlfn.XLOOKUP(A410,保证金登记!B:B,保证金登记!I:I)</f>
        <v>叶城天山水泥有限责任公司</v>
      </c>
      <c r="F410" t="str">
        <f t="array" ref="F410">_xlfn.XLOOKUP(B410,1*[2]保证金申请!$A:$A,[2]保证金申请!$Q:$Q)</f>
        <v>叶城天山水泥有限公司</v>
      </c>
      <c r="G410">
        <f>_xlfn.XLOOKUP(A410,保证金登记!B:B,保证金登记!J:J)</f>
        <v>10000</v>
      </c>
      <c r="H410">
        <f t="array" ref="H410">_xlfn.XLOOKUP(B410,1*[2]保证金申请!$A:$A,[2]保证金申请!$K:$K)</f>
        <v>10000</v>
      </c>
      <c r="I410">
        <f t="shared" si="18"/>
        <v>0</v>
      </c>
      <c r="J410">
        <f t="shared" si="19"/>
        <v>0</v>
      </c>
      <c r="K410" t="b">
        <f t="shared" si="20"/>
        <v>0</v>
      </c>
    </row>
    <row r="411" spans="1:11">
      <c r="A411" t="s">
        <v>1181</v>
      </c>
      <c r="B411" s="1">
        <v>509</v>
      </c>
      <c r="C411">
        <f>_xlfn.XLOOKUP(A411,保证金登记!B:B,保证金登记!E:E)</f>
        <v>44872</v>
      </c>
      <c r="D411" t="str">
        <f t="array" ref="D411">_xlfn.XLOOKUP(B411,1*[2]保证金申请!$A:$A,[2]保证金申请!$C:$C)</f>
        <v>2022-11-07</v>
      </c>
      <c r="E411" t="str">
        <f>_xlfn.XLOOKUP(A411,保证金登记!B:B,保证金登记!I:I)</f>
        <v>河北金隅鼎鑫水泥有限公司</v>
      </c>
      <c r="F411" t="str">
        <f t="array" ref="F411">_xlfn.XLOOKUP(B411,1*[2]保证金申请!$A:$A,[2]保证金申请!$Q:$Q)</f>
        <v>河北金隅鼎鑫水泥有限公司</v>
      </c>
      <c r="G411">
        <f>_xlfn.XLOOKUP(A411,保证金登记!B:B,保证金登记!J:J)</f>
        <v>5000</v>
      </c>
      <c r="H411">
        <f t="array" ref="H411">_xlfn.XLOOKUP(B411,1*[2]保证金申请!$A:$A,[2]保证金申请!$K:$K)</f>
        <v>5000</v>
      </c>
      <c r="I411">
        <f t="shared" si="18"/>
        <v>0</v>
      </c>
      <c r="J411">
        <f t="shared" si="19"/>
        <v>0</v>
      </c>
      <c r="K411" t="b">
        <f t="shared" si="20"/>
        <v>1</v>
      </c>
    </row>
    <row r="412" spans="1:11">
      <c r="A412" t="s">
        <v>1183</v>
      </c>
      <c r="B412" s="1">
        <v>510</v>
      </c>
      <c r="C412">
        <f>_xlfn.XLOOKUP(A412,保证金登记!B:B,保证金登记!E:E)</f>
        <v>44872</v>
      </c>
      <c r="D412" t="str">
        <f t="array" ref="D412">_xlfn.XLOOKUP(B412,1*[2]保证金申请!$A:$A,[2]保证金申请!$C:$C)</f>
        <v>2022-11-07</v>
      </c>
      <c r="E412" t="str">
        <f>_xlfn.XLOOKUP(A412,保证金登记!B:B,保证金登记!I:I)</f>
        <v>青海发投碱业有限公司</v>
      </c>
      <c r="F412" t="str">
        <f t="array" ref="F412">_xlfn.XLOOKUP(B412,1*[2]保证金申请!$A:$A,[2]保证金申请!$Q:$Q)</f>
        <v>青海发投碱业有限公司</v>
      </c>
      <c r="G412">
        <f>_xlfn.XLOOKUP(A412,保证金登记!B:B,保证金登记!J:J)</f>
        <v>52088</v>
      </c>
      <c r="H412">
        <f t="array" ref="H412">_xlfn.XLOOKUP(B412,1*[2]保证金申请!$A:$A,[2]保证金申请!$K:$K)</f>
        <v>52088</v>
      </c>
      <c r="I412">
        <f t="shared" si="18"/>
        <v>0</v>
      </c>
      <c r="J412">
        <f t="shared" si="19"/>
        <v>0</v>
      </c>
      <c r="K412" t="b">
        <f t="shared" si="20"/>
        <v>1</v>
      </c>
    </row>
    <row r="413" spans="1:11">
      <c r="A413" t="s">
        <v>1184</v>
      </c>
      <c r="B413" s="1">
        <v>511</v>
      </c>
      <c r="C413">
        <f>_xlfn.XLOOKUP(A413,保证金登记!B:B,保证金登记!E:E)</f>
        <v>44872</v>
      </c>
      <c r="D413" t="str">
        <f t="array" ref="D413">_xlfn.XLOOKUP(B413,1*[2]保证金申请!$A:$A,[2]保证金申请!$C:$C)</f>
        <v>2022-11-07</v>
      </c>
      <c r="E413" t="str">
        <f>_xlfn.XLOOKUP(A413,保证金登记!B:B,保证金登记!I:I)</f>
        <v>重庆长寿西南水泥有限公司</v>
      </c>
      <c r="F413" t="str">
        <f t="array" ref="F413">_xlfn.XLOOKUP(B413,1*[2]保证金申请!$A:$A,[2]保证金申请!$Q:$Q)</f>
        <v>重庆长寿西南水泥有限公司</v>
      </c>
      <c r="G413">
        <f>_xlfn.XLOOKUP(A413,保证金登记!B:B,保证金登记!J:J)</f>
        <v>3000</v>
      </c>
      <c r="H413">
        <f t="array" ref="H413">_xlfn.XLOOKUP(B413,1*[2]保证金申请!$A:$A,[2]保证金申请!$K:$K)</f>
        <v>3000</v>
      </c>
      <c r="I413">
        <f t="shared" si="18"/>
        <v>0</v>
      </c>
      <c r="J413">
        <f t="shared" si="19"/>
        <v>0</v>
      </c>
      <c r="K413" t="b">
        <f t="shared" si="20"/>
        <v>1</v>
      </c>
    </row>
    <row r="414" spans="1:11">
      <c r="A414" t="s">
        <v>1187</v>
      </c>
      <c r="B414" s="1">
        <v>512</v>
      </c>
      <c r="C414">
        <f>_xlfn.XLOOKUP(A414,保证金登记!B:B,保证金登记!E:E)</f>
        <v>44873</v>
      </c>
      <c r="D414" t="str">
        <f t="array" ref="D414">_xlfn.XLOOKUP(B414,1*[2]保证金申请!$A:$A,[2]保证金申请!$C:$C)</f>
        <v>2022-11-08</v>
      </c>
      <c r="E414" t="str">
        <f>_xlfn.XLOOKUP(A414,保证金登记!B:B,保证金登记!I:I)</f>
        <v>克州天山水泥有限责任公司</v>
      </c>
      <c r="F414" t="str">
        <f t="array" ref="F414">_xlfn.XLOOKUP(B414,1*[2]保证金申请!$A:$A,[2]保证金申请!$Q:$Q)</f>
        <v>克州天山</v>
      </c>
      <c r="G414">
        <f>_xlfn.XLOOKUP(A414,保证金登记!B:B,保证金登记!J:J)</f>
        <v>5000</v>
      </c>
      <c r="H414">
        <f t="array" ref="H414">_xlfn.XLOOKUP(B414,1*[2]保证金申请!$A:$A,[2]保证金申请!$K:$K)</f>
        <v>5000</v>
      </c>
      <c r="I414">
        <f t="shared" si="18"/>
        <v>0</v>
      </c>
      <c r="J414">
        <f t="shared" si="19"/>
        <v>0</v>
      </c>
      <c r="K414" t="b">
        <f t="shared" si="20"/>
        <v>0</v>
      </c>
    </row>
    <row r="415" spans="1:11">
      <c r="A415" t="s">
        <v>1192</v>
      </c>
      <c r="B415" s="1">
        <v>514</v>
      </c>
      <c r="C415">
        <f>_xlfn.XLOOKUP(A415,保证金登记!B:B,保证金登记!E:E)</f>
        <v>44874</v>
      </c>
      <c r="D415" t="str">
        <f t="array" ref="D415">_xlfn.XLOOKUP(B415,1*[2]保证金申请!$A:$A,[2]保证金申请!$C:$C)</f>
        <v>2022-11-09</v>
      </c>
      <c r="E415" t="str">
        <f>_xlfn.XLOOKUP(A415,保证金登记!B:B,保证金登记!I:I)</f>
        <v>包头冀东水泥有限公司</v>
      </c>
      <c r="F415" t="str">
        <f t="array" ref="F415">_xlfn.XLOOKUP(B415,1*[2]保证金申请!$A:$A,[2]保证金申请!$Q:$Q)</f>
        <v>包头冀东水泥有限公司</v>
      </c>
      <c r="G415">
        <f>_xlfn.XLOOKUP(A415,保证金登记!B:B,保证金登记!J:J)</f>
        <v>5000</v>
      </c>
      <c r="H415">
        <f t="array" ref="H415">_xlfn.XLOOKUP(B415,1*[2]保证金申请!$A:$A,[2]保证金申请!$K:$K)</f>
        <v>5000</v>
      </c>
      <c r="I415">
        <f t="shared" si="18"/>
        <v>0</v>
      </c>
      <c r="J415">
        <f t="shared" si="19"/>
        <v>0</v>
      </c>
      <c r="K415" t="b">
        <f t="shared" si="20"/>
        <v>1</v>
      </c>
    </row>
    <row r="416" spans="1:11">
      <c r="A416" t="s">
        <v>1194</v>
      </c>
      <c r="B416" s="1">
        <v>515</v>
      </c>
      <c r="C416">
        <f>_xlfn.XLOOKUP(A416,保证金登记!B:B,保证金登记!E:E)</f>
        <v>44874</v>
      </c>
      <c r="D416" t="str">
        <f t="array" ref="D416">_xlfn.XLOOKUP(B416,1*[2]保证金申请!$A:$A,[2]保证金申请!$C:$C)</f>
        <v>2022-11-09</v>
      </c>
      <c r="E416" t="str">
        <f>_xlfn.XLOOKUP(A416,保证金登记!B:B,保证金登记!I:I)</f>
        <v>包头冀东水泥有限公司</v>
      </c>
      <c r="F416" t="str">
        <f t="array" ref="F416">_xlfn.XLOOKUP(B416,1*[2]保证金申请!$A:$A,[2]保证金申请!$Q:$Q)</f>
        <v>包头冀东水泥有限公司</v>
      </c>
      <c r="G416">
        <f>_xlfn.XLOOKUP(A416,保证金登记!B:B,保证金登记!J:J)</f>
        <v>9000</v>
      </c>
      <c r="H416">
        <f t="array" ref="H416">_xlfn.XLOOKUP(B416,1*[2]保证金申请!$A:$A,[2]保证金申请!$K:$K)</f>
        <v>9000</v>
      </c>
      <c r="I416">
        <f t="shared" si="18"/>
        <v>0</v>
      </c>
      <c r="J416">
        <f t="shared" si="19"/>
        <v>0</v>
      </c>
      <c r="K416" t="b">
        <f t="shared" si="20"/>
        <v>1</v>
      </c>
    </row>
    <row r="417" spans="1:11">
      <c r="A417" t="s">
        <v>1197</v>
      </c>
      <c r="B417" s="1">
        <v>516</v>
      </c>
      <c r="C417">
        <f>_xlfn.XLOOKUP(A417,保证金登记!B:B,保证金登记!E:E)</f>
        <v>44874</v>
      </c>
      <c r="D417" t="str">
        <f t="array" ref="D417">_xlfn.XLOOKUP(B417,1*[2]保证金申请!$A:$A,[2]保证金申请!$C:$C)</f>
        <v>2022-11-09</v>
      </c>
      <c r="E417" t="str">
        <f>_xlfn.XLOOKUP(A417,保证金登记!B:B,保证金登记!I:I)</f>
        <v>唐山冀东水泥三友有限公司</v>
      </c>
      <c r="F417" t="str">
        <f t="array" ref="F417">_xlfn.XLOOKUP(B417,1*[2]保证金申请!$A:$A,[2]保证金申请!$Q:$Q)</f>
        <v>唐山冀东水泥三友有限公司</v>
      </c>
      <c r="G417">
        <f>_xlfn.XLOOKUP(A417,保证金登记!B:B,保证金登记!J:J)</f>
        <v>2000</v>
      </c>
      <c r="H417">
        <f t="array" ref="H417">_xlfn.XLOOKUP(B417,1*[2]保证金申请!$A:$A,[2]保证金申请!$K:$K)</f>
        <v>2000</v>
      </c>
      <c r="I417">
        <f t="shared" si="18"/>
        <v>0</v>
      </c>
      <c r="J417">
        <f t="shared" si="19"/>
        <v>0</v>
      </c>
      <c r="K417" t="b">
        <f t="shared" si="20"/>
        <v>1</v>
      </c>
    </row>
    <row r="418" spans="1:11">
      <c r="A418" t="s">
        <v>1201</v>
      </c>
      <c r="B418" s="1">
        <v>518</v>
      </c>
      <c r="C418">
        <f>_xlfn.XLOOKUP(A418,保证金登记!B:B,保证金登记!E:E)</f>
        <v>44875</v>
      </c>
      <c r="D418" t="str">
        <f t="array" ref="D418">_xlfn.XLOOKUP(B418,1*[2]保证金申请!$A:$A,[2]保证金申请!$C:$C)</f>
        <v>2022-11-10</v>
      </c>
      <c r="E418" t="str">
        <f>_xlfn.XLOOKUP(A418,保证金登记!B:B,保证金登记!I:I)</f>
        <v>山东申丰水泥有限公司</v>
      </c>
      <c r="F418" t="str">
        <f t="array" ref="F418">_xlfn.XLOOKUP(B418,1*[2]保证金申请!$A:$A,[2]保证金申请!$Q:$Q)</f>
        <v>山东申丰水泥有限公司</v>
      </c>
      <c r="G418">
        <f>_xlfn.XLOOKUP(A418,保证金登记!B:B,保证金登记!J:J)</f>
        <v>30000</v>
      </c>
      <c r="H418">
        <f t="array" ref="H418">_xlfn.XLOOKUP(B418,1*[2]保证金申请!$A:$A,[2]保证金申请!$K:$K)</f>
        <v>30000</v>
      </c>
      <c r="I418">
        <f t="shared" si="18"/>
        <v>0</v>
      </c>
      <c r="J418">
        <f t="shared" si="19"/>
        <v>0</v>
      </c>
      <c r="K418" t="b">
        <f t="shared" si="20"/>
        <v>1</v>
      </c>
    </row>
    <row r="419" spans="1:11">
      <c r="A419" t="s">
        <v>1205</v>
      </c>
      <c r="B419" s="1">
        <v>519</v>
      </c>
      <c r="C419">
        <f>_xlfn.XLOOKUP(A419,保证金登记!B:B,保证金登记!E:E)</f>
        <v>44879</v>
      </c>
      <c r="D419" t="str">
        <f t="array" ref="D419">_xlfn.XLOOKUP(B419,1*[2]保证金申请!$A:$A,[2]保证金申请!$C:$C)</f>
        <v>2022-11-14</v>
      </c>
      <c r="E419" t="str">
        <f>_xlfn.XLOOKUP(A419,保证金登记!B:B,保证金登记!I:I)</f>
        <v>山西金隅冀东环保科技有限公司</v>
      </c>
      <c r="F419" t="str">
        <f t="array" ref="F419">_xlfn.XLOOKUP(B419,1*[2]保证金申请!$A:$A,[2]保证金申请!$Q:$Q)</f>
        <v>山西金隅冀东环保科技有限公司</v>
      </c>
      <c r="G419">
        <f>_xlfn.XLOOKUP(A419,保证金登记!B:B,保证金登记!J:J)</f>
        <v>10000</v>
      </c>
      <c r="H419">
        <f t="array" ref="H419">_xlfn.XLOOKUP(B419,1*[2]保证金申请!$A:$A,[2]保证金申请!$K:$K)</f>
        <v>10000</v>
      </c>
      <c r="I419">
        <f t="shared" si="18"/>
        <v>0</v>
      </c>
      <c r="J419">
        <f t="shared" si="19"/>
        <v>0</v>
      </c>
      <c r="K419" t="b">
        <f t="shared" si="20"/>
        <v>1</v>
      </c>
    </row>
    <row r="420" spans="1:11">
      <c r="A420" t="s">
        <v>1209</v>
      </c>
      <c r="B420" s="1">
        <v>520</v>
      </c>
      <c r="C420">
        <f>_xlfn.XLOOKUP(A420,保证金登记!B:B,保证金登记!E:E)</f>
        <v>44879</v>
      </c>
      <c r="D420" t="str">
        <f t="array" ref="D420">_xlfn.XLOOKUP(B420,1*[2]保证金申请!$A:$A,[2]保证金申请!$C:$C)</f>
        <v>2022-11-14</v>
      </c>
      <c r="E420" t="str">
        <f>_xlfn.XLOOKUP(A420,保证金登记!B:B,保证金登记!I:I)</f>
        <v>涞水金隅冀东环保科技有限公司</v>
      </c>
      <c r="F420" t="str">
        <f t="array" ref="F420">_xlfn.XLOOKUP(B420,1*[2]保证金申请!$A:$A,[2]保证金申请!$Q:$Q)</f>
        <v>涞水金隅冀东环保科技有限公司</v>
      </c>
      <c r="G420">
        <f>_xlfn.XLOOKUP(A420,保证金登记!B:B,保证金登记!J:J)</f>
        <v>3000</v>
      </c>
      <c r="H420">
        <f t="array" ref="H420">_xlfn.XLOOKUP(B420,1*[2]保证金申请!$A:$A,[2]保证金申请!$K:$K)</f>
        <v>3000</v>
      </c>
      <c r="I420">
        <f t="shared" si="18"/>
        <v>0</v>
      </c>
      <c r="J420">
        <f t="shared" si="19"/>
        <v>0</v>
      </c>
      <c r="K420" t="b">
        <f t="shared" si="20"/>
        <v>1</v>
      </c>
    </row>
    <row r="421" spans="1:11">
      <c r="A421" t="s">
        <v>1211</v>
      </c>
      <c r="B421" s="1">
        <v>521</v>
      </c>
      <c r="C421">
        <f>_xlfn.XLOOKUP(A421,保证金登记!B:B,保证金登记!E:E)</f>
        <v>44880</v>
      </c>
      <c r="D421" t="str">
        <f t="array" ref="D421">_xlfn.XLOOKUP(B421,1*[2]保证金申请!$A:$A,[2]保证金申请!$C:$C)</f>
        <v>2022-11-15</v>
      </c>
      <c r="E421" t="str">
        <f>_xlfn.XLOOKUP(A421,保证金登记!B:B,保证金登记!I:I)</f>
        <v>包头冀东水泥有限公司</v>
      </c>
      <c r="F421" t="str">
        <f t="array" ref="F421">_xlfn.XLOOKUP(B421,1*[2]保证金申请!$A:$A,[2]保证金申请!$Q:$Q)</f>
        <v>包头冀东水泥有限公司</v>
      </c>
      <c r="G421">
        <f>_xlfn.XLOOKUP(A421,保证金登记!B:B,保证金登记!J:J)</f>
        <v>4000</v>
      </c>
      <c r="H421">
        <f t="array" ref="H421">_xlfn.XLOOKUP(B421,1*[2]保证金申请!$A:$A,[2]保证金申请!$K:$K)</f>
        <v>4000</v>
      </c>
      <c r="I421">
        <f t="shared" si="18"/>
        <v>0</v>
      </c>
      <c r="J421">
        <f t="shared" si="19"/>
        <v>0</v>
      </c>
      <c r="K421" t="b">
        <f t="shared" si="20"/>
        <v>1</v>
      </c>
    </row>
    <row r="422" spans="1:11">
      <c r="A422" t="s">
        <v>1213</v>
      </c>
      <c r="B422" s="1">
        <v>522</v>
      </c>
      <c r="C422">
        <f>_xlfn.XLOOKUP(A422,保证金登记!B:B,保证金登记!E:E)</f>
        <v>44880</v>
      </c>
      <c r="D422" t="str">
        <f t="array" ref="D422">_xlfn.XLOOKUP(B422,1*[2]保证金申请!$A:$A,[2]保证金申请!$C:$C)</f>
        <v>2022-11-15</v>
      </c>
      <c r="E422" t="str">
        <f>_xlfn.XLOOKUP(A422,保证金登记!B:B,保证金登记!I:I)</f>
        <v>赞皇金隅水泥有限公司</v>
      </c>
      <c r="F422" t="str">
        <f t="array" ref="F422">_xlfn.XLOOKUP(B422,1*[2]保证金申请!$A:$A,[2]保证金申请!$Q:$Q)</f>
        <v>赞皇金隅水泥有限公司</v>
      </c>
      <c r="G422">
        <f>_xlfn.XLOOKUP(A422,保证金登记!B:B,保证金登记!J:J)</f>
        <v>2500</v>
      </c>
      <c r="H422">
        <f t="array" ref="H422">_xlfn.XLOOKUP(B422,1*[2]保证金申请!$A:$A,[2]保证金申请!$K:$K)</f>
        <v>2500</v>
      </c>
      <c r="I422">
        <f t="shared" si="18"/>
        <v>0</v>
      </c>
      <c r="J422">
        <f t="shared" si="19"/>
        <v>0</v>
      </c>
      <c r="K422" t="b">
        <f t="shared" si="20"/>
        <v>1</v>
      </c>
    </row>
    <row r="423" spans="1:11">
      <c r="A423" t="s">
        <v>1215</v>
      </c>
      <c r="B423" s="1">
        <v>523</v>
      </c>
      <c r="C423">
        <f>_xlfn.XLOOKUP(A423,保证金登记!B:B,保证金登记!E:E)</f>
        <v>44880</v>
      </c>
      <c r="D423" t="str">
        <f t="array" ref="D423">_xlfn.XLOOKUP(B423,1*[2]保证金申请!$A:$A,[2]保证金申请!$C:$C)</f>
        <v>2022-11-15</v>
      </c>
      <c r="E423" t="str">
        <f>_xlfn.XLOOKUP(A423,保证金登记!B:B,保证金登记!I:I)</f>
        <v>青海发投碱业有限公司</v>
      </c>
      <c r="F423" t="str">
        <f t="array" ref="F423">_xlfn.XLOOKUP(B423,1*[2]保证金申请!$A:$A,[2]保证金申请!$Q:$Q)</f>
        <v>青海发投碱业有限公司</v>
      </c>
      <c r="G423">
        <f>_xlfn.XLOOKUP(A423,保证金登记!B:B,保证金登记!J:J)</f>
        <v>52088</v>
      </c>
      <c r="H423">
        <f t="array" ref="H423">_xlfn.XLOOKUP(B423,1*[2]保证金申请!$A:$A,[2]保证金申请!$K:$K)</f>
        <v>52088</v>
      </c>
      <c r="I423">
        <f t="shared" si="18"/>
        <v>0</v>
      </c>
      <c r="J423">
        <f t="shared" si="19"/>
        <v>0</v>
      </c>
      <c r="K423" t="b">
        <f t="shared" si="20"/>
        <v>1</v>
      </c>
    </row>
    <row r="424" spans="1:11">
      <c r="A424" t="s">
        <v>1218</v>
      </c>
      <c r="B424" s="1">
        <v>524</v>
      </c>
      <c r="C424">
        <f>_xlfn.XLOOKUP(A424,保证金登记!B:B,保证金登记!E:E)</f>
        <v>44886</v>
      </c>
      <c r="D424" t="str">
        <f t="array" ref="D424">_xlfn.XLOOKUP(B424,1*[2]保证金申请!$A:$A,[2]保证金申请!$C:$C)</f>
        <v>2022-11-21</v>
      </c>
      <c r="E424" t="str">
        <f>_xlfn.XLOOKUP(A424,保证金登记!B:B,保证金登记!I:I)</f>
        <v>包头冀东水泥有限公司</v>
      </c>
      <c r="F424" t="str">
        <f t="array" ref="F424">_xlfn.XLOOKUP(B424,1*[2]保证金申请!$A:$A,[2]保证金申请!$Q:$Q)</f>
        <v>包头冀东水泥有限公司</v>
      </c>
      <c r="G424">
        <f>_xlfn.XLOOKUP(A424,保证金登记!B:B,保证金登记!J:J)</f>
        <v>4000</v>
      </c>
      <c r="H424">
        <f t="array" ref="H424">_xlfn.XLOOKUP(B424,1*[2]保证金申请!$A:$A,[2]保证金申请!$K:$K)</f>
        <v>4000</v>
      </c>
      <c r="I424">
        <f t="shared" si="18"/>
        <v>0</v>
      </c>
      <c r="J424">
        <f t="shared" si="19"/>
        <v>0</v>
      </c>
      <c r="K424" t="b">
        <f t="shared" si="20"/>
        <v>1</v>
      </c>
    </row>
    <row r="425" spans="1:11">
      <c r="A425" t="s">
        <v>1220</v>
      </c>
      <c r="B425" s="1">
        <v>525</v>
      </c>
      <c r="C425">
        <f>_xlfn.XLOOKUP(A425,保证金登记!B:B,保证金登记!E:E)</f>
        <v>44887</v>
      </c>
      <c r="D425" t="str">
        <f t="array" ref="D425">_xlfn.XLOOKUP(B425,1*[2]保证金申请!$A:$A,[2]保证金申请!$C:$C)</f>
        <v>2022-11-22</v>
      </c>
      <c r="E425" t="str">
        <f>_xlfn.XLOOKUP(A425,保证金登记!B:B,保证金登记!I:I)</f>
        <v>江西上高南方水泥有限公司</v>
      </c>
      <c r="F425" t="str">
        <f t="array" ref="F425">_xlfn.XLOOKUP(B425,1*[2]保证金申请!$A:$A,[2]保证金申请!$Q:$Q)</f>
        <v>江西上高南方水泥有限公司</v>
      </c>
      <c r="G425">
        <f>_xlfn.XLOOKUP(A425,保证金登记!B:B,保证金登记!J:J)</f>
        <v>3000</v>
      </c>
      <c r="H425">
        <f t="array" ref="H425">_xlfn.XLOOKUP(B425,1*[2]保证金申请!$A:$A,[2]保证金申请!$K:$K)</f>
        <v>3000</v>
      </c>
      <c r="I425">
        <f t="shared" si="18"/>
        <v>0</v>
      </c>
      <c r="J425">
        <f t="shared" si="19"/>
        <v>0</v>
      </c>
      <c r="K425" t="b">
        <f t="shared" si="20"/>
        <v>1</v>
      </c>
    </row>
    <row r="426" spans="1:11">
      <c r="A426" t="s">
        <v>1223</v>
      </c>
      <c r="B426" s="1">
        <v>526</v>
      </c>
      <c r="C426">
        <f>_xlfn.XLOOKUP(A426,保证金登记!B:B,保证金登记!E:E)</f>
        <v>44890</v>
      </c>
      <c r="D426" t="str">
        <f t="array" ref="D426">_xlfn.XLOOKUP(B426,1*[2]保证金申请!$A:$A,[2]保证金申请!$C:$C)</f>
        <v>2022-11-25</v>
      </c>
      <c r="E426" t="str">
        <f>_xlfn.XLOOKUP(A426,保证金登记!B:B,保证金登记!I:I)</f>
        <v>葛洲坝嘉鱼水泥有限公司</v>
      </c>
      <c r="F426" t="str">
        <f t="array" ref="F426">_xlfn.XLOOKUP(B426,1*[2]保证金申请!$A:$A,[2]保证金申请!$Q:$Q)</f>
        <v>葛洲坝嘉鱼水泥有限公司</v>
      </c>
      <c r="G426">
        <f>_xlfn.XLOOKUP(A426,保证金登记!B:B,保证金登记!J:J)</f>
        <v>36000</v>
      </c>
      <c r="H426">
        <f t="array" ref="H426">_xlfn.XLOOKUP(B426,1*[2]保证金申请!$A:$A,[2]保证金申请!$K:$K)</f>
        <v>36000</v>
      </c>
      <c r="I426">
        <f t="shared" si="18"/>
        <v>0</v>
      </c>
      <c r="J426">
        <f t="shared" si="19"/>
        <v>0</v>
      </c>
      <c r="K426" t="b">
        <f t="shared" si="20"/>
        <v>1</v>
      </c>
    </row>
    <row r="427" spans="1:11">
      <c r="A427" t="s">
        <v>1225</v>
      </c>
      <c r="B427" s="1">
        <v>527</v>
      </c>
      <c r="C427">
        <f>_xlfn.XLOOKUP(A427,保证金登记!B:B,保证金登记!E:E)</f>
        <v>44893</v>
      </c>
      <c r="D427" t="str">
        <f t="array" ref="D427">_xlfn.XLOOKUP(B427,1*[2]保证金申请!$A:$A,[2]保证金申请!$C:$C)</f>
        <v>2022-11-28</v>
      </c>
      <c r="E427" t="str">
        <f>_xlfn.XLOOKUP(A427,保证金登记!B:B,保证金登记!I:I)</f>
        <v>沂南中联水泥有限公司</v>
      </c>
      <c r="F427" t="str">
        <f t="array" ref="F427">_xlfn.XLOOKUP(B427,1*[2]保证金申请!$A:$A,[2]保证金申请!$Q:$Q)</f>
        <v>沂南中联水泥有限公司</v>
      </c>
      <c r="G427">
        <f>_xlfn.XLOOKUP(A427,保证金登记!B:B,保证金登记!J:J)</f>
        <v>5000</v>
      </c>
      <c r="H427">
        <f t="array" ref="H427">_xlfn.XLOOKUP(B427,1*[2]保证金申请!$A:$A,[2]保证金申请!$K:$K)</f>
        <v>5000</v>
      </c>
      <c r="I427">
        <f t="shared" si="18"/>
        <v>0</v>
      </c>
      <c r="J427">
        <f t="shared" si="19"/>
        <v>0</v>
      </c>
      <c r="K427" t="b">
        <f t="shared" si="20"/>
        <v>1</v>
      </c>
    </row>
    <row r="428" spans="1:11">
      <c r="A428" t="s">
        <v>1232</v>
      </c>
      <c r="B428" s="1">
        <v>529</v>
      </c>
      <c r="C428">
        <f>_xlfn.XLOOKUP(A428,保证金登记!B:B,保证金登记!E:E)</f>
        <v>44894</v>
      </c>
      <c r="D428" t="str">
        <f t="array" ref="D428">_xlfn.XLOOKUP(B428,1*[2]保证金申请!$A:$A,[2]保证金申请!$C:$C)</f>
        <v>2022-11-29</v>
      </c>
      <c r="E428" t="str">
        <f>_xlfn.XLOOKUP(A428,保证金登记!B:B,保证金登记!I:I)</f>
        <v>山东滕国项目管理有限公司（山东申丰水泥集团有限公司）</v>
      </c>
      <c r="F428" t="str">
        <f t="array" ref="F428">_xlfn.XLOOKUP(B428,1*[2]保证金申请!$A:$A,[2]保证金申请!$Q:$Q)</f>
        <v>山东滕国项目管理有限公司（山东申丰水泥集团有限公司）</v>
      </c>
      <c r="G428">
        <f>_xlfn.XLOOKUP(A428,保证金登记!B:B,保证金登记!J:J)</f>
        <v>4200</v>
      </c>
      <c r="H428">
        <f t="array" ref="H428">_xlfn.XLOOKUP(B428,1*[2]保证金申请!$A:$A,[2]保证金申请!$K:$K)</f>
        <v>4200</v>
      </c>
      <c r="I428">
        <f t="shared" si="18"/>
        <v>0</v>
      </c>
      <c r="J428">
        <f t="shared" si="19"/>
        <v>0</v>
      </c>
      <c r="K428" t="b">
        <f t="shared" si="20"/>
        <v>1</v>
      </c>
    </row>
    <row r="429" spans="1:11">
      <c r="A429" t="s">
        <v>1233</v>
      </c>
      <c r="B429" s="1">
        <v>530</v>
      </c>
      <c r="C429">
        <f>_xlfn.XLOOKUP(A429,保证金登记!B:B,保证金登记!E:E)</f>
        <v>44894</v>
      </c>
      <c r="D429" t="str">
        <f t="array" ref="D429">_xlfn.XLOOKUP(B429,1*[2]保证金申请!$A:$A,[2]保证金申请!$C:$C)</f>
        <v>2022-11-29</v>
      </c>
      <c r="E429" t="str">
        <f>_xlfn.XLOOKUP(A429,保证金登记!B:B,保证金登记!I:I)</f>
        <v>山东滕国项目管理有限公司（山东申丰水泥集团有限公司）</v>
      </c>
      <c r="F429" t="str">
        <f t="array" ref="F429">_xlfn.XLOOKUP(B429,1*[2]保证金申请!$A:$A,[2]保证金申请!$Q:$Q)</f>
        <v>山东滕国项目管理有限公司（山东申丰水泥集团有限公司）</v>
      </c>
      <c r="G429">
        <f>_xlfn.XLOOKUP(A429,保证金登记!B:B,保证金登记!J:J)</f>
        <v>4000</v>
      </c>
      <c r="H429">
        <f t="array" ref="H429">_xlfn.XLOOKUP(B429,1*[2]保证金申请!$A:$A,[2]保证金申请!$K:$K)</f>
        <v>4000</v>
      </c>
      <c r="I429">
        <f t="shared" si="18"/>
        <v>0</v>
      </c>
      <c r="J429">
        <f t="shared" si="19"/>
        <v>0</v>
      </c>
      <c r="K429" t="b">
        <f t="shared" si="20"/>
        <v>1</v>
      </c>
    </row>
    <row r="430" spans="1:11">
      <c r="A430" t="s">
        <v>1238</v>
      </c>
      <c r="B430" s="1">
        <v>533</v>
      </c>
      <c r="C430">
        <f>_xlfn.XLOOKUP(A430,保证金登记!B:B,保证金登记!E:E)</f>
        <v>44894</v>
      </c>
      <c r="D430" t="str">
        <f t="array" ref="D430">_xlfn.XLOOKUP(B430,1*[2]保证金申请!$A:$A,[2]保证金申请!$C:$C)</f>
        <v>2022-11-29</v>
      </c>
      <c r="E430" t="str">
        <f>_xlfn.XLOOKUP(A430,保证金登记!B:B,保证金登记!I:I)</f>
        <v>山东滕国项目管理有限公司（山东申丰水泥集团有限公司）</v>
      </c>
      <c r="F430" t="str">
        <f t="array" ref="F430">_xlfn.XLOOKUP(B430,1*[2]保证金申请!$A:$A,[2]保证金申请!$Q:$Q)</f>
        <v>山东滕国项目管理有限公司（山东申丰水泥集团有限公司）</v>
      </c>
      <c r="G430">
        <f>_xlfn.XLOOKUP(A430,保证金登记!B:B,保证金登记!J:J)</f>
        <v>3800</v>
      </c>
      <c r="H430">
        <f t="array" ref="H430">_xlfn.XLOOKUP(B430,1*[2]保证金申请!$A:$A,[2]保证金申请!$K:$K)</f>
        <v>3800</v>
      </c>
      <c r="I430">
        <f t="shared" si="18"/>
        <v>0</v>
      </c>
      <c r="J430">
        <f t="shared" si="19"/>
        <v>0</v>
      </c>
      <c r="K430" t="b">
        <f t="shared" si="20"/>
        <v>1</v>
      </c>
    </row>
    <row r="431" spans="1:11">
      <c r="A431" t="s">
        <v>1246</v>
      </c>
      <c r="B431" s="1">
        <v>536</v>
      </c>
      <c r="C431">
        <f>_xlfn.XLOOKUP(A431,保证金登记!B:B,保证金登记!E:E)</f>
        <v>44896</v>
      </c>
      <c r="D431" t="str">
        <f t="array" ref="D431">_xlfn.XLOOKUP(B431,1*[2]保证金申请!$A:$A,[2]保证金申请!$C:$C)</f>
        <v>2022-12-01</v>
      </c>
      <c r="E431" t="str">
        <f>_xlfn.XLOOKUP(A431,保证金登记!B:B,保证金登记!I:I)</f>
        <v>中联水泥（山东）研发中心有限公司（泰安中联水泥有限公司）</v>
      </c>
      <c r="F431" t="str">
        <f t="array" ref="F431">_xlfn.XLOOKUP(B431,1*[2]保证金申请!$A:$A,[2]保证金申请!$Q:$Q)</f>
        <v>中联水泥（山东）研发中心有限公司（泰安中联水泥有限公司）</v>
      </c>
      <c r="G431">
        <f>_xlfn.XLOOKUP(A431,保证金登记!B:B,保证金登记!J:J)</f>
        <v>10000</v>
      </c>
      <c r="H431">
        <f t="array" ref="H431">_xlfn.XLOOKUP(B431,1*[2]保证金申请!$A:$A,[2]保证金申请!$K:$K)</f>
        <v>10000</v>
      </c>
      <c r="I431">
        <f t="shared" si="18"/>
        <v>0</v>
      </c>
      <c r="J431">
        <f t="shared" si="19"/>
        <v>0</v>
      </c>
      <c r="K431" t="b">
        <f t="shared" si="20"/>
        <v>1</v>
      </c>
    </row>
    <row r="432" spans="1:11">
      <c r="A432" t="s">
        <v>1247</v>
      </c>
      <c r="B432" s="1">
        <v>537</v>
      </c>
      <c r="C432">
        <f>_xlfn.XLOOKUP(A432,保证金登记!B:B,保证金登记!E:E)</f>
        <v>44896</v>
      </c>
      <c r="D432" t="str">
        <f t="array" ref="D432">_xlfn.XLOOKUP(B432,1*[2]保证金申请!$A:$A,[2]保证金申请!$C:$C)</f>
        <v>2022-12-01</v>
      </c>
      <c r="E432" t="str">
        <f>_xlfn.XLOOKUP(A432,保证金登记!B:B,保证金登记!I:I)</f>
        <v>叶城天山水泥有限责任公司</v>
      </c>
      <c r="F432" t="str">
        <f t="array" ref="F432">_xlfn.XLOOKUP(B432,1*[2]保证金申请!$A:$A,[2]保证金申请!$Q:$Q)</f>
        <v>叶城天山水泥有限公司</v>
      </c>
      <c r="G432">
        <f>_xlfn.XLOOKUP(A432,保证金登记!B:B,保证金登记!J:J)</f>
        <v>10000</v>
      </c>
      <c r="H432">
        <f t="array" ref="H432">_xlfn.XLOOKUP(B432,1*[2]保证金申请!$A:$A,[2]保证金申请!$K:$K)</f>
        <v>10000</v>
      </c>
      <c r="I432">
        <f t="shared" si="18"/>
        <v>0</v>
      </c>
      <c r="J432">
        <f t="shared" si="19"/>
        <v>0</v>
      </c>
      <c r="K432" t="b">
        <f t="shared" si="20"/>
        <v>0</v>
      </c>
    </row>
    <row r="433" spans="1:11">
      <c r="A433" t="s">
        <v>1258</v>
      </c>
      <c r="B433" s="1">
        <v>542</v>
      </c>
      <c r="C433">
        <f>_xlfn.XLOOKUP(A433,保证金登记!B:B,保证金登记!E:E)</f>
        <v>44900</v>
      </c>
      <c r="D433" t="str">
        <f t="array" ref="D433">_xlfn.XLOOKUP(B433,1*[2]保证金申请!$A:$A,[2]保证金申请!$C:$C)</f>
        <v>2022-12-05</v>
      </c>
      <c r="E433" t="str">
        <f>_xlfn.XLOOKUP(A433,保证金登记!B:B,保证金登记!I:I)</f>
        <v>天瑞集团汝州水泥有限公司</v>
      </c>
      <c r="F433" t="str">
        <f t="array" ref="F433">_xlfn.XLOOKUP(B433,1*[2]保证金申请!$A:$A,[2]保证金申请!$Q:$Q)</f>
        <v>天瑞集团汝州水泥有限公司</v>
      </c>
      <c r="G433">
        <f>_xlfn.XLOOKUP(A433,保证金登记!B:B,保证金登记!J:J)</f>
        <v>3000</v>
      </c>
      <c r="H433">
        <f t="array" ref="H433">_xlfn.XLOOKUP(B433,1*[2]保证金申请!$A:$A,[2]保证金申请!$K:$K)</f>
        <v>3000</v>
      </c>
      <c r="I433">
        <f t="shared" si="18"/>
        <v>0</v>
      </c>
      <c r="J433">
        <f t="shared" si="19"/>
        <v>0</v>
      </c>
      <c r="K433" t="b">
        <f t="shared" si="20"/>
        <v>1</v>
      </c>
    </row>
    <row r="434" spans="1:11">
      <c r="A434" t="s">
        <v>1265</v>
      </c>
      <c r="B434" s="1">
        <v>544</v>
      </c>
      <c r="C434">
        <f>_xlfn.XLOOKUP(A434,保证金登记!B:B,保证金登记!E:E)</f>
        <v>44900</v>
      </c>
      <c r="D434" t="str">
        <f t="array" ref="D434">_xlfn.XLOOKUP(B434,1*[2]保证金申请!$A:$A,[2]保证金申请!$C:$C)</f>
        <v>2022-12-05</v>
      </c>
      <c r="E434" t="str">
        <f>_xlfn.XLOOKUP(A434,保证金登记!B:B,保证金登记!I:I)</f>
        <v>西昌航天水泥有限责任公司</v>
      </c>
      <c r="F434" t="str">
        <f t="array" ref="F434">_xlfn.XLOOKUP(B434,1*[2]保证金申请!$A:$A,[2]保证金申请!$Q:$Q)</f>
        <v>西昌航天水泥有限责任公司</v>
      </c>
      <c r="G434">
        <f>_xlfn.XLOOKUP(A434,保证金登记!B:B,保证金登记!J:J)</f>
        <v>10000</v>
      </c>
      <c r="H434">
        <f t="array" ref="H434">_xlfn.XLOOKUP(B434,1*[2]保证金申请!$A:$A,[2]保证金申请!$K:$K)</f>
        <v>10000</v>
      </c>
      <c r="I434">
        <f t="shared" si="18"/>
        <v>0</v>
      </c>
      <c r="J434">
        <f t="shared" si="19"/>
        <v>0</v>
      </c>
      <c r="K434" t="b">
        <f t="shared" si="20"/>
        <v>1</v>
      </c>
    </row>
    <row r="435" spans="1:11">
      <c r="A435" t="s">
        <v>1268</v>
      </c>
      <c r="B435" s="1">
        <v>545</v>
      </c>
      <c r="C435">
        <f>_xlfn.XLOOKUP(A435,保证金登记!B:B,保证金登记!E:E)</f>
        <v>44900</v>
      </c>
      <c r="D435" t="str">
        <f t="array" ref="D435">_xlfn.XLOOKUP(B435,1*[2]保证金申请!$A:$A,[2]保证金申请!$C:$C)</f>
        <v>2022-12-05</v>
      </c>
      <c r="E435" t="str">
        <f>_xlfn.XLOOKUP(A435,保证金登记!B:B,保证金登记!I:I)</f>
        <v>包头冀东水泥有限公司</v>
      </c>
      <c r="F435" t="str">
        <f t="array" ref="F435">_xlfn.XLOOKUP(B435,1*[2]保证金申请!$A:$A,[2]保证金申请!$Q:$Q)</f>
        <v>包头冀东水泥有限公司</v>
      </c>
      <c r="G435">
        <f>_xlfn.XLOOKUP(A435,保证金登记!B:B,保证金登记!J:J)</f>
        <v>15000</v>
      </c>
      <c r="H435">
        <f t="array" ref="H435">_xlfn.XLOOKUP(B435,1*[2]保证金申请!$A:$A,[2]保证金申请!$K:$K)</f>
        <v>15000</v>
      </c>
      <c r="I435">
        <f t="shared" si="18"/>
        <v>0</v>
      </c>
      <c r="J435">
        <f t="shared" si="19"/>
        <v>0</v>
      </c>
      <c r="K435" t="b">
        <f t="shared" si="20"/>
        <v>1</v>
      </c>
    </row>
    <row r="436" spans="1:11">
      <c r="A436" t="s">
        <v>1270</v>
      </c>
      <c r="B436" s="1">
        <v>546</v>
      </c>
      <c r="C436">
        <f>_xlfn.XLOOKUP(A436,保证金登记!B:B,保证金登记!E:E)</f>
        <v>44901</v>
      </c>
      <c r="D436" t="str">
        <f t="array" ref="D436">_xlfn.XLOOKUP(B436,1*[2]保证金申请!$A:$A,[2]保证金申请!$C:$C)</f>
        <v>2022-12-06</v>
      </c>
      <c r="E436" t="str">
        <f>_xlfn.XLOOKUP(A436,保证金登记!B:B,保证金登记!I:I)</f>
        <v>新疆天山水泥股份有限公司塔什店分公司</v>
      </c>
      <c r="F436" t="str">
        <f t="array" ref="F436">_xlfn.XLOOKUP(B436,1*[2]保证金申请!$A:$A,[2]保证金申请!$Q:$Q)</f>
        <v>塔什店天山</v>
      </c>
      <c r="G436">
        <f>_xlfn.XLOOKUP(A436,保证金登记!B:B,保证金登记!J:J)</f>
        <v>4000</v>
      </c>
      <c r="H436">
        <f t="array" ref="H436">_xlfn.XLOOKUP(B436,1*[2]保证金申请!$A:$A,[2]保证金申请!$K:$K)</f>
        <v>4000</v>
      </c>
      <c r="I436">
        <f t="shared" si="18"/>
        <v>0</v>
      </c>
      <c r="J436">
        <f t="shared" si="19"/>
        <v>0</v>
      </c>
      <c r="K436" t="b">
        <f t="shared" si="20"/>
        <v>0</v>
      </c>
    </row>
    <row r="437" spans="1:11">
      <c r="A437" t="s">
        <v>1276</v>
      </c>
      <c r="B437" s="1">
        <v>549</v>
      </c>
      <c r="C437">
        <f>_xlfn.XLOOKUP(A437,保证金登记!B:B,保证金登记!E:E)</f>
        <v>44901</v>
      </c>
      <c r="D437" t="str">
        <f t="array" ref="D437">_xlfn.XLOOKUP(B437,1*[2]保证金申请!$A:$A,[2]保证金申请!$C:$C)</f>
        <v>2022-12-06</v>
      </c>
      <c r="E437" t="str">
        <f>_xlfn.XLOOKUP(A437,保证金登记!B:B,保证金登记!I:I)</f>
        <v>中联水泥（山东）研发中心有限公司（莒县中联水泥有限公司）</v>
      </c>
      <c r="F437" t="str">
        <f t="array" ref="F437">_xlfn.XLOOKUP(B437,1*[2]保证金申请!$A:$A,[2]保证金申请!$Q:$Q)</f>
        <v>中联水泥（山东）研发中心有限公司（莒县中联水泥有限公司）</v>
      </c>
      <c r="G437">
        <f>_xlfn.XLOOKUP(A437,保证金登记!B:B,保证金登记!J:J)</f>
        <v>10000</v>
      </c>
      <c r="H437">
        <f t="array" ref="H437">_xlfn.XLOOKUP(B437,1*[2]保证金申请!$A:$A,[2]保证金申请!$K:$K)</f>
        <v>10000</v>
      </c>
      <c r="I437">
        <f t="shared" si="18"/>
        <v>0</v>
      </c>
      <c r="J437">
        <f t="shared" si="19"/>
        <v>0</v>
      </c>
      <c r="K437" t="b">
        <f t="shared" si="20"/>
        <v>1</v>
      </c>
    </row>
    <row r="438" spans="1:11">
      <c r="A438" t="s">
        <v>1277</v>
      </c>
      <c r="B438" s="1">
        <v>550</v>
      </c>
      <c r="C438">
        <f>_xlfn.XLOOKUP(A438,保证金登记!B:B,保证金登记!E:E)</f>
        <v>44902</v>
      </c>
      <c r="D438" t="str">
        <f t="array" ref="D438">_xlfn.XLOOKUP(B438,1*[2]保证金申请!$A:$A,[2]保证金申请!$C:$C)</f>
        <v>2022-12-07</v>
      </c>
      <c r="E438" t="str">
        <f>_xlfn.XLOOKUP(A438,保证金登记!B:B,保证金登记!I:I)</f>
        <v>贵州西南水泥有限公司</v>
      </c>
      <c r="F438" t="str">
        <f t="array" ref="F438">_xlfn.XLOOKUP(B438,1*[2]保证金申请!$A:$A,[2]保证金申请!$Q:$Q)</f>
        <v>贵州西南水泥有限公司</v>
      </c>
      <c r="G438">
        <f>_xlfn.XLOOKUP(A438,保证金登记!B:B,保证金登记!J:J)</f>
        <v>50000</v>
      </c>
      <c r="H438">
        <f t="array" ref="H438">_xlfn.XLOOKUP(B438,1*[2]保证金申请!$A:$A,[2]保证金申请!$K:$K)</f>
        <v>50000</v>
      </c>
      <c r="I438">
        <f t="shared" si="18"/>
        <v>0</v>
      </c>
      <c r="J438">
        <f t="shared" si="19"/>
        <v>0</v>
      </c>
      <c r="K438" t="b">
        <f t="shared" si="20"/>
        <v>1</v>
      </c>
    </row>
    <row r="439" spans="1:11">
      <c r="A439" t="s">
        <v>1283</v>
      </c>
      <c r="B439" s="1">
        <v>553</v>
      </c>
      <c r="C439">
        <f>_xlfn.XLOOKUP(A439,保证金登记!B:B,保证金登记!E:E)</f>
        <v>44904</v>
      </c>
      <c r="D439" t="str">
        <f t="array" ref="D439">_xlfn.XLOOKUP(B439,1*[2]保证金申请!$A:$A,[2]保证金申请!$C:$C)</f>
        <v>2022-12-09</v>
      </c>
      <c r="E439" t="str">
        <f>_xlfn.XLOOKUP(A439,保证金登记!B:B,保证金登记!I:I)</f>
        <v>吐鲁番天山水泥有限责任公司</v>
      </c>
      <c r="F439" t="str">
        <f t="array" ref="F439">_xlfn.XLOOKUP(B439,1*[2]保证金申请!$A:$A,[2]保证金申请!$Q:$Q)</f>
        <v>吐鲁番天山水泥有限责任公司</v>
      </c>
      <c r="G439">
        <f>_xlfn.XLOOKUP(A439,保证金登记!B:B,保证金登记!J:J)</f>
        <v>15000</v>
      </c>
      <c r="H439">
        <f t="array" ref="H439">_xlfn.XLOOKUP(B439,1*[2]保证金申请!$A:$A,[2]保证金申请!$K:$K)</f>
        <v>15000</v>
      </c>
      <c r="I439">
        <f t="shared" si="18"/>
        <v>0</v>
      </c>
      <c r="J439">
        <f t="shared" si="19"/>
        <v>0</v>
      </c>
      <c r="K439" t="b">
        <f t="shared" si="20"/>
        <v>1</v>
      </c>
    </row>
    <row r="440" spans="1:11">
      <c r="A440" t="s">
        <v>1286</v>
      </c>
      <c r="B440" s="1">
        <v>555</v>
      </c>
      <c r="C440">
        <f>_xlfn.XLOOKUP(A440,保证金登记!B:B,保证金登记!E:E)</f>
        <v>44907</v>
      </c>
      <c r="D440" t="str">
        <f t="array" ref="D440">_xlfn.XLOOKUP(B440,1*[2]保证金申请!$A:$A,[2]保证金申请!$C:$C)</f>
        <v>2022-12-12</v>
      </c>
      <c r="E440" t="str">
        <f>_xlfn.XLOOKUP(A440,保证金登记!B:B,保证金登记!I:I)</f>
        <v>吐鲁番天山水泥有限责任公司</v>
      </c>
      <c r="F440" t="str">
        <f t="array" ref="F440">_xlfn.XLOOKUP(B440,1*[2]保证金申请!$A:$A,[2]保证金申请!$Q:$Q)</f>
        <v>吐鲁番天山水泥有限责任公司</v>
      </c>
      <c r="G440">
        <f>_xlfn.XLOOKUP(A440,保证金登记!B:B,保证金登记!J:J)</f>
        <v>12000</v>
      </c>
      <c r="H440">
        <f t="array" ref="H440">_xlfn.XLOOKUP(B440,1*[2]保证金申请!$A:$A,[2]保证金申请!$K:$K)</f>
        <v>12000</v>
      </c>
      <c r="I440">
        <f t="shared" si="18"/>
        <v>0</v>
      </c>
      <c r="J440">
        <f t="shared" si="19"/>
        <v>0</v>
      </c>
      <c r="K440" t="b">
        <f t="shared" si="20"/>
        <v>1</v>
      </c>
    </row>
    <row r="441" spans="1:11">
      <c r="A441" t="s">
        <v>1289</v>
      </c>
      <c r="B441" s="1">
        <v>557</v>
      </c>
      <c r="C441">
        <f>_xlfn.XLOOKUP(A441,保证金登记!B:B,保证金登记!E:E)</f>
        <v>44916</v>
      </c>
      <c r="D441" t="str">
        <f t="array" ref="D441">_xlfn.XLOOKUP(B441,1*[2]保证金申请!$A:$A,[2]保证金申请!$C:$C)</f>
        <v>2022-12-21</v>
      </c>
      <c r="E441" t="str">
        <f>_xlfn.XLOOKUP(A441,保证金登记!B:B,保证金登记!I:I)</f>
        <v>元江县永发水泥有限公司</v>
      </c>
      <c r="F441" t="str">
        <f t="array" ref="F441">_xlfn.XLOOKUP(B441,1*[2]保证金申请!$A:$A,[2]保证金申请!$Q:$Q)</f>
        <v>元江县永发水泥有限公司</v>
      </c>
      <c r="G441">
        <f>_xlfn.XLOOKUP(A441,保证金登记!B:B,保证金登记!J:J)</f>
        <v>10000</v>
      </c>
      <c r="H441">
        <f t="array" ref="H441">_xlfn.XLOOKUP(B441,1*[2]保证金申请!$A:$A,[2]保证金申请!$K:$K)</f>
        <v>10000</v>
      </c>
      <c r="I441">
        <f t="shared" si="18"/>
        <v>0</v>
      </c>
      <c r="J441">
        <f t="shared" si="19"/>
        <v>0</v>
      </c>
      <c r="K441" t="b">
        <f t="shared" si="20"/>
        <v>1</v>
      </c>
    </row>
    <row r="442" spans="1:11">
      <c r="A442" t="s">
        <v>1293</v>
      </c>
      <c r="B442" s="1">
        <v>559</v>
      </c>
      <c r="C442">
        <f>_xlfn.XLOOKUP(A442,保证金登记!B:B,保证金登记!E:E)</f>
        <v>44918</v>
      </c>
      <c r="D442" t="str">
        <f t="array" ref="D442">_xlfn.XLOOKUP(B442,1*[2]保证金申请!$A:$A,[2]保证金申请!$C:$C)</f>
        <v>2022-12-23</v>
      </c>
      <c r="E442" t="str">
        <f>_xlfn.XLOOKUP(A442,保证金登记!B:B,保证金登记!I:I)</f>
        <v>唐山冀东水泥三友有限公司</v>
      </c>
      <c r="F442" t="str">
        <f t="array" ref="F442">_xlfn.XLOOKUP(B442,1*[2]保证金申请!$A:$A,[2]保证金申请!$Q:$Q)</f>
        <v>唐山冀东水泥三友有限公司</v>
      </c>
      <c r="G442">
        <f>_xlfn.XLOOKUP(A442,保证金登记!B:B,保证金登记!J:J)</f>
        <v>2000</v>
      </c>
      <c r="H442">
        <f t="array" ref="H442">_xlfn.XLOOKUP(B442,1*[2]保证金申请!$A:$A,[2]保证金申请!$K:$K)</f>
        <v>2000</v>
      </c>
      <c r="I442">
        <f t="shared" si="18"/>
        <v>0</v>
      </c>
      <c r="J442">
        <f t="shared" si="19"/>
        <v>0</v>
      </c>
      <c r="K442" t="b">
        <f t="shared" si="20"/>
        <v>1</v>
      </c>
    </row>
    <row r="443" spans="1:11">
      <c r="A443" t="s">
        <v>1295</v>
      </c>
      <c r="B443" s="1">
        <v>560</v>
      </c>
      <c r="C443">
        <f>_xlfn.XLOOKUP(A443,保证金登记!B:B,保证金登记!E:E)</f>
        <v>44922</v>
      </c>
      <c r="D443" t="str">
        <f t="array" ref="D443">_xlfn.XLOOKUP(B443,1*[2]保证金申请!$A:$A,[2]保证金申请!$C:$C)</f>
        <v>2022-12-27</v>
      </c>
      <c r="E443" t="str">
        <f>_xlfn.XLOOKUP(A443,保证金登记!B:B,保证金登记!I:I)</f>
        <v>湖南华菱湘潭钢铁有限公司</v>
      </c>
      <c r="F443" t="str">
        <f t="array" ref="F443">_xlfn.XLOOKUP(B443,1*[2]保证金申请!$A:$A,[2]保证金申请!$Q:$Q)</f>
        <v>湖南华菱湘潭钢铁有限公司</v>
      </c>
      <c r="G443">
        <f>_xlfn.XLOOKUP(A443,保证金登记!B:B,保证金登记!J:J)</f>
        <v>50000</v>
      </c>
      <c r="H443">
        <f t="array" ref="H443">_xlfn.XLOOKUP(B443,1*[2]保证金申请!$A:$A,[2]保证金申请!$K:$K)</f>
        <v>50000</v>
      </c>
      <c r="I443">
        <f t="shared" si="18"/>
        <v>0</v>
      </c>
      <c r="J443">
        <f t="shared" si="19"/>
        <v>0</v>
      </c>
      <c r="K443" t="b">
        <f t="shared" si="20"/>
        <v>1</v>
      </c>
    </row>
    <row r="444" spans="1:11">
      <c r="A444" t="s">
        <v>1297</v>
      </c>
      <c r="B444" s="1">
        <v>561</v>
      </c>
      <c r="C444">
        <f>_xlfn.XLOOKUP(A444,保证金登记!B:B,保证金登记!E:E)</f>
        <v>44925</v>
      </c>
      <c r="D444" t="str">
        <f t="array" ref="D444">_xlfn.XLOOKUP(B444,1*[2]保证金申请!$A:$A,[2]保证金申请!$C:$C)</f>
        <v>2022-12-30</v>
      </c>
      <c r="E444" t="str">
        <f>_xlfn.XLOOKUP(A444,保证金登记!B:B,保证金登记!I:I)</f>
        <v>邢台金隅冀东水泥有限公司</v>
      </c>
      <c r="F444" t="str">
        <f t="array" ref="F444">_xlfn.XLOOKUP(B444,1*[2]保证金申请!$A:$A,[2]保证金申请!$Q:$Q)</f>
        <v>邢台金隅冀东水泥有限公司</v>
      </c>
      <c r="G444">
        <f>_xlfn.XLOOKUP(A444,保证金登记!B:B,保证金登记!J:J)</f>
        <v>2000</v>
      </c>
      <c r="H444">
        <f t="array" ref="H444">_xlfn.XLOOKUP(B444,1*[2]保证金申请!$A:$A,[2]保证金申请!$K:$K)</f>
        <v>2000</v>
      </c>
      <c r="I444">
        <f t="shared" si="18"/>
        <v>0</v>
      </c>
      <c r="J444">
        <f t="shared" si="19"/>
        <v>0</v>
      </c>
      <c r="K444" t="b">
        <f t="shared" si="20"/>
        <v>1</v>
      </c>
    </row>
    <row r="445" spans="1:11">
      <c r="A445" t="s">
        <v>1299</v>
      </c>
      <c r="B445" s="1">
        <v>562</v>
      </c>
      <c r="C445">
        <f>_xlfn.XLOOKUP(A445,保证金登记!B:B,保证金登记!E:E)</f>
        <v>44935</v>
      </c>
      <c r="D445" t="str">
        <f t="array" ref="D445">_xlfn.XLOOKUP(B445,1*[2]保证金申请!$A:$A,[2]保证金申请!$C:$C)</f>
        <v>2023-01-09</v>
      </c>
      <c r="E445" t="str">
        <f>_xlfn.XLOOKUP(A445,保证金登记!B:B,保证金登记!I:I)</f>
        <v>吉林金隅冀东环保科技有限公司</v>
      </c>
      <c r="F445" t="str">
        <f t="array" ref="F445">_xlfn.XLOOKUP(B445,1*[2]保证金申请!$A:$A,[2]保证金申请!$Q:$Q)</f>
        <v>吉林金隅冀东环保科技有限公司</v>
      </c>
      <c r="G445">
        <f>_xlfn.XLOOKUP(A445,保证金登记!B:B,保证金登记!J:J)</f>
        <v>1000</v>
      </c>
      <c r="H445">
        <f t="array" ref="H445">_xlfn.XLOOKUP(B445,1*[2]保证金申请!$A:$A,[2]保证金申请!$K:$K)</f>
        <v>1000</v>
      </c>
      <c r="I445">
        <f t="shared" si="18"/>
        <v>0</v>
      </c>
      <c r="J445">
        <f t="shared" si="19"/>
        <v>0</v>
      </c>
      <c r="K445" t="b">
        <f t="shared" si="20"/>
        <v>1</v>
      </c>
    </row>
    <row r="446" spans="1:11">
      <c r="A446" t="s">
        <v>1301</v>
      </c>
      <c r="B446" s="1">
        <v>563</v>
      </c>
      <c r="C446">
        <f>_xlfn.XLOOKUP(A446,保证金登记!B:B,保证金登记!E:E)</f>
        <v>44935</v>
      </c>
      <c r="D446" t="str">
        <f t="array" ref="D446">_xlfn.XLOOKUP(B446,1*[2]保证金申请!$A:$A,[2]保证金申请!$C:$C)</f>
        <v>2023-01-09</v>
      </c>
      <c r="E446" t="str">
        <f>_xlfn.XLOOKUP(A446,保证金登记!B:B,保证金登记!I:I)</f>
        <v>中国电能成套设备有限公司（黔西电厂）</v>
      </c>
      <c r="F446" t="str">
        <f t="array" ref="F446">_xlfn.XLOOKUP(B446,1*[2]保证金申请!$A:$A,[2]保证金申请!$Q:$Q)</f>
        <v>中国电能成套设备有限公司（黔西电厂）</v>
      </c>
      <c r="G446">
        <f>_xlfn.XLOOKUP(A446,保证金登记!B:B,保证金登记!J:J)</f>
        <v>30328</v>
      </c>
      <c r="H446">
        <f t="array" ref="H446">_xlfn.XLOOKUP(B446,1*[2]保证金申请!$A:$A,[2]保证金申请!$K:$K)</f>
        <v>30328</v>
      </c>
      <c r="I446">
        <f t="shared" si="18"/>
        <v>0</v>
      </c>
      <c r="J446">
        <f t="shared" si="19"/>
        <v>0</v>
      </c>
      <c r="K446" t="b">
        <f t="shared" si="20"/>
        <v>1</v>
      </c>
    </row>
    <row r="447" spans="1:11">
      <c r="A447" t="s">
        <v>1305</v>
      </c>
      <c r="B447" s="1">
        <v>564</v>
      </c>
      <c r="C447">
        <f>_xlfn.XLOOKUP(A447,保证金登记!B:B,保证金登记!E:E)</f>
        <v>44935</v>
      </c>
      <c r="D447" t="str">
        <f t="array" ref="D447">_xlfn.XLOOKUP(B447,1*[2]保证金申请!$A:$A,[2]保证金申请!$C:$C)</f>
        <v>2023-01-09</v>
      </c>
      <c r="E447" t="str">
        <f>_xlfn.XLOOKUP(A447,保证金登记!B:B,保证金登记!I:I)</f>
        <v>辽源渭津金刚水泥有限公司（北方水泥龙东片区）</v>
      </c>
      <c r="F447" t="str">
        <f t="array" ref="F447">_xlfn.XLOOKUP(B447,1*[2]保证金申请!$A:$A,[2]保证金申请!$Q:$Q)</f>
        <v>辽源渭津金刚水泥有限公司（北方水泥龙东片区）</v>
      </c>
      <c r="G447">
        <f>_xlfn.XLOOKUP(A447,保证金登记!B:B,保证金登记!J:J)</f>
        <v>10000</v>
      </c>
      <c r="H447">
        <f t="array" ref="H447">_xlfn.XLOOKUP(B447,1*[2]保证金申请!$A:$A,[2]保证金申请!$K:$K)</f>
        <v>10000</v>
      </c>
      <c r="I447">
        <f t="shared" si="18"/>
        <v>0</v>
      </c>
      <c r="J447">
        <f t="shared" si="19"/>
        <v>0</v>
      </c>
      <c r="K447" t="b">
        <f t="shared" si="20"/>
        <v>1</v>
      </c>
    </row>
    <row r="448" spans="1:11">
      <c r="A448" t="s">
        <v>1309</v>
      </c>
      <c r="B448" s="1">
        <v>566</v>
      </c>
      <c r="C448">
        <f>_xlfn.XLOOKUP(A448,保证金登记!B:B,保证金登记!E:E)</f>
        <v>44936</v>
      </c>
      <c r="D448" t="str">
        <f t="array" ref="D448">_xlfn.XLOOKUP(B448,1*[2]保证金申请!$A:$A,[2]保证金申请!$C:$C)</f>
        <v>2023-01-10</v>
      </c>
      <c r="E448" t="str">
        <f>_xlfn.XLOOKUP(A448,保证金登记!B:B,保证金登记!I:I)</f>
        <v>青海发投碱业有限公司</v>
      </c>
      <c r="F448" t="str">
        <f t="array" ref="F448">_xlfn.XLOOKUP(B448,1*[2]保证金申请!$A:$A,[2]保证金申请!$Q:$Q)</f>
        <v>青海发投碱业有限公司</v>
      </c>
      <c r="G448">
        <f>_xlfn.XLOOKUP(A448,保证金登记!B:B,保证金登记!J:J)</f>
        <v>6650</v>
      </c>
      <c r="H448">
        <f t="array" ref="H448">_xlfn.XLOOKUP(B448,1*[2]保证金申请!$A:$A,[2]保证金申请!$K:$K)</f>
        <v>6650</v>
      </c>
      <c r="I448">
        <f t="shared" si="18"/>
        <v>0</v>
      </c>
      <c r="J448">
        <f t="shared" si="19"/>
        <v>0</v>
      </c>
      <c r="K448" t="b">
        <f t="shared" si="20"/>
        <v>1</v>
      </c>
    </row>
    <row r="449" spans="1:11">
      <c r="A449" t="s">
        <v>1311</v>
      </c>
      <c r="B449" s="1">
        <v>567</v>
      </c>
      <c r="C449">
        <f>_xlfn.XLOOKUP(A449,保证金登记!B:B,保证金登记!E:E)</f>
        <v>44937</v>
      </c>
      <c r="D449" t="str">
        <f t="array" ref="D449">_xlfn.XLOOKUP(B449,1*[2]保证金申请!$A:$A,[2]保证金申请!$C:$C)</f>
        <v>2023-01-11</v>
      </c>
      <c r="E449" t="str">
        <f>_xlfn.XLOOKUP(A449,保证金登记!B:B,保证金登记!I:I)</f>
        <v>枣庄中联水泥有限公司</v>
      </c>
      <c r="F449" t="str">
        <f t="array" ref="F449">_xlfn.XLOOKUP(B449,1*[2]保证金申请!$A:$A,[2]保证金申请!$Q:$Q)</f>
        <v>枣庄中联水泥有限公司</v>
      </c>
      <c r="G449">
        <f>_xlfn.XLOOKUP(A449,保证金登记!B:B,保证金登记!J:J)</f>
        <v>5000</v>
      </c>
      <c r="H449">
        <f t="array" ref="H449">_xlfn.XLOOKUP(B449,1*[2]保证金申请!$A:$A,[2]保证金申请!$K:$K)</f>
        <v>5000</v>
      </c>
      <c r="I449">
        <f t="shared" si="18"/>
        <v>0</v>
      </c>
      <c r="J449">
        <f t="shared" si="19"/>
        <v>0</v>
      </c>
      <c r="K449" t="b">
        <f t="shared" si="20"/>
        <v>1</v>
      </c>
    </row>
    <row r="450" spans="1:11">
      <c r="A450" t="s">
        <v>1317</v>
      </c>
      <c r="B450" s="1">
        <v>569</v>
      </c>
      <c r="C450">
        <f>_xlfn.XLOOKUP(A450,保证金登记!B:B,保证金登记!E:E)</f>
        <v>44943</v>
      </c>
      <c r="D450" t="str">
        <f t="array" ref="D450">_xlfn.XLOOKUP(B450,1*[2]保证金申请!$A:$A,[2]保证金申请!$C:$C)</f>
        <v>2023-01-17</v>
      </c>
      <c r="E450" t="str">
        <f>_xlfn.XLOOKUP(A450,保证金登记!B:B,保证金登记!I:I)</f>
        <v>福建安砂建福水泥有限公司</v>
      </c>
      <c r="F450" t="str">
        <f t="array" ref="F450">_xlfn.XLOOKUP(B450,1*[2]保证金申请!$A:$A,[2]保证金申请!$Q:$Q)</f>
        <v>福建安砂建福水泥有限公司</v>
      </c>
      <c r="G450">
        <f>_xlfn.XLOOKUP(A450,保证金登记!B:B,保证金登记!J:J)</f>
        <v>2000</v>
      </c>
      <c r="H450">
        <f t="array" ref="H450">_xlfn.XLOOKUP(B450,1*[2]保证金申请!$A:$A,[2]保证金申请!$K:$K)</f>
        <v>2000</v>
      </c>
      <c r="I450">
        <f t="shared" ref="I450:I513" si="21">C450-D450</f>
        <v>0</v>
      </c>
      <c r="J450">
        <f t="shared" ref="J450:J513" si="22">G450-H450</f>
        <v>0</v>
      </c>
      <c r="K450" t="b">
        <f t="shared" ref="K450:K513" si="23">EXACT(E450,F450)</f>
        <v>1</v>
      </c>
    </row>
    <row r="451" spans="1:11">
      <c r="A451" t="s">
        <v>1321</v>
      </c>
      <c r="B451" s="1">
        <v>570</v>
      </c>
      <c r="C451">
        <f>_xlfn.XLOOKUP(A451,保证金登记!B:B,保证金登记!E:E)</f>
        <v>44944</v>
      </c>
      <c r="D451" t="str">
        <f t="array" ref="D451">_xlfn.XLOOKUP(B451,1*[2]保证金申请!$A:$A,[2]保证金申请!$C:$C)</f>
        <v>2023-01-18</v>
      </c>
      <c r="E451" t="str">
        <f>_xlfn.XLOOKUP(A451,保证金登记!B:B,保证金登记!I:I)</f>
        <v>葛洲坝钟祥水泥有限公司</v>
      </c>
      <c r="F451" t="str">
        <f t="array" ref="F451">_xlfn.XLOOKUP(B451,1*[2]保证金申请!$A:$A,[2]保证金申请!$Q:$Q)</f>
        <v>葛洲坝钟祥水泥有限公司</v>
      </c>
      <c r="G451">
        <f>_xlfn.XLOOKUP(A451,保证金登记!B:B,保证金登记!J:J)</f>
        <v>21560</v>
      </c>
      <c r="H451">
        <f t="array" ref="H451">_xlfn.XLOOKUP(B451,1*[2]保证金申请!$A:$A,[2]保证金申请!$K:$K)</f>
        <v>21560</v>
      </c>
      <c r="I451">
        <f t="shared" si="21"/>
        <v>0</v>
      </c>
      <c r="J451">
        <f t="shared" si="22"/>
        <v>0</v>
      </c>
      <c r="K451" t="b">
        <f t="shared" si="23"/>
        <v>1</v>
      </c>
    </row>
    <row r="452" spans="1:11">
      <c r="A452" t="s">
        <v>1327</v>
      </c>
      <c r="B452" s="1">
        <v>573</v>
      </c>
      <c r="C452">
        <f>_xlfn.XLOOKUP(A452,保证金登记!B:B,保证金登记!E:E)</f>
        <v>44954</v>
      </c>
      <c r="D452" t="str">
        <f t="array" ref="D452">_xlfn.XLOOKUP(B452,1*[2]保证金申请!$A:$A,[2]保证金申请!$C:$C)</f>
        <v>2023-01-28</v>
      </c>
      <c r="E452" t="str">
        <f>_xlfn.XLOOKUP(A452,保证金登记!B:B,保证金登记!I:I)</f>
        <v>泰安中联水泥有限公司</v>
      </c>
      <c r="F452" t="str">
        <f t="array" ref="F452">_xlfn.XLOOKUP(B452,1*[2]保证金申请!$A:$A,[2]保证金申请!$Q:$Q)</f>
        <v>泰安中联水泥有限公司</v>
      </c>
      <c r="G452">
        <f>_xlfn.XLOOKUP(A452,保证金登记!B:B,保证金登记!J:J)</f>
        <v>14000</v>
      </c>
      <c r="H452">
        <f t="array" ref="H452">_xlfn.XLOOKUP(B452,1*[2]保证金申请!$A:$A,[2]保证金申请!$K:$K)</f>
        <v>14000</v>
      </c>
      <c r="I452">
        <f t="shared" si="21"/>
        <v>0</v>
      </c>
      <c r="J452">
        <f t="shared" si="22"/>
        <v>0</v>
      </c>
      <c r="K452" t="b">
        <f t="shared" si="23"/>
        <v>1</v>
      </c>
    </row>
    <row r="453" spans="1:11">
      <c r="A453" t="s">
        <v>1331</v>
      </c>
      <c r="B453" s="1">
        <v>575</v>
      </c>
      <c r="C453">
        <f>_xlfn.XLOOKUP(A453,保证金登记!B:B,保证金登记!E:E)</f>
        <v>44955</v>
      </c>
      <c r="D453" t="str">
        <f t="array" ref="D453">_xlfn.XLOOKUP(B453,1*[2]保证金申请!$A:$A,[2]保证金申请!$C:$C)</f>
        <v>2023-01-29</v>
      </c>
      <c r="E453" t="str">
        <f>_xlfn.XLOOKUP(A453,保证金登记!B:B,保证金登记!I:I)</f>
        <v>青海发投碱业有限公司</v>
      </c>
      <c r="F453" t="str">
        <f t="array" ref="F453">_xlfn.XLOOKUP(B453,1*[2]保证金申请!$A:$A,[2]保证金申请!$Q:$Q)</f>
        <v>青海发投碱业有限公司</v>
      </c>
      <c r="G453">
        <f>_xlfn.XLOOKUP(A453,保证金登记!B:B,保证金登记!J:J)</f>
        <v>10000</v>
      </c>
      <c r="H453">
        <f t="array" ref="H453">_xlfn.XLOOKUP(B453,1*[2]保证金申请!$A:$A,[2]保证金申请!$K:$K)</f>
        <v>10000</v>
      </c>
      <c r="I453">
        <f t="shared" si="21"/>
        <v>0</v>
      </c>
      <c r="J453">
        <f t="shared" si="22"/>
        <v>0</v>
      </c>
      <c r="K453" t="b">
        <f t="shared" si="23"/>
        <v>1</v>
      </c>
    </row>
    <row r="454" spans="1:11">
      <c r="A454" t="s">
        <v>1332</v>
      </c>
      <c r="B454" s="1">
        <v>576</v>
      </c>
      <c r="C454">
        <f>_xlfn.XLOOKUP(A454,保证金登记!B:B,保证金登记!E:E)</f>
        <v>44956</v>
      </c>
      <c r="D454" t="str">
        <f t="array" ref="D454">_xlfn.XLOOKUP(B454,1*[2]保证金申请!$A:$A,[2]保证金申请!$C:$C)</f>
        <v>2023-01-30</v>
      </c>
      <c r="E454" t="str">
        <f>_xlfn.XLOOKUP(A454,保证金登记!B:B,保证金登记!I:I)</f>
        <v>山东泰西水泥有限公司</v>
      </c>
      <c r="F454" t="str">
        <f t="array" ref="F454">_xlfn.XLOOKUP(B454,1*[2]保证金申请!$A:$A,[2]保证金申请!$Q:$Q)</f>
        <v>山东泰西水泥有限公司</v>
      </c>
      <c r="G454">
        <f>_xlfn.XLOOKUP(A454,保证金登记!B:B,保证金登记!J:J)</f>
        <v>2650</v>
      </c>
      <c r="H454">
        <f t="array" ref="H454">_xlfn.XLOOKUP(B454,1*[2]保证金申请!$A:$A,[2]保证金申请!$K:$K)</f>
        <v>2650</v>
      </c>
      <c r="I454">
        <f t="shared" si="21"/>
        <v>0</v>
      </c>
      <c r="J454">
        <f t="shared" si="22"/>
        <v>0</v>
      </c>
      <c r="K454" t="b">
        <f t="shared" si="23"/>
        <v>1</v>
      </c>
    </row>
    <row r="455" spans="1:11">
      <c r="A455" t="s">
        <v>1338</v>
      </c>
      <c r="B455" s="1">
        <v>578</v>
      </c>
      <c r="C455">
        <f>_xlfn.XLOOKUP(A455,保证金登记!B:B,保证金登记!E:E)</f>
        <v>44959</v>
      </c>
      <c r="D455" t="str">
        <f t="array" ref="D455">_xlfn.XLOOKUP(B455,1*[2]保证金申请!$A:$A,[2]保证金申请!$C:$C)</f>
        <v>2023-02-02</v>
      </c>
      <c r="E455" t="str">
        <f>_xlfn.XLOOKUP(A455,保证金登记!B:B,保证金登记!I:I)</f>
        <v>唐山冀东水泥三友有限公司</v>
      </c>
      <c r="F455" t="str">
        <f t="array" ref="F455">_xlfn.XLOOKUP(B455,1*[2]保证金申请!$A:$A,[2]保证金申请!$Q:$Q)</f>
        <v>唐山冀东水泥三友有限公司</v>
      </c>
      <c r="G455">
        <f>_xlfn.XLOOKUP(A455,保证金登记!B:B,保证金登记!J:J)</f>
        <v>2000</v>
      </c>
      <c r="H455">
        <f t="array" ref="H455">_xlfn.XLOOKUP(B455,1*[2]保证金申请!$A:$A,[2]保证金申请!$K:$K)</f>
        <v>2000</v>
      </c>
      <c r="I455">
        <f t="shared" si="21"/>
        <v>0</v>
      </c>
      <c r="J455">
        <f t="shared" si="22"/>
        <v>0</v>
      </c>
      <c r="K455" t="b">
        <f t="shared" si="23"/>
        <v>1</v>
      </c>
    </row>
    <row r="456" spans="1:11">
      <c r="A456" t="s">
        <v>1341</v>
      </c>
      <c r="B456" s="1">
        <v>580</v>
      </c>
      <c r="C456">
        <f>_xlfn.XLOOKUP(A456,保证金登记!B:B,保证金登记!E:E)</f>
        <v>44963</v>
      </c>
      <c r="D456" t="str">
        <f t="array" ref="D456">_xlfn.XLOOKUP(B456,1*[2]保证金申请!$A:$A,[2]保证金申请!$C:$C)</f>
        <v>2023-02-06</v>
      </c>
      <c r="E456" t="str">
        <f>_xlfn.XLOOKUP(A456,保证金登记!B:B,保证金登记!I:I)</f>
        <v>内蒙古冀东水泥有限责任公司</v>
      </c>
      <c r="F456" t="str">
        <f t="array" ref="F456">_xlfn.XLOOKUP(B456,1*[2]保证金申请!$A:$A,[2]保证金申请!$Q:$Q)</f>
        <v>内蒙古冀东水泥有限责任公司</v>
      </c>
      <c r="G456">
        <f>_xlfn.XLOOKUP(A456,保证金登记!B:B,保证金登记!J:J)</f>
        <v>54479.6</v>
      </c>
      <c r="H456">
        <f t="array" ref="H456">_xlfn.XLOOKUP(B456,1*[2]保证金申请!$A:$A,[2]保证金申请!$K:$K)</f>
        <v>54479.6</v>
      </c>
      <c r="I456">
        <f t="shared" si="21"/>
        <v>0</v>
      </c>
      <c r="J456">
        <f t="shared" si="22"/>
        <v>0</v>
      </c>
      <c r="K456" t="b">
        <f t="shared" si="23"/>
        <v>1</v>
      </c>
    </row>
    <row r="457" spans="1:11">
      <c r="A457" t="s">
        <v>1345</v>
      </c>
      <c r="B457" s="1">
        <v>581</v>
      </c>
      <c r="C457">
        <f>_xlfn.XLOOKUP(A457,保证金登记!B:B,保证金登记!E:E)</f>
        <v>44963</v>
      </c>
      <c r="D457" t="str">
        <f t="array" ref="D457">_xlfn.XLOOKUP(B457,1*[2]保证金申请!$A:$A,[2]保证金申请!$C:$C)</f>
        <v>2023-02-06</v>
      </c>
      <c r="E457" t="str">
        <f>_xlfn.XLOOKUP(A457,保证金登记!B:B,保证金登记!I:I)</f>
        <v>福建安砂建福水泥有限公司</v>
      </c>
      <c r="F457" t="str">
        <f t="array" ref="F457">_xlfn.XLOOKUP(B457,1*[2]保证金申请!$A:$A,[2]保证金申请!$Q:$Q)</f>
        <v>福建安砂建福水泥有限公司</v>
      </c>
      <c r="G457">
        <f>_xlfn.XLOOKUP(A457,保证金登记!B:B,保证金登记!J:J)</f>
        <v>3000</v>
      </c>
      <c r="H457">
        <f t="array" ref="H457">_xlfn.XLOOKUP(B457,1*[2]保证金申请!$A:$A,[2]保证金申请!$K:$K)</f>
        <v>3000</v>
      </c>
      <c r="I457">
        <f t="shared" si="21"/>
        <v>0</v>
      </c>
      <c r="J457">
        <f t="shared" si="22"/>
        <v>0</v>
      </c>
      <c r="K457" t="b">
        <f t="shared" si="23"/>
        <v>1</v>
      </c>
    </row>
    <row r="458" spans="1:11">
      <c r="A458" t="s">
        <v>1347</v>
      </c>
      <c r="B458" s="1">
        <v>582</v>
      </c>
      <c r="C458">
        <f>_xlfn.XLOOKUP(A458,保证金登记!B:B,保证金登记!E:E)</f>
        <v>44964</v>
      </c>
      <c r="D458" t="str">
        <f t="array" ref="D458">_xlfn.XLOOKUP(B458,1*[2]保证金申请!$A:$A,[2]保证金申请!$C:$C)</f>
        <v>2023-02-07</v>
      </c>
      <c r="E458" t="str">
        <f>_xlfn.XLOOKUP(A458,保证金登记!B:B,保证金登记!I:I)</f>
        <v>汪清北方水泥有限公司</v>
      </c>
      <c r="F458" t="str">
        <f t="array" ref="F458">_xlfn.XLOOKUP(B458,1*[2]保证金申请!$A:$A,[2]保证金申请!$Q:$Q)</f>
        <v>汪清北方水泥有限公司</v>
      </c>
      <c r="G458">
        <f>_xlfn.XLOOKUP(A458,保证金登记!B:B,保证金登记!J:J)</f>
        <v>4000</v>
      </c>
      <c r="H458">
        <f t="array" ref="H458">_xlfn.XLOOKUP(B458,1*[2]保证金申请!$A:$A,[2]保证金申请!$K:$K)</f>
        <v>4000</v>
      </c>
      <c r="I458">
        <f t="shared" si="21"/>
        <v>0</v>
      </c>
      <c r="J458">
        <f t="shared" si="22"/>
        <v>0</v>
      </c>
      <c r="K458" t="b">
        <f t="shared" si="23"/>
        <v>1</v>
      </c>
    </row>
    <row r="459" spans="1:11">
      <c r="A459" t="s">
        <v>1354</v>
      </c>
      <c r="B459" s="1">
        <v>585</v>
      </c>
      <c r="C459">
        <f>_xlfn.XLOOKUP(A459,保证金登记!B:B,保证金登记!E:E)</f>
        <v>44967</v>
      </c>
      <c r="D459" t="str">
        <f t="array" ref="D459">_xlfn.XLOOKUP(B459,1*[2]保证金申请!$A:$A,[2]保证金申请!$C:$C)</f>
        <v>2023-02-10</v>
      </c>
      <c r="E459" t="str">
        <f>_xlfn.XLOOKUP(A459,保证金登记!B:B,保证金登记!I:I)</f>
        <v>四川永祥新材料有限公司</v>
      </c>
      <c r="F459" t="str">
        <f t="array" ref="F459">_xlfn.XLOOKUP(B459,1*[2]保证金申请!$A:$A,[2]保证金申请!$Q:$Q)</f>
        <v>四川永祥新材料有限公司</v>
      </c>
      <c r="G459">
        <f>_xlfn.XLOOKUP(A459,保证金登记!B:B,保证金登记!J:J)</f>
        <v>50000</v>
      </c>
      <c r="H459">
        <f t="array" ref="H459">_xlfn.XLOOKUP(B459,1*[2]保证金申请!$A:$A,[2]保证金申请!$K:$K)</f>
        <v>50000</v>
      </c>
      <c r="I459">
        <f t="shared" si="21"/>
        <v>0</v>
      </c>
      <c r="J459">
        <f t="shared" si="22"/>
        <v>0</v>
      </c>
      <c r="K459" t="b">
        <f t="shared" si="23"/>
        <v>1</v>
      </c>
    </row>
    <row r="460" spans="1:11">
      <c r="A460" t="s">
        <v>1359</v>
      </c>
      <c r="B460" s="1">
        <v>587</v>
      </c>
      <c r="C460">
        <f>_xlfn.XLOOKUP(A460,保证金登记!B:B,保证金登记!E:E)</f>
        <v>44973</v>
      </c>
      <c r="D460" t="str">
        <f t="array" ref="D460">_xlfn.XLOOKUP(B460,1*[2]保证金申请!$A:$A,[2]保证金申请!$C:$C)</f>
        <v>2023-02-16</v>
      </c>
      <c r="E460" t="str">
        <f>_xlfn.XLOOKUP(A460,保证金登记!B:B,保证金登记!I:I)</f>
        <v>叶城天山水泥有限责任公司</v>
      </c>
      <c r="F460" t="str">
        <f t="array" ref="F460">_xlfn.XLOOKUP(B460,1*[2]保证金申请!$A:$A,[2]保证金申请!$Q:$Q)</f>
        <v>叶城天山水泥有限公司</v>
      </c>
      <c r="G460">
        <f>_xlfn.XLOOKUP(A460,保证金登记!B:B,保证金登记!J:J)</f>
        <v>10000</v>
      </c>
      <c r="H460">
        <f t="array" ref="H460">_xlfn.XLOOKUP(B460,1*[2]保证金申请!$A:$A,[2]保证金申请!$K:$K)</f>
        <v>10000</v>
      </c>
      <c r="I460">
        <f t="shared" si="21"/>
        <v>0</v>
      </c>
      <c r="J460">
        <f t="shared" si="22"/>
        <v>0</v>
      </c>
      <c r="K460" t="b">
        <f t="shared" si="23"/>
        <v>0</v>
      </c>
    </row>
    <row r="461" spans="1:11">
      <c r="A461" t="s">
        <v>1360</v>
      </c>
      <c r="B461" s="1">
        <v>588</v>
      </c>
      <c r="C461">
        <f>_xlfn.XLOOKUP(A461,保证金登记!B:B,保证金登记!E:E)</f>
        <v>44974</v>
      </c>
      <c r="D461" t="str">
        <f t="array" ref="D461">_xlfn.XLOOKUP(B461,1*[2]保证金申请!$A:$A,[2]保证金申请!$C:$C)</f>
        <v>2023-02-17</v>
      </c>
      <c r="E461" t="str">
        <f>_xlfn.XLOOKUP(A461,保证金登记!B:B,保证金登记!I:I)</f>
        <v>临沂中联水泥有限公司</v>
      </c>
      <c r="F461" t="str">
        <f t="array" ref="F461">_xlfn.XLOOKUP(B461,1*[2]保证金申请!$A:$A,[2]保证金申请!$Q:$Q)</f>
        <v>临沂中联水泥有限公司</v>
      </c>
      <c r="G461">
        <f>_xlfn.XLOOKUP(A461,保证金登记!B:B,保证金登记!J:J)</f>
        <v>2000</v>
      </c>
      <c r="H461">
        <f t="array" ref="H461">_xlfn.XLOOKUP(B461,1*[2]保证金申请!$A:$A,[2]保证金申请!$K:$K)</f>
        <v>2000</v>
      </c>
      <c r="I461">
        <f t="shared" si="21"/>
        <v>0</v>
      </c>
      <c r="J461">
        <f t="shared" si="22"/>
        <v>0</v>
      </c>
      <c r="K461" t="b">
        <f t="shared" si="23"/>
        <v>1</v>
      </c>
    </row>
    <row r="462" spans="1:11">
      <c r="A462" t="s">
        <v>1361</v>
      </c>
      <c r="B462" s="1">
        <v>589</v>
      </c>
      <c r="C462">
        <f>_xlfn.XLOOKUP(A462,保证金登记!B:B,保证金登记!E:E)</f>
        <v>44978</v>
      </c>
      <c r="D462" t="str">
        <f t="array" ref="D462">_xlfn.XLOOKUP(B462,1*[2]保证金申请!$A:$A,[2]保证金申请!$C:$C)</f>
        <v>2023-02-21</v>
      </c>
      <c r="E462" t="str">
        <f>_xlfn.XLOOKUP(A462,保证金登记!B:B,保证金登记!I:I)</f>
        <v>衢州元立金属制品有限公司</v>
      </c>
      <c r="F462" t="str">
        <f t="array" ref="F462">_xlfn.XLOOKUP(B462,1*[2]保证金申请!$A:$A,[2]保证金申请!$Q:$Q)</f>
        <v>忂州元立金属制品有限公司</v>
      </c>
      <c r="G462">
        <f>_xlfn.XLOOKUP(A462,保证金登记!B:B,保证金登记!J:J)</f>
        <v>10000</v>
      </c>
      <c r="H462">
        <f t="array" ref="H462">_xlfn.XLOOKUP(B462,1*[2]保证金申请!$A:$A,[2]保证金申请!$K:$K)</f>
        <v>10000</v>
      </c>
      <c r="I462">
        <f t="shared" si="21"/>
        <v>0</v>
      </c>
      <c r="J462">
        <f t="shared" si="22"/>
        <v>0</v>
      </c>
      <c r="K462" t="b">
        <f t="shared" si="23"/>
        <v>0</v>
      </c>
    </row>
    <row r="463" spans="1:11">
      <c r="A463" t="s">
        <v>1370</v>
      </c>
      <c r="B463" s="1">
        <v>592</v>
      </c>
      <c r="C463">
        <f>_xlfn.XLOOKUP(A463,保证金登记!B:B,保证金登记!E:E)</f>
        <v>44978</v>
      </c>
      <c r="D463" t="str">
        <f t="array" ref="D463">_xlfn.XLOOKUP(B463,1*[2]保证金申请!$A:$A,[2]保证金申请!$C:$C)</f>
        <v>2023-02-21</v>
      </c>
      <c r="E463" t="str">
        <f>_xlfn.XLOOKUP(A463,保证金登记!B:B,保证金登记!I:I)</f>
        <v>唐山冀东水泥三友有限公司</v>
      </c>
      <c r="F463" t="str">
        <f t="array" ref="F463">_xlfn.XLOOKUP(B463,1*[2]保证金申请!$A:$A,[2]保证金申请!$Q:$Q)</f>
        <v>唐山冀东水泥三友有限公司</v>
      </c>
      <c r="G463">
        <f>_xlfn.XLOOKUP(A463,保证金登记!B:B,保证金登记!J:J)</f>
        <v>2000</v>
      </c>
      <c r="H463">
        <f t="array" ref="H463">_xlfn.XLOOKUP(B463,1*[2]保证金申请!$A:$A,[2]保证金申请!$K:$K)</f>
        <v>2000</v>
      </c>
      <c r="I463">
        <f t="shared" si="21"/>
        <v>0</v>
      </c>
      <c r="J463">
        <f t="shared" si="22"/>
        <v>0</v>
      </c>
      <c r="K463" t="b">
        <f t="shared" si="23"/>
        <v>1</v>
      </c>
    </row>
    <row r="464" spans="1:11">
      <c r="A464" t="s">
        <v>1371</v>
      </c>
      <c r="B464" s="1">
        <v>593</v>
      </c>
      <c r="C464">
        <f>_xlfn.XLOOKUP(A464,保证金登记!B:B,保证金登记!E:E)</f>
        <v>44979</v>
      </c>
      <c r="D464" t="str">
        <f t="array" ref="D464">_xlfn.XLOOKUP(B464,1*[2]保证金申请!$A:$A,[2]保证金申请!$C:$C)</f>
        <v>2023-02-22</v>
      </c>
      <c r="E464" t="str">
        <f>_xlfn.XLOOKUP(A464,保证金登记!B:B,保证金登记!I:I)</f>
        <v>青海发投碱业有限公司</v>
      </c>
      <c r="F464" t="str">
        <f t="array" ref="F464">_xlfn.XLOOKUP(B464,1*[2]保证金申请!$A:$A,[2]保证金申请!$Q:$Q)</f>
        <v>青海发投碱业有限公司</v>
      </c>
      <c r="G464">
        <f>_xlfn.XLOOKUP(A464,保证金登记!B:B,保证金登记!J:J)</f>
        <v>5400</v>
      </c>
      <c r="H464">
        <f t="array" ref="H464">_xlfn.XLOOKUP(B464,1*[2]保证金申请!$A:$A,[2]保证金申请!$K:$K)</f>
        <v>5400</v>
      </c>
      <c r="I464">
        <f t="shared" si="21"/>
        <v>0</v>
      </c>
      <c r="J464">
        <f t="shared" si="22"/>
        <v>0</v>
      </c>
      <c r="K464" t="b">
        <f t="shared" si="23"/>
        <v>1</v>
      </c>
    </row>
    <row r="465" spans="1:11">
      <c r="A465" t="s">
        <v>1374</v>
      </c>
      <c r="B465" s="1">
        <v>594</v>
      </c>
      <c r="C465">
        <f>_xlfn.XLOOKUP(A465,保证金登记!B:B,保证金登记!E:E)</f>
        <v>44979</v>
      </c>
      <c r="D465" t="str">
        <f t="array" ref="D465">_xlfn.XLOOKUP(B465,1*[2]保证金申请!$A:$A,[2]保证金申请!$C:$C)</f>
        <v>2023-02-22</v>
      </c>
      <c r="E465" t="str">
        <f>_xlfn.XLOOKUP(A465,保证金登记!B:B,保证金登记!I:I)</f>
        <v>青海发投碱业有限公司</v>
      </c>
      <c r="F465" t="str">
        <f t="array" ref="F465">_xlfn.XLOOKUP(B465,1*[2]保证金申请!$A:$A,[2]保证金申请!$Q:$Q)</f>
        <v>青海发投碱业有限公司</v>
      </c>
      <c r="G465">
        <f>_xlfn.XLOOKUP(A465,保证金登记!B:B,保证金登记!J:J)</f>
        <v>6400</v>
      </c>
      <c r="H465">
        <f t="array" ref="H465">_xlfn.XLOOKUP(B465,1*[2]保证金申请!$A:$A,[2]保证金申请!$K:$K)</f>
        <v>6400</v>
      </c>
      <c r="I465">
        <f t="shared" si="21"/>
        <v>0</v>
      </c>
      <c r="J465">
        <f t="shared" si="22"/>
        <v>0</v>
      </c>
      <c r="K465" t="b">
        <f t="shared" si="23"/>
        <v>1</v>
      </c>
    </row>
    <row r="466" spans="1:11">
      <c r="A466" t="s">
        <v>1376</v>
      </c>
      <c r="B466" s="1">
        <v>595</v>
      </c>
      <c r="C466">
        <f>_xlfn.XLOOKUP(A466,保证金登记!B:B,保证金登记!E:E)</f>
        <v>44979</v>
      </c>
      <c r="D466" t="str">
        <f t="array" ref="D466">_xlfn.XLOOKUP(B466,1*[2]保证金申请!$A:$A,[2]保证金申请!$C:$C)</f>
        <v>2023-02-22</v>
      </c>
      <c r="E466" t="str">
        <f>_xlfn.XLOOKUP(A466,保证金登记!B:B,保证金登记!I:I)</f>
        <v>青海发投碱业有限公司</v>
      </c>
      <c r="F466" t="str">
        <f t="array" ref="F466">_xlfn.XLOOKUP(B466,1*[2]保证金申请!$A:$A,[2]保证金申请!$Q:$Q)</f>
        <v>青海发投碱业有限公司</v>
      </c>
      <c r="G466">
        <f>_xlfn.XLOOKUP(A466,保证金登记!B:B,保证金登记!J:J)</f>
        <v>3100</v>
      </c>
      <c r="H466">
        <f t="array" ref="H466">_xlfn.XLOOKUP(B466,1*[2]保证金申请!$A:$A,[2]保证金申请!$K:$K)</f>
        <v>3100</v>
      </c>
      <c r="I466">
        <f t="shared" si="21"/>
        <v>0</v>
      </c>
      <c r="J466">
        <f t="shared" si="22"/>
        <v>0</v>
      </c>
      <c r="K466" t="b">
        <f t="shared" si="23"/>
        <v>1</v>
      </c>
    </row>
    <row r="467" spans="1:11">
      <c r="A467" t="s">
        <v>1379</v>
      </c>
      <c r="B467" s="1">
        <v>596</v>
      </c>
      <c r="C467">
        <f>_xlfn.XLOOKUP(A467,保证金登记!B:B,保证金登记!E:E)</f>
        <v>44979</v>
      </c>
      <c r="D467" t="str">
        <f t="array" ref="D467">_xlfn.XLOOKUP(B467,1*[2]保证金申请!$A:$A,[2]保证金申请!$C:$C)</f>
        <v>2023-02-22</v>
      </c>
      <c r="E467" t="str">
        <f>_xlfn.XLOOKUP(A467,保证金登记!B:B,保证金登记!I:I)</f>
        <v>青海发投碱业有限公司</v>
      </c>
      <c r="F467" t="str">
        <f t="array" ref="F467">_xlfn.XLOOKUP(B467,1*[2]保证金申请!$A:$A,[2]保证金申请!$Q:$Q)</f>
        <v>青海发投碱业有限公司</v>
      </c>
      <c r="G467">
        <f>_xlfn.XLOOKUP(A467,保证金登记!B:B,保证金登记!J:J)</f>
        <v>4500</v>
      </c>
      <c r="H467">
        <f t="array" ref="H467">_xlfn.XLOOKUP(B467,1*[2]保证金申请!$A:$A,[2]保证金申请!$K:$K)</f>
        <v>4500</v>
      </c>
      <c r="I467">
        <f t="shared" si="21"/>
        <v>0</v>
      </c>
      <c r="J467">
        <f t="shared" si="22"/>
        <v>0</v>
      </c>
      <c r="K467" t="b">
        <f t="shared" si="23"/>
        <v>1</v>
      </c>
    </row>
    <row r="468" spans="1:11">
      <c r="A468" t="s">
        <v>1381</v>
      </c>
      <c r="B468" s="1">
        <v>597</v>
      </c>
      <c r="C468">
        <f>_xlfn.XLOOKUP(A468,保证金登记!B:B,保证金登记!E:E)</f>
        <v>44979</v>
      </c>
      <c r="D468" t="str">
        <f t="array" ref="D468">_xlfn.XLOOKUP(B468,1*[2]保证金申请!$A:$A,[2]保证金申请!$C:$C)</f>
        <v>2023-02-22</v>
      </c>
      <c r="E468" t="str">
        <f>_xlfn.XLOOKUP(A468,保证金登记!B:B,保证金登记!I:I)</f>
        <v>葛洲坝石门特种水泥有限公司</v>
      </c>
      <c r="F468" t="str">
        <f t="array" ref="F468">_xlfn.XLOOKUP(B468,1*[2]保证金申请!$A:$A,[2]保证金申请!$Q:$Q)</f>
        <v>葛洲坝石门特种水泥公司</v>
      </c>
      <c r="G468">
        <f>_xlfn.XLOOKUP(A468,保证金登记!B:B,保证金登记!J:J)</f>
        <v>15800</v>
      </c>
      <c r="H468">
        <f t="array" ref="H468">_xlfn.XLOOKUP(B468,1*[2]保证金申请!$A:$A,[2]保证金申请!$K:$K)</f>
        <v>15800</v>
      </c>
      <c r="I468">
        <f t="shared" si="21"/>
        <v>0</v>
      </c>
      <c r="J468">
        <f t="shared" si="22"/>
        <v>0</v>
      </c>
      <c r="K468" t="b">
        <f t="shared" si="23"/>
        <v>0</v>
      </c>
    </row>
    <row r="469" spans="1:11">
      <c r="A469" t="s">
        <v>1394</v>
      </c>
      <c r="B469" s="1">
        <v>602</v>
      </c>
      <c r="C469">
        <f>_xlfn.XLOOKUP(A469,保证金登记!B:B,保证金登记!E:E)</f>
        <v>44984</v>
      </c>
      <c r="D469" t="str">
        <f t="array" ref="D469">_xlfn.XLOOKUP(B469,1*[2]保证金申请!$A:$A,[2]保证金申请!$C:$C)</f>
        <v>2023-02-27</v>
      </c>
      <c r="E469" t="str">
        <f>_xlfn.XLOOKUP(A469,保证金登记!B:B,保证金登记!I:I)</f>
        <v>内蒙古霍宁碳素有限责任公司</v>
      </c>
      <c r="F469" t="str">
        <f t="array" ref="F469">_xlfn.XLOOKUP(B469,1*[2]保证金申请!$A:$A,[2]保证金申请!$Q:$Q)</f>
        <v>内蒙古霍宁碳素有限责任公司</v>
      </c>
      <c r="G469">
        <f>_xlfn.XLOOKUP(A469,保证金登记!B:B,保证金登记!J:J)</f>
        <v>20100</v>
      </c>
      <c r="H469">
        <f t="array" ref="H469">_xlfn.XLOOKUP(B469,1*[2]保证金申请!$A:$A,[2]保证金申请!$K:$K)</f>
        <v>20100</v>
      </c>
      <c r="I469">
        <f t="shared" si="21"/>
        <v>0</v>
      </c>
      <c r="J469">
        <f t="shared" si="22"/>
        <v>0</v>
      </c>
      <c r="K469" t="b">
        <f t="shared" si="23"/>
        <v>1</v>
      </c>
    </row>
    <row r="470" spans="1:11">
      <c r="A470" t="s">
        <v>1397</v>
      </c>
      <c r="B470" s="1">
        <v>603</v>
      </c>
      <c r="C470">
        <f>_xlfn.XLOOKUP(A470,保证金登记!B:B,保证金登记!E:E)</f>
        <v>44985</v>
      </c>
      <c r="D470" t="str">
        <f t="array" ref="D470">_xlfn.XLOOKUP(B470,1*[2]保证金申请!$A:$A,[2]保证金申请!$C:$C)</f>
        <v>2023-02-28</v>
      </c>
      <c r="E470" t="str">
        <f>_xlfn.XLOOKUP(A470,保证金登记!B:B,保证金登记!I:I)</f>
        <v>中国电能成套设备有限公司（黔西电厂）</v>
      </c>
      <c r="F470" t="str">
        <f t="array" ref="F470">_xlfn.XLOOKUP(B470,1*[2]保证金申请!$A:$A,[2]保证金申请!$Q:$Q)</f>
        <v>内蒙古霍宁碳素有限责任公司</v>
      </c>
      <c r="G470">
        <f>_xlfn.XLOOKUP(A470,保证金登记!B:B,保证金登记!J:J)</f>
        <v>20100</v>
      </c>
      <c r="H470">
        <f t="array" ref="H470">_xlfn.XLOOKUP(B470,1*[2]保证金申请!$A:$A,[2]保证金申请!$K:$K)</f>
        <v>20100</v>
      </c>
      <c r="I470">
        <f t="shared" si="21"/>
        <v>0</v>
      </c>
      <c r="J470">
        <f t="shared" si="22"/>
        <v>0</v>
      </c>
      <c r="K470" t="b">
        <f t="shared" si="23"/>
        <v>0</v>
      </c>
    </row>
    <row r="471" spans="1:11">
      <c r="A471" t="s">
        <v>1404</v>
      </c>
      <c r="B471" s="1">
        <v>606</v>
      </c>
      <c r="C471">
        <f>_xlfn.XLOOKUP(A471,保证金登记!B:B,保证金登记!E:E)</f>
        <v>44988</v>
      </c>
      <c r="D471" t="str">
        <f t="array" ref="D471">_xlfn.XLOOKUP(B471,1*[2]保证金申请!$A:$A,[2]保证金申请!$C:$C)</f>
        <v>2023-03-03</v>
      </c>
      <c r="E471" t="str">
        <f>_xlfn.XLOOKUP(A471,保证金登记!B:B,保证金登记!I:I)</f>
        <v>四川德胜集团水泥有限公司</v>
      </c>
      <c r="F471" t="str">
        <f t="array" ref="F471">_xlfn.XLOOKUP(B471,1*[2]保证金申请!$A:$A,[2]保证金申请!$Q:$Q)</f>
        <v>四川德胜集团水泥有限公司</v>
      </c>
      <c r="G471">
        <f>_xlfn.XLOOKUP(A471,保证金登记!B:B,保证金登记!J:J)</f>
        <v>2000</v>
      </c>
      <c r="H471">
        <f t="array" ref="H471">_xlfn.XLOOKUP(B471,1*[2]保证金申请!$A:$A,[2]保证金申请!$K:$K)</f>
        <v>2000</v>
      </c>
      <c r="I471">
        <f t="shared" si="21"/>
        <v>0</v>
      </c>
      <c r="J471">
        <f t="shared" si="22"/>
        <v>0</v>
      </c>
      <c r="K471" t="b">
        <f t="shared" si="23"/>
        <v>1</v>
      </c>
    </row>
    <row r="472" spans="1:11">
      <c r="A472" t="s">
        <v>1406</v>
      </c>
      <c r="B472" s="1">
        <v>607</v>
      </c>
      <c r="C472">
        <f>_xlfn.XLOOKUP(A472,保证金登记!B:B,保证金登记!E:E)</f>
        <v>44989</v>
      </c>
      <c r="D472" t="str">
        <f t="array" ref="D472">_xlfn.XLOOKUP(B472,1*[2]保证金申请!$A:$A,[2]保证金申请!$C:$C)</f>
        <v>2023-03-04</v>
      </c>
      <c r="E472" t="str">
        <f>_xlfn.XLOOKUP(A472,保证金登记!B:B,保证金登记!I:I)</f>
        <v>宁夏滨河海利建材有限公司</v>
      </c>
      <c r="F472" t="str">
        <f t="array" ref="F472">_xlfn.XLOOKUP(B472,1*[2]保证金申请!$A:$A,[2]保证金申请!$Q:$Q)</f>
        <v>宁夏滨河海利建材有限公司</v>
      </c>
      <c r="G472">
        <f>_xlfn.XLOOKUP(A472,保证金登记!B:B,保证金登记!J:J)</f>
        <v>2000</v>
      </c>
      <c r="H472">
        <f t="array" ref="H472">_xlfn.XLOOKUP(B472,1*[2]保证金申请!$A:$A,[2]保证金申请!$K:$K)</f>
        <v>2000</v>
      </c>
      <c r="I472">
        <f t="shared" si="21"/>
        <v>0</v>
      </c>
      <c r="J472">
        <f t="shared" si="22"/>
        <v>0</v>
      </c>
      <c r="K472" t="b">
        <f t="shared" si="23"/>
        <v>1</v>
      </c>
    </row>
    <row r="473" spans="1:11">
      <c r="A473" t="s">
        <v>1417</v>
      </c>
      <c r="B473" s="1">
        <v>610</v>
      </c>
      <c r="C473">
        <f>_xlfn.XLOOKUP(A473,保证金登记!B:B,保证金登记!E:E)</f>
        <v>44991</v>
      </c>
      <c r="D473" t="str">
        <f t="array" ref="D473">_xlfn.XLOOKUP(B473,1*[2]保证金申请!$A:$A,[2]保证金申请!$C:$C)</f>
        <v>2023-03-06</v>
      </c>
      <c r="E473" t="str">
        <f>_xlfn.XLOOKUP(A473,保证金登记!B:B,保证金登记!I:I)</f>
        <v>内蒙古亿利冀东水泥有限责任公司</v>
      </c>
      <c r="F473" t="str">
        <f t="array" ref="F473">_xlfn.XLOOKUP(B473,1*[2]保证金申请!$A:$A,[2]保证金申请!$Q:$Q)</f>
        <v>内蒙古亿利冀东水泥有限公司</v>
      </c>
      <c r="G473">
        <f>_xlfn.XLOOKUP(A473,保证金登记!B:B,保证金登记!J:J)</f>
        <v>80000</v>
      </c>
      <c r="H473">
        <f t="array" ref="H473">_xlfn.XLOOKUP(B473,1*[2]保证金申请!$A:$A,[2]保证金申请!$K:$K)</f>
        <v>80000</v>
      </c>
      <c r="I473">
        <f t="shared" si="21"/>
        <v>0</v>
      </c>
      <c r="J473">
        <f t="shared" si="22"/>
        <v>0</v>
      </c>
      <c r="K473" t="b">
        <f t="shared" si="23"/>
        <v>0</v>
      </c>
    </row>
    <row r="474" spans="1:11">
      <c r="A474" t="s">
        <v>1421</v>
      </c>
      <c r="B474" s="1">
        <v>611</v>
      </c>
      <c r="C474">
        <f>_xlfn.XLOOKUP(A474,保证金登记!B:B,保证金登记!E:E)</f>
        <v>44991</v>
      </c>
      <c r="D474" t="str">
        <f t="array" ref="D474">_xlfn.XLOOKUP(B474,1*[2]保证金申请!$A:$A,[2]保证金申请!$C:$C)</f>
        <v>2023-03-06</v>
      </c>
      <c r="E474" t="str">
        <f>_xlfn.XLOOKUP(A474,保证金登记!B:B,保证金登记!I:I)</f>
        <v>伊犁天山水泥有限公司</v>
      </c>
      <c r="F474" t="str">
        <f t="array" ref="F474">_xlfn.XLOOKUP(B474,1*[2]保证金申请!$A:$A,[2]保证金申请!$Q:$Q)</f>
        <v>伊犁天山水泥有限公司</v>
      </c>
      <c r="G474">
        <f>_xlfn.XLOOKUP(A474,保证金登记!B:B,保证金登记!J:J)</f>
        <v>10000</v>
      </c>
      <c r="H474">
        <f t="array" ref="H474">_xlfn.XLOOKUP(B474,1*[2]保证金申请!$A:$A,[2]保证金申请!$K:$K)</f>
        <v>10000</v>
      </c>
      <c r="I474">
        <f t="shared" si="21"/>
        <v>0</v>
      </c>
      <c r="J474">
        <f t="shared" si="22"/>
        <v>0</v>
      </c>
      <c r="K474" t="b">
        <f t="shared" si="23"/>
        <v>1</v>
      </c>
    </row>
    <row r="475" spans="1:11">
      <c r="A475" t="s">
        <v>1428</v>
      </c>
      <c r="B475" s="1">
        <v>614</v>
      </c>
      <c r="C475">
        <f>_xlfn.XLOOKUP(A475,保证金登记!B:B,保证金登记!E:E)</f>
        <v>44992</v>
      </c>
      <c r="D475" t="str">
        <f t="array" ref="D475">_xlfn.XLOOKUP(B475,1*[2]保证金申请!$A:$A,[2]保证金申请!$C:$C)</f>
        <v>2023-03-07</v>
      </c>
      <c r="E475" t="str">
        <f>_xlfn.XLOOKUP(A475,保证金登记!B:B,保证金登记!I:I)</f>
        <v>阜康天山</v>
      </c>
      <c r="F475" t="str">
        <f t="array" ref="F475">_xlfn.XLOOKUP(B475,1*[2]保证金申请!$A:$A,[2]保证金申请!$Q:$Q)</f>
        <v>阜康天山</v>
      </c>
      <c r="G475">
        <f>_xlfn.XLOOKUP(A475,保证金登记!B:B,保证金登记!J:J)</f>
        <v>1000</v>
      </c>
      <c r="H475">
        <f t="array" ref="H475">_xlfn.XLOOKUP(B475,1*[2]保证金申请!$A:$A,[2]保证金申请!$K:$K)</f>
        <v>1000</v>
      </c>
      <c r="I475">
        <f t="shared" si="21"/>
        <v>0</v>
      </c>
      <c r="J475">
        <f t="shared" si="22"/>
        <v>0</v>
      </c>
      <c r="K475" t="b">
        <f t="shared" si="23"/>
        <v>1</v>
      </c>
    </row>
    <row r="476" spans="1:11">
      <c r="A476" t="s">
        <v>1429</v>
      </c>
      <c r="B476" s="1">
        <v>615</v>
      </c>
      <c r="C476">
        <f>_xlfn.XLOOKUP(A476,保证金登记!B:B,保证金登记!E:E)</f>
        <v>44992</v>
      </c>
      <c r="D476" t="str">
        <f t="array" ref="D476">_xlfn.XLOOKUP(B476,1*[2]保证金申请!$A:$A,[2]保证金申请!$C:$C)</f>
        <v>2023-03-07</v>
      </c>
      <c r="E476" t="str">
        <f>_xlfn.XLOOKUP(A476,保证金登记!B:B,保证金登记!I:I)</f>
        <v>湖北双环科技股份有限公司</v>
      </c>
      <c r="F476" t="str">
        <f t="array" ref="F476">_xlfn.XLOOKUP(B476,1*[2]保证金申请!$A:$A,[2]保证金申请!$Q:$Q)</f>
        <v>湖北双环科技股份有限公司</v>
      </c>
      <c r="G476">
        <f>_xlfn.XLOOKUP(A476,保证金登记!B:B,保证金登记!J:J)</f>
        <v>5000</v>
      </c>
      <c r="H476">
        <f t="array" ref="H476">_xlfn.XLOOKUP(B476,1*[2]保证金申请!$A:$A,[2]保证金申请!$K:$K)</f>
        <v>5000</v>
      </c>
      <c r="I476">
        <f t="shared" si="21"/>
        <v>0</v>
      </c>
      <c r="J476">
        <f t="shared" si="22"/>
        <v>0</v>
      </c>
      <c r="K476" t="b">
        <f t="shared" si="23"/>
        <v>1</v>
      </c>
    </row>
    <row r="477" spans="1:11">
      <c r="A477" t="s">
        <v>1438</v>
      </c>
      <c r="B477" s="1">
        <v>618</v>
      </c>
      <c r="C477">
        <f>_xlfn.XLOOKUP(A477,保证金登记!B:B,保证金登记!E:E)</f>
        <v>44996</v>
      </c>
      <c r="D477" t="str">
        <f t="array" ref="D477">_xlfn.XLOOKUP(B477,1*[2]保证金申请!$A:$A,[2]保证金申请!$C:$C)</f>
        <v>2023-03-11</v>
      </c>
      <c r="E477" t="str">
        <f>_xlfn.XLOOKUP(A477,保证金登记!B:B,保证金登记!I:I)</f>
        <v>邢台金隅冀东水泥有限公司</v>
      </c>
      <c r="F477" t="str">
        <f t="array" ref="F477">_xlfn.XLOOKUP(B477,1*[2]保证金申请!$A:$A,[2]保证金申请!$Q:$Q)</f>
        <v>邢台金隅冀东水泥有限公司</v>
      </c>
      <c r="G477">
        <f>_xlfn.XLOOKUP(A477,保证金登记!B:B,保证金登记!J:J)</f>
        <v>5000</v>
      </c>
      <c r="H477">
        <f t="array" ref="H477">_xlfn.XLOOKUP(B477,1*[2]保证金申请!$A:$A,[2]保证金申请!$K:$K)</f>
        <v>5000</v>
      </c>
      <c r="I477">
        <f t="shared" si="21"/>
        <v>0</v>
      </c>
      <c r="J477">
        <f t="shared" si="22"/>
        <v>0</v>
      </c>
      <c r="K477" t="b">
        <f t="shared" si="23"/>
        <v>1</v>
      </c>
    </row>
    <row r="478" spans="1:11">
      <c r="A478" t="s">
        <v>1440</v>
      </c>
      <c r="B478" s="1">
        <v>619</v>
      </c>
      <c r="C478">
        <f>_xlfn.XLOOKUP(A478,保证金登记!B:B,保证金登记!E:E)</f>
        <v>44998</v>
      </c>
      <c r="D478" t="str">
        <f t="array" ref="D478">_xlfn.XLOOKUP(B478,1*[2]保证金申请!$A:$A,[2]保证金申请!$C:$C)</f>
        <v>2023-03-13</v>
      </c>
      <c r="E478" t="str">
        <f>_xlfn.XLOOKUP(A478,保证金登记!B:B,保证金登记!I:I)</f>
        <v>中机国际招标有限公司（青海发投碱业有限公司）</v>
      </c>
      <c r="F478" t="str">
        <f t="array" ref="F478">_xlfn.XLOOKUP(B478,1*[2]保证金申请!$A:$A,[2]保证金申请!$Q:$Q)</f>
        <v>中机国际招标有限公司（青海发投碱业有限公司）</v>
      </c>
      <c r="G478">
        <f>_xlfn.XLOOKUP(A478,保证金登记!B:B,保证金登记!J:J)</f>
        <v>20000</v>
      </c>
      <c r="H478">
        <f t="array" ref="H478">_xlfn.XLOOKUP(B478,1*[2]保证金申请!$A:$A,[2]保证金申请!$K:$K)</f>
        <v>20000</v>
      </c>
      <c r="I478">
        <f t="shared" si="21"/>
        <v>0</v>
      </c>
      <c r="J478">
        <f t="shared" si="22"/>
        <v>0</v>
      </c>
      <c r="K478" t="b">
        <f t="shared" si="23"/>
        <v>1</v>
      </c>
    </row>
    <row r="479" spans="1:11">
      <c r="A479" t="s">
        <v>1441</v>
      </c>
      <c r="B479" s="1">
        <v>620</v>
      </c>
      <c r="C479">
        <f>_xlfn.XLOOKUP(A479,保证金登记!B:B,保证金登记!E:E)</f>
        <v>44998</v>
      </c>
      <c r="D479" t="str">
        <f t="array" ref="D479">_xlfn.XLOOKUP(B479,1*[2]保证金申请!$A:$A,[2]保证金申请!$C:$C)</f>
        <v>2023-03-13</v>
      </c>
      <c r="E479" t="str">
        <f>_xlfn.XLOOKUP(A479,保证金登记!B:B,保证金登记!I:I)</f>
        <v>中机国际招标有限公司（青海发投碱业有限公司）</v>
      </c>
      <c r="F479" t="str">
        <f t="array" ref="F479">_xlfn.XLOOKUP(B479,1*[2]保证金申请!$A:$A,[2]保证金申请!$Q:$Q)</f>
        <v>中机国际招标有限公司（青海发投碱业有限公司）</v>
      </c>
      <c r="G479">
        <f>_xlfn.XLOOKUP(A479,保证金登记!B:B,保证金登记!J:J)</f>
        <v>50000</v>
      </c>
      <c r="H479">
        <f t="array" ref="H479">_xlfn.XLOOKUP(B479,1*[2]保证金申请!$A:$A,[2]保证金申请!$K:$K)</f>
        <v>50000</v>
      </c>
      <c r="I479">
        <f t="shared" si="21"/>
        <v>0</v>
      </c>
      <c r="J479">
        <f t="shared" si="22"/>
        <v>0</v>
      </c>
      <c r="K479" t="b">
        <f t="shared" si="23"/>
        <v>1</v>
      </c>
    </row>
    <row r="480" spans="1:11">
      <c r="A480" t="s">
        <v>1442</v>
      </c>
      <c r="B480" s="1">
        <v>621</v>
      </c>
      <c r="C480">
        <f>_xlfn.XLOOKUP(A480,保证金登记!B:B,保证金登记!E:E)</f>
        <v>44999</v>
      </c>
      <c r="D480" t="str">
        <f t="array" ref="D480">_xlfn.XLOOKUP(B480,1*[2]保证金申请!$A:$A,[2]保证金申请!$C:$C)</f>
        <v>2023-03-14</v>
      </c>
      <c r="E480" t="str">
        <f>_xlfn.XLOOKUP(A480,保证金登记!B:B,保证金登记!I:I)</f>
        <v>青海发投碱业有限公司</v>
      </c>
      <c r="F480" t="str">
        <f t="array" ref="F480">_xlfn.XLOOKUP(B480,1*[2]保证金申请!$A:$A,[2]保证金申请!$Q:$Q)</f>
        <v>青海发投碱业有限公司</v>
      </c>
      <c r="G480">
        <f>_xlfn.XLOOKUP(A480,保证金登记!B:B,保证金登记!J:J)</f>
        <v>20000</v>
      </c>
      <c r="H480">
        <f t="array" ref="H480">_xlfn.XLOOKUP(B480,1*[2]保证金申请!$A:$A,[2]保证金申请!$K:$K)</f>
        <v>20000</v>
      </c>
      <c r="I480">
        <f t="shared" si="21"/>
        <v>0</v>
      </c>
      <c r="J480">
        <f t="shared" si="22"/>
        <v>0</v>
      </c>
      <c r="K480" t="b">
        <f t="shared" si="23"/>
        <v>1</v>
      </c>
    </row>
    <row r="481" spans="1:11">
      <c r="A481" t="s">
        <v>1443</v>
      </c>
      <c r="B481" s="1">
        <v>622</v>
      </c>
      <c r="C481">
        <f>_xlfn.XLOOKUP(A481,保证金登记!B:B,保证金登记!E:E)</f>
        <v>44999</v>
      </c>
      <c r="D481" t="str">
        <f t="array" ref="D481">_xlfn.XLOOKUP(B481,1*[2]保证金申请!$A:$A,[2]保证金申请!$C:$C)</f>
        <v>2023-03-14</v>
      </c>
      <c r="E481" t="str">
        <f>_xlfn.XLOOKUP(A481,保证金登记!B:B,保证金登记!I:I)</f>
        <v>鄂尔多斯市君正能源化工有限公司</v>
      </c>
      <c r="F481" t="str">
        <f t="array" ref="F481">_xlfn.XLOOKUP(B481,1*[2]保证金申请!$A:$A,[2]保证金申请!$Q:$Q)</f>
        <v>鄂尔多斯市君正能源化工有限公司</v>
      </c>
      <c r="G481">
        <f>_xlfn.XLOOKUP(A481,保证金登记!B:B,保证金登记!J:J)</f>
        <v>10000</v>
      </c>
      <c r="H481">
        <f t="array" ref="H481">_xlfn.XLOOKUP(B481,1*[2]保证金申请!$A:$A,[2]保证金申请!$K:$K)</f>
        <v>10000</v>
      </c>
      <c r="I481">
        <f t="shared" si="21"/>
        <v>0</v>
      </c>
      <c r="J481">
        <f t="shared" si="22"/>
        <v>0</v>
      </c>
      <c r="K481" t="b">
        <f t="shared" si="23"/>
        <v>1</v>
      </c>
    </row>
    <row r="482" spans="1:11">
      <c r="A482" t="s">
        <v>1446</v>
      </c>
      <c r="B482" s="1">
        <v>623</v>
      </c>
      <c r="C482">
        <f>_xlfn.XLOOKUP(A482,保证金登记!B:B,保证金登记!E:E)</f>
        <v>45002</v>
      </c>
      <c r="D482" t="str">
        <f t="array" ref="D482">_xlfn.XLOOKUP(B482,1*[2]保证金申请!$A:$A,[2]保证金申请!$C:$C)</f>
        <v>2023-03-17</v>
      </c>
      <c r="E482" t="str">
        <f>_xlfn.XLOOKUP(A482,保证金登记!B:B,保证金登记!I:I)</f>
        <v>吉林金隅冀东环保科技有限公司</v>
      </c>
      <c r="F482" t="str">
        <f t="array" ref="F482">_xlfn.XLOOKUP(B482,1*[2]保证金申请!$A:$A,[2]保证金申请!$Q:$Q)</f>
        <v>吉林金隅冀东环保科技有限公司</v>
      </c>
      <c r="G482">
        <f>_xlfn.XLOOKUP(A482,保证金登记!B:B,保证金登记!J:J)</f>
        <v>22400</v>
      </c>
      <c r="H482">
        <f t="array" ref="H482">_xlfn.XLOOKUP(B482,1*[2]保证金申请!$A:$A,[2]保证金申请!$K:$K)</f>
        <v>22400</v>
      </c>
      <c r="I482">
        <f t="shared" si="21"/>
        <v>0</v>
      </c>
      <c r="J482">
        <f t="shared" si="22"/>
        <v>0</v>
      </c>
      <c r="K482" t="b">
        <f t="shared" si="23"/>
        <v>1</v>
      </c>
    </row>
    <row r="483" spans="1:11">
      <c r="A483" t="s">
        <v>1448</v>
      </c>
      <c r="B483" s="1">
        <v>624</v>
      </c>
      <c r="C483">
        <f>_xlfn.XLOOKUP(A483,保证金登记!B:B,保证金登记!E:E)</f>
        <v>45006</v>
      </c>
      <c r="D483" t="str">
        <f t="array" ref="D483">_xlfn.XLOOKUP(B483,1*[2]保证金申请!$A:$A,[2]保证金申请!$C:$C)</f>
        <v>2023-03-21</v>
      </c>
      <c r="E483" t="str">
        <f>_xlfn.XLOOKUP(A483,保证金登记!B:B,保证金登记!I:I)</f>
        <v>唐山冀东水泥三友有限公司</v>
      </c>
      <c r="F483" t="str">
        <f t="array" ref="F483">_xlfn.XLOOKUP(B483,1*[2]保证金申请!$A:$A,[2]保证金申请!$Q:$Q)</f>
        <v>唐山冀东水泥三友有限公司</v>
      </c>
      <c r="G483">
        <f>_xlfn.XLOOKUP(A483,保证金登记!B:B,保证金登记!J:J)</f>
        <v>2000</v>
      </c>
      <c r="H483">
        <f t="array" ref="H483">_xlfn.XLOOKUP(B483,1*[2]保证金申请!$A:$A,[2]保证金申请!$K:$K)</f>
        <v>2000</v>
      </c>
      <c r="I483">
        <f t="shared" si="21"/>
        <v>0</v>
      </c>
      <c r="J483">
        <f t="shared" si="22"/>
        <v>0</v>
      </c>
      <c r="K483" t="b">
        <f t="shared" si="23"/>
        <v>1</v>
      </c>
    </row>
    <row r="484" spans="1:11">
      <c r="A484" t="s">
        <v>1452</v>
      </c>
      <c r="B484" s="1">
        <v>626</v>
      </c>
      <c r="C484">
        <f>_xlfn.XLOOKUP(A484,保证金登记!B:B,保证金登记!E:E)</f>
        <v>45009</v>
      </c>
      <c r="D484" t="str">
        <f t="array" ref="D484">_xlfn.XLOOKUP(B484,1*[2]保证金申请!$A:$A,[2]保证金申请!$C:$C)</f>
        <v>2023-03-24</v>
      </c>
      <c r="E484" t="str">
        <f>_xlfn.XLOOKUP(A484,保证金登记!B:B,保证金登记!I:I)</f>
        <v>布尔津天山</v>
      </c>
      <c r="F484" t="str">
        <f t="array" ref="F484">_xlfn.XLOOKUP(B484,1*[2]保证金申请!$A:$A,[2]保证金申请!$Q:$Q)</f>
        <v>布尔津天山</v>
      </c>
      <c r="G484">
        <f>_xlfn.XLOOKUP(A484,保证金登记!B:B,保证金登记!J:J)</f>
        <v>7500</v>
      </c>
      <c r="H484">
        <f t="array" ref="H484">_xlfn.XLOOKUP(B484,1*[2]保证金申请!$A:$A,[2]保证金申请!$K:$K)</f>
        <v>7500</v>
      </c>
      <c r="I484">
        <f t="shared" si="21"/>
        <v>0</v>
      </c>
      <c r="J484">
        <f t="shared" si="22"/>
        <v>0</v>
      </c>
      <c r="K484" t="b">
        <f t="shared" si="23"/>
        <v>1</v>
      </c>
    </row>
    <row r="485" spans="1:11">
      <c r="A485" t="s">
        <v>1453</v>
      </c>
      <c r="B485" s="1">
        <v>627</v>
      </c>
      <c r="C485">
        <f>_xlfn.XLOOKUP(A485,保证金登记!B:B,保证金登记!E:E)</f>
        <v>45012</v>
      </c>
      <c r="D485" t="str">
        <f t="array" ref="D485">_xlfn.XLOOKUP(B485,1*[2]保证金申请!$A:$A,[2]保证金申请!$C:$C)</f>
        <v>2023-03-27</v>
      </c>
      <c r="E485" t="str">
        <f>_xlfn.XLOOKUP(A485,保证金登记!B:B,保证金登记!I:I)</f>
        <v>日照钢铁有限公司</v>
      </c>
      <c r="F485" t="str">
        <f t="array" ref="F485">_xlfn.XLOOKUP(B485,1*[2]保证金申请!$A:$A,[2]保证金申请!$Q:$Q)</f>
        <v>日照钢铁有限公司</v>
      </c>
      <c r="G485">
        <f>_xlfn.XLOOKUP(A485,保证金登记!B:B,保证金登记!J:J)</f>
        <v>10000</v>
      </c>
      <c r="H485">
        <f t="array" ref="H485">_xlfn.XLOOKUP(B485,1*[2]保证金申请!$A:$A,[2]保证金申请!$K:$K)</f>
        <v>10000</v>
      </c>
      <c r="I485">
        <f t="shared" si="21"/>
        <v>0</v>
      </c>
      <c r="J485">
        <f t="shared" si="22"/>
        <v>0</v>
      </c>
      <c r="K485" t="b">
        <f t="shared" si="23"/>
        <v>1</v>
      </c>
    </row>
    <row r="486" spans="1:11">
      <c r="A486" t="s">
        <v>1455</v>
      </c>
      <c r="B486" s="1">
        <v>628</v>
      </c>
      <c r="C486">
        <f>_xlfn.XLOOKUP(A486,保证金登记!B:B,保证金登记!E:E)</f>
        <v>45012</v>
      </c>
      <c r="D486" t="str">
        <f t="array" ref="D486">_xlfn.XLOOKUP(B486,1*[2]保证金申请!$A:$A,[2]保证金申请!$C:$C)</f>
        <v>2023-03-27</v>
      </c>
      <c r="E486" t="str">
        <f>_xlfn.XLOOKUP(A486,保证金登记!B:B,保证金登记!I:I)</f>
        <v>青海发投碱业有限公司</v>
      </c>
      <c r="F486" t="str">
        <f t="array" ref="F486">_xlfn.XLOOKUP(B486,1*[2]保证金申请!$A:$A,[2]保证金申请!$Q:$Q)</f>
        <v>青海发投碱业有限公司</v>
      </c>
      <c r="G486">
        <f>_xlfn.XLOOKUP(A486,保证金登记!B:B,保证金登记!J:J)</f>
        <v>7550</v>
      </c>
      <c r="H486">
        <f t="array" ref="H486">_xlfn.XLOOKUP(B486,1*[2]保证金申请!$A:$A,[2]保证金申请!$K:$K)</f>
        <v>7550</v>
      </c>
      <c r="I486">
        <f t="shared" si="21"/>
        <v>0</v>
      </c>
      <c r="J486">
        <f t="shared" si="22"/>
        <v>0</v>
      </c>
      <c r="K486" t="b">
        <f t="shared" si="23"/>
        <v>1</v>
      </c>
    </row>
    <row r="487" spans="1:11">
      <c r="A487" t="s">
        <v>1457</v>
      </c>
      <c r="B487" s="1">
        <v>629</v>
      </c>
      <c r="C487">
        <f>_xlfn.XLOOKUP(A487,保证金登记!B:B,保证金登记!E:E)</f>
        <v>45012</v>
      </c>
      <c r="D487" t="str">
        <f t="array" ref="D487">_xlfn.XLOOKUP(B487,1*[2]保证金申请!$A:$A,[2]保证金申请!$C:$C)</f>
        <v>2023-03-27</v>
      </c>
      <c r="E487" t="str">
        <f>_xlfn.XLOOKUP(A487,保证金登记!B:B,保证金登记!I:I)</f>
        <v>青海发投碱业有限公司</v>
      </c>
      <c r="F487" t="str">
        <f t="array" ref="F487">_xlfn.XLOOKUP(B487,1*[2]保证金申请!$A:$A,[2]保证金申请!$Q:$Q)</f>
        <v>青海发投碱业有限公司</v>
      </c>
      <c r="G487">
        <f>_xlfn.XLOOKUP(A487,保证金登记!B:B,保证金登记!J:J)</f>
        <v>31000</v>
      </c>
      <c r="H487">
        <f t="array" ref="H487">_xlfn.XLOOKUP(B487,1*[2]保证金申请!$A:$A,[2]保证金申请!$K:$K)</f>
        <v>31000</v>
      </c>
      <c r="I487">
        <f t="shared" si="21"/>
        <v>0</v>
      </c>
      <c r="J487">
        <f t="shared" si="22"/>
        <v>0</v>
      </c>
      <c r="K487" t="b">
        <f t="shared" si="23"/>
        <v>1</v>
      </c>
    </row>
    <row r="488" spans="1:11">
      <c r="A488" t="s">
        <v>1459</v>
      </c>
      <c r="B488" s="1">
        <v>630</v>
      </c>
      <c r="C488">
        <f>_xlfn.XLOOKUP(A488,保证金登记!B:B,保证金登记!E:E)</f>
        <v>45013</v>
      </c>
      <c r="D488" t="str">
        <f t="array" ref="D488">_xlfn.XLOOKUP(B488,1*[2]保证金申请!$A:$A,[2]保证金申请!$C:$C)</f>
        <v>2023-03-28</v>
      </c>
      <c r="E488" t="str">
        <f>_xlfn.XLOOKUP(A488,保证金登记!B:B,保证金登记!I:I)</f>
        <v>重庆大朗冶金新材料有限公司</v>
      </c>
      <c r="F488" t="str">
        <f t="array" ref="F488">_xlfn.XLOOKUP(B488,1*[2]保证金申请!$A:$A,[2]保证金申请!$Q:$Q)</f>
        <v>重庆大朗冶金新材料有限公司</v>
      </c>
      <c r="G488">
        <f>_xlfn.XLOOKUP(A488,保证金登记!B:B,保证金登记!J:J)</f>
        <v>10000</v>
      </c>
      <c r="H488">
        <f t="array" ref="H488">_xlfn.XLOOKUP(B488,1*[2]保证金申请!$A:$A,[2]保证金申请!$K:$K)</f>
        <v>10000</v>
      </c>
      <c r="I488">
        <f t="shared" si="21"/>
        <v>0</v>
      </c>
      <c r="J488">
        <f t="shared" si="22"/>
        <v>0</v>
      </c>
      <c r="K488" t="b">
        <f t="shared" si="23"/>
        <v>1</v>
      </c>
    </row>
    <row r="489" spans="1:11">
      <c r="A489" t="s">
        <v>1462</v>
      </c>
      <c r="B489" s="1">
        <v>631</v>
      </c>
      <c r="C489">
        <f>_xlfn.XLOOKUP(A489,保证金登记!B:B,保证金登记!E:E)</f>
        <v>45014</v>
      </c>
      <c r="D489" t="str">
        <f t="array" ref="D489">_xlfn.XLOOKUP(B489,1*[2]保证金申请!$A:$A,[2]保证金申请!$C:$C)</f>
        <v>2023-03-29</v>
      </c>
      <c r="E489" t="str">
        <f>_xlfn.XLOOKUP(A489,保证金登记!B:B,保证金登记!I:I)</f>
        <v>邢台金隅冀东水泥有限公司</v>
      </c>
      <c r="F489" t="str">
        <f t="array" ref="F489">_xlfn.XLOOKUP(B489,1*[2]保证金申请!$A:$A,[2]保证金申请!$Q:$Q)</f>
        <v>邢台金隅冀东水泥有限公司</v>
      </c>
      <c r="G489">
        <f>_xlfn.XLOOKUP(A489,保证金登记!B:B,保证金登记!J:J)</f>
        <v>5000</v>
      </c>
      <c r="H489">
        <f t="array" ref="H489">_xlfn.XLOOKUP(B489,1*[2]保证金申请!$A:$A,[2]保证金申请!$K:$K)</f>
        <v>5000</v>
      </c>
      <c r="I489">
        <f t="shared" si="21"/>
        <v>0</v>
      </c>
      <c r="J489">
        <f t="shared" si="22"/>
        <v>0</v>
      </c>
      <c r="K489" t="b">
        <f t="shared" si="23"/>
        <v>1</v>
      </c>
    </row>
    <row r="490" spans="1:11">
      <c r="A490" t="s">
        <v>1464</v>
      </c>
      <c r="B490" s="1">
        <v>632</v>
      </c>
      <c r="C490">
        <f>_xlfn.XLOOKUP(A490,保证金登记!B:B,保证金登记!E:E)</f>
        <v>45016</v>
      </c>
      <c r="D490" t="str">
        <f t="array" ref="D490">_xlfn.XLOOKUP(B490,1*[2]保证金申请!$A:$A,[2]保证金申请!$C:$C)</f>
        <v>2023-03-31</v>
      </c>
      <c r="E490" t="str">
        <f>_xlfn.XLOOKUP(A490,保证金登记!B:B,保证金登记!I:I)</f>
        <v>湖北双环科技股份有限公司</v>
      </c>
      <c r="F490" t="str">
        <f t="array" ref="F490">_xlfn.XLOOKUP(B490,1*[2]保证金申请!$A:$A,[2]保证金申请!$Q:$Q)</f>
        <v>湖北双环科技股份有限公司</v>
      </c>
      <c r="G490">
        <f>_xlfn.XLOOKUP(A490,保证金登记!B:B,保证金登记!J:J)</f>
        <v>27800</v>
      </c>
      <c r="H490">
        <f t="array" ref="H490">_xlfn.XLOOKUP(B490,1*[2]保证金申请!$A:$A,[2]保证金申请!$K:$K)</f>
        <v>27800</v>
      </c>
      <c r="I490">
        <f t="shared" si="21"/>
        <v>0</v>
      </c>
      <c r="J490">
        <f t="shared" si="22"/>
        <v>0</v>
      </c>
      <c r="K490" t="b">
        <f t="shared" si="23"/>
        <v>1</v>
      </c>
    </row>
    <row r="491" spans="1:11">
      <c r="A491" t="s">
        <v>1466</v>
      </c>
      <c r="B491" s="1">
        <v>633</v>
      </c>
      <c r="C491">
        <f>_xlfn.XLOOKUP(A491,保证金登记!B:B,保证金登记!E:E)</f>
        <v>45019</v>
      </c>
      <c r="D491" t="str">
        <f t="array" ref="D491">_xlfn.XLOOKUP(B491,1*[2]保证金申请!$A:$A,[2]保证金申请!$C:$C)</f>
        <v>2023-04-03</v>
      </c>
      <c r="E491" t="str">
        <f>_xlfn.XLOOKUP(A491,保证金登记!B:B,保证金登记!I:I)</f>
        <v>青海发投碱业有限公司</v>
      </c>
      <c r="F491" t="str">
        <f t="array" ref="F491">_xlfn.XLOOKUP(B491,1*[2]保证金申请!$A:$A,[2]保证金申请!$Q:$Q)</f>
        <v>青海发投碱业有限公司</v>
      </c>
      <c r="G491">
        <f>_xlfn.XLOOKUP(A491,保证金登记!B:B,保证金登记!J:J)</f>
        <v>20000</v>
      </c>
      <c r="H491">
        <f t="array" ref="H491">_xlfn.XLOOKUP(B491,1*[2]保证金申请!$A:$A,[2]保证金申请!$K:$K)</f>
        <v>20000</v>
      </c>
      <c r="I491">
        <f t="shared" si="21"/>
        <v>0</v>
      </c>
      <c r="J491">
        <f t="shared" si="22"/>
        <v>0</v>
      </c>
      <c r="K491" t="b">
        <f t="shared" si="23"/>
        <v>1</v>
      </c>
    </row>
    <row r="492" spans="1:11">
      <c r="A492" t="s">
        <v>1468</v>
      </c>
      <c r="B492" s="1">
        <v>634</v>
      </c>
      <c r="C492">
        <f>_xlfn.XLOOKUP(A492,保证金登记!B:B,保证金登记!E:E)</f>
        <v>45023</v>
      </c>
      <c r="D492" t="str">
        <f t="array" ref="D492">_xlfn.XLOOKUP(B492,1*[2]保证金申请!$A:$A,[2]保证金申请!$C:$C)</f>
        <v>2023-04-07</v>
      </c>
      <c r="E492" t="str">
        <f>_xlfn.XLOOKUP(A492,保证金登记!B:B,保证金登记!I:I)</f>
        <v>青海发投碱业有限公司</v>
      </c>
      <c r="F492" t="str">
        <f t="array" ref="F492">_xlfn.XLOOKUP(B492,1*[2]保证金申请!$A:$A,[2]保证金申请!$Q:$Q)</f>
        <v>青海发投碱业有限公司</v>
      </c>
      <c r="G492">
        <f>_xlfn.XLOOKUP(A492,保证金登记!B:B,保证金登记!J:J)</f>
        <v>34600</v>
      </c>
      <c r="H492">
        <f t="array" ref="H492">_xlfn.XLOOKUP(B492,1*[2]保证金申请!$A:$A,[2]保证金申请!$K:$K)</f>
        <v>34600</v>
      </c>
      <c r="I492">
        <f t="shared" si="21"/>
        <v>0</v>
      </c>
      <c r="J492">
        <f t="shared" si="22"/>
        <v>0</v>
      </c>
      <c r="K492" t="b">
        <f t="shared" si="23"/>
        <v>1</v>
      </c>
    </row>
    <row r="493" spans="1:11">
      <c r="A493" t="s">
        <v>1470</v>
      </c>
      <c r="B493" s="1">
        <v>635</v>
      </c>
      <c r="C493">
        <f>_xlfn.XLOOKUP(A493,保证金登记!B:B,保证金登记!E:E)</f>
        <v>45023</v>
      </c>
      <c r="D493" t="str">
        <f t="array" ref="D493">_xlfn.XLOOKUP(B493,1*[2]保证金申请!$A:$A,[2]保证金申请!$C:$C)</f>
        <v>2023-04-07</v>
      </c>
      <c r="E493" t="str">
        <f>_xlfn.XLOOKUP(A493,保证金登记!B:B,保证金登记!I:I)</f>
        <v>青海发投碱业有限公司</v>
      </c>
      <c r="F493" t="str">
        <f t="array" ref="F493">_xlfn.XLOOKUP(B493,1*[2]保证金申请!$A:$A,[2]保证金申请!$Q:$Q)</f>
        <v>青海发投碱业有限公司</v>
      </c>
      <c r="G493">
        <f>_xlfn.XLOOKUP(A493,保证金登记!B:B,保证金登记!J:J)</f>
        <v>14000</v>
      </c>
      <c r="H493">
        <f t="array" ref="H493">_xlfn.XLOOKUP(B493,1*[2]保证金申请!$A:$A,[2]保证金申请!$K:$K)</f>
        <v>14000</v>
      </c>
      <c r="I493">
        <f t="shared" si="21"/>
        <v>0</v>
      </c>
      <c r="J493">
        <f t="shared" si="22"/>
        <v>0</v>
      </c>
      <c r="K493" t="b">
        <f t="shared" si="23"/>
        <v>1</v>
      </c>
    </row>
    <row r="494" spans="1:11">
      <c r="A494" t="s">
        <v>1472</v>
      </c>
      <c r="B494" s="1">
        <v>636</v>
      </c>
      <c r="C494">
        <f>_xlfn.XLOOKUP(A494,保证金登记!B:B,保证金登记!E:E)</f>
        <v>45028</v>
      </c>
      <c r="D494" t="str">
        <f t="array" ref="D494">_xlfn.XLOOKUP(B494,1*[2]保证金申请!$A:$A,[2]保证金申请!$C:$C)</f>
        <v>2023-04-12</v>
      </c>
      <c r="E494" t="str">
        <f>_xlfn.XLOOKUP(A494,保证金登记!B:B,保证金登记!I:I)</f>
        <v>冀东海德堡（泾阳）水泥有限公司</v>
      </c>
      <c r="F494" t="str">
        <f t="array" ref="F494">_xlfn.XLOOKUP(B494,1*[2]保证金申请!$A:$A,[2]保证金申请!$Q:$Q)</f>
        <v>冀东海德堡（泾阳）水泥有限公司</v>
      </c>
      <c r="G494">
        <f>_xlfn.XLOOKUP(A494,保证金登记!B:B,保证金登记!J:J)</f>
        <v>2000</v>
      </c>
      <c r="H494">
        <f t="array" ref="H494">_xlfn.XLOOKUP(B494,1*[2]保证金申请!$A:$A,[2]保证金申请!$K:$K)</f>
        <v>2000</v>
      </c>
      <c r="I494">
        <f t="shared" si="21"/>
        <v>0</v>
      </c>
      <c r="J494">
        <f t="shared" si="22"/>
        <v>0</v>
      </c>
      <c r="K494" t="b">
        <f t="shared" si="23"/>
        <v>1</v>
      </c>
    </row>
    <row r="495" spans="1:11">
      <c r="A495" t="s">
        <v>1475</v>
      </c>
      <c r="B495" s="1">
        <v>637</v>
      </c>
      <c r="C495">
        <f>_xlfn.XLOOKUP(A495,保证金登记!B:B,保证金登记!E:E)</f>
        <v>45028</v>
      </c>
      <c r="D495" t="str">
        <f t="array" ref="D495">_xlfn.XLOOKUP(B495,1*[2]保证金申请!$A:$A,[2]保证金申请!$C:$C)</f>
        <v>2023-04-12</v>
      </c>
      <c r="E495" t="str">
        <f>_xlfn.XLOOKUP(A495,保证金登记!B:B,保证金登记!I:I)</f>
        <v>宁夏建材集团股份有限公司</v>
      </c>
      <c r="F495" t="str">
        <f t="array" ref="F495">_xlfn.XLOOKUP(B495,1*[2]保证金申请!$A:$A,[2]保证金申请!$Q:$Q)</f>
        <v>宁夏建材集团股份有限公司</v>
      </c>
      <c r="G495">
        <f>_xlfn.XLOOKUP(A495,保证金登记!B:B,保证金登记!J:J)</f>
        <v>20000</v>
      </c>
      <c r="H495">
        <f t="array" ref="H495">_xlfn.XLOOKUP(B495,1*[2]保证金申请!$A:$A,[2]保证金申请!$K:$K)</f>
        <v>20000</v>
      </c>
      <c r="I495">
        <f t="shared" si="21"/>
        <v>0</v>
      </c>
      <c r="J495">
        <f t="shared" si="22"/>
        <v>0</v>
      </c>
      <c r="K495" t="b">
        <f t="shared" si="23"/>
        <v>1</v>
      </c>
    </row>
    <row r="496" spans="1:11">
      <c r="A496" t="s">
        <v>1481</v>
      </c>
      <c r="B496" s="1">
        <v>640</v>
      </c>
      <c r="C496">
        <f>_xlfn.XLOOKUP(A496,保证金登记!B:B,保证金登记!E:E)</f>
        <v>45030</v>
      </c>
      <c r="D496" t="str">
        <f t="array" ref="D496">_xlfn.XLOOKUP(B496,1*[2]保证金申请!$A:$A,[2]保证金申请!$C:$C)</f>
        <v>2023-04-14</v>
      </c>
      <c r="E496" t="str">
        <f>_xlfn.XLOOKUP(A496,保证金登记!B:B,保证金登记!I:I)</f>
        <v>红河州紫燕水泥有限责任公司</v>
      </c>
      <c r="F496" t="str">
        <f t="array" ref="F496">_xlfn.XLOOKUP(B496,1*[2]保证金申请!$A:$A,[2]保证金申请!$Q:$Q)</f>
        <v>红河州紫燕水泥有限责任公司</v>
      </c>
      <c r="G496">
        <f>_xlfn.XLOOKUP(A496,保证金登记!B:B,保证金登记!J:J)</f>
        <v>100000</v>
      </c>
      <c r="H496">
        <f t="array" ref="H496">_xlfn.XLOOKUP(B496,1*[2]保证金申请!$A:$A,[2]保证金申请!$K:$K)</f>
        <v>100000</v>
      </c>
      <c r="I496">
        <f t="shared" si="21"/>
        <v>0</v>
      </c>
      <c r="J496">
        <f t="shared" si="22"/>
        <v>0</v>
      </c>
      <c r="K496" t="b">
        <f t="shared" si="23"/>
        <v>1</v>
      </c>
    </row>
    <row r="497" spans="1:11">
      <c r="A497" t="s">
        <v>1484</v>
      </c>
      <c r="B497" s="1">
        <v>641</v>
      </c>
      <c r="C497">
        <f>_xlfn.XLOOKUP(A497,保证金登记!B:B,保证金登记!E:E)</f>
        <v>45030</v>
      </c>
      <c r="D497" t="str">
        <f t="array" ref="D497">_xlfn.XLOOKUP(B497,1*[2]保证金申请!$A:$A,[2]保证金申请!$C:$C)</f>
        <v>2023-04-14</v>
      </c>
      <c r="E497" t="str">
        <f>_xlfn.XLOOKUP(A497,保证金登记!B:B,保证金登记!I:I)</f>
        <v>福建福海创石油化工有限公司</v>
      </c>
      <c r="F497" t="str">
        <f t="array" ref="F497">_xlfn.XLOOKUP(B497,1*[2]保证金申请!$A:$A,[2]保证金申请!$Q:$Q)</f>
        <v>福建福海创石油化工有限公司</v>
      </c>
      <c r="G497">
        <f>_xlfn.XLOOKUP(A497,保证金登记!B:B,保证金登记!J:J)</f>
        <v>14000</v>
      </c>
      <c r="H497">
        <f t="array" ref="H497">_xlfn.XLOOKUP(B497,1*[2]保证金申请!$A:$A,[2]保证金申请!$K:$K)</f>
        <v>14000</v>
      </c>
      <c r="I497">
        <f t="shared" si="21"/>
        <v>0</v>
      </c>
      <c r="J497">
        <f t="shared" si="22"/>
        <v>0</v>
      </c>
      <c r="K497" t="b">
        <f t="shared" si="23"/>
        <v>1</v>
      </c>
    </row>
    <row r="498" spans="1:11">
      <c r="A498" t="s">
        <v>1486</v>
      </c>
      <c r="B498" s="1">
        <v>642</v>
      </c>
      <c r="C498">
        <f>_xlfn.XLOOKUP(A498,保证金登记!B:B,保证金登记!E:E)</f>
        <v>45033</v>
      </c>
      <c r="D498" t="str">
        <f t="array" ref="D498">_xlfn.XLOOKUP(B498,1*[2]保证金申请!$A:$A,[2]保证金申请!$C:$C)</f>
        <v>2023-04-17</v>
      </c>
      <c r="E498" t="str">
        <f>_xlfn.XLOOKUP(A498,保证金登记!B:B,保证金登记!I:I)</f>
        <v>湖北宜化松滋肥业有限公司</v>
      </c>
      <c r="F498" t="str">
        <f t="array" ref="F498">_xlfn.XLOOKUP(B498,1*[2]保证金申请!$A:$A,[2]保证金申请!$Q:$Q)</f>
        <v>湖北宜化松滋肥业有限公司</v>
      </c>
      <c r="G498">
        <f>_xlfn.XLOOKUP(A498,保证金登记!B:B,保证金登记!J:J)</f>
        <v>3800</v>
      </c>
      <c r="H498">
        <f t="array" ref="H498">_xlfn.XLOOKUP(B498,1*[2]保证金申请!$A:$A,[2]保证金申请!$K:$K)</f>
        <v>3800</v>
      </c>
      <c r="I498">
        <f t="shared" si="21"/>
        <v>0</v>
      </c>
      <c r="J498">
        <f t="shared" si="22"/>
        <v>0</v>
      </c>
      <c r="K498" t="b">
        <f t="shared" si="23"/>
        <v>1</v>
      </c>
    </row>
    <row r="499" spans="1:11">
      <c r="A499" t="s">
        <v>1489</v>
      </c>
      <c r="B499" s="1">
        <v>643</v>
      </c>
      <c r="C499">
        <f>_xlfn.XLOOKUP(A499,保证金登记!B:B,保证金登记!E:E)</f>
        <v>45034</v>
      </c>
      <c r="D499" t="str">
        <f t="array" ref="D499">_xlfn.XLOOKUP(B499,1*[2]保证金申请!$A:$A,[2]保证金申请!$C:$C)</f>
        <v>2023-04-18</v>
      </c>
      <c r="E499" t="str">
        <f>_xlfn.XLOOKUP(A499,保证金登记!B:B,保证金登记!I:I)</f>
        <v>秦皇岛博荐工程项目管理有限公司</v>
      </c>
      <c r="F499" t="str">
        <f t="array" ref="F499">_xlfn.XLOOKUP(B499,1*[2]保证金申请!$A:$A,[2]保证金申请!$Q:$Q)</f>
        <v>秦皇岛博荐工程项目管理有限公司</v>
      </c>
      <c r="G499">
        <f>_xlfn.XLOOKUP(A499,保证金登记!B:B,保证金登记!J:J)</f>
        <v>12000</v>
      </c>
      <c r="H499">
        <f t="array" ref="H499">_xlfn.XLOOKUP(B499,1*[2]保证金申请!$A:$A,[2]保证金申请!$K:$K)</f>
        <v>12000</v>
      </c>
      <c r="I499">
        <f t="shared" si="21"/>
        <v>0</v>
      </c>
      <c r="J499">
        <f t="shared" si="22"/>
        <v>0</v>
      </c>
      <c r="K499" t="b">
        <f t="shared" si="23"/>
        <v>1</v>
      </c>
    </row>
    <row r="500" spans="1:11">
      <c r="A500" t="s">
        <v>1494</v>
      </c>
      <c r="B500" s="1">
        <v>645</v>
      </c>
      <c r="C500">
        <f>_xlfn.XLOOKUP(A500,保证金登记!B:B,保证金登记!E:E)</f>
        <v>45035</v>
      </c>
      <c r="D500" t="str">
        <f t="array" ref="D500">_xlfn.XLOOKUP(B500,1*[2]保证金申请!$A:$A,[2]保证金申请!$C:$C)</f>
        <v>2023-04-19</v>
      </c>
      <c r="E500" t="str">
        <f>_xlfn.XLOOKUP(A500,保证金登记!B:B,保证金登记!I:I)</f>
        <v>青海发投碱业有限公司</v>
      </c>
      <c r="F500" t="str">
        <f t="array" ref="F500">_xlfn.XLOOKUP(B500,1*[2]保证金申请!$A:$A,[2]保证金申请!$Q:$Q)</f>
        <v>青海发投碱业有限公司</v>
      </c>
      <c r="G500">
        <f>_xlfn.XLOOKUP(A500,保证金登记!B:B,保证金登记!J:J)</f>
        <v>14900</v>
      </c>
      <c r="H500">
        <f t="array" ref="H500">_xlfn.XLOOKUP(B500,1*[2]保证金申请!$A:$A,[2]保证金申请!$K:$K)</f>
        <v>14900</v>
      </c>
      <c r="I500">
        <f t="shared" si="21"/>
        <v>0</v>
      </c>
      <c r="J500">
        <f t="shared" si="22"/>
        <v>0</v>
      </c>
      <c r="K500" t="b">
        <f t="shared" si="23"/>
        <v>1</v>
      </c>
    </row>
    <row r="501" spans="1:11">
      <c r="A501" t="s">
        <v>1496</v>
      </c>
      <c r="B501" s="1">
        <v>646</v>
      </c>
      <c r="C501">
        <f>_xlfn.XLOOKUP(A501,保证金登记!B:B,保证金登记!E:E)</f>
        <v>45035</v>
      </c>
      <c r="D501" t="str">
        <f t="array" ref="D501">_xlfn.XLOOKUP(B501,1*[2]保证金申请!$A:$A,[2]保证金申请!$C:$C)</f>
        <v>2023-04-19</v>
      </c>
      <c r="E501" t="str">
        <f>_xlfn.XLOOKUP(A501,保证金登记!B:B,保证金登记!I:I)</f>
        <v>青海发投碱业有限公司</v>
      </c>
      <c r="F501" t="str">
        <f t="array" ref="F501">_xlfn.XLOOKUP(B501,1*[2]保证金申请!$A:$A,[2]保证金申请!$Q:$Q)</f>
        <v>青海发投碱业有限公司</v>
      </c>
      <c r="G501">
        <f>_xlfn.XLOOKUP(A501,保证金登记!B:B,保证金登记!J:J)</f>
        <v>11500</v>
      </c>
      <c r="H501">
        <f t="array" ref="H501">_xlfn.XLOOKUP(B501,1*[2]保证金申请!$A:$A,[2]保证金申请!$K:$K)</f>
        <v>11500</v>
      </c>
      <c r="I501">
        <f t="shared" si="21"/>
        <v>0</v>
      </c>
      <c r="J501">
        <f t="shared" si="22"/>
        <v>0</v>
      </c>
      <c r="K501" t="b">
        <f t="shared" si="23"/>
        <v>1</v>
      </c>
    </row>
    <row r="502" spans="1:11">
      <c r="A502" t="s">
        <v>1498</v>
      </c>
      <c r="B502" s="1">
        <v>647</v>
      </c>
      <c r="C502">
        <f>_xlfn.XLOOKUP(A502,保证金登记!B:B,保证金登记!E:E)</f>
        <v>45040</v>
      </c>
      <c r="D502" t="str">
        <f t="array" ref="D502">_xlfn.XLOOKUP(B502,1*[2]保证金申请!$A:$A,[2]保证金申请!$C:$C)</f>
        <v>2023-04-24</v>
      </c>
      <c r="E502" t="str">
        <f>_xlfn.XLOOKUP(A502,保证金登记!B:B,保证金登记!I:I)</f>
        <v>湖北宜化松滋肥业有限公司</v>
      </c>
      <c r="F502" t="str">
        <f t="array" ref="F502">_xlfn.XLOOKUP(B502,1*[2]保证金申请!$A:$A,[2]保证金申请!$Q:$Q)</f>
        <v>湖北宜化松滋肥业有限公司</v>
      </c>
      <c r="G502">
        <f>_xlfn.XLOOKUP(A502,保证金登记!B:B,保证金登记!J:J)</f>
        <v>3000</v>
      </c>
      <c r="H502">
        <f t="array" ref="H502">_xlfn.XLOOKUP(B502,1*[2]保证金申请!$A:$A,[2]保证金申请!$K:$K)</f>
        <v>3000</v>
      </c>
      <c r="I502">
        <f t="shared" si="21"/>
        <v>0</v>
      </c>
      <c r="J502">
        <f t="shared" si="22"/>
        <v>0</v>
      </c>
      <c r="K502" t="b">
        <f t="shared" si="23"/>
        <v>1</v>
      </c>
    </row>
    <row r="503" spans="1:11">
      <c r="A503" t="s">
        <v>1500</v>
      </c>
      <c r="B503" s="1">
        <v>648</v>
      </c>
      <c r="C503">
        <f>_xlfn.XLOOKUP(A503,保证金登记!B:B,保证金登记!E:E)</f>
        <v>45040</v>
      </c>
      <c r="D503" t="str">
        <f t="array" ref="D503">_xlfn.XLOOKUP(B503,1*[2]保证金申请!$A:$A,[2]保证金申请!$C:$C)</f>
        <v>2023-04-24</v>
      </c>
      <c r="E503" t="str">
        <f>_xlfn.XLOOKUP(A503,保证金登记!B:B,保证金登记!I:I)</f>
        <v>新疆水泥各成员企业-新疆天山总部</v>
      </c>
      <c r="F503" t="str">
        <f t="array" ref="F503">_xlfn.XLOOKUP(B503,1*[2]保证金申请!$A:$A,[2]保证金申请!$Q:$Q)</f>
        <v>新疆水泥各成员企业-天山总部</v>
      </c>
      <c r="G503">
        <f>_xlfn.XLOOKUP(A503,保证金登记!B:B,保证金登记!J:J)</f>
        <v>20000</v>
      </c>
      <c r="H503">
        <f t="array" ref="H503">_xlfn.XLOOKUP(B503,1*[2]保证金申请!$A:$A,[2]保证金申请!$K:$K)</f>
        <v>20000</v>
      </c>
      <c r="I503">
        <f t="shared" si="21"/>
        <v>0</v>
      </c>
      <c r="J503">
        <f t="shared" si="22"/>
        <v>0</v>
      </c>
      <c r="K503" t="b">
        <f t="shared" si="23"/>
        <v>0</v>
      </c>
    </row>
    <row r="504" spans="1:11">
      <c r="A504" t="s">
        <v>1504</v>
      </c>
      <c r="B504" s="1">
        <v>650</v>
      </c>
      <c r="C504">
        <f>_xlfn.XLOOKUP(A504,保证金登记!B:B,保证金登记!E:E)</f>
        <v>45040</v>
      </c>
      <c r="D504" t="str">
        <f t="array" ref="D504">_xlfn.XLOOKUP(B504,1*[2]保证金申请!$A:$A,[2]保证金申请!$C:$C)</f>
        <v>2023-04-24</v>
      </c>
      <c r="E504" t="str">
        <f>_xlfn.XLOOKUP(A504,保证金登记!B:B,保证金登记!I:I)</f>
        <v>湖北宜化化工股份有限公司</v>
      </c>
      <c r="F504" t="str">
        <f t="array" ref="F504">_xlfn.XLOOKUP(B504,1*[2]保证金申请!$A:$A,[2]保证金申请!$Q:$Q)</f>
        <v>湖北宜化化工股份有限公司</v>
      </c>
      <c r="G504">
        <f>_xlfn.XLOOKUP(A504,保证金登记!B:B,保证金登记!J:J)</f>
        <v>1000</v>
      </c>
      <c r="H504">
        <f t="array" ref="H504">_xlfn.XLOOKUP(B504,1*[2]保证金申请!$A:$A,[2]保证金申请!$K:$K)</f>
        <v>1000</v>
      </c>
      <c r="I504">
        <f t="shared" si="21"/>
        <v>0</v>
      </c>
      <c r="J504">
        <f t="shared" si="22"/>
        <v>0</v>
      </c>
      <c r="K504" t="b">
        <f t="shared" si="23"/>
        <v>1</v>
      </c>
    </row>
    <row r="505" spans="1:11">
      <c r="A505" t="s">
        <v>1514</v>
      </c>
      <c r="B505" s="1">
        <v>654</v>
      </c>
      <c r="C505">
        <f>_xlfn.XLOOKUP(A505,保证金登记!B:B,保证金登记!E:E)</f>
        <v>45052</v>
      </c>
      <c r="D505" t="str">
        <f t="array" ref="D505">_xlfn.XLOOKUP(B505,1*[2]保证金申请!$A:$A,[2]保证金申请!$C:$C)</f>
        <v>2023-05-06</v>
      </c>
      <c r="E505" t="str">
        <f>_xlfn.XLOOKUP(A505,保证金登记!B:B,保证金登记!I:I)</f>
        <v>湖南骏泰新材料科技有限责任公司</v>
      </c>
      <c r="F505" t="str">
        <f t="array" ref="F505">_xlfn.XLOOKUP(B505,1*[2]保证金申请!$A:$A,[2]保证金申请!$Q:$Q)</f>
        <v>湖南骏泰新材料科技有限责任公司</v>
      </c>
      <c r="G505">
        <f>_xlfn.XLOOKUP(A505,保证金登记!B:B,保证金登记!J:J)</f>
        <v>3760</v>
      </c>
      <c r="H505">
        <f t="array" ref="H505">_xlfn.XLOOKUP(B505,1*[2]保证金申请!$A:$A,[2]保证金申请!$K:$K)</f>
        <v>3760</v>
      </c>
      <c r="I505">
        <f t="shared" si="21"/>
        <v>0</v>
      </c>
      <c r="J505">
        <f t="shared" si="22"/>
        <v>0</v>
      </c>
      <c r="K505" t="b">
        <f t="shared" si="23"/>
        <v>1</v>
      </c>
    </row>
    <row r="506" spans="1:11">
      <c r="A506" t="s">
        <v>1516</v>
      </c>
      <c r="B506" s="1">
        <v>655</v>
      </c>
      <c r="C506">
        <f>_xlfn.XLOOKUP(A506,保证金登记!B:B,保证金登记!E:E)</f>
        <v>45056</v>
      </c>
      <c r="D506" t="str">
        <f t="array" ref="D506">_xlfn.XLOOKUP(B506,1*[2]保证金申请!$A:$A,[2]保证金申请!$C:$C)</f>
        <v>2023-05-10</v>
      </c>
      <c r="E506" t="str">
        <f>_xlfn.XLOOKUP(A506,保证金登记!B:B,保证金登记!I:I)</f>
        <v>青海发投碱业有限公司</v>
      </c>
      <c r="F506" t="str">
        <f t="array" ref="F506">_xlfn.XLOOKUP(B506,1*[2]保证金申请!$A:$A,[2]保证金申请!$Q:$Q)</f>
        <v>青海发投碱业有限公司</v>
      </c>
      <c r="G506">
        <f>_xlfn.XLOOKUP(A506,保证金登记!B:B,保证金登记!J:J)</f>
        <v>7800</v>
      </c>
      <c r="H506">
        <f t="array" ref="H506">_xlfn.XLOOKUP(B506,1*[2]保证金申请!$A:$A,[2]保证金申请!$K:$K)</f>
        <v>7800</v>
      </c>
      <c r="I506">
        <f t="shared" si="21"/>
        <v>0</v>
      </c>
      <c r="J506">
        <f t="shared" si="22"/>
        <v>0</v>
      </c>
      <c r="K506" t="b">
        <f t="shared" si="23"/>
        <v>1</v>
      </c>
    </row>
    <row r="507" spans="1:11">
      <c r="A507">
        <v>657</v>
      </c>
      <c r="B507" s="1">
        <v>657</v>
      </c>
      <c r="C507">
        <f>_xlfn.XLOOKUP(A507,保证金登记!B:B,保证金登记!E:E)</f>
        <v>45058</v>
      </c>
      <c r="D507" t="str">
        <f t="array" ref="D507">_xlfn.XLOOKUP(B507,1*[2]保证金申请!$A:$A,[2]保证金申请!$C:$C)</f>
        <v>2023-05-12</v>
      </c>
      <c r="E507" t="str">
        <f>_xlfn.XLOOKUP(A507,保证金登记!B:B,保证金登记!I:I)</f>
        <v>新疆八一钢铁股份有限公司</v>
      </c>
      <c r="F507" t="str">
        <f t="array" ref="F507">_xlfn.XLOOKUP(B507,1*[2]保证金申请!$A:$A,[2]保证金申请!$Q:$Q)</f>
        <v>新疆八一钢铁股份有限公司</v>
      </c>
      <c r="G507">
        <f>_xlfn.XLOOKUP(A507,保证金登记!B:B,保证金登记!J:J)</f>
        <v>32300</v>
      </c>
      <c r="H507">
        <f t="array" ref="H507">_xlfn.XLOOKUP(B507,1*[2]保证金申请!$A:$A,[2]保证金申请!$K:$K)</f>
        <v>32300</v>
      </c>
      <c r="I507">
        <f t="shared" si="21"/>
        <v>0</v>
      </c>
      <c r="J507">
        <f t="shared" si="22"/>
        <v>0</v>
      </c>
      <c r="K507" t="b">
        <f t="shared" si="23"/>
        <v>1</v>
      </c>
    </row>
    <row r="508" spans="1:11">
      <c r="A508" t="s">
        <v>1524</v>
      </c>
      <c r="B508" s="1">
        <v>658</v>
      </c>
      <c r="C508">
        <f>_xlfn.XLOOKUP(A508,保证金登记!B:B,保证金登记!E:E)</f>
        <v>45058</v>
      </c>
      <c r="D508" t="str">
        <f t="array" ref="D508">_xlfn.XLOOKUP(B508,1*[2]保证金申请!$A:$A,[2]保证金申请!$C:$C)</f>
        <v>2023-05-12</v>
      </c>
      <c r="E508" t="str">
        <f>_xlfn.XLOOKUP(A508,保证金登记!B:B,保证金登记!I:I)</f>
        <v>新洋丰农业科技股份有限公司</v>
      </c>
      <c r="F508" t="str">
        <f t="array" ref="F508">_xlfn.XLOOKUP(B508,1*[2]保证金申请!$A:$A,[2]保证金申请!$Q:$Q)</f>
        <v>新洋丰农业科技股份有限公司</v>
      </c>
      <c r="G508">
        <f>_xlfn.XLOOKUP(A508,保证金登记!B:B,保证金登记!J:J)</f>
        <v>2000</v>
      </c>
      <c r="H508">
        <f t="array" ref="H508">_xlfn.XLOOKUP(B508,1*[2]保证金申请!$A:$A,[2]保证金申请!$K:$K)</f>
        <v>2000</v>
      </c>
      <c r="I508">
        <f t="shared" si="21"/>
        <v>0</v>
      </c>
      <c r="J508">
        <f t="shared" si="22"/>
        <v>0</v>
      </c>
      <c r="K508" t="b">
        <f t="shared" si="23"/>
        <v>1</v>
      </c>
    </row>
    <row r="509" spans="1:11">
      <c r="A509" t="s">
        <v>1526</v>
      </c>
      <c r="B509" s="1">
        <v>659</v>
      </c>
      <c r="C509">
        <f>_xlfn.XLOOKUP(A509,保证金登记!B:B,保证金登记!E:E)</f>
        <v>45062</v>
      </c>
      <c r="D509" t="str">
        <f t="array" ref="D509">_xlfn.XLOOKUP(B509,1*[2]保证金申请!$A:$A,[2]保证金申请!$C:$C)</f>
        <v>2023-05-16</v>
      </c>
      <c r="E509" t="str">
        <f>_xlfn.XLOOKUP(A509,保证金登记!B:B,保证金登记!I:I)</f>
        <v>黑龙江建龙钢铁有限公司</v>
      </c>
      <c r="F509" t="str">
        <f t="array" ref="F509">_xlfn.XLOOKUP(B509,1*[2]保证金申请!$A:$A,[2]保证金申请!$Q:$Q)</f>
        <v>黑龙江建龙钢铁有限公司</v>
      </c>
      <c r="G509">
        <f>_xlfn.XLOOKUP(A509,保证金登记!B:B,保证金登记!J:J)</f>
        <v>20000</v>
      </c>
      <c r="H509">
        <f t="array" ref="H509">_xlfn.XLOOKUP(B509,1*[2]保证金申请!$A:$A,[2]保证金申请!$K:$K)</f>
        <v>20000</v>
      </c>
      <c r="I509">
        <f t="shared" si="21"/>
        <v>0</v>
      </c>
      <c r="J509">
        <f t="shared" si="22"/>
        <v>0</v>
      </c>
      <c r="K509" t="b">
        <f t="shared" si="23"/>
        <v>1</v>
      </c>
    </row>
    <row r="510" spans="1:11">
      <c r="A510" t="s">
        <v>1553</v>
      </c>
      <c r="B510" t="s">
        <v>2693</v>
      </c>
      <c r="C510">
        <f>_xlfn.XLOOKUP(A510,保证金登记!B:B,保证金登记!E:E)</f>
        <v>45092</v>
      </c>
      <c r="D510" t="str">
        <f>_xlfn.XLOOKUP(B510,[2]保证金申请!$A:$A,[2]保证金申请!$C:$C)</f>
        <v>2023-06-14</v>
      </c>
      <c r="E510" t="str">
        <f>_xlfn.XLOOKUP(A510,保证金登记!B:B,保证金登记!I:I)</f>
        <v>鞍山冀东水泥有限责任公司</v>
      </c>
      <c r="F510" t="str">
        <f>_xlfn.XLOOKUP(B510,[2]保证金申请!$A:$A,[2]保证金申请!$Q:$Q)</f>
        <v>鞍山冀东水泥有限责任公司</v>
      </c>
      <c r="G510">
        <f>_xlfn.XLOOKUP(A510,保证金登记!B:B,保证金登记!J:J)</f>
        <v>1000</v>
      </c>
      <c r="H510">
        <f>_xlfn.XLOOKUP(B510,[2]保证金申请!$A:$A,[2]保证金申请!$K:$K)</f>
        <v>1000</v>
      </c>
      <c r="I510">
        <f t="shared" si="21"/>
        <v>1</v>
      </c>
      <c r="J510">
        <f t="shared" si="22"/>
        <v>0</v>
      </c>
      <c r="K510" t="b">
        <f t="shared" si="23"/>
        <v>1</v>
      </c>
    </row>
    <row r="511" spans="1:11">
      <c r="A511" t="s">
        <v>1562</v>
      </c>
      <c r="B511" t="s">
        <v>2694</v>
      </c>
      <c r="C511">
        <f>_xlfn.XLOOKUP(A511,保证金登记!B:B,保证金登记!E:E)</f>
        <v>45098</v>
      </c>
      <c r="D511" t="str">
        <f>_xlfn.XLOOKUP(B511,[2]保证金申请!$A:$A,[2]保证金申请!$C:$C)</f>
        <v>2023-06-20</v>
      </c>
      <c r="E511" t="str">
        <f>_xlfn.XLOOKUP(A511,保证金登记!B:B,保证金登记!I:I)</f>
        <v>叶城天山水泥有限责任公司</v>
      </c>
      <c r="F511" t="str">
        <f>_xlfn.XLOOKUP(B511,[2]保证金申请!$A:$A,[2]保证金申请!$Q:$Q)</f>
        <v/>
      </c>
      <c r="G511">
        <f>_xlfn.XLOOKUP(A511,保证金登记!B:B,保证金登记!J:J)</f>
        <v>10000</v>
      </c>
      <c r="H511">
        <f>_xlfn.XLOOKUP(B511,[2]保证金申请!$A:$A,[2]保证金申请!$K:$K)</f>
        <v>10000</v>
      </c>
      <c r="I511">
        <f t="shared" si="21"/>
        <v>1</v>
      </c>
      <c r="J511">
        <f t="shared" si="22"/>
        <v>0</v>
      </c>
      <c r="K511" t="b">
        <f t="shared" si="23"/>
        <v>0</v>
      </c>
    </row>
    <row r="512" spans="1:11">
      <c r="A512" t="s">
        <v>1580</v>
      </c>
      <c r="B512" t="s">
        <v>2695</v>
      </c>
      <c r="C512">
        <f>_xlfn.XLOOKUP(A512,保证金登记!B:B,保证金登记!E:E)</f>
        <v>45114</v>
      </c>
      <c r="D512" t="str">
        <f>_xlfn.XLOOKUP(B512,[2]保证金申请!$A:$A,[2]保证金申请!$C:$C)</f>
        <v>2023-07-07</v>
      </c>
      <c r="E512" t="str">
        <f>_xlfn.XLOOKUP(A512,保证金登记!B:B,保证金登记!I:I)</f>
        <v>天瑞集团汝州水泥有限公司</v>
      </c>
      <c r="F512" t="str">
        <f>_xlfn.XLOOKUP(B512,[2]保证金申请!$A:$A,[2]保证金申请!$Q:$Q)</f>
        <v/>
      </c>
      <c r="G512">
        <f>_xlfn.XLOOKUP(A512,保证金登记!B:B,保证金登记!J:J)</f>
        <v>5000</v>
      </c>
      <c r="H512">
        <f>_xlfn.XLOOKUP(B512,[2]保证金申请!$A:$A,[2]保证金申请!$K:$K)</f>
        <v>5000</v>
      </c>
      <c r="I512">
        <f t="shared" si="21"/>
        <v>0</v>
      </c>
      <c r="J512">
        <f t="shared" si="22"/>
        <v>0</v>
      </c>
      <c r="K512" t="b">
        <f t="shared" si="23"/>
        <v>0</v>
      </c>
    </row>
    <row r="513" spans="1:11">
      <c r="A513" t="s">
        <v>1588</v>
      </c>
      <c r="B513" t="s">
        <v>2696</v>
      </c>
      <c r="C513">
        <f>_xlfn.XLOOKUP(A513,保证金登记!B:B,保证金登记!E:E)</f>
        <v>45126</v>
      </c>
      <c r="D513" t="str">
        <f>_xlfn.XLOOKUP(B513,[2]保证金申请!$A:$A,[2]保证金申请!$C:$C)</f>
        <v>2023-07-05</v>
      </c>
      <c r="E513" t="str">
        <f>_xlfn.XLOOKUP(A513,保证金登记!B:B,保证金登记!I:I)</f>
        <v>临沂中联水泥有限公司</v>
      </c>
      <c r="F513" t="str">
        <f>_xlfn.XLOOKUP(B513,[2]保证金申请!$A:$A,[2]保证金申请!$Q:$Q)</f>
        <v>临沂中联水泥有限公司</v>
      </c>
      <c r="G513">
        <f>_xlfn.XLOOKUP(A513,保证金登记!B:B,保证金登记!J:J)</f>
        <v>1000</v>
      </c>
      <c r="H513">
        <f>_xlfn.XLOOKUP(B513,[2]保证金申请!$A:$A,[2]保证金申请!$K:$K)</f>
        <v>1000</v>
      </c>
      <c r="I513">
        <f t="shared" si="21"/>
        <v>14</v>
      </c>
      <c r="J513">
        <f t="shared" si="22"/>
        <v>0</v>
      </c>
      <c r="K513" t="b">
        <f t="shared" si="23"/>
        <v>1</v>
      </c>
    </row>
    <row r="514" spans="1:11">
      <c r="A514" t="s">
        <v>1602</v>
      </c>
      <c r="B514" t="s">
        <v>2697</v>
      </c>
      <c r="C514">
        <f>_xlfn.XLOOKUP(A514,保证金登记!B:B,保证金登记!E:E)</f>
        <v>45145</v>
      </c>
      <c r="D514" t="str">
        <f>_xlfn.XLOOKUP(B514,[2]保证金申请!$A:$A,[2]保证金申请!$C:$C)</f>
        <v>2023-08-04</v>
      </c>
      <c r="E514" t="str">
        <f>_xlfn.XLOOKUP(A514,保证金登记!B:B,保证金登记!I:I)</f>
        <v>包头冀东水泥有限公司</v>
      </c>
      <c r="F514" t="str">
        <f>_xlfn.XLOOKUP(B514,[2]保证金申请!$A:$A,[2]保证金申请!$Q:$Q)</f>
        <v>包头冀东水泥有限公司</v>
      </c>
      <c r="G514">
        <f>_xlfn.XLOOKUP(A514,保证金登记!B:B,保证金登记!J:J)</f>
        <v>4000</v>
      </c>
      <c r="H514">
        <f>_xlfn.XLOOKUP(B514,[2]保证金申请!$A:$A,[2]保证金申请!$K:$K)</f>
        <v>4000</v>
      </c>
      <c r="I514">
        <f t="shared" ref="I514:I577" si="24">C514-D514</f>
        <v>3</v>
      </c>
      <c r="J514">
        <f t="shared" ref="J514:J577" si="25">G514-H514</f>
        <v>0</v>
      </c>
      <c r="K514" t="b">
        <f t="shared" ref="K514:K577" si="26">EXACT(E514,F514)</f>
        <v>1</v>
      </c>
    </row>
    <row r="515" spans="1:11">
      <c r="A515" t="s">
        <v>1607</v>
      </c>
      <c r="B515" t="s">
        <v>2698</v>
      </c>
      <c r="C515">
        <f>_xlfn.XLOOKUP(A515,保证金登记!B:B,保证金登记!E:E)</f>
        <v>45153</v>
      </c>
      <c r="D515" t="str">
        <f>_xlfn.XLOOKUP(B515,[2]保证金申请!$A:$A,[2]保证金申请!$C:$C)</f>
        <v>2023-08-15</v>
      </c>
      <c r="E515" t="str">
        <f>_xlfn.XLOOKUP(A515,保证金登记!B:B,保证金登记!I:I)</f>
        <v>青海发投碱业有限公司</v>
      </c>
      <c r="F515" t="str">
        <f>_xlfn.XLOOKUP(B515,[2]保证金申请!$A:$A,[2]保证金申请!$Q:$Q)</f>
        <v>青海发投碱业有限公司</v>
      </c>
      <c r="G515">
        <f>_xlfn.XLOOKUP(A515,保证金登记!B:B,保证金登记!J:J)</f>
        <v>14000</v>
      </c>
      <c r="H515">
        <f>_xlfn.XLOOKUP(B515,[2]保证金申请!$A:$A,[2]保证金申请!$K:$K)</f>
        <v>14000</v>
      </c>
      <c r="I515">
        <f t="shared" si="24"/>
        <v>0</v>
      </c>
      <c r="J515">
        <f t="shared" si="25"/>
        <v>0</v>
      </c>
      <c r="K515" t="b">
        <f t="shared" si="26"/>
        <v>1</v>
      </c>
    </row>
    <row r="516" spans="1:11">
      <c r="A516" t="s">
        <v>1630</v>
      </c>
      <c r="B516" t="s">
        <v>2699</v>
      </c>
      <c r="C516">
        <f>_xlfn.XLOOKUP(A516,保证金登记!B:B,保证金登记!E:E)</f>
        <v>45186</v>
      </c>
      <c r="D516" t="str">
        <f>_xlfn.XLOOKUP(B516,[2]保证金申请!$A:$A,[2]保证金申请!$C:$C)</f>
        <v>2023-09-17</v>
      </c>
      <c r="E516" t="str">
        <f>_xlfn.XLOOKUP(A516,保证金登记!B:B,保证金登记!I:I)</f>
        <v>内蒙古晟雄科技有限责任公司</v>
      </c>
      <c r="F516" t="str">
        <f>_xlfn.XLOOKUP(B516,[2]保证金申请!$A:$A,[2]保证金申请!$Q:$Q)</f>
        <v>内蒙古晟雄科技有限责任公司</v>
      </c>
      <c r="G516">
        <f>_xlfn.XLOOKUP(A516,保证金登记!B:B,保证金登记!J:J)</f>
        <v>4000</v>
      </c>
      <c r="H516">
        <f>_xlfn.XLOOKUP(B516,[2]保证金申请!$A:$A,[2]保证金申请!$K:$K)</f>
        <v>4000</v>
      </c>
      <c r="I516">
        <f t="shared" si="24"/>
        <v>0</v>
      </c>
      <c r="J516">
        <f t="shared" si="25"/>
        <v>0</v>
      </c>
      <c r="K516" t="b">
        <f t="shared" si="26"/>
        <v>1</v>
      </c>
    </row>
    <row r="517" spans="1:11">
      <c r="A517" t="s">
        <v>1638</v>
      </c>
      <c r="B517" t="s">
        <v>2700</v>
      </c>
      <c r="C517">
        <f>_xlfn.XLOOKUP(A517,保证金登记!B:B,保证金登记!E:E)</f>
        <v>45189</v>
      </c>
      <c r="D517" t="str">
        <f>_xlfn.XLOOKUP(B517,[2]保证金申请!$A:$A,[2]保证金申请!$C:$C)</f>
        <v>2023-08-09</v>
      </c>
      <c r="E517" t="str">
        <f>_xlfn.XLOOKUP(A517,保证金登记!B:B,保证金登记!I:I)</f>
        <v>江西玉山万年青水泥有限公司</v>
      </c>
      <c r="F517" t="str">
        <f>_xlfn.XLOOKUP(B517,[2]保证金申请!$A:$A,[2]保证金申请!$Q:$Q)</f>
        <v>江西玉山万年青水泥有限公司</v>
      </c>
      <c r="G517">
        <f>_xlfn.XLOOKUP(A517,保证金登记!B:B,保证金登记!J:J)</f>
        <v>10000</v>
      </c>
      <c r="H517">
        <f>_xlfn.XLOOKUP(B517,[2]保证金申请!$A:$A,[2]保证金申请!$K:$K)</f>
        <v>10000</v>
      </c>
      <c r="I517">
        <f t="shared" si="24"/>
        <v>42</v>
      </c>
      <c r="J517">
        <f t="shared" si="25"/>
        <v>0</v>
      </c>
      <c r="K517" t="b">
        <f t="shared" si="26"/>
        <v>1</v>
      </c>
    </row>
    <row r="518" spans="1:11">
      <c r="A518" t="s">
        <v>1645</v>
      </c>
      <c r="B518" t="s">
        <v>2701</v>
      </c>
      <c r="C518">
        <f>_xlfn.XLOOKUP(A518,保证金登记!B:B,保证金登记!E:E)</f>
        <v>45194</v>
      </c>
      <c r="D518" t="str">
        <f>_xlfn.XLOOKUP(B518,[2]保证金申请!$A:$A,[2]保证金申请!$C:$C)</f>
        <v>2023-09-25</v>
      </c>
      <c r="E518" t="str">
        <f>_xlfn.XLOOKUP(A518,保证金登记!B:B,保证金登记!I:I)</f>
        <v>青海发投碱业有限公司</v>
      </c>
      <c r="F518" t="str">
        <f>_xlfn.XLOOKUP(B518,[2]保证金申请!$A:$A,[2]保证金申请!$Q:$Q)</f>
        <v>青海发投碱业有限公司</v>
      </c>
      <c r="G518">
        <f>_xlfn.XLOOKUP(A518,保证金登记!B:B,保证金登记!J:J)</f>
        <v>70000</v>
      </c>
      <c r="H518">
        <f>_xlfn.XLOOKUP(B518,[2]保证金申请!$A:$A,[2]保证金申请!$K:$K)</f>
        <v>70000</v>
      </c>
      <c r="I518">
        <f t="shared" si="24"/>
        <v>0</v>
      </c>
      <c r="J518">
        <f t="shared" si="25"/>
        <v>0</v>
      </c>
      <c r="K518" t="b">
        <f t="shared" si="26"/>
        <v>1</v>
      </c>
    </row>
    <row r="519" spans="1:11">
      <c r="A519" t="s">
        <v>1653</v>
      </c>
      <c r="B519" t="s">
        <v>2702</v>
      </c>
      <c r="C519">
        <f>_xlfn.XLOOKUP(A519,保证金登记!B:B,保证金登记!E:E)</f>
        <v>45211</v>
      </c>
      <c r="D519" t="str">
        <f>_xlfn.XLOOKUP(B519,[2]保证金申请!$A:$A,[2]保证金申请!$C:$C)</f>
        <v>2023-10-12</v>
      </c>
      <c r="E519" t="str">
        <f>_xlfn.XLOOKUP(A519,保证金登记!B:B,保证金登记!I:I)</f>
        <v>江苏徐州中联水泥有限公司</v>
      </c>
      <c r="F519" t="str">
        <f>_xlfn.XLOOKUP(B519,[2]保证金申请!$A:$A,[2]保证金申请!$Q:$Q)</f>
        <v>徐州中联水泥有限公司</v>
      </c>
      <c r="G519">
        <f>_xlfn.XLOOKUP(A519,保证金登记!B:B,保证金登记!J:J)</f>
        <v>10000</v>
      </c>
      <c r="H519">
        <f>_xlfn.XLOOKUP(B519,[2]保证金申请!$A:$A,[2]保证金申请!$K:$K)</f>
        <v>10000</v>
      </c>
      <c r="I519">
        <f t="shared" si="24"/>
        <v>0</v>
      </c>
      <c r="J519">
        <f t="shared" si="25"/>
        <v>0</v>
      </c>
      <c r="K519" t="b">
        <f t="shared" si="26"/>
        <v>0</v>
      </c>
    </row>
    <row r="520" spans="1:11">
      <c r="A520" t="s">
        <v>1658</v>
      </c>
      <c r="B520" t="s">
        <v>2703</v>
      </c>
      <c r="C520">
        <f>_xlfn.XLOOKUP(A520,保证金登记!B:B,保证金登记!E:E)</f>
        <v>45217</v>
      </c>
      <c r="D520" t="str">
        <f>_xlfn.XLOOKUP(B520,[2]保证金申请!$A:$A,[2]保证金申请!$C:$C)</f>
        <v>2023-10-16</v>
      </c>
      <c r="E520" t="str">
        <f>_xlfn.XLOOKUP(A520,保证金登记!B:B,保证金登记!I:I)</f>
        <v>徐州中联水泥有限公司</v>
      </c>
      <c r="F520" t="str">
        <f>_xlfn.XLOOKUP(B520,[2]保证金申请!$A:$A,[2]保证金申请!$Q:$Q)</f>
        <v>徐州中联水泥有限公司</v>
      </c>
      <c r="G520">
        <f>_xlfn.XLOOKUP(A520,保证金登记!B:B,保证金登记!J:J)</f>
        <v>10000</v>
      </c>
      <c r="H520">
        <f>_xlfn.XLOOKUP(B520,[2]保证金申请!$A:$A,[2]保证金申请!$K:$K)</f>
        <v>10000</v>
      </c>
      <c r="I520">
        <f t="shared" si="24"/>
        <v>2</v>
      </c>
      <c r="J520">
        <f t="shared" si="25"/>
        <v>0</v>
      </c>
      <c r="K520" t="b">
        <f t="shared" si="26"/>
        <v>1</v>
      </c>
    </row>
    <row r="521" spans="1:11">
      <c r="A521" t="s">
        <v>1671</v>
      </c>
      <c r="B521" t="s">
        <v>2704</v>
      </c>
      <c r="C521">
        <f>_xlfn.XLOOKUP(A521,保证金登记!B:B,保证金登记!E:E)</f>
        <v>45238</v>
      </c>
      <c r="D521" t="str">
        <f>_xlfn.XLOOKUP(B521,[2]保证金申请!$A:$A,[2]保证金申请!$C:$C)</f>
        <v>2023-11-07</v>
      </c>
      <c r="E521" t="str">
        <f>_xlfn.XLOOKUP(A521,保证金登记!B:B,保证金登记!I:I)</f>
        <v>山西强伟纸业有限公司</v>
      </c>
      <c r="F521" t="str">
        <f>_xlfn.XLOOKUP(B521,[2]保证金申请!$A:$A,[2]保证金申请!$Q:$Q)</f>
        <v>山西强伟纸业有限公司</v>
      </c>
      <c r="G521">
        <f>_xlfn.XLOOKUP(A521,保证金登记!B:B,保证金登记!J:J)</f>
        <v>5000</v>
      </c>
      <c r="H521">
        <f>_xlfn.XLOOKUP(B521,[2]保证金申请!$A:$A,[2]保证金申请!$K:$K)</f>
        <v>5000</v>
      </c>
      <c r="I521">
        <f t="shared" si="24"/>
        <v>1</v>
      </c>
      <c r="J521">
        <f t="shared" si="25"/>
        <v>0</v>
      </c>
      <c r="K521" t="b">
        <f t="shared" si="26"/>
        <v>1</v>
      </c>
    </row>
    <row r="522" spans="1:11">
      <c r="A522" t="s">
        <v>1694</v>
      </c>
      <c r="B522" t="s">
        <v>2705</v>
      </c>
      <c r="C522">
        <f>_xlfn.XLOOKUP(A522,保证金登记!B:B,保证金登记!E:E)</f>
        <v>45250</v>
      </c>
      <c r="D522" t="str">
        <f>_xlfn.XLOOKUP(B522,[2]保证金申请!$A:$A,[2]保证金申请!$C:$C)</f>
        <v>2023-11-26</v>
      </c>
      <c r="E522" t="str">
        <f>_xlfn.XLOOKUP(A522,保证金登记!B:B,保证金登记!I:I)</f>
        <v>青海发投碱业有限公司</v>
      </c>
      <c r="F522" t="str">
        <f>_xlfn.XLOOKUP(B522,[2]保证金申请!$A:$A,[2]保证金申请!$Q:$Q)</f>
        <v>青海发投碱业有限公司</v>
      </c>
      <c r="G522">
        <f>_xlfn.XLOOKUP(A522,保证金登记!B:B,保证金登记!J:J)</f>
        <v>6000</v>
      </c>
      <c r="H522">
        <f>_xlfn.XLOOKUP(B522,[2]保证金申请!$A:$A,[2]保证金申请!$K:$K)</f>
        <v>6000</v>
      </c>
      <c r="I522">
        <f t="shared" si="24"/>
        <v>-6</v>
      </c>
      <c r="J522">
        <f t="shared" si="25"/>
        <v>0</v>
      </c>
      <c r="K522" t="b">
        <f t="shared" si="26"/>
        <v>1</v>
      </c>
    </row>
    <row r="523" spans="1:11">
      <c r="A523" t="s">
        <v>1716</v>
      </c>
      <c r="B523" t="s">
        <v>2706</v>
      </c>
      <c r="C523">
        <f>_xlfn.XLOOKUP(A523,保证金登记!B:B,保证金登记!E:E)</f>
        <v>45258</v>
      </c>
      <c r="D523" t="str">
        <f>_xlfn.XLOOKUP(B523,[2]保证金申请!$A:$A,[2]保证金申请!$C:$C)</f>
        <v>2023-11-20</v>
      </c>
      <c r="E523" t="str">
        <f>_xlfn.XLOOKUP(A523,保证金登记!B:B,保证金登记!I:I)</f>
        <v>青海发投碱业有限公司</v>
      </c>
      <c r="F523" t="str">
        <f>_xlfn.XLOOKUP(B523,[2]保证金申请!$A:$A,[2]保证金申请!$Q:$Q)</f>
        <v>28500001040010582</v>
      </c>
      <c r="G523">
        <f>_xlfn.XLOOKUP(A523,保证金登记!B:B,保证金登记!J:J)</f>
        <v>6000</v>
      </c>
      <c r="H523">
        <f>_xlfn.XLOOKUP(B523,[2]保证金申请!$A:$A,[2]保证金申请!$K:$K)</f>
        <v>6000</v>
      </c>
      <c r="I523">
        <f t="shared" si="24"/>
        <v>8</v>
      </c>
      <c r="J523">
        <f t="shared" si="25"/>
        <v>0</v>
      </c>
      <c r="K523" t="b">
        <f t="shared" si="26"/>
        <v>0</v>
      </c>
    </row>
    <row r="524" spans="1:11">
      <c r="A524" t="s">
        <v>1717</v>
      </c>
      <c r="B524" t="s">
        <v>2707</v>
      </c>
      <c r="C524">
        <f>_xlfn.XLOOKUP(A524,保证金登记!B:B,保证金登记!E:E)</f>
        <v>45258</v>
      </c>
      <c r="D524" t="str">
        <f>_xlfn.XLOOKUP(B524,[2]保证金申请!$A:$A,[2]保证金申请!$C:$C)</f>
        <v>2023-11-28</v>
      </c>
      <c r="E524" t="str">
        <f>_xlfn.XLOOKUP(A524,保证金登记!B:B,保证金登记!I:I)</f>
        <v>青海发投碱业有限公司</v>
      </c>
      <c r="F524" t="str">
        <f>_xlfn.XLOOKUP(B524,[2]保证金申请!$A:$A,[2]保证金申请!$Q:$Q)</f>
        <v>青海发投碱业有限公司</v>
      </c>
      <c r="G524">
        <f>_xlfn.XLOOKUP(A524,保证金登记!B:B,保证金登记!J:J)</f>
        <v>9000</v>
      </c>
      <c r="H524">
        <f>_xlfn.XLOOKUP(B524,[2]保证金申请!$A:$A,[2]保证金申请!$K:$K)</f>
        <v>9000</v>
      </c>
      <c r="I524">
        <f t="shared" si="24"/>
        <v>0</v>
      </c>
      <c r="J524">
        <f t="shared" si="25"/>
        <v>0</v>
      </c>
      <c r="K524" t="b">
        <f t="shared" si="26"/>
        <v>1</v>
      </c>
    </row>
    <row r="525" spans="1:11">
      <c r="A525" t="s">
        <v>1719</v>
      </c>
      <c r="B525" t="s">
        <v>2708</v>
      </c>
      <c r="C525">
        <f>_xlfn.XLOOKUP(A525,保证金登记!B:B,保证金登记!E:E)</f>
        <v>45258</v>
      </c>
      <c r="D525" t="str">
        <f>_xlfn.XLOOKUP(B525,[2]保证金申请!$A:$A,[2]保证金申请!$C:$C)</f>
        <v>2023-11-27</v>
      </c>
      <c r="E525" t="str">
        <f>_xlfn.XLOOKUP(A525,保证金登记!B:B,保证金登记!I:I)</f>
        <v>青海发投碱业有限公司</v>
      </c>
      <c r="F525" t="str">
        <f>_xlfn.XLOOKUP(B525,[2]保证金申请!$A:$A,[2]保证金申请!$Q:$Q)</f>
        <v>28500001040010582</v>
      </c>
      <c r="G525">
        <f>_xlfn.XLOOKUP(A525,保证金登记!B:B,保证金登记!J:J)</f>
        <v>9000</v>
      </c>
      <c r="H525">
        <f>_xlfn.XLOOKUP(B525,[2]保证金申请!$A:$A,[2]保证金申请!$K:$K)</f>
        <v>9000</v>
      </c>
      <c r="I525">
        <f t="shared" si="24"/>
        <v>1</v>
      </c>
      <c r="J525">
        <f t="shared" si="25"/>
        <v>0</v>
      </c>
      <c r="K525" t="b">
        <f t="shared" si="26"/>
        <v>0</v>
      </c>
    </row>
    <row r="526" spans="1:11">
      <c r="A526" t="s">
        <v>1720</v>
      </c>
      <c r="B526" t="s">
        <v>2709</v>
      </c>
      <c r="C526">
        <f>_xlfn.XLOOKUP(A526,保证金登记!B:B,保证金登记!E:E)</f>
        <v>45258</v>
      </c>
      <c r="D526" t="str">
        <f>_xlfn.XLOOKUP(B526,[2]保证金申请!$A:$A,[2]保证金申请!$C:$C)</f>
        <v>2023-11-28</v>
      </c>
      <c r="E526" t="str">
        <f>_xlfn.XLOOKUP(A526,保证金登记!B:B,保证金登记!I:I)</f>
        <v>新疆伊犁钢铁有限责任公司</v>
      </c>
      <c r="F526" t="str">
        <f>_xlfn.XLOOKUP(B526,[2]保证金申请!$A:$A,[2]保证金申请!$Q:$Q)</f>
        <v>新疆伊犁钢铁有限责任公司</v>
      </c>
      <c r="G526">
        <f>_xlfn.XLOOKUP(A526,保证金登记!B:B,保证金登记!J:J)</f>
        <v>59000</v>
      </c>
      <c r="H526">
        <f>_xlfn.XLOOKUP(B526,[2]保证金申请!$A:$A,[2]保证金申请!$K:$K)</f>
        <v>59000</v>
      </c>
      <c r="I526">
        <f t="shared" si="24"/>
        <v>0</v>
      </c>
      <c r="J526">
        <f t="shared" si="25"/>
        <v>0</v>
      </c>
      <c r="K526" t="b">
        <f t="shared" si="26"/>
        <v>1</v>
      </c>
    </row>
    <row r="527" spans="1:11">
      <c r="A527" t="s">
        <v>1723</v>
      </c>
      <c r="B527" t="s">
        <v>2710</v>
      </c>
      <c r="C527">
        <f>_xlfn.XLOOKUP(A527,保证金登记!B:B,保证金登记!E:E)</f>
        <v>45258</v>
      </c>
      <c r="D527" t="str">
        <f>_xlfn.XLOOKUP(B527,[2]保证金申请!$A:$A,[2]保证金申请!$C:$C)</f>
        <v>2023-12-13</v>
      </c>
      <c r="E527" t="str">
        <f>_xlfn.XLOOKUP(A527,保证金登记!B:B,保证金登记!I:I)</f>
        <v>新疆伊犁钢铁有限责任公司</v>
      </c>
      <c r="F527" t="str">
        <f>_xlfn.XLOOKUP(B527,[2]保证金申请!$A:$A,[2]保证金申请!$Q:$Q)</f>
        <v>新疆伊犁钢铁有限责任公司</v>
      </c>
      <c r="G527">
        <f>_xlfn.XLOOKUP(A527,保证金登记!B:B,保证金登记!J:J)</f>
        <v>44802</v>
      </c>
      <c r="H527">
        <f>_xlfn.XLOOKUP(B527,[2]保证金申请!$A:$A,[2]保证金申请!$K:$K)</f>
        <v>44802</v>
      </c>
      <c r="I527">
        <f t="shared" si="24"/>
        <v>-15</v>
      </c>
      <c r="J527">
        <f t="shared" si="25"/>
        <v>0</v>
      </c>
      <c r="K527" t="b">
        <f t="shared" si="26"/>
        <v>1</v>
      </c>
    </row>
    <row r="528" spans="1:11">
      <c r="A528" t="s">
        <v>1725</v>
      </c>
      <c r="B528" t="s">
        <v>2711</v>
      </c>
      <c r="C528">
        <f>_xlfn.XLOOKUP(A528,保证金登记!B:B,保证金登记!E:E)</f>
        <v>45258</v>
      </c>
      <c r="D528" t="str">
        <f>_xlfn.XLOOKUP(B528,[2]保证金申请!$A:$A,[2]保证金申请!$C:$C)</f>
        <v>2023-12-13</v>
      </c>
      <c r="E528" t="str">
        <f>_xlfn.XLOOKUP(A528,保证金登记!B:B,保证金登记!I:I)</f>
        <v>新疆伊犁钢铁有限责任公司</v>
      </c>
      <c r="F528" t="str">
        <f>_xlfn.XLOOKUP(B528,[2]保证金申请!$A:$A,[2]保证金申请!$Q:$Q)</f>
        <v>新疆伊犁钢铁有限责任公司</v>
      </c>
      <c r="G528">
        <f>_xlfn.XLOOKUP(A528,保证金登记!B:B,保证金登记!J:J)</f>
        <v>32400</v>
      </c>
      <c r="H528">
        <f>_xlfn.XLOOKUP(B528,[2]保证金申请!$A:$A,[2]保证金申请!$K:$K)</f>
        <v>32400</v>
      </c>
      <c r="I528">
        <f t="shared" si="24"/>
        <v>-15</v>
      </c>
      <c r="J528">
        <f t="shared" si="25"/>
        <v>0</v>
      </c>
      <c r="K528" t="b">
        <f t="shared" si="26"/>
        <v>1</v>
      </c>
    </row>
    <row r="529" spans="1:11">
      <c r="A529" t="s">
        <v>1727</v>
      </c>
      <c r="B529" t="s">
        <v>2712</v>
      </c>
      <c r="C529">
        <f>_xlfn.XLOOKUP(A529,保证金登记!B:B,保证金登记!E:E)</f>
        <v>45258</v>
      </c>
      <c r="D529" t="str">
        <f>_xlfn.XLOOKUP(B529,[2]保证金申请!$A:$A,[2]保证金申请!$C:$C)</f>
        <v>2023-11-28</v>
      </c>
      <c r="E529" t="str">
        <f>_xlfn.XLOOKUP(A529,保证金登记!B:B,保证金登记!I:I)</f>
        <v>新疆伊犁钢铁有限责任公司</v>
      </c>
      <c r="F529" t="str">
        <f>_xlfn.XLOOKUP(B529,[2]保证金申请!$A:$A,[2]保证金申请!$Q:$Q)</f>
        <v>新疆伊犁钢铁有限责任公司</v>
      </c>
      <c r="G529">
        <f>_xlfn.XLOOKUP(A529,保证金登记!B:B,保证金登记!J:J)</f>
        <v>20000</v>
      </c>
      <c r="H529">
        <f>_xlfn.XLOOKUP(B529,[2]保证金申请!$A:$A,[2]保证金申请!$K:$K)</f>
        <v>20000</v>
      </c>
      <c r="I529">
        <f t="shared" si="24"/>
        <v>0</v>
      </c>
      <c r="J529">
        <f t="shared" si="25"/>
        <v>0</v>
      </c>
      <c r="K529" t="b">
        <f t="shared" si="26"/>
        <v>1</v>
      </c>
    </row>
    <row r="530" spans="1:11">
      <c r="A530" t="s">
        <v>1731</v>
      </c>
      <c r="B530" t="s">
        <v>2713</v>
      </c>
      <c r="C530">
        <f>_xlfn.XLOOKUP(A530,保证金登记!B:B,保证金登记!E:E)</f>
        <v>45260</v>
      </c>
      <c r="D530" t="str">
        <f>_xlfn.XLOOKUP(B530,[2]保证金申请!$A:$A,[2]保证金申请!$C:$C)</f>
        <v>2023-11-29</v>
      </c>
      <c r="E530" t="str">
        <f>_xlfn.XLOOKUP(A530,保证金登记!B:B,保证金登记!I:I)</f>
        <v>富蕴天山水泥有限责任公司</v>
      </c>
      <c r="F530" t="str">
        <f>_xlfn.XLOOKUP(B530,[2]保证金申请!$A:$A,[2]保证金申请!$Q:$Q)</f>
        <v>富蕴天山水泥有限责任公司</v>
      </c>
      <c r="G530">
        <f>_xlfn.XLOOKUP(A530,保证金登记!B:B,保证金登记!J:J)</f>
        <v>12000</v>
      </c>
      <c r="H530">
        <f>_xlfn.XLOOKUP(B530,[2]保证金申请!$A:$A,[2]保证金申请!$K:$K)</f>
        <v>12000</v>
      </c>
      <c r="I530">
        <f t="shared" si="24"/>
        <v>1</v>
      </c>
      <c r="J530">
        <f t="shared" si="25"/>
        <v>0</v>
      </c>
      <c r="K530" t="b">
        <f t="shared" si="26"/>
        <v>1</v>
      </c>
    </row>
    <row r="531" spans="1:11">
      <c r="A531" t="s">
        <v>1744</v>
      </c>
      <c r="B531" t="s">
        <v>2714</v>
      </c>
      <c r="C531">
        <f>_xlfn.XLOOKUP(A531,保证金登记!B:B,保证金登记!E:E)</f>
        <v>45261</v>
      </c>
      <c r="D531" t="str">
        <f>_xlfn.XLOOKUP(B531,[2]保证金申请!$A:$A,[2]保证金申请!$C:$C)</f>
        <v>2023-12-13</v>
      </c>
      <c r="E531" t="str">
        <f>_xlfn.XLOOKUP(A531,保证金登记!B:B,保证金登记!I:I)</f>
        <v>青海发投碱业有限公司</v>
      </c>
      <c r="F531" t="str">
        <f>_xlfn.XLOOKUP(B531,[2]保证金申请!$A:$A,[2]保证金申请!$Q:$Q)</f>
        <v>青海发投碱业有限公司</v>
      </c>
      <c r="G531">
        <f>_xlfn.XLOOKUP(A531,保证金登记!B:B,保证金登记!J:J)</f>
        <v>9000</v>
      </c>
      <c r="H531">
        <f>_xlfn.XLOOKUP(B531,[2]保证金申请!$A:$A,[2]保证金申请!$K:$K)</f>
        <v>9000</v>
      </c>
      <c r="I531">
        <f t="shared" si="24"/>
        <v>-12</v>
      </c>
      <c r="J531">
        <f t="shared" si="25"/>
        <v>0</v>
      </c>
      <c r="K531" t="b">
        <f t="shared" si="26"/>
        <v>1</v>
      </c>
    </row>
    <row r="532" spans="1:11">
      <c r="A532" t="s">
        <v>1745</v>
      </c>
      <c r="B532" t="s">
        <v>2715</v>
      </c>
      <c r="C532">
        <f>_xlfn.XLOOKUP(A532,保证金登记!B:B,保证金登记!E:E)</f>
        <v>45261</v>
      </c>
      <c r="D532" t="str">
        <f>_xlfn.XLOOKUP(B532,[2]保证金申请!$A:$A,[2]保证金申请!$C:$C)</f>
        <v>2023-12-01</v>
      </c>
      <c r="E532" t="str">
        <f>_xlfn.XLOOKUP(A532,保证金登记!B:B,保证金登记!I:I)</f>
        <v>应城市新都化工有限责任公司</v>
      </c>
      <c r="F532" t="str">
        <f>_xlfn.XLOOKUP(B532,[2]保证金申请!$A:$A,[2]保证金申请!$Q:$Q)</f>
        <v>应城市新都化工有限责任公司</v>
      </c>
      <c r="G532">
        <f>_xlfn.XLOOKUP(A532,保证金登记!B:B,保证金登记!J:J)</f>
        <v>50000</v>
      </c>
      <c r="H532">
        <f>_xlfn.XLOOKUP(B532,[2]保证金申请!$A:$A,[2]保证金申请!$K:$K)</f>
        <v>50000</v>
      </c>
      <c r="I532">
        <f t="shared" si="24"/>
        <v>0</v>
      </c>
      <c r="J532">
        <f t="shared" si="25"/>
        <v>0</v>
      </c>
      <c r="K532" t="b">
        <f t="shared" si="26"/>
        <v>1</v>
      </c>
    </row>
    <row r="533" spans="1:11">
      <c r="A533" t="s">
        <v>1751</v>
      </c>
      <c r="B533" t="s">
        <v>2716</v>
      </c>
      <c r="C533">
        <f>_xlfn.XLOOKUP(A533,保证金登记!B:B,保证金登记!E:E)</f>
        <v>45266</v>
      </c>
      <c r="D533" t="str">
        <f>_xlfn.XLOOKUP(B533,[2]保证金申请!$A:$A,[2]保证金申请!$C:$C)</f>
        <v>2023-12-06</v>
      </c>
      <c r="E533" t="str">
        <f>_xlfn.XLOOKUP(A533,保证金登记!B:B,保证金登记!I:I)</f>
        <v>应城市新都化工有限责任公司</v>
      </c>
      <c r="F533" t="str">
        <f>_xlfn.XLOOKUP(B533,[2]保证金申请!$A:$A,[2]保证金申请!$Q:$Q)</f>
        <v>汪勇刚</v>
      </c>
      <c r="G533">
        <f>_xlfn.XLOOKUP(A533,保证金登记!B:B,保证金登记!J:J)</f>
        <v>1000</v>
      </c>
      <c r="H533">
        <f>_xlfn.XLOOKUP(B533,[2]保证金申请!$A:$A,[2]保证金申请!$K:$K)</f>
        <v>1000</v>
      </c>
      <c r="I533">
        <f t="shared" si="24"/>
        <v>0</v>
      </c>
      <c r="J533">
        <f t="shared" si="25"/>
        <v>0</v>
      </c>
      <c r="K533" t="b">
        <f t="shared" si="26"/>
        <v>0</v>
      </c>
    </row>
    <row r="534" spans="1:11">
      <c r="A534" t="s">
        <v>1756</v>
      </c>
      <c r="B534" t="s">
        <v>2717</v>
      </c>
      <c r="C534">
        <f>_xlfn.XLOOKUP(A534,保证金登记!B:B,保证金登记!E:E)</f>
        <v>45266</v>
      </c>
      <c r="D534" t="str">
        <f>_xlfn.XLOOKUP(B534,[2]保证金申请!$A:$A,[2]保证金申请!$C:$C)</f>
        <v>2023-12-06</v>
      </c>
      <c r="E534" t="str">
        <f>_xlfn.XLOOKUP(A534,保证金登记!B:B,保证金登记!I:I)</f>
        <v>萍乡萍钢安源钢铁有限公司</v>
      </c>
      <c r="F534" t="str">
        <f>_xlfn.XLOOKUP(B534,[2]保证金申请!$A:$A,[2]保证金申请!$Q:$Q)</f>
        <v>萍乡萍钢安源钢铁有限公司</v>
      </c>
      <c r="G534">
        <f>_xlfn.XLOOKUP(A534,保证金登记!B:B,保证金登记!J:J)</f>
        <v>10000</v>
      </c>
      <c r="H534">
        <f>_xlfn.XLOOKUP(B534,[2]保证金申请!$A:$A,[2]保证金申请!$K:$K)</f>
        <v>10000</v>
      </c>
      <c r="I534">
        <f t="shared" si="24"/>
        <v>0</v>
      </c>
      <c r="J534">
        <f t="shared" si="25"/>
        <v>0</v>
      </c>
      <c r="K534" t="b">
        <f t="shared" si="26"/>
        <v>1</v>
      </c>
    </row>
    <row r="535" spans="1:11">
      <c r="A535" t="s">
        <v>2660</v>
      </c>
      <c r="B535" t="s">
        <v>1768</v>
      </c>
      <c r="C535" t="e">
        <f>_xlfn.XLOOKUP(A535,保证金登记!B:B,保证金登记!E:E)</f>
        <v>#N/A</v>
      </c>
      <c r="D535" t="str">
        <f>_xlfn.XLOOKUP(B535,[2]保证金申请!$A:$A,[2]保证金申请!$C:$C)</f>
        <v>2023-12-08</v>
      </c>
      <c r="E535" t="e">
        <f>_xlfn.XLOOKUP(A535,保证金登记!B:B,保证金登记!I:I)</f>
        <v>#N/A</v>
      </c>
      <c r="F535" t="str">
        <f>_xlfn.XLOOKUP(B535,[2]保证金申请!$A:$A,[2]保证金申请!$Q:$Q)</f>
        <v>青海发投碱业有限公司</v>
      </c>
      <c r="G535" t="e">
        <f>_xlfn.XLOOKUP(A535,保证金登记!B:B,保证金登记!J:J)</f>
        <v>#N/A</v>
      </c>
      <c r="H535">
        <f>_xlfn.XLOOKUP(B535,[2]保证金申请!$A:$A,[2]保证金申请!$K:$K)</f>
        <v>11500</v>
      </c>
      <c r="I535" t="e">
        <f t="shared" si="24"/>
        <v>#N/A</v>
      </c>
      <c r="J535" t="e">
        <f t="shared" si="25"/>
        <v>#N/A</v>
      </c>
      <c r="K535" t="e">
        <f t="shared" si="26"/>
        <v>#N/A</v>
      </c>
    </row>
    <row r="536" spans="1:11">
      <c r="A536" t="s">
        <v>1771</v>
      </c>
      <c r="B536" t="s">
        <v>2718</v>
      </c>
      <c r="C536">
        <f>_xlfn.XLOOKUP(A536,保证金登记!B:B,保证金登记!E:E)</f>
        <v>45272</v>
      </c>
      <c r="D536" t="str">
        <f>_xlfn.XLOOKUP(B536,[2]保证金申请!$A:$A,[2]保证金申请!$C:$C)</f>
        <v>2023-12-10</v>
      </c>
      <c r="E536" t="str">
        <f>_xlfn.XLOOKUP(A536,保证金登记!B:B,保证金登记!I:I)</f>
        <v>青海发投碱业有限公司</v>
      </c>
      <c r="F536" t="str">
        <f>_xlfn.XLOOKUP(B536,[2]保证金申请!$A:$A,[2]保证金申请!$Q:$Q)</f>
        <v>青海发投碱业有限公司</v>
      </c>
      <c r="G536">
        <f>_xlfn.XLOOKUP(A536,保证金登记!B:B,保证金登记!J:J)</f>
        <v>12000</v>
      </c>
      <c r="H536">
        <f>_xlfn.XLOOKUP(B536,[2]保证金申请!$A:$A,[2]保证金申请!$K:$K)</f>
        <v>12000</v>
      </c>
      <c r="I536">
        <f t="shared" si="24"/>
        <v>2</v>
      </c>
      <c r="J536">
        <f t="shared" si="25"/>
        <v>0</v>
      </c>
      <c r="K536" t="b">
        <f t="shared" si="26"/>
        <v>1</v>
      </c>
    </row>
    <row r="537" spans="1:11">
      <c r="A537" t="s">
        <v>1774</v>
      </c>
      <c r="B537" t="s">
        <v>2719</v>
      </c>
      <c r="C537">
        <f>_xlfn.XLOOKUP(A537,保证金登记!B:B,保证金登记!E:E)</f>
        <v>45274</v>
      </c>
      <c r="D537" t="str">
        <f>_xlfn.XLOOKUP(B537,[2]保证金申请!$A:$A,[2]保证金申请!$C:$C)</f>
        <v>2023-12-12</v>
      </c>
      <c r="E537" t="str">
        <f>_xlfn.XLOOKUP(A537,保证金登记!B:B,保证金登记!I:I)</f>
        <v>青海发投碱业有限公司</v>
      </c>
      <c r="F537" t="str">
        <f>_xlfn.XLOOKUP(B537,[2]保证金申请!$A:$A,[2]保证金申请!$Q:$Q)</f>
        <v>青海发投碱业有限公司</v>
      </c>
      <c r="G537">
        <f>_xlfn.XLOOKUP(A537,保证金登记!B:B,保证金登记!J:J)</f>
        <v>70000</v>
      </c>
      <c r="H537">
        <f>_xlfn.XLOOKUP(B537,[2]保证金申请!$A:$A,[2]保证金申请!$K:$K)</f>
        <v>70000</v>
      </c>
      <c r="I537">
        <f t="shared" si="24"/>
        <v>2</v>
      </c>
      <c r="J537">
        <f t="shared" si="25"/>
        <v>0</v>
      </c>
      <c r="K537" t="b">
        <f t="shared" si="26"/>
        <v>1</v>
      </c>
    </row>
    <row r="538" spans="1:11">
      <c r="A538" t="s">
        <v>1775</v>
      </c>
      <c r="B538" t="s">
        <v>2720</v>
      </c>
      <c r="C538">
        <f>_xlfn.XLOOKUP(A538,保证金登记!B:B,保证金登记!E:E)</f>
        <v>45274</v>
      </c>
      <c r="D538" t="str">
        <f>_xlfn.XLOOKUP(B538,[2]保证金申请!$A:$A,[2]保证金申请!$C:$C)</f>
        <v>2023-12-14</v>
      </c>
      <c r="E538" t="str">
        <f>_xlfn.XLOOKUP(A538,保证金登记!B:B,保证金登记!I:I)</f>
        <v>富蕴天山水泥有限责任公司</v>
      </c>
      <c r="F538" t="str">
        <f>_xlfn.XLOOKUP(B538,[2]保证金申请!$A:$A,[2]保证金申请!$Q:$Q)</f>
        <v>富蕴天山水泥有限责任公司</v>
      </c>
      <c r="G538">
        <f>_xlfn.XLOOKUP(A538,保证金登记!B:B,保证金登记!J:J)</f>
        <v>17100</v>
      </c>
      <c r="H538">
        <f>_xlfn.XLOOKUP(B538,[2]保证金申请!$A:$A,[2]保证金申请!$K:$K)</f>
        <v>17100</v>
      </c>
      <c r="I538">
        <f t="shared" si="24"/>
        <v>0</v>
      </c>
      <c r="J538">
        <f t="shared" si="25"/>
        <v>0</v>
      </c>
      <c r="K538" t="b">
        <f t="shared" si="26"/>
        <v>1</v>
      </c>
    </row>
    <row r="539" spans="1:11">
      <c r="A539" t="s">
        <v>1847</v>
      </c>
      <c r="B539" t="s">
        <v>2721</v>
      </c>
      <c r="C539">
        <f>_xlfn.XLOOKUP(A539,保证金登记!B:B,保证金登记!E:E)</f>
        <v>45327</v>
      </c>
      <c r="D539" t="str">
        <f>_xlfn.XLOOKUP(B539,[2]保证金申请!$A:$A,[2]保证金申请!$C:$C)</f>
        <v>2024-02-04</v>
      </c>
      <c r="E539" t="str">
        <f>_xlfn.XLOOKUP(A539,保证金登记!B:B,保证金登记!I:I)</f>
        <v>青海发投碱业有限公司（周琦转河南祥光）</v>
      </c>
      <c r="F539" t="str">
        <f>_xlfn.XLOOKUP(B539,[2]保证金申请!$A:$A,[2]保证金申请!$Q:$Q)</f>
        <v/>
      </c>
      <c r="G539">
        <f>_xlfn.XLOOKUP(A539,保证金登记!B:B,保证金登记!J:J)</f>
        <v>20000</v>
      </c>
      <c r="H539">
        <f>_xlfn.XLOOKUP(B539,[2]保证金申请!$A:$A,[2]保证金申请!$K:$K)</f>
        <v>20000</v>
      </c>
      <c r="I539">
        <f t="shared" si="24"/>
        <v>1</v>
      </c>
      <c r="J539">
        <f t="shared" si="25"/>
        <v>0</v>
      </c>
      <c r="K539" t="b">
        <f t="shared" si="26"/>
        <v>0</v>
      </c>
    </row>
    <row r="540" spans="1:11">
      <c r="A540">
        <v>212</v>
      </c>
      <c r="B540" s="2" t="s">
        <v>2722</v>
      </c>
      <c r="C540">
        <f>_xlfn.XLOOKUP(A540,保证金登记!B:B,保证金登记!E:E)</f>
        <v>44216</v>
      </c>
      <c r="D540" t="str">
        <f>_xlfn.XLOOKUP(B540,[2]保证金申请!$A:$A,[2]保证金申请!$C:$C)</f>
        <v>2021-01-20</v>
      </c>
      <c r="E540" t="str">
        <f>_xlfn.XLOOKUP(A540,保证金登记!B:B,保证金登记!I:I)</f>
        <v>内蒙古鄂尔多斯电力冶金集团股份有限公司资源综合利用分公司</v>
      </c>
      <c r="F540" t="str">
        <f>_xlfn.XLOOKUP(B540,[2]保证金申请!$A:$A,[2]保证金申请!$Q:$Q)</f>
        <v>内蒙古鄂尔多斯电力冶金集团股份有限公司</v>
      </c>
      <c r="G540">
        <f>_xlfn.XLOOKUP(A540,保证金登记!B:B,保证金登记!J:J)</f>
        <v>5000</v>
      </c>
      <c r="H540">
        <f>_xlfn.XLOOKUP(B540,[2]保证金申请!$A:$A,[2]保证金申请!$K:$K)</f>
        <v>5000</v>
      </c>
      <c r="I540">
        <f t="shared" si="24"/>
        <v>0</v>
      </c>
      <c r="J540">
        <f t="shared" si="25"/>
        <v>0</v>
      </c>
      <c r="K540" t="b">
        <f t="shared" si="26"/>
        <v>0</v>
      </c>
    </row>
    <row r="541" spans="1:11">
      <c r="A541" t="s">
        <v>1776</v>
      </c>
      <c r="B541" t="s">
        <v>1776</v>
      </c>
      <c r="C541">
        <f>_xlfn.XLOOKUP(A541,保证金登记!B:B,保证金登记!E:E)</f>
        <v>45282</v>
      </c>
      <c r="D541" t="str">
        <f>_xlfn.XLOOKUP(B541,[2]保证金申请!$A:$A,[2]保证金申请!$C:$C)</f>
        <v>2023-12-21</v>
      </c>
      <c r="E541" t="str">
        <f>_xlfn.XLOOKUP(A541,保证金登记!B:B,保证金登记!I:I)</f>
        <v>新疆伊犁钢铁有限责任公司</v>
      </c>
      <c r="F541" t="str">
        <f>_xlfn.XLOOKUP(B541,[2]保证金申请!$A:$A,[2]保证金申请!$Q:$Q)</f>
        <v/>
      </c>
      <c r="G541">
        <f>_xlfn.XLOOKUP(A541,保证金登记!B:B,保证金登记!J:J)</f>
        <v>39390</v>
      </c>
      <c r="H541">
        <f>_xlfn.XLOOKUP(B541,[2]保证金申请!$A:$A,[2]保证金申请!$K:$K)</f>
        <v>39390</v>
      </c>
      <c r="I541">
        <f t="shared" si="24"/>
        <v>1</v>
      </c>
      <c r="J541">
        <f t="shared" si="25"/>
        <v>0</v>
      </c>
      <c r="K541" t="b">
        <f t="shared" si="26"/>
        <v>0</v>
      </c>
    </row>
    <row r="542" spans="1:11">
      <c r="A542" t="s">
        <v>1779</v>
      </c>
      <c r="B542" t="s">
        <v>1779</v>
      </c>
      <c r="C542">
        <f>_xlfn.XLOOKUP(A542,保证金登记!B:B,保证金登记!E:E)</f>
        <v>45282</v>
      </c>
      <c r="D542" t="str">
        <f>_xlfn.XLOOKUP(B542,[2]保证金申请!$A:$A,[2]保证金申请!$C:$C)</f>
        <v>2023-12-22</v>
      </c>
      <c r="E542" t="str">
        <f>_xlfn.XLOOKUP(A542,保证金登记!B:B,保证金登记!I:I)</f>
        <v>青海发投碱业有限公司</v>
      </c>
      <c r="F542" t="str">
        <f>_xlfn.XLOOKUP(B542,[2]保证金申请!$A:$A,[2]保证金申请!$Q:$Q)</f>
        <v>青海发投碱业有限公司</v>
      </c>
      <c r="G542">
        <f>_xlfn.XLOOKUP(A542,保证金登记!B:B,保证金登记!J:J)</f>
        <v>10000</v>
      </c>
      <c r="H542">
        <f>_xlfn.XLOOKUP(B542,[2]保证金申请!$A:$A,[2]保证金申请!$K:$K)</f>
        <v>10000</v>
      </c>
      <c r="I542">
        <f t="shared" si="24"/>
        <v>0</v>
      </c>
      <c r="J542">
        <f t="shared" si="25"/>
        <v>0</v>
      </c>
      <c r="K542" t="b">
        <f t="shared" si="26"/>
        <v>1</v>
      </c>
    </row>
    <row r="543" spans="1:11">
      <c r="A543" t="s">
        <v>1782</v>
      </c>
      <c r="B543" t="s">
        <v>1782</v>
      </c>
      <c r="C543">
        <f>_xlfn.XLOOKUP(A543,保证金登记!B:B,保证金登记!E:E)</f>
        <v>45282</v>
      </c>
      <c r="D543" t="str">
        <f>_xlfn.XLOOKUP(B543,[2]保证金申请!$A:$A,[2]保证金申请!$C:$C)</f>
        <v>2023-12-22</v>
      </c>
      <c r="E543" t="str">
        <f>_xlfn.XLOOKUP(A543,保证金登记!B:B,保证金登记!I:I)</f>
        <v>青海发投碱业有限公司</v>
      </c>
      <c r="F543" t="str">
        <f>_xlfn.XLOOKUP(B543,[2]保证金申请!$A:$A,[2]保证金申请!$Q:$Q)</f>
        <v>青海发投碱业有限公司</v>
      </c>
      <c r="G543">
        <f>_xlfn.XLOOKUP(A543,保证金登记!B:B,保证金登记!J:J)</f>
        <v>10000</v>
      </c>
      <c r="H543">
        <f>_xlfn.XLOOKUP(B543,[2]保证金申请!$A:$A,[2]保证金申请!$K:$K)</f>
        <v>10000</v>
      </c>
      <c r="I543">
        <f t="shared" si="24"/>
        <v>0</v>
      </c>
      <c r="J543">
        <f t="shared" si="25"/>
        <v>0</v>
      </c>
      <c r="K543" t="b">
        <f t="shared" si="26"/>
        <v>1</v>
      </c>
    </row>
    <row r="544" spans="1:11">
      <c r="A544" t="s">
        <v>1785</v>
      </c>
      <c r="B544" t="s">
        <v>1785</v>
      </c>
      <c r="C544">
        <f>_xlfn.XLOOKUP(A544,保证金登记!B:B,保证金登记!E:E)</f>
        <v>45282</v>
      </c>
      <c r="D544" t="str">
        <f>_xlfn.XLOOKUP(B544,[2]保证金申请!$A:$A,[2]保证金申请!$C:$C)</f>
        <v>2023-12-22</v>
      </c>
      <c r="E544" t="str">
        <f>_xlfn.XLOOKUP(A544,保证金登记!B:B,保证金登记!I:I)</f>
        <v>青海发投碱业有限公司</v>
      </c>
      <c r="F544" t="str">
        <f>_xlfn.XLOOKUP(B544,[2]保证金申请!$A:$A,[2]保证金申请!$Q:$Q)</f>
        <v>青海发投碱业有限公司</v>
      </c>
      <c r="G544">
        <f>_xlfn.XLOOKUP(A544,保证金登记!B:B,保证金登记!J:J)</f>
        <v>10000</v>
      </c>
      <c r="H544">
        <f>_xlfn.XLOOKUP(B544,[2]保证金申请!$A:$A,[2]保证金申请!$K:$K)</f>
        <v>10000</v>
      </c>
      <c r="I544">
        <f t="shared" si="24"/>
        <v>0</v>
      </c>
      <c r="J544">
        <f t="shared" si="25"/>
        <v>0</v>
      </c>
      <c r="K544" t="b">
        <f t="shared" si="26"/>
        <v>1</v>
      </c>
    </row>
    <row r="545" spans="1:11">
      <c r="A545" t="s">
        <v>1790</v>
      </c>
      <c r="B545" t="s">
        <v>1790</v>
      </c>
      <c r="C545">
        <f>_xlfn.XLOOKUP(A545,保证金登记!B:B,保证金登记!E:E)</f>
        <v>45285</v>
      </c>
      <c r="D545" t="str">
        <f>_xlfn.XLOOKUP(B545,[2]保证金申请!$A:$A,[2]保证金申请!$C:$C)</f>
        <v>2023-12-25</v>
      </c>
      <c r="E545" t="str">
        <f>_xlfn.XLOOKUP(A545,保证金登记!B:B,保证金登记!I:I)</f>
        <v>青海发投碱业有限公司</v>
      </c>
      <c r="F545" t="str">
        <f>_xlfn.XLOOKUP(B545,[2]保证金申请!$A:$A,[2]保证金申请!$Q:$Q)</f>
        <v>青海发投碱业有限公司</v>
      </c>
      <c r="G545">
        <f>_xlfn.XLOOKUP(A545,保证金登记!B:B,保证金登记!J:J)</f>
        <v>10000</v>
      </c>
      <c r="H545">
        <f>_xlfn.XLOOKUP(B545,[2]保证金申请!$A:$A,[2]保证金申请!$K:$K)</f>
        <v>10000</v>
      </c>
      <c r="I545">
        <f t="shared" si="24"/>
        <v>0</v>
      </c>
      <c r="J545">
        <f t="shared" si="25"/>
        <v>0</v>
      </c>
      <c r="K545" t="b">
        <f t="shared" si="26"/>
        <v>1</v>
      </c>
    </row>
    <row r="546" spans="1:11">
      <c r="A546" t="s">
        <v>1792</v>
      </c>
      <c r="B546" t="s">
        <v>1792</v>
      </c>
      <c r="C546">
        <f>_xlfn.XLOOKUP(A546,保证金登记!B:B,保证金登记!E:E)</f>
        <v>45300</v>
      </c>
      <c r="D546" t="str">
        <f>_xlfn.XLOOKUP(B546,[2]保证金申请!$A:$A,[2]保证金申请!$C:$C)</f>
        <v>2024-01-02</v>
      </c>
      <c r="E546" t="str">
        <f>_xlfn.XLOOKUP(A546,保证金登记!B:B,保证金登记!I:I)</f>
        <v>青海发投碱业有限公司</v>
      </c>
      <c r="F546" t="str">
        <f>_xlfn.XLOOKUP(B546,[2]保证金申请!$A:$A,[2]保证金申请!$Q:$Q)</f>
        <v>青海发投碱业有限公司</v>
      </c>
      <c r="G546">
        <f>_xlfn.XLOOKUP(A546,保证金登记!B:B,保证金登记!J:J)</f>
        <v>20000</v>
      </c>
      <c r="H546">
        <f>_xlfn.XLOOKUP(B546,[2]保证金申请!$A:$A,[2]保证金申请!$K:$K)</f>
        <v>20000</v>
      </c>
      <c r="I546">
        <f t="shared" si="24"/>
        <v>7</v>
      </c>
      <c r="J546">
        <f t="shared" si="25"/>
        <v>0</v>
      </c>
      <c r="K546" t="b">
        <f t="shared" si="26"/>
        <v>1</v>
      </c>
    </row>
    <row r="547" spans="1:11">
      <c r="A547" t="s">
        <v>1794</v>
      </c>
      <c r="B547" t="s">
        <v>1794</v>
      </c>
      <c r="C547">
        <f>_xlfn.XLOOKUP(A547,保证金登记!B:B,保证金登记!E:E)</f>
        <v>45295</v>
      </c>
      <c r="D547" t="str">
        <f>_xlfn.XLOOKUP(B547,[2]保证金申请!$A:$A,[2]保证金申请!$C:$C)</f>
        <v>2024-01-04</v>
      </c>
      <c r="E547" t="str">
        <f>_xlfn.XLOOKUP(A547,保证金登记!B:B,保证金登记!I:I)</f>
        <v>青海发投碱业有限公司</v>
      </c>
      <c r="F547" t="str">
        <f>_xlfn.XLOOKUP(B547,[2]保证金申请!$A:$A,[2]保证金申请!$Q:$Q)</f>
        <v>青海发投碱业有限公司</v>
      </c>
      <c r="G547">
        <f>_xlfn.XLOOKUP(A547,保证金登记!B:B,保证金登记!J:J)</f>
        <v>27999</v>
      </c>
      <c r="H547">
        <f>_xlfn.XLOOKUP(B547,[2]保证金申请!$A:$A,[2]保证金申请!$K:$K)</f>
        <v>27999</v>
      </c>
      <c r="I547">
        <f t="shared" si="24"/>
        <v>0</v>
      </c>
      <c r="J547">
        <f t="shared" si="25"/>
        <v>0</v>
      </c>
      <c r="K547" t="b">
        <f t="shared" si="26"/>
        <v>1</v>
      </c>
    </row>
    <row r="548" spans="1:11">
      <c r="A548" t="s">
        <v>1795</v>
      </c>
      <c r="B548" t="s">
        <v>1795</v>
      </c>
      <c r="C548">
        <f>_xlfn.XLOOKUP(A548,保证金登记!B:B,保证金登记!E:E)</f>
        <v>45296</v>
      </c>
      <c r="D548" t="str">
        <f>_xlfn.XLOOKUP(B548,[2]保证金申请!$A:$A,[2]保证金申请!$C:$C)</f>
        <v>2024-01-05</v>
      </c>
      <c r="E548" t="str">
        <f>_xlfn.XLOOKUP(A548,保证金登记!B:B,保证金登记!I:I)</f>
        <v>青海发投碱业有限公司</v>
      </c>
      <c r="F548" t="str">
        <f>_xlfn.XLOOKUP(B548,[2]保证金申请!$A:$A,[2]保证金申请!$Q:$Q)</f>
        <v>青海发投碱业有限公司</v>
      </c>
      <c r="G548">
        <f>_xlfn.XLOOKUP(A548,保证金登记!B:B,保证金登记!J:J)</f>
        <v>27999</v>
      </c>
      <c r="H548">
        <f>_xlfn.XLOOKUP(B548,[2]保证金申请!$A:$A,[2]保证金申请!$K:$K)</f>
        <v>27999</v>
      </c>
      <c r="I548">
        <f t="shared" si="24"/>
        <v>0</v>
      </c>
      <c r="J548">
        <f t="shared" si="25"/>
        <v>0</v>
      </c>
      <c r="K548" t="b">
        <f t="shared" si="26"/>
        <v>1</v>
      </c>
    </row>
    <row r="549" spans="1:11">
      <c r="A549" t="s">
        <v>1796</v>
      </c>
      <c r="B549" t="s">
        <v>1796</v>
      </c>
      <c r="C549">
        <f>_xlfn.XLOOKUP(A549,保证金登记!B:B,保证金登记!E:E)</f>
        <v>45299</v>
      </c>
      <c r="D549" t="str">
        <f>_xlfn.XLOOKUP(B549,[2]保证金申请!$A:$A,[2]保证金申请!$C:$C)</f>
        <v>2024-01-08</v>
      </c>
      <c r="E549" t="str">
        <f>_xlfn.XLOOKUP(A549,保证金登记!B:B,保证金登记!I:I)</f>
        <v>青海发投碱业有限公司</v>
      </c>
      <c r="F549" t="str">
        <f>_xlfn.XLOOKUP(B549,[2]保证金申请!$A:$A,[2]保证金申请!$Q:$Q)</f>
        <v>青海发投碱业有限公司</v>
      </c>
      <c r="G549">
        <f>_xlfn.XLOOKUP(A549,保证金登记!B:B,保证金登记!J:J)</f>
        <v>28000</v>
      </c>
      <c r="H549">
        <f>_xlfn.XLOOKUP(B549,[2]保证金申请!$A:$A,[2]保证金申请!$K:$K)</f>
        <v>28000</v>
      </c>
      <c r="I549">
        <f t="shared" si="24"/>
        <v>0</v>
      </c>
      <c r="J549">
        <f t="shared" si="25"/>
        <v>0</v>
      </c>
      <c r="K549" t="b">
        <f t="shared" si="26"/>
        <v>1</v>
      </c>
    </row>
    <row r="550" spans="1:11">
      <c r="A550" t="s">
        <v>1797</v>
      </c>
      <c r="B550" t="s">
        <v>1797</v>
      </c>
      <c r="C550">
        <f>_xlfn.XLOOKUP(A550,保证金登记!B:B,保证金登记!E:E)</f>
        <v>0</v>
      </c>
      <c r="D550" t="str">
        <f>_xlfn.XLOOKUP(B550,[2]保证金申请!$A:$A,[2]保证金申请!$C:$C)</f>
        <v>2024-01-09</v>
      </c>
      <c r="E550" t="str">
        <f>_xlfn.XLOOKUP(A550,保证金登记!B:B,保证金登记!I:I)</f>
        <v>东方希望重庆水泥有限公司</v>
      </c>
      <c r="F550" t="str">
        <f>_xlfn.XLOOKUP(B550,[2]保证金申请!$A:$A,[2]保证金申请!$Q:$Q)</f>
        <v>东方希望重庆水泥有限公司</v>
      </c>
      <c r="G550">
        <f>_xlfn.XLOOKUP(A550,保证金登记!B:B,保证金登记!J:J)</f>
        <v>0</v>
      </c>
      <c r="H550">
        <f>_xlfn.XLOOKUP(B550,[2]保证金申请!$A:$A,[2]保证金申请!$K:$K)</f>
        <v>0</v>
      </c>
      <c r="I550">
        <f t="shared" si="24"/>
        <v>-45300</v>
      </c>
      <c r="J550">
        <f t="shared" si="25"/>
        <v>0</v>
      </c>
      <c r="K550" t="b">
        <f t="shared" si="26"/>
        <v>1</v>
      </c>
    </row>
    <row r="551" spans="1:11">
      <c r="A551" t="s">
        <v>1800</v>
      </c>
      <c r="B551" t="s">
        <v>1800</v>
      </c>
      <c r="C551">
        <f>_xlfn.XLOOKUP(A551,保证金登记!B:B,保证金登记!E:E)</f>
        <v>45302</v>
      </c>
      <c r="D551" t="str">
        <f>_xlfn.XLOOKUP(B551,[2]保证金申请!$A:$A,[2]保证金申请!$C:$C)</f>
        <v>2024-01-09</v>
      </c>
      <c r="E551" t="str">
        <f>_xlfn.XLOOKUP(A551,保证金登记!B:B,保证金登记!I:I)</f>
        <v>日钢营口中板有限公司</v>
      </c>
      <c r="F551" t="str">
        <f>_xlfn.XLOOKUP(B551,[2]保证金申请!$A:$A,[2]保证金申请!$Q:$Q)</f>
        <v>日钢营口中板有限公司</v>
      </c>
      <c r="G551">
        <f>_xlfn.XLOOKUP(A551,保证金登记!B:B,保证金登记!J:J)</f>
        <v>30000</v>
      </c>
      <c r="H551">
        <f>_xlfn.XLOOKUP(B551,[2]保证金申请!$A:$A,[2]保证金申请!$K:$K)</f>
        <v>30000</v>
      </c>
      <c r="I551">
        <f t="shared" si="24"/>
        <v>2</v>
      </c>
      <c r="J551">
        <f t="shared" si="25"/>
        <v>0</v>
      </c>
      <c r="K551" t="b">
        <f t="shared" si="26"/>
        <v>1</v>
      </c>
    </row>
    <row r="552" spans="1:11">
      <c r="A552" t="s">
        <v>1803</v>
      </c>
      <c r="B552" t="s">
        <v>1803</v>
      </c>
      <c r="C552">
        <f>_xlfn.XLOOKUP(A552,保证金登记!B:B,保证金登记!E:E)</f>
        <v>45300</v>
      </c>
      <c r="D552" t="str">
        <f>_xlfn.XLOOKUP(B552,[2]保证金申请!$A:$A,[2]保证金申请!$C:$C)</f>
        <v>2024-01-09</v>
      </c>
      <c r="E552" t="str">
        <f>_xlfn.XLOOKUP(A552,保证金登记!B:B,保证金登记!I:I)</f>
        <v>青海发投碱业有限公司</v>
      </c>
      <c r="F552" t="str">
        <f>_xlfn.XLOOKUP(B552,[2]保证金申请!$A:$A,[2]保证金申请!$Q:$Q)</f>
        <v>青海发投碱业有限公司</v>
      </c>
      <c r="G552">
        <f>_xlfn.XLOOKUP(A552,保证金登记!B:B,保证金登记!J:J)</f>
        <v>47850</v>
      </c>
      <c r="H552">
        <f>_xlfn.XLOOKUP(B552,[2]保证金申请!$A:$A,[2]保证金申请!$K:$K)</f>
        <v>47850</v>
      </c>
      <c r="I552">
        <f t="shared" si="24"/>
        <v>0</v>
      </c>
      <c r="J552">
        <f t="shared" si="25"/>
        <v>0</v>
      </c>
      <c r="K552" t="b">
        <f t="shared" si="26"/>
        <v>1</v>
      </c>
    </row>
    <row r="553" spans="1:11">
      <c r="A553" t="s">
        <v>1806</v>
      </c>
      <c r="B553" t="s">
        <v>1806</v>
      </c>
      <c r="C553">
        <f>_xlfn.XLOOKUP(A553,保证金登记!B:B,保证金登记!E:E)</f>
        <v>45300</v>
      </c>
      <c r="D553" t="str">
        <f>_xlfn.XLOOKUP(B553,[2]保证金申请!$A:$A,[2]保证金申请!$C:$C)</f>
        <v>2024-01-09</v>
      </c>
      <c r="E553" t="str">
        <f>_xlfn.XLOOKUP(A553,保证金登记!B:B,保证金登记!I:I)</f>
        <v>青海发投碱业有限公司</v>
      </c>
      <c r="F553" t="str">
        <f>_xlfn.XLOOKUP(B553,[2]保证金申请!$A:$A,[2]保证金申请!$Q:$Q)</f>
        <v>青海发投碱业有限公司</v>
      </c>
      <c r="G553">
        <f>_xlfn.XLOOKUP(A553,保证金登记!B:B,保证金登记!J:J)</f>
        <v>47850</v>
      </c>
      <c r="H553">
        <f>_xlfn.XLOOKUP(B553,[2]保证金申请!$A:$A,[2]保证金申请!$K:$K)</f>
        <v>47850</v>
      </c>
      <c r="I553">
        <f t="shared" si="24"/>
        <v>0</v>
      </c>
      <c r="J553">
        <f t="shared" si="25"/>
        <v>0</v>
      </c>
      <c r="K553" t="b">
        <f t="shared" si="26"/>
        <v>1</v>
      </c>
    </row>
    <row r="554" spans="1:11">
      <c r="A554" t="s">
        <v>1807</v>
      </c>
      <c r="B554" t="s">
        <v>1807</v>
      </c>
      <c r="C554">
        <f>_xlfn.XLOOKUP(A554,保证金登记!B:B,保证金登记!E:E)</f>
        <v>45306</v>
      </c>
      <c r="D554" t="str">
        <f>_xlfn.XLOOKUP(B554,[2]保证金申请!$A:$A,[2]保证金申请!$C:$C)</f>
        <v>2024-01-12</v>
      </c>
      <c r="E554" t="str">
        <f>_xlfn.XLOOKUP(A554,保证金登记!B:B,保证金登记!I:I)</f>
        <v>内蒙古冀东水泥有限责任公司</v>
      </c>
      <c r="F554" t="str">
        <f>_xlfn.XLOOKUP(B554,[2]保证金申请!$A:$A,[2]保证金申请!$Q:$Q)</f>
        <v/>
      </c>
      <c r="G554">
        <f>_xlfn.XLOOKUP(A554,保证金登记!B:B,保证金登记!J:J)</f>
        <v>20000</v>
      </c>
      <c r="H554">
        <f>_xlfn.XLOOKUP(B554,[2]保证金申请!$A:$A,[2]保证金申请!$K:$K)</f>
        <v>20000</v>
      </c>
      <c r="I554">
        <f t="shared" si="24"/>
        <v>3</v>
      </c>
      <c r="J554">
        <f t="shared" si="25"/>
        <v>0</v>
      </c>
      <c r="K554" t="b">
        <f t="shared" si="26"/>
        <v>0</v>
      </c>
    </row>
    <row r="555" spans="1:11">
      <c r="A555" t="s">
        <v>1809</v>
      </c>
      <c r="B555" t="s">
        <v>1809</v>
      </c>
      <c r="C555">
        <f>_xlfn.XLOOKUP(A555,保证金登记!B:B,保证金登记!E:E)</f>
        <v>45306</v>
      </c>
      <c r="D555" t="str">
        <f>_xlfn.XLOOKUP(B555,[2]保证金申请!$A:$A,[2]保证金申请!$C:$C)</f>
        <v>2024-01-15</v>
      </c>
      <c r="E555" t="str">
        <f>_xlfn.XLOOKUP(A555,保证金登记!B:B,保证金登记!I:I)</f>
        <v>青海发投碱业有限公司</v>
      </c>
      <c r="F555" t="str">
        <f>_xlfn.XLOOKUP(B555,[2]保证金申请!$A:$A,[2]保证金申请!$Q:$Q)</f>
        <v>青海发投碱业有限公司</v>
      </c>
      <c r="G555">
        <f>_xlfn.XLOOKUP(A555,保证金登记!B:B,保证金登记!J:J)</f>
        <v>10000</v>
      </c>
      <c r="H555">
        <f>_xlfn.XLOOKUP(B555,[2]保证金申请!$A:$A,[2]保证金申请!$K:$K)</f>
        <v>10000</v>
      </c>
      <c r="I555">
        <f t="shared" si="24"/>
        <v>0</v>
      </c>
      <c r="J555">
        <f t="shared" si="25"/>
        <v>0</v>
      </c>
      <c r="K555" t="b">
        <f t="shared" si="26"/>
        <v>1</v>
      </c>
    </row>
    <row r="556" spans="1:11">
      <c r="A556" t="s">
        <v>1811</v>
      </c>
      <c r="B556" t="s">
        <v>1811</v>
      </c>
      <c r="C556">
        <f>_xlfn.XLOOKUP(A556,保证金登记!B:B,保证金登记!E:E)</f>
        <v>45306</v>
      </c>
      <c r="D556" t="str">
        <f>_xlfn.XLOOKUP(B556,[2]保证金申请!$A:$A,[2]保证金申请!$C:$C)</f>
        <v>2024-01-15</v>
      </c>
      <c r="E556" t="str">
        <f>_xlfn.XLOOKUP(A556,保证金登记!B:B,保证金登记!I:I)</f>
        <v>青海发投碱业有限公司</v>
      </c>
      <c r="F556" t="str">
        <f>_xlfn.XLOOKUP(B556,[2]保证金申请!$A:$A,[2]保证金申请!$Q:$Q)</f>
        <v>青海发投碱业有限公司</v>
      </c>
      <c r="G556">
        <f>_xlfn.XLOOKUP(A556,保证金登记!B:B,保证金登记!J:J)</f>
        <v>3050</v>
      </c>
      <c r="H556">
        <f>_xlfn.XLOOKUP(B556,[2]保证金申请!$A:$A,[2]保证金申请!$K:$K)</f>
        <v>3050</v>
      </c>
      <c r="I556">
        <f t="shared" si="24"/>
        <v>0</v>
      </c>
      <c r="J556">
        <f t="shared" si="25"/>
        <v>0</v>
      </c>
      <c r="K556" t="b">
        <f t="shared" si="26"/>
        <v>1</v>
      </c>
    </row>
    <row r="557" spans="1:11">
      <c r="A557" t="s">
        <v>1813</v>
      </c>
      <c r="B557" t="s">
        <v>1813</v>
      </c>
      <c r="C557">
        <f>_xlfn.XLOOKUP(A557,保证金登记!B:B,保证金登记!E:E)</f>
        <v>0</v>
      </c>
      <c r="D557" t="str">
        <f>_xlfn.XLOOKUP(B557,[2]保证金申请!$A:$A,[2]保证金申请!$C:$C)</f>
        <v>2024-01-16</v>
      </c>
      <c r="E557" t="str">
        <f>_xlfn.XLOOKUP(A557,保证金登记!B:B,保证金登记!I:I)</f>
        <v>新疆宜化化工有限公司</v>
      </c>
      <c r="F557" t="str">
        <f>_xlfn.XLOOKUP(B557,[2]保证金申请!$A:$A,[2]保证金申请!$Q:$Q)</f>
        <v>新疆宜化化工有限公司</v>
      </c>
      <c r="G557">
        <f>_xlfn.XLOOKUP(A557,保证金登记!B:B,保证金登记!J:J)</f>
        <v>0</v>
      </c>
      <c r="H557">
        <f>_xlfn.XLOOKUP(B557,[2]保证金申请!$A:$A,[2]保证金申请!$K:$K)</f>
        <v>0</v>
      </c>
      <c r="I557">
        <f t="shared" si="24"/>
        <v>-45307</v>
      </c>
      <c r="J557">
        <f t="shared" si="25"/>
        <v>0</v>
      </c>
      <c r="K557" t="b">
        <f t="shared" si="26"/>
        <v>1</v>
      </c>
    </row>
    <row r="558" spans="1:11">
      <c r="A558" t="s">
        <v>1816</v>
      </c>
      <c r="B558" t="s">
        <v>1816</v>
      </c>
      <c r="C558">
        <f>_xlfn.XLOOKUP(A558,保证金登记!B:B,保证金登记!E:E)</f>
        <v>45307</v>
      </c>
      <c r="D558" t="str">
        <f>_xlfn.XLOOKUP(B558,[2]保证金申请!$A:$A,[2]保证金申请!$C:$C)</f>
        <v>2024-01-16</v>
      </c>
      <c r="E558" t="str">
        <f>_xlfn.XLOOKUP(A558,保证金登记!B:B,保证金登记!I:I)</f>
        <v>青海发投碱业有限公司</v>
      </c>
      <c r="F558" t="str">
        <f>_xlfn.XLOOKUP(B558,[2]保证金申请!$A:$A,[2]保证金申请!$Q:$Q)</f>
        <v>青海发投碱业有限公司</v>
      </c>
      <c r="G558">
        <f>_xlfn.XLOOKUP(A558,保证金登记!B:B,保证金登记!J:J)</f>
        <v>3050</v>
      </c>
      <c r="H558">
        <f>_xlfn.XLOOKUP(B558,[2]保证金申请!$A:$A,[2]保证金申请!$K:$K)</f>
        <v>3050</v>
      </c>
      <c r="I558">
        <f t="shared" si="24"/>
        <v>0</v>
      </c>
      <c r="J558">
        <f t="shared" si="25"/>
        <v>0</v>
      </c>
      <c r="K558" t="b">
        <f t="shared" si="26"/>
        <v>1</v>
      </c>
    </row>
    <row r="559" spans="1:11">
      <c r="A559" t="s">
        <v>1819</v>
      </c>
      <c r="B559" t="s">
        <v>1819</v>
      </c>
      <c r="C559">
        <f>_xlfn.XLOOKUP(A559,保证金登记!B:B,保证金登记!E:E)</f>
        <v>45307</v>
      </c>
      <c r="D559" t="str">
        <f>_xlfn.XLOOKUP(B559,[2]保证金申请!$A:$A,[2]保证金申请!$C:$C)</f>
        <v>2024-01-16</v>
      </c>
      <c r="E559" t="str">
        <f>_xlfn.XLOOKUP(A559,保证金登记!B:B,保证金登记!I:I)</f>
        <v>青海发投碱业有限公司</v>
      </c>
      <c r="F559" t="str">
        <f>_xlfn.XLOOKUP(B559,[2]保证金申请!$A:$A,[2]保证金申请!$Q:$Q)</f>
        <v>青海发投碱业有限公司</v>
      </c>
      <c r="G559">
        <f>_xlfn.XLOOKUP(A559,保证金登记!B:B,保证金登记!J:J)</f>
        <v>3050</v>
      </c>
      <c r="H559">
        <f>_xlfn.XLOOKUP(B559,[2]保证金申请!$A:$A,[2]保证金申请!$K:$K)</f>
        <v>3050</v>
      </c>
      <c r="I559">
        <f t="shared" si="24"/>
        <v>0</v>
      </c>
      <c r="J559">
        <f t="shared" si="25"/>
        <v>0</v>
      </c>
      <c r="K559" t="b">
        <f t="shared" si="26"/>
        <v>1</v>
      </c>
    </row>
    <row r="560" spans="1:11">
      <c r="A560" t="s">
        <v>1820</v>
      </c>
      <c r="B560" t="s">
        <v>1820</v>
      </c>
      <c r="C560">
        <f>_xlfn.XLOOKUP(A560,保证金登记!B:B,保证金登记!E:E)</f>
        <v>45307</v>
      </c>
      <c r="D560" t="str">
        <f>_xlfn.XLOOKUP(B560,[2]保证金申请!$A:$A,[2]保证金申请!$C:$C)</f>
        <v>2024-01-16</v>
      </c>
      <c r="E560" t="str">
        <f>_xlfn.XLOOKUP(A560,保证金登记!B:B,保证金登记!I:I)</f>
        <v>青海发投碱业有限公司</v>
      </c>
      <c r="F560" t="str">
        <f>_xlfn.XLOOKUP(B560,[2]保证金申请!$A:$A,[2]保证金申请!$Q:$Q)</f>
        <v>青海发投碱业有限公司</v>
      </c>
      <c r="G560">
        <f>_xlfn.XLOOKUP(A560,保证金登记!B:B,保证金登记!J:J)</f>
        <v>89000</v>
      </c>
      <c r="H560">
        <f>_xlfn.XLOOKUP(B560,[2]保证金申请!$A:$A,[2]保证金申请!$K:$K)</f>
        <v>89000</v>
      </c>
      <c r="I560">
        <f t="shared" si="24"/>
        <v>0</v>
      </c>
      <c r="J560">
        <f t="shared" si="25"/>
        <v>0</v>
      </c>
      <c r="K560" t="b">
        <f t="shared" si="26"/>
        <v>1</v>
      </c>
    </row>
    <row r="561" spans="1:11">
      <c r="A561" t="s">
        <v>1822</v>
      </c>
      <c r="B561" t="s">
        <v>1822</v>
      </c>
      <c r="C561">
        <f>_xlfn.XLOOKUP(A561,保证金登记!B:B,保证金登记!E:E)</f>
        <v>45308</v>
      </c>
      <c r="D561" t="str">
        <f>_xlfn.XLOOKUP(B561,[2]保证金申请!$A:$A,[2]保证金申请!$C:$C)</f>
        <v>2024-01-17</v>
      </c>
      <c r="E561" t="str">
        <f>_xlfn.XLOOKUP(A561,保证金登记!B:B,保证金登记!I:I)</f>
        <v>日钢营口中板有限公司</v>
      </c>
      <c r="F561" t="str">
        <f>_xlfn.XLOOKUP(B561,[2]保证金申请!$A:$A,[2]保证金申请!$Q:$Q)</f>
        <v>日钢营口中板有限公司</v>
      </c>
      <c r="G561">
        <f>_xlfn.XLOOKUP(A561,保证金登记!B:B,保证金登记!J:J)</f>
        <v>32000</v>
      </c>
      <c r="H561">
        <f>_xlfn.XLOOKUP(B561,[2]保证金申请!$A:$A,[2]保证金申请!$K:$K)</f>
        <v>32000</v>
      </c>
      <c r="I561">
        <f t="shared" si="24"/>
        <v>0</v>
      </c>
      <c r="J561">
        <f t="shared" si="25"/>
        <v>0</v>
      </c>
      <c r="K561" t="b">
        <f t="shared" si="26"/>
        <v>1</v>
      </c>
    </row>
    <row r="562" spans="1:11">
      <c r="A562" t="s">
        <v>1823</v>
      </c>
      <c r="B562" t="s">
        <v>1823</v>
      </c>
      <c r="C562">
        <f>_xlfn.XLOOKUP(A562,保证金登记!B:B,保证金登记!E:E)</f>
        <v>45309</v>
      </c>
      <c r="D562" t="str">
        <f>_xlfn.XLOOKUP(B562,[2]保证金申请!$A:$A,[2]保证金申请!$C:$C)</f>
        <v>2024-01-18</v>
      </c>
      <c r="E562" t="str">
        <f>_xlfn.XLOOKUP(A562,保证金登记!B:B,保证金登记!I:I)</f>
        <v>青海发投碱业有限公司</v>
      </c>
      <c r="F562" t="str">
        <f>_xlfn.XLOOKUP(B562,[2]保证金申请!$A:$A,[2]保证金申请!$Q:$Q)</f>
        <v>青海发投碱业有限公司</v>
      </c>
      <c r="G562">
        <f>_xlfn.XLOOKUP(A562,保证金登记!B:B,保证金登记!J:J)</f>
        <v>4450</v>
      </c>
      <c r="H562">
        <f>_xlfn.XLOOKUP(B562,[2]保证金申请!$A:$A,[2]保证金申请!$K:$K)</f>
        <v>4450</v>
      </c>
      <c r="I562">
        <f t="shared" si="24"/>
        <v>0</v>
      </c>
      <c r="J562">
        <f t="shared" si="25"/>
        <v>0</v>
      </c>
      <c r="K562" t="b">
        <f t="shared" si="26"/>
        <v>1</v>
      </c>
    </row>
    <row r="563" spans="1:11">
      <c r="A563" t="s">
        <v>1825</v>
      </c>
      <c r="B563" t="s">
        <v>1825</v>
      </c>
      <c r="C563">
        <f>_xlfn.XLOOKUP(A563,保证金登记!B:B,保证金登记!E:E)</f>
        <v>45310</v>
      </c>
      <c r="D563" t="str">
        <f>_xlfn.XLOOKUP(B563,[2]保证金申请!$A:$A,[2]保证金申请!$C:$C)</f>
        <v>2024-01-18</v>
      </c>
      <c r="E563" t="str">
        <f>_xlfn.XLOOKUP(A563,保证金登记!B:B,保证金登记!I:I)</f>
        <v>青海发投碱业有限公司</v>
      </c>
      <c r="F563" t="str">
        <f>_xlfn.XLOOKUP(B563,[2]保证金申请!$A:$A,[2]保证金申请!$Q:$Q)</f>
        <v>青海发投碱业有限公司</v>
      </c>
      <c r="G563">
        <f>_xlfn.XLOOKUP(A563,保证金登记!B:B,保证金登记!J:J)</f>
        <v>10000</v>
      </c>
      <c r="H563">
        <f>_xlfn.XLOOKUP(B563,[2]保证金申请!$A:$A,[2]保证金申请!$K:$K)</f>
        <v>10000</v>
      </c>
      <c r="I563">
        <f t="shared" si="24"/>
        <v>1</v>
      </c>
      <c r="J563">
        <f t="shared" si="25"/>
        <v>0</v>
      </c>
      <c r="K563" t="b">
        <f t="shared" si="26"/>
        <v>1</v>
      </c>
    </row>
    <row r="564" spans="1:11">
      <c r="A564" t="s">
        <v>1827</v>
      </c>
      <c r="B564" t="s">
        <v>1827</v>
      </c>
      <c r="C564">
        <f>_xlfn.XLOOKUP(A564,保证金登记!B:B,保证金登记!E:E)</f>
        <v>45314</v>
      </c>
      <c r="D564" t="str">
        <f>_xlfn.XLOOKUP(B564,[2]保证金申请!$A:$A,[2]保证金申请!$C:$C)</f>
        <v>2024-01-23</v>
      </c>
      <c r="E564" t="str">
        <f>_xlfn.XLOOKUP(A564,保证金登记!B:B,保证金登记!I:I)</f>
        <v>青海发投碱业有限公司</v>
      </c>
      <c r="F564" t="str">
        <f>_xlfn.XLOOKUP(B564,[2]保证金申请!$A:$A,[2]保证金申请!$Q:$Q)</f>
        <v>青海发投碱业有限公司</v>
      </c>
      <c r="G564">
        <f>_xlfn.XLOOKUP(A564,保证金登记!B:B,保证金登记!J:J)</f>
        <v>30000</v>
      </c>
      <c r="H564">
        <f>_xlfn.XLOOKUP(B564,[2]保证金申请!$A:$A,[2]保证金申请!$K:$K)</f>
        <v>30000</v>
      </c>
      <c r="I564">
        <f t="shared" si="24"/>
        <v>0</v>
      </c>
      <c r="J564">
        <f t="shared" si="25"/>
        <v>0</v>
      </c>
      <c r="K564" t="b">
        <f t="shared" si="26"/>
        <v>1</v>
      </c>
    </row>
    <row r="565" spans="1:11">
      <c r="A565" t="s">
        <v>1828</v>
      </c>
      <c r="B565" t="s">
        <v>1828</v>
      </c>
      <c r="C565">
        <f>_xlfn.XLOOKUP(A565,保证金登记!B:B,保证金登记!E:E)</f>
        <v>45320</v>
      </c>
      <c r="D565" t="str">
        <f>_xlfn.XLOOKUP(B565,[2]保证金申请!$A:$A,[2]保证金申请!$C:$C)</f>
        <v>2024-01-29</v>
      </c>
      <c r="E565" t="str">
        <f>_xlfn.XLOOKUP(A565,保证金登记!B:B,保证金登记!I:I)</f>
        <v>青海发投碱业有限公司</v>
      </c>
      <c r="F565" t="str">
        <f>_xlfn.XLOOKUP(B565,[2]保证金申请!$A:$A,[2]保证金申请!$Q:$Q)</f>
        <v>青海发投碱业有限公司</v>
      </c>
      <c r="G565">
        <f>_xlfn.XLOOKUP(A565,保证金登记!B:B,保证金登记!J:J)</f>
        <v>15975</v>
      </c>
      <c r="H565">
        <f>_xlfn.XLOOKUP(B565,[2]保证金申请!$A:$A,[2]保证金申请!$K:$K)</f>
        <v>15975</v>
      </c>
      <c r="I565">
        <f t="shared" si="24"/>
        <v>0</v>
      </c>
      <c r="J565">
        <f t="shared" si="25"/>
        <v>0</v>
      </c>
      <c r="K565" t="b">
        <f t="shared" si="26"/>
        <v>1</v>
      </c>
    </row>
    <row r="566" spans="1:11">
      <c r="A566" t="s">
        <v>1830</v>
      </c>
      <c r="B566" t="s">
        <v>1830</v>
      </c>
      <c r="C566">
        <f>_xlfn.XLOOKUP(A566,保证金登记!B:B,保证金登记!E:E)</f>
        <v>45321</v>
      </c>
      <c r="D566" t="str">
        <f>_xlfn.XLOOKUP(B566,[2]保证金申请!$A:$A,[2]保证金申请!$C:$C)</f>
        <v>2024-01-29</v>
      </c>
      <c r="E566" t="str">
        <f>_xlfn.XLOOKUP(A566,保证金登记!B:B,保证金登记!I:I)</f>
        <v>青海发投碱业有限公司</v>
      </c>
      <c r="F566" t="str">
        <f>_xlfn.XLOOKUP(B566,[2]保证金申请!$A:$A,[2]保证金申请!$Q:$Q)</f>
        <v>青海发投碱业有限公司</v>
      </c>
      <c r="G566">
        <f>_xlfn.XLOOKUP(A566,保证金登记!B:B,保证金登记!J:J)</f>
        <v>17000</v>
      </c>
      <c r="H566">
        <f>_xlfn.XLOOKUP(B566,[2]保证金申请!$A:$A,[2]保证金申请!$K:$K)</f>
        <v>17000</v>
      </c>
      <c r="I566">
        <f t="shared" si="24"/>
        <v>1</v>
      </c>
      <c r="J566">
        <f t="shared" si="25"/>
        <v>0</v>
      </c>
      <c r="K566" t="b">
        <f t="shared" si="26"/>
        <v>1</v>
      </c>
    </row>
    <row r="567" spans="1:11">
      <c r="A567" t="s">
        <v>1832</v>
      </c>
      <c r="B567" t="s">
        <v>1832</v>
      </c>
      <c r="C567">
        <f>_xlfn.XLOOKUP(A567,保证金登记!B:B,保证金登记!E:E)</f>
        <v>45320</v>
      </c>
      <c r="D567" t="str">
        <f>_xlfn.XLOOKUP(B567,[2]保证金申请!$A:$A,[2]保证金申请!$C:$C)</f>
        <v>2024-01-29</v>
      </c>
      <c r="E567" t="str">
        <f>_xlfn.XLOOKUP(A567,保证金登记!B:B,保证金登记!I:I)</f>
        <v>青海发投碱业有限公司</v>
      </c>
      <c r="F567" t="str">
        <f>_xlfn.XLOOKUP(B567,[2]保证金申请!$A:$A,[2]保证金申请!$Q:$Q)</f>
        <v>青海发投碱业有限公司</v>
      </c>
      <c r="G567">
        <f>_xlfn.XLOOKUP(A567,保证金登记!B:B,保证金登记!J:J)</f>
        <v>88500</v>
      </c>
      <c r="H567">
        <f>_xlfn.XLOOKUP(B567,[2]保证金申请!$A:$A,[2]保证金申请!$K:$K)</f>
        <v>88500</v>
      </c>
      <c r="I567">
        <f t="shared" si="24"/>
        <v>0</v>
      </c>
      <c r="J567">
        <f t="shared" si="25"/>
        <v>0</v>
      </c>
      <c r="K567" t="b">
        <f t="shared" si="26"/>
        <v>1</v>
      </c>
    </row>
    <row r="568" spans="1:11">
      <c r="A568" t="s">
        <v>1834</v>
      </c>
      <c r="B568" t="s">
        <v>1834</v>
      </c>
      <c r="C568">
        <f>_xlfn.XLOOKUP(A568,保证金登记!B:B,保证金登记!E:E)</f>
        <v>45320</v>
      </c>
      <c r="D568" t="str">
        <f>_xlfn.XLOOKUP(B568,[2]保证金申请!$A:$A,[2]保证金申请!$C:$C)</f>
        <v>2024-01-29</v>
      </c>
      <c r="E568" t="str">
        <f>_xlfn.XLOOKUP(A568,保证金登记!B:B,保证金登记!I:I)</f>
        <v>青海发投碱业有限公司</v>
      </c>
      <c r="F568" t="str">
        <f>_xlfn.XLOOKUP(B568,[2]保证金申请!$A:$A,[2]保证金申请!$Q:$Q)</f>
        <v>28500001040010582</v>
      </c>
      <c r="G568">
        <f>_xlfn.XLOOKUP(A568,保证金登记!B:B,保证金登记!J:J)</f>
        <v>17000</v>
      </c>
      <c r="H568">
        <f>_xlfn.XLOOKUP(B568,[2]保证金申请!$A:$A,[2]保证金申请!$K:$K)</f>
        <v>17000</v>
      </c>
      <c r="I568">
        <f t="shared" si="24"/>
        <v>0</v>
      </c>
      <c r="J568">
        <f t="shared" si="25"/>
        <v>0</v>
      </c>
      <c r="K568" t="b">
        <f t="shared" si="26"/>
        <v>0</v>
      </c>
    </row>
    <row r="569" spans="1:11">
      <c r="A569" t="s">
        <v>1835</v>
      </c>
      <c r="B569" t="s">
        <v>1835</v>
      </c>
      <c r="C569">
        <f>_xlfn.XLOOKUP(A569,保证金登记!B:B,保证金登记!E:E)</f>
        <v>45321</v>
      </c>
      <c r="D569" t="str">
        <f>_xlfn.XLOOKUP(B569,[2]保证金申请!$A:$A,[2]保证金申请!$C:$C)</f>
        <v>2024-01-30</v>
      </c>
      <c r="E569" t="str">
        <f>_xlfn.XLOOKUP(A569,保证金登记!B:B,保证金登记!I:I)</f>
        <v>青海发投碱业有限公司</v>
      </c>
      <c r="F569" t="str">
        <f>_xlfn.XLOOKUP(B569,[2]保证金申请!$A:$A,[2]保证金申请!$Q:$Q)</f>
        <v>青海发投碱业有限公司</v>
      </c>
      <c r="G569">
        <f>_xlfn.XLOOKUP(A569,保证金登记!B:B,保证金登记!J:J)</f>
        <v>29000</v>
      </c>
      <c r="H569">
        <f>_xlfn.XLOOKUP(B569,[2]保证金申请!$A:$A,[2]保证金申请!$K:$K)</f>
        <v>29000</v>
      </c>
      <c r="I569">
        <f t="shared" si="24"/>
        <v>0</v>
      </c>
      <c r="J569">
        <f t="shared" si="25"/>
        <v>0</v>
      </c>
      <c r="K569" t="b">
        <f t="shared" si="26"/>
        <v>1</v>
      </c>
    </row>
    <row r="570" spans="1:11">
      <c r="A570" t="s">
        <v>1837</v>
      </c>
      <c r="B570" t="s">
        <v>1837</v>
      </c>
      <c r="C570">
        <f>_xlfn.XLOOKUP(A570,保证金登记!B:B,保证金登记!E:E)</f>
        <v>45321</v>
      </c>
      <c r="D570" t="str">
        <f>_xlfn.XLOOKUP(B570,[2]保证金申请!$A:$A,[2]保证金申请!$C:$C)</f>
        <v>2024-01-30</v>
      </c>
      <c r="E570" t="str">
        <f>_xlfn.XLOOKUP(A570,保证金登记!B:B,保证金登记!I:I)</f>
        <v>青海发投碱业有限公司</v>
      </c>
      <c r="F570" t="str">
        <f>_xlfn.XLOOKUP(B570,[2]保证金申请!$A:$A,[2]保证金申请!$Q:$Q)</f>
        <v>青海发投碱业有限公司</v>
      </c>
      <c r="G570">
        <f>_xlfn.XLOOKUP(A570,保证金登记!B:B,保证金登记!J:J)</f>
        <v>4450</v>
      </c>
      <c r="H570">
        <f>_xlfn.XLOOKUP(B570,[2]保证金申请!$A:$A,[2]保证金申请!$K:$K)</f>
        <v>4450</v>
      </c>
      <c r="I570">
        <f t="shared" si="24"/>
        <v>0</v>
      </c>
      <c r="J570">
        <f t="shared" si="25"/>
        <v>0</v>
      </c>
      <c r="K570" t="b">
        <f t="shared" si="26"/>
        <v>1</v>
      </c>
    </row>
    <row r="571" spans="1:11">
      <c r="A571" t="s">
        <v>1846</v>
      </c>
      <c r="B571" t="s">
        <v>1846</v>
      </c>
      <c r="C571">
        <f>_xlfn.XLOOKUP(A571,保证金登记!B:B,保证金登记!E:E)</f>
        <v>45340</v>
      </c>
      <c r="D571" t="str">
        <f>_xlfn.XLOOKUP(B571,[2]保证金申请!$A:$A,[2]保证金申请!$C:$C)</f>
        <v>2024-02-01</v>
      </c>
      <c r="E571" t="str">
        <f>_xlfn.XLOOKUP(A571,保证金登记!B:B,保证金登记!I:I)</f>
        <v>青海发投碱业有限公司</v>
      </c>
      <c r="F571" t="str">
        <f>_xlfn.XLOOKUP(B571,[2]保证金申请!$A:$A,[2]保证金申请!$Q:$Q)</f>
        <v>青海发投碱业有限公司</v>
      </c>
      <c r="G571">
        <f>_xlfn.XLOOKUP(A571,保证金登记!B:B,保证金登记!J:J)</f>
        <v>20000</v>
      </c>
      <c r="H571">
        <f>_xlfn.XLOOKUP(B571,[2]保证金申请!$A:$A,[2]保证金申请!$K:$K)</f>
        <v>20000</v>
      </c>
      <c r="I571">
        <f t="shared" si="24"/>
        <v>17</v>
      </c>
      <c r="J571">
        <f t="shared" si="25"/>
        <v>0</v>
      </c>
      <c r="K571" t="b">
        <f t="shared" si="26"/>
        <v>1</v>
      </c>
    </row>
    <row r="572" spans="1:11">
      <c r="A572" t="s">
        <v>1851</v>
      </c>
      <c r="B572" t="s">
        <v>1851</v>
      </c>
      <c r="C572">
        <f>_xlfn.XLOOKUP(A572,保证金登记!B:B,保证金登记!E:E)</f>
        <v>45340</v>
      </c>
      <c r="D572" t="str">
        <f>_xlfn.XLOOKUP(B572,[2]保证金申请!$A:$A,[2]保证金申请!$C:$C)</f>
        <v>2024-02-17</v>
      </c>
      <c r="E572" t="str">
        <f>_xlfn.XLOOKUP(A572,保证金登记!B:B,保证金登记!I:I)</f>
        <v>蕉岭县龙腾旋窑水泥有限公司</v>
      </c>
      <c r="F572" t="str">
        <f>_xlfn.XLOOKUP(B572,[2]保证金申请!$A:$A,[2]保证金申请!$Q:$Q)</f>
        <v/>
      </c>
      <c r="G572">
        <f>_xlfn.XLOOKUP(A572,保证金登记!B:B,保证金登记!J:J)</f>
        <v>1000</v>
      </c>
      <c r="H572">
        <f>_xlfn.XLOOKUP(B572,[2]保证金申请!$A:$A,[2]保证金申请!$K:$K)</f>
        <v>1000</v>
      </c>
      <c r="I572">
        <f t="shared" si="24"/>
        <v>1</v>
      </c>
      <c r="J572">
        <f t="shared" si="25"/>
        <v>0</v>
      </c>
      <c r="K572" t="b">
        <f t="shared" si="26"/>
        <v>0</v>
      </c>
    </row>
    <row r="573" spans="1:11">
      <c r="A573" t="s">
        <v>1855</v>
      </c>
      <c r="B573" t="s">
        <v>1855</v>
      </c>
      <c r="C573">
        <f>_xlfn.XLOOKUP(A573,保证金登记!B:B,保证金登记!E:E)</f>
        <v>45341</v>
      </c>
      <c r="D573" t="str">
        <f>_xlfn.XLOOKUP(B573,[2]保证金申请!$A:$A,[2]保证金申请!$C:$C)</f>
        <v>2024-02-18</v>
      </c>
      <c r="E573" t="str">
        <f>_xlfn.XLOOKUP(A573,保证金登记!B:B,保证金登记!I:I)</f>
        <v>青海发投碱业有限公司</v>
      </c>
      <c r="F573" t="str">
        <f>_xlfn.XLOOKUP(B573,[2]保证金申请!$A:$A,[2]保证金申请!$Q:$Q)</f>
        <v>青海发投碱业有限公司</v>
      </c>
      <c r="G573">
        <f>_xlfn.XLOOKUP(A573,保证金登记!B:B,保证金登记!J:J)</f>
        <v>13500</v>
      </c>
      <c r="H573">
        <f>_xlfn.XLOOKUP(B573,[2]保证金申请!$A:$A,[2]保证金申请!$K:$K)</f>
        <v>13500</v>
      </c>
      <c r="I573">
        <f t="shared" si="24"/>
        <v>1</v>
      </c>
      <c r="J573">
        <f t="shared" si="25"/>
        <v>0</v>
      </c>
      <c r="K573" t="b">
        <f t="shared" si="26"/>
        <v>1</v>
      </c>
    </row>
    <row r="574" spans="1:11">
      <c r="A574" t="s">
        <v>1856</v>
      </c>
      <c r="B574" t="s">
        <v>1856</v>
      </c>
      <c r="C574">
        <f>_xlfn.XLOOKUP(A574,保证金登记!B:B,保证金登记!E:E)</f>
        <v>45355</v>
      </c>
      <c r="D574" t="str">
        <f>_xlfn.XLOOKUP(B574,[2]保证金申请!$A:$A,[2]保证金申请!$C:$C)</f>
        <v>2024-02-18</v>
      </c>
      <c r="E574" t="str">
        <f>_xlfn.XLOOKUP(A574,保证金登记!B:B,保证金登记!I:I)</f>
        <v>青海发投碱业有限公司</v>
      </c>
      <c r="F574" t="str">
        <f>_xlfn.XLOOKUP(B574,[2]保证金申请!$A:$A,[2]保证金申请!$Q:$Q)</f>
        <v>青海发投碱业有限公司</v>
      </c>
      <c r="G574">
        <f>_xlfn.XLOOKUP(A574,保证金登记!B:B,保证金登记!J:J)</f>
        <v>8000</v>
      </c>
      <c r="H574">
        <f>_xlfn.XLOOKUP(B574,[2]保证金申请!$A:$A,[2]保证金申请!$K:$K)</f>
        <v>8000</v>
      </c>
      <c r="I574">
        <f t="shared" si="24"/>
        <v>15</v>
      </c>
      <c r="J574">
        <f t="shared" si="25"/>
        <v>0</v>
      </c>
      <c r="K574" t="b">
        <f t="shared" si="26"/>
        <v>1</v>
      </c>
    </row>
    <row r="575" spans="1:11">
      <c r="A575" t="s">
        <v>1857</v>
      </c>
      <c r="B575" t="s">
        <v>1857</v>
      </c>
      <c r="C575">
        <f>_xlfn.XLOOKUP(A575,保证金登记!B:B,保证金登记!E:E)</f>
        <v>45355</v>
      </c>
      <c r="D575" t="str">
        <f>_xlfn.XLOOKUP(B575,[2]保证金申请!$A:$A,[2]保证金申请!$C:$C)</f>
        <v>2024-02-18</v>
      </c>
      <c r="E575" t="str">
        <f>_xlfn.XLOOKUP(A575,保证金登记!B:B,保证金登记!I:I)</f>
        <v>青海发投碱业有限公司</v>
      </c>
      <c r="F575" t="str">
        <f>_xlfn.XLOOKUP(B575,[2]保证金申请!$A:$A,[2]保证金申请!$Q:$Q)</f>
        <v>青海发投碱业有限公司</v>
      </c>
      <c r="G575">
        <f>_xlfn.XLOOKUP(A575,保证金登记!B:B,保证金登记!J:J)</f>
        <v>9250</v>
      </c>
      <c r="H575">
        <f>_xlfn.XLOOKUP(B575,[2]保证金申请!$A:$A,[2]保证金申请!$K:$K)</f>
        <v>9250</v>
      </c>
      <c r="I575">
        <f t="shared" si="24"/>
        <v>15</v>
      </c>
      <c r="J575">
        <f t="shared" si="25"/>
        <v>0</v>
      </c>
      <c r="K575" t="b">
        <f t="shared" si="26"/>
        <v>1</v>
      </c>
    </row>
    <row r="576" spans="1:11">
      <c r="A576" t="s">
        <v>1859</v>
      </c>
      <c r="B576" t="s">
        <v>1859</v>
      </c>
      <c r="C576">
        <f>_xlfn.XLOOKUP(A576,保证金登记!B:B,保证金登记!E:E)</f>
        <v>45342</v>
      </c>
      <c r="D576" t="str">
        <f>_xlfn.XLOOKUP(B576,[2]保证金申请!$A:$A,[2]保证金申请!$C:$C)</f>
        <v>2024-02-20</v>
      </c>
      <c r="E576" t="str">
        <f>_xlfn.XLOOKUP(A576,保证金登记!B:B,保证金登记!I:I)</f>
        <v>青海发投碱业有限公司</v>
      </c>
      <c r="F576" t="str">
        <f>_xlfn.XLOOKUP(B576,[2]保证金申请!$A:$A,[2]保证金申请!$Q:$Q)</f>
        <v>青海发投碱业有限公司</v>
      </c>
      <c r="G576">
        <f>_xlfn.XLOOKUP(A576,保证金登记!B:B,保证金登记!J:J)</f>
        <v>13500</v>
      </c>
      <c r="H576">
        <f>_xlfn.XLOOKUP(B576,[2]保证金申请!$A:$A,[2]保证金申请!$K:$K)</f>
        <v>13500</v>
      </c>
      <c r="I576">
        <f t="shared" si="24"/>
        <v>0</v>
      </c>
      <c r="J576">
        <f t="shared" si="25"/>
        <v>0</v>
      </c>
      <c r="K576" t="b">
        <f t="shared" si="26"/>
        <v>1</v>
      </c>
    </row>
    <row r="577" spans="1:11">
      <c r="A577" t="s">
        <v>1860</v>
      </c>
      <c r="B577" t="s">
        <v>1860</v>
      </c>
      <c r="C577">
        <f>_xlfn.XLOOKUP(A577,保证金登记!B:B,保证金登记!E:E)</f>
        <v>45343</v>
      </c>
      <c r="D577" t="str">
        <f>_xlfn.XLOOKUP(B577,[2]保证金申请!$A:$A,[2]保证金申请!$C:$C)</f>
        <v>2024-02-20</v>
      </c>
      <c r="E577" t="str">
        <f>_xlfn.XLOOKUP(A577,保证金登记!B:B,保证金登记!I:I)</f>
        <v>青海发投碱业有限公司</v>
      </c>
      <c r="F577" t="str">
        <f>_xlfn.XLOOKUP(B577,[2]保证金申请!$A:$A,[2]保证金申请!$Q:$Q)</f>
        <v>青海发投碱业有限公司</v>
      </c>
      <c r="G577">
        <f>_xlfn.XLOOKUP(A577,保证金登记!B:B,保证金登记!J:J)</f>
        <v>20500</v>
      </c>
      <c r="H577">
        <f>_xlfn.XLOOKUP(B577,[2]保证金申请!$A:$A,[2]保证金申请!$K:$K)</f>
        <v>20500</v>
      </c>
      <c r="I577">
        <f t="shared" si="24"/>
        <v>1</v>
      </c>
      <c r="J577">
        <f t="shared" si="25"/>
        <v>0</v>
      </c>
      <c r="K577" t="b">
        <f t="shared" si="26"/>
        <v>1</v>
      </c>
    </row>
    <row r="578" spans="1:11">
      <c r="A578" t="s">
        <v>1862</v>
      </c>
      <c r="B578" t="s">
        <v>1862</v>
      </c>
      <c r="C578">
        <f>_xlfn.XLOOKUP(A578,保证金登记!B:B,保证金登记!E:E)</f>
        <v>45342</v>
      </c>
      <c r="D578" t="str">
        <f>_xlfn.XLOOKUP(B578,[2]保证金申请!$A:$A,[2]保证金申请!$C:$C)</f>
        <v>2024-02-20</v>
      </c>
      <c r="E578" t="str">
        <f>_xlfn.XLOOKUP(A578,保证金登记!B:B,保证金登记!I:I)</f>
        <v>青海发投碱业有限公司</v>
      </c>
      <c r="F578" t="str">
        <f>_xlfn.XLOOKUP(B578,[2]保证金申请!$A:$A,[2]保证金申请!$Q:$Q)</f>
        <v>青海发投碱业有限公司</v>
      </c>
      <c r="G578">
        <f>_xlfn.XLOOKUP(A578,保证金登记!B:B,保证金登记!J:J)</f>
        <v>20500</v>
      </c>
      <c r="H578">
        <f>_xlfn.XLOOKUP(B578,[2]保证金申请!$A:$A,[2]保证金申请!$K:$K)</f>
        <v>20500</v>
      </c>
      <c r="I578">
        <f t="shared" ref="I578:I641" si="27">C578-D578</f>
        <v>0</v>
      </c>
      <c r="J578">
        <f t="shared" ref="J578:J641" si="28">G578-H578</f>
        <v>0</v>
      </c>
      <c r="K578" t="b">
        <f t="shared" ref="K578:K641" si="29">EXACT(E578,F578)</f>
        <v>1</v>
      </c>
    </row>
    <row r="579" spans="1:11">
      <c r="A579" t="s">
        <v>1863</v>
      </c>
      <c r="B579" t="s">
        <v>1863</v>
      </c>
      <c r="C579">
        <f>_xlfn.XLOOKUP(A579,保证金登记!B:B,保证金登记!E:E)</f>
        <v>45345</v>
      </c>
      <c r="D579" t="str">
        <f>_xlfn.XLOOKUP(B579,[2]保证金申请!$A:$A,[2]保证金申请!$C:$C)</f>
        <v>2024-02-20</v>
      </c>
      <c r="E579" t="str">
        <f>_xlfn.XLOOKUP(A579,保证金登记!B:B,保证金登记!I:I)</f>
        <v>青海发投碱业有限公司</v>
      </c>
      <c r="F579" t="str">
        <f>_xlfn.XLOOKUP(B579,[2]保证金申请!$A:$A,[2]保证金申请!$Q:$Q)</f>
        <v>武汉开明高新科技有限公司热电车间烟道更换农民工工资保证金</v>
      </c>
      <c r="G579">
        <f>_xlfn.XLOOKUP(A579,保证金登记!B:B,保证金登记!J:J)</f>
        <v>88500</v>
      </c>
      <c r="H579">
        <f>_xlfn.XLOOKUP(B579,[2]保证金申请!$A:$A,[2]保证金申请!$K:$K)</f>
        <v>88500</v>
      </c>
      <c r="I579">
        <f t="shared" si="27"/>
        <v>3</v>
      </c>
      <c r="J579">
        <f t="shared" si="28"/>
        <v>0</v>
      </c>
      <c r="K579" t="b">
        <f t="shared" si="29"/>
        <v>0</v>
      </c>
    </row>
    <row r="580" spans="1:11">
      <c r="A580" t="s">
        <v>1866</v>
      </c>
      <c r="B580" t="s">
        <v>1866</v>
      </c>
      <c r="C580">
        <f>_xlfn.XLOOKUP(A580,保证金登记!B:B,保证金登记!E:E)</f>
        <v>45345</v>
      </c>
      <c r="D580" t="str">
        <f>_xlfn.XLOOKUP(B580,[2]保证金申请!$A:$A,[2]保证金申请!$C:$C)</f>
        <v>2024-02-23</v>
      </c>
      <c r="E580" t="str">
        <f>_xlfn.XLOOKUP(A580,保证金登记!B:B,保证金登记!I:I)</f>
        <v>新疆伊犁钢铁有限责任公司</v>
      </c>
      <c r="F580" t="str">
        <f>_xlfn.XLOOKUP(B580,[2]保证金申请!$A:$A,[2]保证金申请!$Q:$Q)</f>
        <v>新疆伊犁钢铁有限责任公司</v>
      </c>
      <c r="G580">
        <f>_xlfn.XLOOKUP(A580,保证金登记!B:B,保证金登记!J:J)</f>
        <v>27200</v>
      </c>
      <c r="H580">
        <f>_xlfn.XLOOKUP(B580,[2]保证金申请!$A:$A,[2]保证金申请!$K:$K)</f>
        <v>27200</v>
      </c>
      <c r="I580">
        <f t="shared" si="27"/>
        <v>0</v>
      </c>
      <c r="J580">
        <f t="shared" si="28"/>
        <v>0</v>
      </c>
      <c r="K580" t="b">
        <f t="shared" si="29"/>
        <v>1</v>
      </c>
    </row>
    <row r="581" spans="1:11">
      <c r="A581" t="s">
        <v>1868</v>
      </c>
      <c r="B581" t="s">
        <v>1868</v>
      </c>
      <c r="C581">
        <f>_xlfn.XLOOKUP(A581,保证金登记!B:B,保证金登记!E:E)</f>
        <v>45355</v>
      </c>
      <c r="D581" t="str">
        <f>_xlfn.XLOOKUP(B581,[2]保证金申请!$A:$A,[2]保证金申请!$C:$C)</f>
        <v>2024-02-27</v>
      </c>
      <c r="E581" t="str">
        <f>_xlfn.XLOOKUP(A581,保证金登记!B:B,保证金登记!I:I)</f>
        <v>福建安砂建福水泥有限公司</v>
      </c>
      <c r="F581" t="str">
        <f>_xlfn.XLOOKUP(B581,[2]保证金申请!$A:$A,[2]保证金申请!$Q:$Q)</f>
        <v>福建安砂建福水泥有限公司</v>
      </c>
      <c r="G581">
        <f>_xlfn.XLOOKUP(A581,保证金登记!B:B,保证金登记!J:J)</f>
        <v>5000</v>
      </c>
      <c r="H581">
        <f>_xlfn.XLOOKUP(B581,[2]保证金申请!$A:$A,[2]保证金申请!$K:$K)</f>
        <v>5000</v>
      </c>
      <c r="I581">
        <f t="shared" si="27"/>
        <v>6</v>
      </c>
      <c r="J581">
        <f t="shared" si="28"/>
        <v>0</v>
      </c>
      <c r="K581" t="b">
        <f t="shared" si="29"/>
        <v>1</v>
      </c>
    </row>
    <row r="582" spans="1:11">
      <c r="A582" t="s">
        <v>1870</v>
      </c>
      <c r="B582" t="s">
        <v>1870</v>
      </c>
      <c r="C582">
        <f>_xlfn.XLOOKUP(A582,保证金登记!B:B,保证金登记!E:E)</f>
        <v>45350</v>
      </c>
      <c r="D582" t="str">
        <f>_xlfn.XLOOKUP(B582,[2]保证金申请!$A:$A,[2]保证金申请!$C:$C)</f>
        <v>2024-02-28</v>
      </c>
      <c r="E582" t="str">
        <f>_xlfn.XLOOKUP(A582,保证金登记!B:B,保证金登记!I:I)</f>
        <v>青海发投碱业有限公司</v>
      </c>
      <c r="F582" t="str">
        <f>_xlfn.XLOOKUP(B582,[2]保证金申请!$A:$A,[2]保证金申请!$Q:$Q)</f>
        <v>青海发投碱业有限公司</v>
      </c>
      <c r="G582">
        <f>_xlfn.XLOOKUP(A582,保证金登记!B:B,保证金登记!J:J)</f>
        <v>9250</v>
      </c>
      <c r="H582">
        <f>_xlfn.XLOOKUP(B582,[2]保证金申请!$A:$A,[2]保证金申请!$K:$K)</f>
        <v>9250</v>
      </c>
      <c r="I582">
        <f t="shared" si="27"/>
        <v>0</v>
      </c>
      <c r="J582">
        <f t="shared" si="28"/>
        <v>0</v>
      </c>
      <c r="K582" t="b">
        <f t="shared" si="29"/>
        <v>1</v>
      </c>
    </row>
    <row r="583" spans="1:11">
      <c r="A583" t="s">
        <v>1872</v>
      </c>
      <c r="B583" t="s">
        <v>1872</v>
      </c>
      <c r="C583">
        <f>_xlfn.XLOOKUP(A583,保证金登记!B:B,保证金登记!E:E)</f>
        <v>45350</v>
      </c>
      <c r="D583" t="str">
        <f>_xlfn.XLOOKUP(B583,[2]保证金申请!$A:$A,[2]保证金申请!$C:$C)</f>
        <v>2024-02-28</v>
      </c>
      <c r="E583" t="str">
        <f>_xlfn.XLOOKUP(A583,保证金登记!B:B,保证金登记!I:I)</f>
        <v>青海发投碱业有限公司</v>
      </c>
      <c r="F583" t="str">
        <f>_xlfn.XLOOKUP(B583,[2]保证金申请!$A:$A,[2]保证金申请!$Q:$Q)</f>
        <v>青海发投碱业有限公司</v>
      </c>
      <c r="G583">
        <f>_xlfn.XLOOKUP(A583,保证金登记!B:B,保证金登记!J:J)</f>
        <v>8000</v>
      </c>
      <c r="H583">
        <f>_xlfn.XLOOKUP(B583,[2]保证金申请!$A:$A,[2]保证金申请!$K:$K)</f>
        <v>8000</v>
      </c>
      <c r="I583">
        <f t="shared" si="27"/>
        <v>0</v>
      </c>
      <c r="J583">
        <f t="shared" si="28"/>
        <v>0</v>
      </c>
      <c r="K583" t="b">
        <f t="shared" si="29"/>
        <v>1</v>
      </c>
    </row>
    <row r="584" spans="1:11">
      <c r="A584" t="s">
        <v>1874</v>
      </c>
      <c r="B584" t="s">
        <v>1874</v>
      </c>
      <c r="C584">
        <f>_xlfn.XLOOKUP(A584,保证金登记!B:B,保证金登记!E:E)</f>
        <v>45351</v>
      </c>
      <c r="D584" t="str">
        <f>_xlfn.XLOOKUP(B584,[2]保证金申请!$A:$A,[2]保证金申请!$C:$C)</f>
        <v>2024-02-29</v>
      </c>
      <c r="E584" t="str">
        <f>_xlfn.XLOOKUP(A584,保证金登记!B:B,保证金登记!I:I)</f>
        <v>青海发投碱业有限公司</v>
      </c>
      <c r="F584" t="str">
        <f>_xlfn.XLOOKUP(B584,[2]保证金申请!$A:$A,[2]保证金申请!$Q:$Q)</f>
        <v>青海发投碱业有限公司</v>
      </c>
      <c r="G584">
        <f>_xlfn.XLOOKUP(A584,保证金登记!B:B,保证金登记!J:J)</f>
        <v>17000</v>
      </c>
      <c r="H584">
        <f>_xlfn.XLOOKUP(B584,[2]保证金申请!$A:$A,[2]保证金申请!$K:$K)</f>
        <v>17000</v>
      </c>
      <c r="I584">
        <f t="shared" si="27"/>
        <v>0</v>
      </c>
      <c r="J584">
        <f t="shared" si="28"/>
        <v>0</v>
      </c>
      <c r="K584" t="b">
        <f t="shared" si="29"/>
        <v>1</v>
      </c>
    </row>
    <row r="585" spans="1:11">
      <c r="A585" t="s">
        <v>1877</v>
      </c>
      <c r="B585" t="s">
        <v>1877</v>
      </c>
      <c r="C585">
        <f>_xlfn.XLOOKUP(A585,保证金登记!B:B,保证金登记!E:E)</f>
        <v>45351</v>
      </c>
      <c r="D585" t="str">
        <f>_xlfn.XLOOKUP(B585,[2]保证金申请!$A:$A,[2]保证金申请!$C:$C)</f>
        <v>2024-02-29</v>
      </c>
      <c r="E585" t="str">
        <f>_xlfn.XLOOKUP(A585,保证金登记!B:B,保证金登记!I:I)</f>
        <v>青海发投碱业有限公司</v>
      </c>
      <c r="F585" t="str">
        <f>_xlfn.XLOOKUP(B585,[2]保证金申请!$A:$A,[2]保证金申请!$Q:$Q)</f>
        <v>青海发投碱业有限公司</v>
      </c>
      <c r="G585">
        <f>_xlfn.XLOOKUP(A585,保证金登记!B:B,保证金登记!J:J)</f>
        <v>29000</v>
      </c>
      <c r="H585">
        <f>_xlfn.XLOOKUP(B585,[2]保证金申请!$A:$A,[2]保证金申请!$K:$K)</f>
        <v>29000</v>
      </c>
      <c r="I585">
        <f t="shared" si="27"/>
        <v>0</v>
      </c>
      <c r="J585">
        <f t="shared" si="28"/>
        <v>0</v>
      </c>
      <c r="K585" t="b">
        <f t="shared" si="29"/>
        <v>1</v>
      </c>
    </row>
    <row r="586" spans="1:11">
      <c r="A586" t="s">
        <v>1878</v>
      </c>
      <c r="B586" t="s">
        <v>1878</v>
      </c>
      <c r="C586">
        <f>_xlfn.XLOOKUP(A586,保证金登记!B:B,保证金登记!E:E)</f>
        <v>45355</v>
      </c>
      <c r="D586" t="str">
        <f>_xlfn.XLOOKUP(B586,[2]保证金申请!$A:$A,[2]保证金申请!$C:$C)</f>
        <v>2024-03-02</v>
      </c>
      <c r="E586" t="str">
        <f>_xlfn.XLOOKUP(A586,保证金登记!B:B,保证金登记!I:I)</f>
        <v>天瑞新登郑州水泥有限公司</v>
      </c>
      <c r="F586" t="str">
        <f>_xlfn.XLOOKUP(B586,[2]保证金申请!$A:$A,[2]保证金申请!$Q:$Q)</f>
        <v>程时勇</v>
      </c>
      <c r="G586">
        <f>_xlfn.XLOOKUP(A586,保证金登记!B:B,保证金登记!J:J)</f>
        <v>2000</v>
      </c>
      <c r="H586">
        <f>_xlfn.XLOOKUP(B586,[2]保证金申请!$A:$A,[2]保证金申请!$K:$K)</f>
        <v>2000</v>
      </c>
      <c r="I586">
        <f t="shared" si="27"/>
        <v>2</v>
      </c>
      <c r="J586">
        <f t="shared" si="28"/>
        <v>0</v>
      </c>
      <c r="K586" t="b">
        <f t="shared" si="29"/>
        <v>0</v>
      </c>
    </row>
    <row r="587" spans="1:11">
      <c r="A587" t="s">
        <v>1880</v>
      </c>
      <c r="B587" t="s">
        <v>1880</v>
      </c>
      <c r="C587">
        <f>_xlfn.XLOOKUP(A587,保证金登记!B:B,保证金登记!E:E)</f>
        <v>45356</v>
      </c>
      <c r="D587" t="str">
        <f>_xlfn.XLOOKUP(B587,[2]保证金申请!$A:$A,[2]保证金申请!$C:$C)</f>
        <v>2024-03-05</v>
      </c>
      <c r="E587" t="str">
        <f>_xlfn.XLOOKUP(A587,保证金登记!B:B,保证金登记!I:I)</f>
        <v>云南昆钢嘉华水泥建材有限公司</v>
      </c>
      <c r="F587" t="str">
        <f>_xlfn.XLOOKUP(B587,[2]保证金申请!$A:$A,[2]保证金申请!$Q:$Q)</f>
        <v>云南昆钢嘉华水泥建材有限公司</v>
      </c>
      <c r="G587">
        <f>_xlfn.XLOOKUP(A587,保证金登记!B:B,保证金登记!J:J)</f>
        <v>3500</v>
      </c>
      <c r="H587">
        <f>_xlfn.XLOOKUP(B587,[2]保证金申请!$A:$A,[2]保证金申请!$K:$K)</f>
        <v>3500</v>
      </c>
      <c r="I587">
        <f t="shared" si="27"/>
        <v>0</v>
      </c>
      <c r="J587">
        <f t="shared" si="28"/>
        <v>0</v>
      </c>
      <c r="K587" t="b">
        <f t="shared" si="29"/>
        <v>1</v>
      </c>
    </row>
    <row r="588" spans="1:11">
      <c r="A588" t="s">
        <v>1882</v>
      </c>
      <c r="B588" t="s">
        <v>1882</v>
      </c>
      <c r="C588">
        <f>_xlfn.XLOOKUP(A588,保证金登记!B:B,保证金登记!E:E)</f>
        <v>45358</v>
      </c>
      <c r="D588" t="str">
        <f>_xlfn.XLOOKUP(B588,[2]保证金申请!$A:$A,[2]保证金申请!$C:$C)</f>
        <v>2024-03-05</v>
      </c>
      <c r="E588" t="str">
        <f>_xlfn.XLOOKUP(A588,保证金登记!B:B,保证金登记!I:I)</f>
        <v>青海发投碱业有限公司</v>
      </c>
      <c r="F588" t="str">
        <f>_xlfn.XLOOKUP(B588,[2]保证金申请!$A:$A,[2]保证金申请!$Q:$Q)</f>
        <v>青海发投碱业有限公司</v>
      </c>
      <c r="G588">
        <f>_xlfn.XLOOKUP(A588,保证金登记!B:B,保证金登记!J:J)</f>
        <v>13000</v>
      </c>
      <c r="H588">
        <f>_xlfn.XLOOKUP(B588,[2]保证金申请!$A:$A,[2]保证金申请!$K:$K)</f>
        <v>13000</v>
      </c>
      <c r="I588">
        <f t="shared" si="27"/>
        <v>2</v>
      </c>
      <c r="J588">
        <f t="shared" si="28"/>
        <v>0</v>
      </c>
      <c r="K588" t="b">
        <f t="shared" si="29"/>
        <v>1</v>
      </c>
    </row>
    <row r="589" spans="1:11">
      <c r="A589" t="s">
        <v>1884</v>
      </c>
      <c r="B589" t="s">
        <v>1884</v>
      </c>
      <c r="C589">
        <f>_xlfn.XLOOKUP(A589,保证金登记!B:B,保证金登记!E:E)</f>
        <v>45362</v>
      </c>
      <c r="D589" t="str">
        <f>_xlfn.XLOOKUP(B589,[2]保证金申请!$A:$A,[2]保证金申请!$C:$C)</f>
        <v>2024-03-05</v>
      </c>
      <c r="E589" t="str">
        <f>_xlfn.XLOOKUP(A589,保证金登记!B:B,保证金登记!I:I)</f>
        <v>冀东水泥重庆江津有限责任公司</v>
      </c>
      <c r="F589" t="str">
        <f>_xlfn.XLOOKUP(B589,[2]保证金申请!$A:$A,[2]保证金申请!$Q:$Q)</f>
        <v>冀东水泥重庆江津有限责任公司</v>
      </c>
      <c r="G589">
        <f>_xlfn.XLOOKUP(A589,保证金登记!B:B,保证金登记!J:J)</f>
        <v>5000</v>
      </c>
      <c r="H589">
        <f>_xlfn.XLOOKUP(B589,[2]保证金申请!$A:$A,[2]保证金申请!$K:$K)</f>
        <v>5000</v>
      </c>
      <c r="I589">
        <f t="shared" si="27"/>
        <v>6</v>
      </c>
      <c r="J589">
        <f t="shared" si="28"/>
        <v>0</v>
      </c>
      <c r="K589" t="b">
        <f t="shared" si="29"/>
        <v>1</v>
      </c>
    </row>
    <row r="590" spans="1:11">
      <c r="A590" t="s">
        <v>1887</v>
      </c>
      <c r="B590" t="s">
        <v>1887</v>
      </c>
      <c r="C590">
        <f>_xlfn.XLOOKUP(A590,保证金登记!B:B,保证金登记!E:E)</f>
        <v>45366</v>
      </c>
      <c r="D590" t="str">
        <f>_xlfn.XLOOKUP(B590,[2]保证金申请!$A:$A,[2]保证金申请!$C:$C)</f>
        <v>2024-03-07</v>
      </c>
      <c r="E590" t="str">
        <f>_xlfn.XLOOKUP(A590,保证金登记!B:B,保证金登记!I:I)</f>
        <v>中盐青海昆仑碱业有限公司</v>
      </c>
      <c r="F590" t="str">
        <f>_xlfn.XLOOKUP(B590,[2]保证金申请!$A:$A,[2]保证金申请!$Q:$Q)</f>
        <v>中盐青海昆仑碱业有限公司</v>
      </c>
      <c r="G590">
        <f>_xlfn.XLOOKUP(A590,保证金登记!B:B,保证金登记!J:J)</f>
        <v>40000</v>
      </c>
      <c r="H590">
        <f>_xlfn.XLOOKUP(B590,[2]保证金申请!$A:$A,[2]保证金申请!$K:$K)</f>
        <v>40000</v>
      </c>
      <c r="I590">
        <f t="shared" si="27"/>
        <v>8</v>
      </c>
      <c r="J590">
        <f t="shared" si="28"/>
        <v>0</v>
      </c>
      <c r="K590" t="b">
        <f t="shared" si="29"/>
        <v>1</v>
      </c>
    </row>
    <row r="591" spans="1:11">
      <c r="A591" t="s">
        <v>1890</v>
      </c>
      <c r="B591" t="s">
        <v>1890</v>
      </c>
      <c r="C591">
        <f>_xlfn.XLOOKUP(A591,保证金登记!B:B,保证金登记!E:E)</f>
        <v>45359</v>
      </c>
      <c r="D591" t="str">
        <f>_xlfn.XLOOKUP(B591,[2]保证金申请!$A:$A,[2]保证金申请!$C:$C)</f>
        <v>2024-03-07</v>
      </c>
      <c r="E591" t="str">
        <f>_xlfn.XLOOKUP(A591,保证金登记!B:B,保证金登记!I:I)</f>
        <v>青海发投碱业有限公司</v>
      </c>
      <c r="F591" t="str">
        <f>_xlfn.XLOOKUP(B591,[2]保证金申请!$A:$A,[2]保证金申请!$Q:$Q)</f>
        <v>青海发投碱业有限公司</v>
      </c>
      <c r="G591">
        <f>_xlfn.XLOOKUP(A591,保证金登记!B:B,保证金登记!J:J)</f>
        <v>13000</v>
      </c>
      <c r="H591">
        <f>_xlfn.XLOOKUP(B591,[2]保证金申请!$A:$A,[2]保证金申请!$K:$K)</f>
        <v>13000</v>
      </c>
      <c r="I591">
        <f t="shared" si="27"/>
        <v>1</v>
      </c>
      <c r="J591">
        <f t="shared" si="28"/>
        <v>0</v>
      </c>
      <c r="K591" t="b">
        <f t="shared" si="29"/>
        <v>1</v>
      </c>
    </row>
    <row r="592" spans="1:11">
      <c r="A592" t="s">
        <v>1891</v>
      </c>
      <c r="B592" t="s">
        <v>1891</v>
      </c>
      <c r="C592">
        <f>_xlfn.XLOOKUP(A592,保证金登记!B:B,保证金登记!E:E)</f>
        <v>45359</v>
      </c>
      <c r="D592" t="str">
        <f>_xlfn.XLOOKUP(B592,[2]保证金申请!$A:$A,[2]保证金申请!$C:$C)</f>
        <v>2024-03-07</v>
      </c>
      <c r="E592" t="str">
        <f>_xlfn.XLOOKUP(A592,保证金登记!B:B,保证金登记!I:I)</f>
        <v>青海发投碱业有限公司</v>
      </c>
      <c r="F592" t="str">
        <f>_xlfn.XLOOKUP(B592,[2]保证金申请!$A:$A,[2]保证金申请!$Q:$Q)</f>
        <v>青海发投碱业有限公司</v>
      </c>
      <c r="G592">
        <f>_xlfn.XLOOKUP(A592,保证金登记!B:B,保证金登记!J:J)</f>
        <v>13000</v>
      </c>
      <c r="H592">
        <f>_xlfn.XLOOKUP(B592,[2]保证金申请!$A:$A,[2]保证金申请!$K:$K)</f>
        <v>13000</v>
      </c>
      <c r="I592">
        <f t="shared" si="27"/>
        <v>1</v>
      </c>
      <c r="J592">
        <f t="shared" si="28"/>
        <v>0</v>
      </c>
      <c r="K592" t="b">
        <f t="shared" si="29"/>
        <v>1</v>
      </c>
    </row>
    <row r="593" spans="1:11">
      <c r="A593" t="s">
        <v>1892</v>
      </c>
      <c r="B593" t="s">
        <v>1892</v>
      </c>
      <c r="C593">
        <f>_xlfn.XLOOKUP(A593,保证金登记!B:B,保证金登记!E:E)</f>
        <v>45371</v>
      </c>
      <c r="D593" t="str">
        <f>_xlfn.XLOOKUP(B593,[2]保证金申请!$A:$A,[2]保证金申请!$C:$C)</f>
        <v>2024-03-13</v>
      </c>
      <c r="E593" t="str">
        <f>_xlfn.XLOOKUP(A593,保证金登记!B:B,保证金登记!I:I)</f>
        <v>青海发投碱业有限公司</v>
      </c>
      <c r="F593" t="str">
        <f>_xlfn.XLOOKUP(B593,[2]保证金申请!$A:$A,[2]保证金申请!$Q:$Q)</f>
        <v>中机国际招标有限公司</v>
      </c>
      <c r="G593">
        <f>_xlfn.XLOOKUP(A593,保证金登记!B:B,保证金登记!J:J)</f>
        <v>50000</v>
      </c>
      <c r="H593">
        <f>_xlfn.XLOOKUP(B593,[2]保证金申请!$A:$A,[2]保证金申请!$K:$K)</f>
        <v>50000</v>
      </c>
      <c r="I593">
        <f t="shared" si="27"/>
        <v>7</v>
      </c>
      <c r="J593">
        <f t="shared" si="28"/>
        <v>0</v>
      </c>
      <c r="K593" t="b">
        <f t="shared" si="29"/>
        <v>0</v>
      </c>
    </row>
    <row r="594" spans="1:11">
      <c r="A594" t="s">
        <v>1894</v>
      </c>
      <c r="B594" t="s">
        <v>1894</v>
      </c>
      <c r="C594">
        <f>_xlfn.XLOOKUP(A594,保证金登记!B:B,保证金登记!E:E)</f>
        <v>45365</v>
      </c>
      <c r="D594" t="str">
        <f>_xlfn.XLOOKUP(B594,[2]保证金申请!$A:$A,[2]保证金申请!$C:$C)</f>
        <v>2024-03-13</v>
      </c>
      <c r="E594" t="str">
        <f>_xlfn.XLOOKUP(A594,保证金登记!B:B,保证金登记!I:I)</f>
        <v>青海发投碱业有限公司</v>
      </c>
      <c r="F594" t="str">
        <f>_xlfn.XLOOKUP(B594,[2]保证金申请!$A:$A,[2]保证金申请!$Q:$Q)</f>
        <v>青海发投碱业有限公司</v>
      </c>
      <c r="G594">
        <f>_xlfn.XLOOKUP(A594,保证金登记!B:B,保证金登记!J:J)</f>
        <v>65500</v>
      </c>
      <c r="H594">
        <f>_xlfn.XLOOKUP(B594,[2]保证金申请!$A:$A,[2]保证金申请!$K:$K)</f>
        <v>65500</v>
      </c>
      <c r="I594">
        <f t="shared" si="27"/>
        <v>1</v>
      </c>
      <c r="J594">
        <f t="shared" si="28"/>
        <v>0</v>
      </c>
      <c r="K594" t="b">
        <f t="shared" si="29"/>
        <v>1</v>
      </c>
    </row>
    <row r="595" spans="1:11">
      <c r="A595" t="s">
        <v>1895</v>
      </c>
      <c r="B595" t="s">
        <v>1895</v>
      </c>
      <c r="C595">
        <f>_xlfn.XLOOKUP(A595,保证金登记!B:B,保证金登记!E:E)</f>
        <v>45366</v>
      </c>
      <c r="D595" t="str">
        <f>_xlfn.XLOOKUP(B595,[2]保证金申请!$A:$A,[2]保证金申请!$C:$C)</f>
        <v>2024-03-13</v>
      </c>
      <c r="E595" t="str">
        <f>_xlfn.XLOOKUP(A595,保证金登记!B:B,保证金登记!I:I)</f>
        <v>青海发投碱业有限公司</v>
      </c>
      <c r="F595" t="str">
        <f>_xlfn.XLOOKUP(B595,[2]保证金申请!$A:$A,[2]保证金申请!$Q:$Q)</f>
        <v>武汉开明高新科技有限公司</v>
      </c>
      <c r="G595">
        <f>_xlfn.XLOOKUP(A595,保证金登记!B:B,保证金登记!J:J)</f>
        <v>65500</v>
      </c>
      <c r="H595">
        <f>_xlfn.XLOOKUP(B595,[2]保证金申请!$A:$A,[2]保证金申请!$K:$K)</f>
        <v>65500</v>
      </c>
      <c r="I595">
        <f t="shared" si="27"/>
        <v>2</v>
      </c>
      <c r="J595">
        <f t="shared" si="28"/>
        <v>0</v>
      </c>
      <c r="K595" t="b">
        <f t="shared" si="29"/>
        <v>0</v>
      </c>
    </row>
    <row r="596" spans="1:11">
      <c r="A596" t="s">
        <v>1899</v>
      </c>
      <c r="B596" t="s">
        <v>1899</v>
      </c>
      <c r="C596">
        <f>_xlfn.XLOOKUP(A596,保证金登记!B:B,保证金登记!E:E)</f>
        <v>45373</v>
      </c>
      <c r="D596" t="str">
        <f>_xlfn.XLOOKUP(B596,[2]保证金申请!$A:$A,[2]保证金申请!$C:$C)</f>
        <v>2024-03-21</v>
      </c>
      <c r="E596" t="str">
        <f>_xlfn.XLOOKUP(A596,保证金登记!B:B,保证金登记!I:I)</f>
        <v>中盐吉兰泰氯碱化工有限公司</v>
      </c>
      <c r="F596" t="str">
        <f>_xlfn.XLOOKUP(B596,[2]保证金申请!$A:$A,[2]保证金申请!$Q:$Q)</f>
        <v>中盐吉兰泰氯碱化工有限公司</v>
      </c>
      <c r="G596">
        <f>_xlfn.XLOOKUP(A596,保证金登记!B:B,保证金登记!J:J)</f>
        <v>5000</v>
      </c>
      <c r="H596">
        <f>_xlfn.XLOOKUP(B596,[2]保证金申请!$A:$A,[2]保证金申请!$K:$K)</f>
        <v>5000</v>
      </c>
      <c r="I596">
        <f t="shared" si="27"/>
        <v>1</v>
      </c>
      <c r="J596">
        <f t="shared" si="28"/>
        <v>0</v>
      </c>
      <c r="K596" t="b">
        <f t="shared" si="29"/>
        <v>1</v>
      </c>
    </row>
    <row r="597" spans="1:11">
      <c r="A597" t="s">
        <v>1905</v>
      </c>
      <c r="B597" t="s">
        <v>1905</v>
      </c>
      <c r="C597">
        <f>_xlfn.XLOOKUP(A597,保证金登记!B:B,保证金登记!E:E)</f>
        <v>45378</v>
      </c>
      <c r="D597" t="str">
        <f>_xlfn.XLOOKUP(B597,[2]保证金申请!$A:$A,[2]保证金申请!$C:$C)</f>
        <v>2024-03-25</v>
      </c>
      <c r="E597" t="str">
        <f>_xlfn.XLOOKUP(A597,保证金登记!B:B,保证金登记!I:I)</f>
        <v>青海发投碱业有限公司</v>
      </c>
      <c r="F597" t="str">
        <f>_xlfn.XLOOKUP(B597,[2]保证金申请!$A:$A,[2]保证金申请!$Q:$Q)</f>
        <v/>
      </c>
      <c r="G597">
        <f>_xlfn.XLOOKUP(A597,保证金登记!B:B,保证金登记!J:J)</f>
        <v>48000</v>
      </c>
      <c r="H597">
        <f>_xlfn.XLOOKUP(B597,[2]保证金申请!$A:$A,[2]保证金申请!$K:$K)</f>
        <v>48000</v>
      </c>
      <c r="I597">
        <f t="shared" si="27"/>
        <v>2</v>
      </c>
      <c r="J597">
        <f t="shared" si="28"/>
        <v>0</v>
      </c>
      <c r="K597" t="b">
        <f t="shared" si="29"/>
        <v>0</v>
      </c>
    </row>
    <row r="598" spans="1:11">
      <c r="A598" t="s">
        <v>1906</v>
      </c>
      <c r="B598" t="s">
        <v>1906</v>
      </c>
      <c r="C598">
        <f>_xlfn.XLOOKUP(A598,保证金登记!B:B,保证金登记!E:E)</f>
        <v>45380</v>
      </c>
      <c r="D598" t="str">
        <f>_xlfn.XLOOKUP(B598,[2]保证金申请!$A:$A,[2]保证金申请!$C:$C)</f>
        <v>2024-03-28</v>
      </c>
      <c r="E598" t="str">
        <f>_xlfn.XLOOKUP(A598,保证金登记!B:B,保证金登记!I:I)</f>
        <v>新疆米东天山水泥有限责任公司</v>
      </c>
      <c r="F598" t="str">
        <f>_xlfn.XLOOKUP(B598,[2]保证金申请!$A:$A,[2]保证金申请!$Q:$Q)</f>
        <v/>
      </c>
      <c r="G598">
        <f>_xlfn.XLOOKUP(A598,保证金登记!B:B,保证金登记!J:J)</f>
        <v>2000</v>
      </c>
      <c r="H598">
        <f>_xlfn.XLOOKUP(B598,[2]保证金申请!$A:$A,[2]保证金申请!$K:$K)</f>
        <v>2000</v>
      </c>
      <c r="I598">
        <f t="shared" si="27"/>
        <v>1</v>
      </c>
      <c r="J598">
        <f t="shared" si="28"/>
        <v>0</v>
      </c>
      <c r="K598" t="b">
        <f t="shared" si="29"/>
        <v>0</v>
      </c>
    </row>
    <row r="599" spans="1:11">
      <c r="A599" t="s">
        <v>1912</v>
      </c>
      <c r="B599" t="s">
        <v>1912</v>
      </c>
      <c r="C599">
        <f>_xlfn.XLOOKUP(A599,保证金登记!B:B,保证金登记!E:E)</f>
        <v>45389</v>
      </c>
      <c r="D599" t="str">
        <f>_xlfn.XLOOKUP(B599,[2]保证金申请!$A:$A,[2]保证金申请!$C:$C)</f>
        <v>2024-04-06</v>
      </c>
      <c r="E599" t="str">
        <f>_xlfn.XLOOKUP(A599,保证金登记!B:B,保证金登记!I:I)</f>
        <v>日照钢铁有限公司</v>
      </c>
      <c r="F599" t="str">
        <f>_xlfn.XLOOKUP(B599,[2]保证金申请!$A:$A,[2]保证金申请!$Q:$Q)</f>
        <v>日照钢铁有限公司</v>
      </c>
      <c r="G599">
        <f>_xlfn.XLOOKUP(A599,保证金登记!B:B,保证金登记!J:J)</f>
        <v>10000</v>
      </c>
      <c r="H599">
        <f>_xlfn.XLOOKUP(B599,[2]保证金申请!$A:$A,[2]保证金申请!$K:$K)</f>
        <v>10000</v>
      </c>
      <c r="I599">
        <f t="shared" si="27"/>
        <v>1</v>
      </c>
      <c r="J599">
        <f t="shared" si="28"/>
        <v>0</v>
      </c>
      <c r="K599" t="b">
        <f t="shared" si="29"/>
        <v>1</v>
      </c>
    </row>
    <row r="600" spans="1:11">
      <c r="A600" t="s">
        <v>1916</v>
      </c>
      <c r="B600" t="s">
        <v>1916</v>
      </c>
      <c r="C600">
        <f>_xlfn.XLOOKUP(A600,保证金登记!B:B,保证金登记!E:E)</f>
        <v>45391</v>
      </c>
      <c r="D600" t="str">
        <f>_xlfn.XLOOKUP(B600,[2]保证金申请!$A:$A,[2]保证金申请!$C:$C)</f>
        <v>2024-04-08</v>
      </c>
      <c r="E600" t="str">
        <f>_xlfn.XLOOKUP(A600,保证金登记!B:B,保证金登记!I:I)</f>
        <v>青海发投碱业有限公司</v>
      </c>
      <c r="F600" t="str">
        <f>_xlfn.XLOOKUP(B600,[2]保证金申请!$A:$A,[2]保证金申请!$Q:$Q)</f>
        <v>青海发投碱业有限公司</v>
      </c>
      <c r="G600">
        <f>_xlfn.XLOOKUP(A600,保证金登记!B:B,保证金登记!J:J)</f>
        <v>2600</v>
      </c>
      <c r="H600">
        <f>_xlfn.XLOOKUP(B600,[2]保证金申请!$A:$A,[2]保证金申请!$K:$K)</f>
        <v>2600</v>
      </c>
      <c r="I600">
        <f t="shared" si="27"/>
        <v>1</v>
      </c>
      <c r="J600">
        <f t="shared" si="28"/>
        <v>0</v>
      </c>
      <c r="K600" t="b">
        <f t="shared" si="29"/>
        <v>1</v>
      </c>
    </row>
    <row r="601" spans="1:11">
      <c r="A601" t="s">
        <v>1918</v>
      </c>
      <c r="B601" t="s">
        <v>1918</v>
      </c>
      <c r="C601">
        <f>_xlfn.XLOOKUP(A601,保证金登记!B:B,保证金登记!E:E)</f>
        <v>45391</v>
      </c>
      <c r="D601" t="str">
        <f>_xlfn.XLOOKUP(B601,[2]保证金申请!$A:$A,[2]保证金申请!$C:$C)</f>
        <v>2024-04-08</v>
      </c>
      <c r="E601" t="str">
        <f>_xlfn.XLOOKUP(A601,保证金登记!B:B,保证金登记!I:I)</f>
        <v>青海发投碱业有限公司</v>
      </c>
      <c r="F601" t="str">
        <f>_xlfn.XLOOKUP(B601,[2]保证金申请!$A:$A,[2]保证金申请!$Q:$Q)</f>
        <v>青海发投碱业有限公司</v>
      </c>
      <c r="G601">
        <f>_xlfn.XLOOKUP(A601,保证金登记!B:B,保证金登记!J:J)</f>
        <v>3000</v>
      </c>
      <c r="H601">
        <f>_xlfn.XLOOKUP(B601,[2]保证金申请!$A:$A,[2]保证金申请!$K:$K)</f>
        <v>3000</v>
      </c>
      <c r="I601">
        <f t="shared" si="27"/>
        <v>1</v>
      </c>
      <c r="J601">
        <f t="shared" si="28"/>
        <v>0</v>
      </c>
      <c r="K601" t="b">
        <f t="shared" si="29"/>
        <v>1</v>
      </c>
    </row>
    <row r="602" spans="1:11">
      <c r="A602" t="s">
        <v>1919</v>
      </c>
      <c r="B602" t="s">
        <v>1919</v>
      </c>
      <c r="C602">
        <f>_xlfn.XLOOKUP(A602,保证金登记!B:B,保证金登记!E:E)</f>
        <v>45392</v>
      </c>
      <c r="D602" t="str">
        <f>_xlfn.XLOOKUP(B602,[2]保证金申请!$A:$A,[2]保证金申请!$C:$C)</f>
        <v>2024-04-08</v>
      </c>
      <c r="E602" t="str">
        <f>_xlfn.XLOOKUP(A602,保证金登记!B:B,保证金登记!I:I)</f>
        <v>青海发投碱业有限公司</v>
      </c>
      <c r="F602" t="str">
        <f>_xlfn.XLOOKUP(B602,[2]保证金申请!$A:$A,[2]保证金申请!$Q:$Q)</f>
        <v>青海发投碱业有限公司</v>
      </c>
      <c r="G602">
        <f>_xlfn.XLOOKUP(A602,保证金登记!B:B,保证金登记!J:J)</f>
        <v>2600</v>
      </c>
      <c r="H602">
        <f>_xlfn.XLOOKUP(B602,[2]保证金申请!$A:$A,[2]保证金申请!$K:$K)</f>
        <v>2600</v>
      </c>
      <c r="I602">
        <f t="shared" si="27"/>
        <v>2</v>
      </c>
      <c r="J602">
        <f t="shared" si="28"/>
        <v>0</v>
      </c>
      <c r="K602" t="b">
        <f t="shared" si="29"/>
        <v>1</v>
      </c>
    </row>
    <row r="603" spans="1:11">
      <c r="A603" t="s">
        <v>1922</v>
      </c>
      <c r="B603" t="s">
        <v>1922</v>
      </c>
      <c r="C603">
        <f>_xlfn.XLOOKUP(A603,保证金登记!B:B,保证金登记!E:E)</f>
        <v>45392</v>
      </c>
      <c r="D603" t="str">
        <f>_xlfn.XLOOKUP(B603,[2]保证金申请!$A:$A,[2]保证金申请!$C:$C)</f>
        <v>2024-04-09</v>
      </c>
      <c r="E603" t="str">
        <f>_xlfn.XLOOKUP(A603,保证金登记!B:B,保证金登记!I:I)</f>
        <v>青海发投碱业有限公司</v>
      </c>
      <c r="F603" t="str">
        <f>_xlfn.XLOOKUP(B603,[2]保证金申请!$A:$A,[2]保证金申请!$Q:$Q)</f>
        <v>青海发投碱业有限公司</v>
      </c>
      <c r="G603">
        <f>_xlfn.XLOOKUP(A603,保证金登记!B:B,保证金登记!J:J)</f>
        <v>21000</v>
      </c>
      <c r="H603">
        <f>_xlfn.XLOOKUP(B603,[2]保证金申请!$A:$A,[2]保证金申请!$K:$K)</f>
        <v>21000</v>
      </c>
      <c r="I603">
        <f t="shared" si="27"/>
        <v>1</v>
      </c>
      <c r="J603">
        <f t="shared" si="28"/>
        <v>0</v>
      </c>
      <c r="K603" t="b">
        <f t="shared" si="29"/>
        <v>1</v>
      </c>
    </row>
    <row r="604" spans="1:11">
      <c r="A604" t="s">
        <v>1924</v>
      </c>
      <c r="B604" t="s">
        <v>1924</v>
      </c>
      <c r="C604">
        <f>_xlfn.XLOOKUP(A604,保证金登记!B:B,保证金登记!E:E)</f>
        <v>45393</v>
      </c>
      <c r="D604" t="str">
        <f>_xlfn.XLOOKUP(B604,[2]保证金申请!$A:$A,[2]保证金申请!$C:$C)</f>
        <v>2024-04-09</v>
      </c>
      <c r="E604" t="str">
        <f>_xlfn.XLOOKUP(A604,保证金登记!B:B,保证金登记!I:I)</f>
        <v>青海发投碱业有限公司</v>
      </c>
      <c r="F604" t="str">
        <f>_xlfn.XLOOKUP(B604,[2]保证金申请!$A:$A,[2]保证金申请!$Q:$Q)</f>
        <v>青海发投碱业有限公司</v>
      </c>
      <c r="G604">
        <f>_xlfn.XLOOKUP(A604,保证金登记!B:B,保证金登记!J:J)</f>
        <v>180044</v>
      </c>
      <c r="H604">
        <f>_xlfn.XLOOKUP(B604,[2]保证金申请!$A:$A,[2]保证金申请!$K:$K)</f>
        <v>180044</v>
      </c>
      <c r="I604">
        <f t="shared" si="27"/>
        <v>2</v>
      </c>
      <c r="J604">
        <f t="shared" si="28"/>
        <v>0</v>
      </c>
      <c r="K604" t="b">
        <f t="shared" si="29"/>
        <v>1</v>
      </c>
    </row>
    <row r="605" spans="1:11">
      <c r="A605" t="s">
        <v>1926</v>
      </c>
      <c r="B605" t="s">
        <v>1926</v>
      </c>
      <c r="C605">
        <f>_xlfn.XLOOKUP(A605,保证金登记!B:B,保证金登记!E:E)</f>
        <v>45394</v>
      </c>
      <c r="D605" t="str">
        <f>_xlfn.XLOOKUP(B605,[2]保证金申请!$A:$A,[2]保证金申请!$C:$C)</f>
        <v>2024-04-09</v>
      </c>
      <c r="E605" t="str">
        <f>_xlfn.XLOOKUP(A605,保证金登记!B:B,保证金登记!I:I)</f>
        <v>青海发投碱业有限公司</v>
      </c>
      <c r="F605" t="str">
        <f>_xlfn.XLOOKUP(B605,[2]保证金申请!$A:$A,[2]保证金申请!$Q:$Q)</f>
        <v>青海发投碱业有限公司</v>
      </c>
      <c r="G605">
        <f>_xlfn.XLOOKUP(A605,保证金登记!B:B,保证金登记!J:J)</f>
        <v>180000</v>
      </c>
      <c r="H605">
        <f>_xlfn.XLOOKUP(B605,[2]保证金申请!$A:$A,[2]保证金申请!$K:$K)</f>
        <v>180000</v>
      </c>
      <c r="I605">
        <f t="shared" si="27"/>
        <v>3</v>
      </c>
      <c r="J605">
        <f t="shared" si="28"/>
        <v>0</v>
      </c>
      <c r="K605" t="b">
        <f t="shared" si="29"/>
        <v>1</v>
      </c>
    </row>
    <row r="606" spans="1:11">
      <c r="A606" t="s">
        <v>1927</v>
      </c>
      <c r="B606" t="s">
        <v>1927</v>
      </c>
      <c r="C606">
        <f>_xlfn.XLOOKUP(A606,保证金登记!B:B,保证金登记!E:E)</f>
        <v>45394</v>
      </c>
      <c r="D606" t="str">
        <f>_xlfn.XLOOKUP(B606,[2]保证金申请!$A:$A,[2]保证金申请!$C:$C)</f>
        <v>2024-04-12</v>
      </c>
      <c r="E606" t="str">
        <f>_xlfn.XLOOKUP(A606,保证金登记!B:B,保证金登记!I:I)</f>
        <v>山东泰山钢铁集团有限公司</v>
      </c>
      <c r="F606" t="str">
        <f>_xlfn.XLOOKUP(B606,[2]保证金申请!$A:$A,[2]保证金申请!$Q:$Q)</f>
        <v>山东泰山钢铁集团有限公司</v>
      </c>
      <c r="G606">
        <f>_xlfn.XLOOKUP(A606,保证金登记!B:B,保证金登记!J:J)</f>
        <v>10000</v>
      </c>
      <c r="H606">
        <f>_xlfn.XLOOKUP(B606,[2]保证金申请!$A:$A,[2]保证金申请!$K:$K)</f>
        <v>10000</v>
      </c>
      <c r="I606">
        <f t="shared" si="27"/>
        <v>0</v>
      </c>
      <c r="J606">
        <f t="shared" si="28"/>
        <v>0</v>
      </c>
      <c r="K606" t="b">
        <f t="shared" si="29"/>
        <v>1</v>
      </c>
    </row>
    <row r="607" spans="1:11">
      <c r="A607" t="s">
        <v>1930</v>
      </c>
      <c r="B607" t="s">
        <v>1930</v>
      </c>
      <c r="C607">
        <f>_xlfn.XLOOKUP(A607,保证金登记!B:B,保证金登记!E:E)</f>
        <v>45400</v>
      </c>
      <c r="D607" t="str">
        <f>_xlfn.XLOOKUP(B607,[2]保证金申请!$A:$A,[2]保证金申请!$C:$C)</f>
        <v>2024-04-16</v>
      </c>
      <c r="E607" t="str">
        <f>_xlfn.XLOOKUP(A607,保证金登记!B:B,保证金登记!I:I)</f>
        <v>青海发投碱业有限公司</v>
      </c>
      <c r="F607" t="str">
        <f>_xlfn.XLOOKUP(B607,[2]保证金申请!$A:$A,[2]保证金申请!$Q:$Q)</f>
        <v>青海发投碱业有限公司</v>
      </c>
      <c r="G607">
        <f>_xlfn.XLOOKUP(A607,保证金登记!B:B,保证金登记!J:J)</f>
        <v>180000</v>
      </c>
      <c r="H607">
        <f>_xlfn.XLOOKUP(B607,[2]保证金申请!$A:$A,[2]保证金申请!$K:$K)</f>
        <v>180000</v>
      </c>
      <c r="I607">
        <f t="shared" si="27"/>
        <v>2</v>
      </c>
      <c r="J607">
        <f t="shared" si="28"/>
        <v>0</v>
      </c>
      <c r="K607" t="b">
        <f t="shared" si="29"/>
        <v>1</v>
      </c>
    </row>
    <row r="608" spans="1:11">
      <c r="A608" t="s">
        <v>1932</v>
      </c>
      <c r="B608" t="s">
        <v>1932</v>
      </c>
      <c r="C608">
        <f>_xlfn.XLOOKUP(A608,保证金登记!B:B,保证金登记!E:E)</f>
        <v>45398</v>
      </c>
      <c r="D608" t="str">
        <f>_xlfn.XLOOKUP(B608,[2]保证金申请!$A:$A,[2]保证金申请!$C:$C)</f>
        <v>2024-04-16</v>
      </c>
      <c r="E608" t="str">
        <f>_xlfn.XLOOKUP(A608,保证金登记!B:B,保证金登记!I:I)</f>
        <v>天瑞新登郑州水泥有限公司</v>
      </c>
      <c r="F608" t="str">
        <f>_xlfn.XLOOKUP(B608,[2]保证金申请!$A:$A,[2]保证金申请!$Q:$Q)</f>
        <v>董魁</v>
      </c>
      <c r="G608">
        <f>_xlfn.XLOOKUP(A608,保证金登记!B:B,保证金登记!J:J)</f>
        <v>2000</v>
      </c>
      <c r="H608">
        <f>_xlfn.XLOOKUP(B608,[2]保证金申请!$A:$A,[2]保证金申请!$K:$K)</f>
        <v>2000</v>
      </c>
      <c r="I608">
        <f t="shared" si="27"/>
        <v>0</v>
      </c>
      <c r="J608">
        <f t="shared" si="28"/>
        <v>0</v>
      </c>
      <c r="K608" t="b">
        <f t="shared" si="29"/>
        <v>0</v>
      </c>
    </row>
    <row r="609" spans="1:11">
      <c r="A609" t="s">
        <v>1944</v>
      </c>
      <c r="B609" t="s">
        <v>1944</v>
      </c>
      <c r="C609">
        <f>_xlfn.XLOOKUP(A609,保证金登记!B:B,保证金登记!E:E)</f>
        <v>45400</v>
      </c>
      <c r="D609" t="str">
        <f>_xlfn.XLOOKUP(B609,[2]保证金申请!$A:$A,[2]保证金申请!$C:$C)</f>
        <v>2024-04-17</v>
      </c>
      <c r="E609" t="str">
        <f>_xlfn.XLOOKUP(A609,保证金登记!B:B,保证金登记!I:I)</f>
        <v>北方水泥有限公司（总部）</v>
      </c>
      <c r="F609" t="str">
        <f>_xlfn.XLOOKUP(B609,[2]保证金申请!$A:$A,[2]保证金申请!$Q:$Q)</f>
        <v>北方水泥有限公司（总部）</v>
      </c>
      <c r="G609">
        <f>_xlfn.XLOOKUP(A609,保证金登记!B:B,保证金登记!J:J)</f>
        <v>4000</v>
      </c>
      <c r="H609">
        <f>_xlfn.XLOOKUP(B609,[2]保证金申请!$A:$A,[2]保证金申请!$K:$K)</f>
        <v>4000</v>
      </c>
      <c r="I609">
        <f t="shared" si="27"/>
        <v>1</v>
      </c>
      <c r="J609">
        <f t="shared" si="28"/>
        <v>0</v>
      </c>
      <c r="K609" t="b">
        <f t="shared" si="29"/>
        <v>1</v>
      </c>
    </row>
    <row r="610" spans="1:11">
      <c r="A610" t="s">
        <v>1945</v>
      </c>
      <c r="B610" t="s">
        <v>1945</v>
      </c>
      <c r="C610">
        <f>_xlfn.XLOOKUP(A610,保证金登记!B:B,保证金登记!E:E)</f>
        <v>45412</v>
      </c>
      <c r="D610" t="str">
        <f>_xlfn.XLOOKUP(B610,[2]保证金申请!$A:$A,[2]保证金申请!$C:$C)</f>
        <v>2024-04-22</v>
      </c>
      <c r="E610" t="str">
        <f>_xlfn.XLOOKUP(A610,保证金登记!B:B,保证金登记!I:I)</f>
        <v>青海盐湖镁业有限公司</v>
      </c>
      <c r="F610" t="str">
        <f>_xlfn.XLOOKUP(B610,[2]保证金申请!$A:$A,[2]保证金申请!$Q:$Q)</f>
        <v>青海盐湖镁业有限公司</v>
      </c>
      <c r="G610">
        <f>_xlfn.XLOOKUP(A610,保证金登记!B:B,保证金登记!J:J)</f>
        <v>20000</v>
      </c>
      <c r="H610">
        <f>_xlfn.XLOOKUP(B610,[2]保证金申请!$A:$A,[2]保证金申请!$K:$K)</f>
        <v>20000</v>
      </c>
      <c r="I610">
        <f t="shared" si="27"/>
        <v>8</v>
      </c>
      <c r="J610">
        <f t="shared" si="28"/>
        <v>0</v>
      </c>
      <c r="K610" t="b">
        <f t="shared" si="29"/>
        <v>1</v>
      </c>
    </row>
    <row r="611" spans="1:11">
      <c r="A611" t="s">
        <v>1946</v>
      </c>
      <c r="B611" t="s">
        <v>1946</v>
      </c>
      <c r="C611">
        <f>_xlfn.XLOOKUP(A611,保证金登记!B:B,保证金登记!E:E)</f>
        <v>45409</v>
      </c>
      <c r="D611" t="str">
        <f>_xlfn.XLOOKUP(B611,[2]保证金申请!$A:$A,[2]保证金申请!$C:$C)</f>
        <v>2024-04-23</v>
      </c>
      <c r="E611" t="str">
        <f>_xlfn.XLOOKUP(A611,保证金登记!B:B,保证金登记!I:I)</f>
        <v>青海发投碱业有限公司</v>
      </c>
      <c r="F611" t="str">
        <f>_xlfn.XLOOKUP(B611,[2]保证金申请!$A:$A,[2]保证金申请!$Q:$Q)</f>
        <v>青海发投碱业有限公司</v>
      </c>
      <c r="G611">
        <f>_xlfn.XLOOKUP(A611,保证金登记!B:B,保证金登记!J:J)</f>
        <v>3000</v>
      </c>
      <c r="H611">
        <f>_xlfn.XLOOKUP(B611,[2]保证金申请!$A:$A,[2]保证金申请!$K:$K)</f>
        <v>3000</v>
      </c>
      <c r="I611">
        <f t="shared" si="27"/>
        <v>4</v>
      </c>
      <c r="J611">
        <f t="shared" si="28"/>
        <v>0</v>
      </c>
      <c r="K611" t="b">
        <f t="shared" si="29"/>
        <v>1</v>
      </c>
    </row>
    <row r="612" spans="1:11">
      <c r="A612" t="s">
        <v>1948</v>
      </c>
      <c r="B612" t="s">
        <v>1948</v>
      </c>
      <c r="C612">
        <f>_xlfn.XLOOKUP(A612,保证金登记!B:B,保证金登记!E:E)</f>
        <v>45407</v>
      </c>
      <c r="D612" t="str">
        <f>_xlfn.XLOOKUP(B612,[2]保证金申请!$A:$A,[2]保证金申请!$C:$C)</f>
        <v>2024-04-23</v>
      </c>
      <c r="E612" t="str">
        <f>_xlfn.XLOOKUP(A612,保证金登记!B:B,保证金登记!I:I)</f>
        <v>青海发投碱业有限公司</v>
      </c>
      <c r="F612" t="str">
        <f>_xlfn.XLOOKUP(B612,[2]保证金申请!$A:$A,[2]保证金申请!$Q:$Q)</f>
        <v>青海发投碱业有限公司</v>
      </c>
      <c r="G612">
        <f>_xlfn.XLOOKUP(A612,保证金登记!B:B,保证金登记!J:J)</f>
        <v>10000</v>
      </c>
      <c r="H612">
        <f>_xlfn.XLOOKUP(B612,[2]保证金申请!$A:$A,[2]保证金申请!$K:$K)</f>
        <v>10000</v>
      </c>
      <c r="I612">
        <f t="shared" si="27"/>
        <v>2</v>
      </c>
      <c r="J612">
        <f t="shared" si="28"/>
        <v>0</v>
      </c>
      <c r="K612" t="b">
        <f t="shared" si="29"/>
        <v>1</v>
      </c>
    </row>
    <row r="613" spans="1:11">
      <c r="A613" t="s">
        <v>1950</v>
      </c>
      <c r="B613" t="s">
        <v>1950</v>
      </c>
      <c r="C613">
        <f>_xlfn.XLOOKUP(A613,保证金登记!B:B,保证金登记!E:E)</f>
        <v>45407</v>
      </c>
      <c r="D613" t="str">
        <f>_xlfn.XLOOKUP(B613,[2]保证金申请!$A:$A,[2]保证金申请!$C:$C)</f>
        <v>2024-04-23</v>
      </c>
      <c r="E613" t="str">
        <f>_xlfn.XLOOKUP(A613,保证金登记!B:B,保证金登记!I:I)</f>
        <v>青海发投碱业有限公司</v>
      </c>
      <c r="F613" t="str">
        <f>_xlfn.XLOOKUP(B613,[2]保证金申请!$A:$A,[2]保证金申请!$Q:$Q)</f>
        <v>青海发投碱业有限公司</v>
      </c>
      <c r="G613">
        <f>_xlfn.XLOOKUP(A613,保证金登记!B:B,保证金登记!J:J)</f>
        <v>8000</v>
      </c>
      <c r="H613">
        <f>_xlfn.XLOOKUP(B613,[2]保证金申请!$A:$A,[2]保证金申请!$K:$K)</f>
        <v>8000</v>
      </c>
      <c r="I613">
        <f t="shared" si="27"/>
        <v>2</v>
      </c>
      <c r="J613">
        <f t="shared" si="28"/>
        <v>0</v>
      </c>
      <c r="K613" t="b">
        <f t="shared" si="29"/>
        <v>1</v>
      </c>
    </row>
    <row r="614" spans="1:11">
      <c r="A614" t="s">
        <v>1952</v>
      </c>
      <c r="B614" t="s">
        <v>1952</v>
      </c>
      <c r="C614">
        <f>_xlfn.XLOOKUP(A614,保证金登记!B:B,保证金登记!E:E)</f>
        <v>45407</v>
      </c>
      <c r="D614" t="str">
        <f>_xlfn.XLOOKUP(B614,[2]保证金申请!$A:$A,[2]保证金申请!$C:$C)</f>
        <v>2024-04-23</v>
      </c>
      <c r="E614" t="str">
        <f>_xlfn.XLOOKUP(A614,保证金登记!B:B,保证金登记!I:I)</f>
        <v>青海发投碱业有限公司</v>
      </c>
      <c r="F614" t="str">
        <f>_xlfn.XLOOKUP(B614,[2]保证金申请!$A:$A,[2]保证金申请!$Q:$Q)</f>
        <v>青海发投碱业有限公司</v>
      </c>
      <c r="G614">
        <f>_xlfn.XLOOKUP(A614,保证金登记!B:B,保证金登记!J:J)</f>
        <v>5000</v>
      </c>
      <c r="H614">
        <f>_xlfn.XLOOKUP(B614,[2]保证金申请!$A:$A,[2]保证金申请!$K:$K)</f>
        <v>5000</v>
      </c>
      <c r="I614">
        <f t="shared" si="27"/>
        <v>2</v>
      </c>
      <c r="J614">
        <f t="shared" si="28"/>
        <v>0</v>
      </c>
      <c r="K614" t="b">
        <f t="shared" si="29"/>
        <v>1</v>
      </c>
    </row>
    <row r="615" spans="1:11">
      <c r="A615" t="s">
        <v>1954</v>
      </c>
      <c r="B615" t="s">
        <v>1954</v>
      </c>
      <c r="C615">
        <f>_xlfn.XLOOKUP(A615,保证金登记!B:B,保证金登记!E:E)</f>
        <v>45411</v>
      </c>
      <c r="D615" t="str">
        <f>_xlfn.XLOOKUP(B615,[2]保证金申请!$A:$A,[2]保证金申请!$C:$C)</f>
        <v>2024-04-25</v>
      </c>
      <c r="E615" t="str">
        <f>_xlfn.XLOOKUP(A615,保证金登记!B:B,保证金登记!I:I)</f>
        <v>青海发投碱业有限公司</v>
      </c>
      <c r="F615" t="str">
        <f>_xlfn.XLOOKUP(B615,[2]保证金申请!$A:$A,[2]保证金申请!$Q:$Q)</f>
        <v>青海发投碱业有限公司</v>
      </c>
      <c r="G615">
        <f>_xlfn.XLOOKUP(A615,保证金登记!B:B,保证金登记!J:J)</f>
        <v>14000</v>
      </c>
      <c r="H615">
        <f>_xlfn.XLOOKUP(B615,[2]保证金申请!$A:$A,[2]保证金申请!$K:$K)</f>
        <v>14000</v>
      </c>
      <c r="I615">
        <f t="shared" si="27"/>
        <v>4</v>
      </c>
      <c r="J615">
        <f t="shared" si="28"/>
        <v>0</v>
      </c>
      <c r="K615" t="b">
        <f t="shared" si="29"/>
        <v>1</v>
      </c>
    </row>
    <row r="616" spans="1:11">
      <c r="A616" t="s">
        <v>1958</v>
      </c>
      <c r="B616" t="s">
        <v>1958</v>
      </c>
      <c r="C616">
        <f>_xlfn.XLOOKUP(A616,保证金登记!B:B,保证金登记!E:E)</f>
        <v>45417</v>
      </c>
      <c r="D616" t="str">
        <f>_xlfn.XLOOKUP(B616,[2]保证金申请!$A:$A,[2]保证金申请!$C:$C)</f>
        <v>2024-04-30</v>
      </c>
      <c r="E616" t="str">
        <f>_xlfn.XLOOKUP(A616,保证金登记!B:B,保证金登记!I:I)</f>
        <v>日照钢铁有限公司</v>
      </c>
      <c r="F616" t="str">
        <f>_xlfn.XLOOKUP(B616,[2]保证金申请!$A:$A,[2]保证金申请!$Q:$Q)</f>
        <v>日照钢铁有限公司</v>
      </c>
      <c r="G616">
        <f>_xlfn.XLOOKUP(A616,保证金登记!B:B,保证金登记!J:J)</f>
        <v>10000</v>
      </c>
      <c r="H616">
        <f>_xlfn.XLOOKUP(B616,[2]保证金申请!$A:$A,[2]保证金申请!$K:$K)</f>
        <v>10000</v>
      </c>
      <c r="I616">
        <f t="shared" si="27"/>
        <v>5</v>
      </c>
      <c r="J616">
        <f t="shared" si="28"/>
        <v>0</v>
      </c>
      <c r="K616" t="b">
        <f t="shared" si="29"/>
        <v>1</v>
      </c>
    </row>
    <row r="617" spans="1:11">
      <c r="A617" t="s">
        <v>1960</v>
      </c>
      <c r="B617" t="s">
        <v>1960</v>
      </c>
      <c r="C617">
        <f>_xlfn.XLOOKUP(A617,保证金登记!B:B,保证金登记!E:E)</f>
        <v>45418</v>
      </c>
      <c r="D617" t="str">
        <f>_xlfn.XLOOKUP(B617,[2]保证金申请!$A:$A,[2]保证金申请!$C:$C)</f>
        <v>2024-05-06</v>
      </c>
      <c r="E617" t="str">
        <f>_xlfn.XLOOKUP(A617,保证金登记!B:B,保证金登记!I:I)</f>
        <v>中盐吉兰泰氯碱化工有限公司</v>
      </c>
      <c r="F617" t="str">
        <f>_xlfn.XLOOKUP(B617,[2]保证金申请!$A:$A,[2]保证金申请!$Q:$Q)</f>
        <v>中盐吉兰泰氯碱化工有限公司</v>
      </c>
      <c r="G617">
        <f>_xlfn.XLOOKUP(A617,保证金登记!B:B,保证金登记!J:J)</f>
        <v>8000</v>
      </c>
      <c r="H617">
        <f>_xlfn.XLOOKUP(B617,[2]保证金申请!$A:$A,[2]保证金申请!$K:$K)</f>
        <v>8000</v>
      </c>
      <c r="I617">
        <f t="shared" si="27"/>
        <v>0</v>
      </c>
      <c r="J617">
        <f t="shared" si="28"/>
        <v>0</v>
      </c>
      <c r="K617" t="b">
        <f t="shared" si="29"/>
        <v>1</v>
      </c>
    </row>
    <row r="618" spans="1:11">
      <c r="A618" t="s">
        <v>1962</v>
      </c>
      <c r="B618" t="s">
        <v>1962</v>
      </c>
      <c r="C618">
        <f>_xlfn.XLOOKUP(A618,保证金登记!B:B,保证金登记!E:E)</f>
        <v>45420</v>
      </c>
      <c r="D618" t="str">
        <f>_xlfn.XLOOKUP(B618,[2]保证金申请!$A:$A,[2]保证金申请!$C:$C)</f>
        <v>2024-05-08</v>
      </c>
      <c r="E618" t="str">
        <f>_xlfn.XLOOKUP(A618,保证金登记!B:B,保证金登记!I:I)</f>
        <v>青海发投碱业有限公司</v>
      </c>
      <c r="F618" t="str">
        <f>_xlfn.XLOOKUP(B618,[2]保证金申请!$A:$A,[2]保证金申请!$Q:$Q)</f>
        <v>青海发投碱业有限公司</v>
      </c>
      <c r="G618">
        <f>_xlfn.XLOOKUP(A618,保证金登记!B:B,保证金登记!J:J)</f>
        <v>14300</v>
      </c>
      <c r="H618">
        <f>_xlfn.XLOOKUP(B618,[2]保证金申请!$A:$A,[2]保证金申请!$K:$K)</f>
        <v>14300</v>
      </c>
      <c r="I618">
        <f t="shared" si="27"/>
        <v>0</v>
      </c>
      <c r="J618">
        <f t="shared" si="28"/>
        <v>0</v>
      </c>
      <c r="K618" t="b">
        <f t="shared" si="29"/>
        <v>1</v>
      </c>
    </row>
    <row r="619" spans="1:11">
      <c r="A619" t="s">
        <v>1966</v>
      </c>
      <c r="B619" t="s">
        <v>1966</v>
      </c>
      <c r="C619">
        <f>_xlfn.XLOOKUP(A619,保证金登记!B:B,保证金登记!E:E)</f>
        <v>45423</v>
      </c>
      <c r="D619" t="str">
        <f>_xlfn.XLOOKUP(B619,[2]保证金申请!$A:$A,[2]保证金申请!$C:$C)</f>
        <v>2024-05-08</v>
      </c>
      <c r="E619" t="str">
        <f>_xlfn.XLOOKUP(A619,保证金登记!B:B,保证金登记!I:I)</f>
        <v>青海发投碱业有限公司</v>
      </c>
      <c r="F619" t="str">
        <f>_xlfn.XLOOKUP(B619,[2]保证金申请!$A:$A,[2]保证金申请!$Q:$Q)</f>
        <v>青海发投碱业有限公司</v>
      </c>
      <c r="G619">
        <f>_xlfn.XLOOKUP(A619,保证金登记!B:B,保证金登记!J:J)</f>
        <v>15000</v>
      </c>
      <c r="H619">
        <f>_xlfn.XLOOKUP(B619,[2]保证金申请!$A:$A,[2]保证金申请!$K:$K)</f>
        <v>15000</v>
      </c>
      <c r="I619">
        <f t="shared" si="27"/>
        <v>3</v>
      </c>
      <c r="J619">
        <f t="shared" si="28"/>
        <v>0</v>
      </c>
      <c r="K619" t="b">
        <f t="shared" si="29"/>
        <v>1</v>
      </c>
    </row>
    <row r="620" spans="1:11">
      <c r="A620" t="s">
        <v>1967</v>
      </c>
      <c r="B620" t="s">
        <v>1967</v>
      </c>
      <c r="C620">
        <f>_xlfn.XLOOKUP(A620,保证金登记!B:B,保证金登记!E:E)</f>
        <v>45432</v>
      </c>
      <c r="D620" t="str">
        <f>_xlfn.XLOOKUP(B620,[2]保证金申请!$A:$A,[2]保证金申请!$C:$C)</f>
        <v>2024-05-13</v>
      </c>
      <c r="E620" t="str">
        <f>_xlfn.XLOOKUP(A620,保证金登记!B:B,保证金登记!I:I)</f>
        <v>日照钢铁有限公司</v>
      </c>
      <c r="F620" t="str">
        <f>_xlfn.XLOOKUP(B620,[2]保证金申请!$A:$A,[2]保证金申请!$Q:$Q)</f>
        <v>日照钢铁有限公司</v>
      </c>
      <c r="G620">
        <f>_xlfn.XLOOKUP(A620,保证金登记!B:B,保证金登记!J:J)</f>
        <v>10000</v>
      </c>
      <c r="H620">
        <f>_xlfn.XLOOKUP(B620,[2]保证金申请!$A:$A,[2]保证金申请!$K:$K)</f>
        <v>10000</v>
      </c>
      <c r="I620">
        <f t="shared" si="27"/>
        <v>7</v>
      </c>
      <c r="J620">
        <f t="shared" si="28"/>
        <v>0</v>
      </c>
      <c r="K620" t="b">
        <f t="shared" si="29"/>
        <v>1</v>
      </c>
    </row>
    <row r="621" spans="1:11">
      <c r="A621" t="s">
        <v>1969</v>
      </c>
      <c r="B621" t="s">
        <v>1969</v>
      </c>
      <c r="C621">
        <f>_xlfn.XLOOKUP(A621,保证金登记!B:B,保证金登记!E:E)</f>
        <v>45429</v>
      </c>
      <c r="D621" t="str">
        <f>_xlfn.XLOOKUP(B621,[2]保证金申请!$A:$A,[2]保证金申请!$C:$C)</f>
        <v>2024-05-14</v>
      </c>
      <c r="E621" t="str">
        <f>_xlfn.XLOOKUP(A621,保证金登记!B:B,保证金登记!I:I)</f>
        <v>内蒙古亿利冀东水泥有责任限公司</v>
      </c>
      <c r="F621" t="str">
        <f>_xlfn.XLOOKUP(B621,[2]保证金申请!$A:$A,[2]保证金申请!$Q:$Q)</f>
        <v>内蒙古亿利冀东水泥有限责任公司</v>
      </c>
      <c r="G621">
        <f>_xlfn.XLOOKUP(A621,保证金登记!B:B,保证金登记!J:J)</f>
        <v>8000</v>
      </c>
      <c r="H621">
        <f>_xlfn.XLOOKUP(B621,[2]保证金申请!$A:$A,[2]保证金申请!$K:$K)</f>
        <v>8000</v>
      </c>
      <c r="I621">
        <f t="shared" si="27"/>
        <v>3</v>
      </c>
      <c r="J621">
        <f t="shared" si="28"/>
        <v>0</v>
      </c>
      <c r="K621" t="b">
        <f t="shared" si="29"/>
        <v>0</v>
      </c>
    </row>
    <row r="622" spans="1:11">
      <c r="A622" t="s">
        <v>1972</v>
      </c>
      <c r="B622" t="s">
        <v>1972</v>
      </c>
      <c r="C622">
        <f>_xlfn.XLOOKUP(A622,保证金登记!B:B,保证金登记!E:E)</f>
        <v>45427</v>
      </c>
      <c r="D622" t="str">
        <f>_xlfn.XLOOKUP(B622,[2]保证金申请!$A:$A,[2]保证金申请!$C:$C)</f>
        <v>2024-05-14</v>
      </c>
      <c r="E622" t="str">
        <f>_xlfn.XLOOKUP(A622,保证金登记!B:B,保证金登记!I:I)</f>
        <v>中盐吉兰泰氯碱化工有限公司</v>
      </c>
      <c r="F622" t="str">
        <f>_xlfn.XLOOKUP(B622,[2]保证金申请!$A:$A,[2]保证金申请!$Q:$Q)</f>
        <v>中盐内蒙古化工股份有限公司</v>
      </c>
      <c r="G622">
        <f>_xlfn.XLOOKUP(A622,保证金登记!B:B,保证金登记!J:J)</f>
        <v>20000</v>
      </c>
      <c r="H622">
        <f>_xlfn.XLOOKUP(B622,[2]保证金申请!$A:$A,[2]保证金申请!$K:$K)</f>
        <v>20000</v>
      </c>
      <c r="I622">
        <f t="shared" si="27"/>
        <v>1</v>
      </c>
      <c r="J622">
        <f t="shared" si="28"/>
        <v>0</v>
      </c>
      <c r="K622" t="b">
        <f t="shared" si="29"/>
        <v>0</v>
      </c>
    </row>
    <row r="623" spans="1:11">
      <c r="A623" t="s">
        <v>1974</v>
      </c>
      <c r="B623" t="s">
        <v>1974</v>
      </c>
      <c r="C623">
        <f>_xlfn.XLOOKUP(A623,保证金登记!B:B,保证金登记!E:E)</f>
        <v>0</v>
      </c>
      <c r="D623" t="str">
        <f>_xlfn.XLOOKUP(B623,[2]保证金申请!$A:$A,[2]保证金申请!$C:$C)</f>
        <v>2024-05-15</v>
      </c>
      <c r="E623" t="str">
        <f>_xlfn.XLOOKUP(A623,保证金登记!B:B,保证金登记!I:I)</f>
        <v>湖北宜化松滋肥业有限公司</v>
      </c>
      <c r="F623" t="str">
        <f>_xlfn.XLOOKUP(B623,[2]保证金申请!$A:$A,[2]保证金申请!$Q:$Q)</f>
        <v>湖北宜化松滋肥业有限公司</v>
      </c>
      <c r="G623">
        <f>_xlfn.XLOOKUP(A623,保证金登记!B:B,保证金登记!J:J)</f>
        <v>0</v>
      </c>
      <c r="H623">
        <f>_xlfn.XLOOKUP(B623,[2]保证金申请!$A:$A,[2]保证金申请!$K:$K)</f>
        <v>0</v>
      </c>
      <c r="I623">
        <f t="shared" si="27"/>
        <v>-45427</v>
      </c>
      <c r="J623">
        <f t="shared" si="28"/>
        <v>0</v>
      </c>
      <c r="K623" t="b">
        <f t="shared" si="29"/>
        <v>1</v>
      </c>
    </row>
    <row r="624" spans="1:11">
      <c r="A624" t="s">
        <v>1976</v>
      </c>
      <c r="B624" t="s">
        <v>1976</v>
      </c>
      <c r="C624">
        <f>_xlfn.XLOOKUP(A624,保证金登记!B:B,保证金登记!E:E)</f>
        <v>45433</v>
      </c>
      <c r="D624" t="str">
        <f>_xlfn.XLOOKUP(B624,[2]保证金申请!$A:$A,[2]保证金申请!$C:$C)</f>
        <v>2024-05-21</v>
      </c>
      <c r="E624" t="str">
        <f>_xlfn.XLOOKUP(A624,保证金登记!B:B,保证金登记!I:I)</f>
        <v>福建三钢闽光股份有限公司</v>
      </c>
      <c r="F624" t="str">
        <f>_xlfn.XLOOKUP(B624,[2]保证金申请!$A:$A,[2]保证金申请!$Q:$Q)</f>
        <v>福建三钢闽光股份有限公司</v>
      </c>
      <c r="G624">
        <f>_xlfn.XLOOKUP(A624,保证金登记!B:B,保证金登记!J:J)</f>
        <v>5000</v>
      </c>
      <c r="H624">
        <f>_xlfn.XLOOKUP(B624,[2]保证金申请!$A:$A,[2]保证金申请!$K:$K)</f>
        <v>5000</v>
      </c>
      <c r="I624">
        <f t="shared" si="27"/>
        <v>0</v>
      </c>
      <c r="J624">
        <f t="shared" si="28"/>
        <v>0</v>
      </c>
      <c r="K624" t="b">
        <f t="shared" si="29"/>
        <v>1</v>
      </c>
    </row>
    <row r="625" spans="1:11">
      <c r="A625" t="s">
        <v>1978</v>
      </c>
      <c r="B625" t="s">
        <v>1978</v>
      </c>
      <c r="C625">
        <f>_xlfn.XLOOKUP(A625,保证金登记!B:B,保证金登记!E:E)</f>
        <v>45443</v>
      </c>
      <c r="D625" t="str">
        <f>_xlfn.XLOOKUP(B625,[2]保证金申请!$A:$A,[2]保证金申请!$C:$C)</f>
        <v>2024-05-24</v>
      </c>
      <c r="E625" t="str">
        <f>_xlfn.XLOOKUP(A625,保证金登记!B:B,保证金登记!I:I)</f>
        <v>四川西南水泥有限公司</v>
      </c>
      <c r="F625" t="str">
        <f>_xlfn.XLOOKUP(B625,[2]保证金申请!$A:$A,[2]保证金申请!$Q:$Q)</f>
        <v>西南水泥有限公司</v>
      </c>
      <c r="G625">
        <f>_xlfn.XLOOKUP(A625,保证金登记!B:B,保证金登记!J:J)</f>
        <v>20000</v>
      </c>
      <c r="H625">
        <f>_xlfn.XLOOKUP(B625,[2]保证金申请!$A:$A,[2]保证金申请!$K:$K)</f>
        <v>0</v>
      </c>
      <c r="I625">
        <f t="shared" si="27"/>
        <v>7</v>
      </c>
      <c r="J625">
        <f t="shared" si="28"/>
        <v>20000</v>
      </c>
      <c r="K625" t="b">
        <f t="shared" si="29"/>
        <v>0</v>
      </c>
    </row>
    <row r="626" spans="1:11">
      <c r="A626" t="s">
        <v>1980</v>
      </c>
      <c r="B626" t="s">
        <v>1980</v>
      </c>
      <c r="C626">
        <f>_xlfn.XLOOKUP(A626,保证金登记!B:B,保证金登记!E:E)</f>
        <v>45443</v>
      </c>
      <c r="D626" t="str">
        <f>_xlfn.XLOOKUP(B626,[2]保证金申请!$A:$A,[2]保证金申请!$C:$C)</f>
        <v>2024-05-24</v>
      </c>
      <c r="E626" t="str">
        <f>_xlfn.XLOOKUP(A626,保证金登记!B:B,保证金登记!I:I)</f>
        <v>四川西南水泥有限公司</v>
      </c>
      <c r="F626" t="str">
        <f>_xlfn.XLOOKUP(B626,[2]保证金申请!$A:$A,[2]保证金申请!$Q:$Q)</f>
        <v>西南水泥有限公司</v>
      </c>
      <c r="G626">
        <f>_xlfn.XLOOKUP(A626,保证金登记!B:B,保证金登记!J:J)</f>
        <v>50000</v>
      </c>
      <c r="H626">
        <f>_xlfn.XLOOKUP(B626,[2]保证金申请!$A:$A,[2]保证金申请!$K:$K)</f>
        <v>0</v>
      </c>
      <c r="I626">
        <f t="shared" si="27"/>
        <v>7</v>
      </c>
      <c r="J626">
        <f t="shared" si="28"/>
        <v>50000</v>
      </c>
      <c r="K626" t="b">
        <f t="shared" si="29"/>
        <v>0</v>
      </c>
    </row>
    <row r="627" spans="1:11">
      <c r="A627" t="s">
        <v>1984</v>
      </c>
      <c r="B627" t="s">
        <v>1984</v>
      </c>
      <c r="C627">
        <f>_xlfn.XLOOKUP(A627,保证金登记!B:B,保证金登记!E:E)</f>
        <v>0</v>
      </c>
      <c r="D627" t="str">
        <f>_xlfn.XLOOKUP(B627,[2]保证金申请!$A:$A,[2]保证金申请!$C:$C)</f>
        <v>2024-06-04</v>
      </c>
      <c r="E627" t="str">
        <f>_xlfn.XLOOKUP(A627,保证金登记!B:B,保证金登记!I:I)</f>
        <v>山东泰山钢铁集团有限公司</v>
      </c>
      <c r="F627" t="str">
        <f>_xlfn.XLOOKUP(B627,[2]保证金申请!$A:$A,[2]保证金申请!$Q:$Q)</f>
        <v>山东泰山钢铁集团有限公司</v>
      </c>
      <c r="G627">
        <f>_xlfn.XLOOKUP(A627,保证金登记!B:B,保证金登记!J:J)</f>
        <v>0</v>
      </c>
      <c r="H627">
        <f>_xlfn.XLOOKUP(B627,[2]保证金申请!$A:$A,[2]保证金申请!$K:$K)</f>
        <v>0</v>
      </c>
      <c r="I627">
        <f t="shared" si="27"/>
        <v>-45447</v>
      </c>
      <c r="J627">
        <f t="shared" si="28"/>
        <v>0</v>
      </c>
      <c r="K627" t="b">
        <f t="shared" si="29"/>
        <v>1</v>
      </c>
    </row>
    <row r="628" spans="1:11">
      <c r="A628" t="s">
        <v>1985</v>
      </c>
      <c r="B628" t="s">
        <v>1985</v>
      </c>
      <c r="C628">
        <f>_xlfn.XLOOKUP(A628,保证金登记!B:B,保证金登记!E:E)</f>
        <v>45468</v>
      </c>
      <c r="D628" t="str">
        <f>_xlfn.XLOOKUP(B628,[2]保证金申请!$A:$A,[2]保证金申请!$C:$C)</f>
        <v>2024-06-25</v>
      </c>
      <c r="E628" t="str">
        <f>_xlfn.XLOOKUP(A628,保证金登记!B:B,保证金登记!I:I)</f>
        <v>青海发投碱业有限公司</v>
      </c>
      <c r="F628" t="str">
        <f>_xlfn.XLOOKUP(B628,[2]保证金申请!$A:$A,[2]保证金申请!$Q:$Q)</f>
        <v>青海发投碱业有限公司</v>
      </c>
      <c r="G628">
        <f>_xlfn.XLOOKUP(A628,保证金登记!B:B,保证金登记!J:J)</f>
        <v>6950</v>
      </c>
      <c r="H628">
        <f>_xlfn.XLOOKUP(B628,[2]保证金申请!$A:$A,[2]保证金申请!$K:$K)</f>
        <v>6950</v>
      </c>
      <c r="I628">
        <f t="shared" si="27"/>
        <v>0</v>
      </c>
      <c r="J628">
        <f t="shared" si="28"/>
        <v>0</v>
      </c>
      <c r="K628" t="b">
        <f t="shared" si="29"/>
        <v>1</v>
      </c>
    </row>
    <row r="629" spans="1:11">
      <c r="A629" t="s">
        <v>1987</v>
      </c>
      <c r="B629" t="s">
        <v>1987</v>
      </c>
      <c r="C629">
        <f>_xlfn.XLOOKUP(A629,保证金登记!B:B,保证金登记!E:E)</f>
        <v>45469</v>
      </c>
      <c r="D629" t="str">
        <f>_xlfn.XLOOKUP(B629,[2]保证金申请!$A:$A,[2]保证金申请!$C:$C)</f>
        <v>2024-06-26</v>
      </c>
      <c r="E629" t="str">
        <f>_xlfn.XLOOKUP(A629,保证金登记!B:B,保证金登记!I:I)</f>
        <v>安徽省优质采科技发展有限责任公司</v>
      </c>
      <c r="F629" t="str">
        <f>_xlfn.XLOOKUP(B629,[2]保证金申请!$A:$A,[2]保证金申请!$Q:$Q)</f>
        <v>安徽省优质采科技发展有限责任公司</v>
      </c>
      <c r="G629">
        <f>_xlfn.XLOOKUP(A629,保证金登记!B:B,保证金登记!J:J)</f>
        <v>2000</v>
      </c>
      <c r="H629">
        <f>_xlfn.XLOOKUP(B629,[2]保证金申请!$A:$A,[2]保证金申请!$K:$K)</f>
        <v>2000</v>
      </c>
      <c r="I629">
        <f t="shared" si="27"/>
        <v>0</v>
      </c>
      <c r="J629">
        <f t="shared" si="28"/>
        <v>0</v>
      </c>
      <c r="K629" t="b">
        <f t="shared" si="29"/>
        <v>1</v>
      </c>
    </row>
    <row r="630" spans="1:11">
      <c r="A630" t="s">
        <v>1991</v>
      </c>
      <c r="B630" t="s">
        <v>1991</v>
      </c>
      <c r="C630">
        <f>_xlfn.XLOOKUP(A630,保证金登记!B:B,保证金登记!E:E)</f>
        <v>45470</v>
      </c>
      <c r="D630" t="str">
        <f>_xlfn.XLOOKUP(B630,[2]保证金申请!$A:$A,[2]保证金申请!$C:$C)</f>
        <v>2024-06-27</v>
      </c>
      <c r="E630" t="str">
        <f>_xlfn.XLOOKUP(A630,保证金登记!B:B,保证金登记!I:I)</f>
        <v>青海发投碱业有限公司</v>
      </c>
      <c r="F630" t="str">
        <f>_xlfn.XLOOKUP(B630,[2]保证金申请!$A:$A,[2]保证金申请!$Q:$Q)</f>
        <v>青海发投碱业有限公司</v>
      </c>
      <c r="G630">
        <f>_xlfn.XLOOKUP(A630,保证金登记!B:B,保证金登记!J:J)</f>
        <v>7000</v>
      </c>
      <c r="H630">
        <f>_xlfn.XLOOKUP(B630,[2]保证金申请!$A:$A,[2]保证金申请!$K:$K)</f>
        <v>7000</v>
      </c>
      <c r="I630">
        <f t="shared" si="27"/>
        <v>0</v>
      </c>
      <c r="J630">
        <f t="shared" si="28"/>
        <v>0</v>
      </c>
      <c r="K630" t="b">
        <f t="shared" si="29"/>
        <v>1</v>
      </c>
    </row>
    <row r="631" spans="1:11">
      <c r="A631" t="s">
        <v>1993</v>
      </c>
      <c r="B631" t="s">
        <v>1993</v>
      </c>
      <c r="C631">
        <f>_xlfn.XLOOKUP(A631,保证金登记!B:B,保证金登记!E:E)</f>
        <v>45470</v>
      </c>
      <c r="D631" t="str">
        <f>_xlfn.XLOOKUP(B631,[2]保证金申请!$A:$A,[2]保证金申请!$C:$C)</f>
        <v>2024-06-27</v>
      </c>
      <c r="E631" t="str">
        <f>_xlfn.XLOOKUP(A631,保证金登记!B:B,保证金登记!I:I)</f>
        <v>青海发投碱业有限公司</v>
      </c>
      <c r="F631" t="str">
        <f>_xlfn.XLOOKUP(B631,[2]保证金申请!$A:$A,[2]保证金申请!$Q:$Q)</f>
        <v>青海发投碱业有限公司</v>
      </c>
      <c r="G631">
        <f>_xlfn.XLOOKUP(A631,保证金登记!B:B,保证金登记!J:J)</f>
        <v>6950</v>
      </c>
      <c r="H631">
        <f>_xlfn.XLOOKUP(B631,[2]保证金申请!$A:$A,[2]保证金申请!$K:$K)</f>
        <v>6950</v>
      </c>
      <c r="I631">
        <f t="shared" si="27"/>
        <v>0</v>
      </c>
      <c r="J631">
        <f t="shared" si="28"/>
        <v>0</v>
      </c>
      <c r="K631" t="b">
        <f t="shared" si="29"/>
        <v>1</v>
      </c>
    </row>
    <row r="632" spans="1:11">
      <c r="A632" t="s">
        <v>1994</v>
      </c>
      <c r="B632" t="s">
        <v>1994</v>
      </c>
      <c r="C632">
        <f>_xlfn.XLOOKUP(A632,保证金登记!B:B,保证金登记!E:E)</f>
        <v>45474</v>
      </c>
      <c r="D632" t="str">
        <f>_xlfn.XLOOKUP(B632,[2]保证金申请!$A:$A,[2]保证金申请!$C:$C)</f>
        <v>2024-07-01</v>
      </c>
      <c r="E632" t="str">
        <f>_xlfn.XLOOKUP(A632,保证金登记!B:B,保证金登记!I:I)</f>
        <v>新疆宜化化工有限公司</v>
      </c>
      <c r="F632" t="str">
        <f>_xlfn.XLOOKUP(B632,[2]保证金申请!$A:$A,[2]保证金申请!$Q:$Q)</f>
        <v>新疆宜化化工有限公司</v>
      </c>
      <c r="G632">
        <f>_xlfn.XLOOKUP(A632,保证金登记!B:B,保证金登记!J:J)</f>
        <v>6000</v>
      </c>
      <c r="H632">
        <f>_xlfn.XLOOKUP(B632,[2]保证金申请!$A:$A,[2]保证金申请!$K:$K)</f>
        <v>6000</v>
      </c>
      <c r="I632">
        <f t="shared" si="27"/>
        <v>0</v>
      </c>
      <c r="J632">
        <f t="shared" si="28"/>
        <v>0</v>
      </c>
      <c r="K632" t="b">
        <f t="shared" si="29"/>
        <v>1</v>
      </c>
    </row>
    <row r="633" spans="1:11">
      <c r="A633" t="s">
        <v>1996</v>
      </c>
      <c r="B633" t="s">
        <v>1996</v>
      </c>
      <c r="C633">
        <f>_xlfn.XLOOKUP(A633,保证金登记!B:B,保证金登记!E:E)</f>
        <v>45492</v>
      </c>
      <c r="D633" t="str">
        <f>_xlfn.XLOOKUP(B633,[2]保证金申请!$A:$A,[2]保证金申请!$C:$C)</f>
        <v>2024-07-19</v>
      </c>
      <c r="E633" t="str">
        <f>_xlfn.XLOOKUP(A633,保证金登记!B:B,保证金登记!I:I)</f>
        <v>国家电投集团山西铝业有限公司</v>
      </c>
      <c r="F633" t="str">
        <f>_xlfn.XLOOKUP(B633,[2]保证金申请!$A:$A,[2]保证金申请!$Q:$Q)</f>
        <v>中国电能成套设备有限公司</v>
      </c>
      <c r="G633">
        <f>_xlfn.XLOOKUP(A633,保证金登记!B:B,保证金登记!J:J)</f>
        <v>28875</v>
      </c>
      <c r="H633">
        <f>_xlfn.XLOOKUP(B633,[2]保证金申请!$A:$A,[2]保证金申请!$K:$K)</f>
        <v>28875</v>
      </c>
      <c r="I633">
        <f t="shared" si="27"/>
        <v>0</v>
      </c>
      <c r="J633">
        <f t="shared" si="28"/>
        <v>0</v>
      </c>
      <c r="K633" t="b">
        <f t="shared" si="29"/>
        <v>0</v>
      </c>
    </row>
    <row r="634" spans="1:11">
      <c r="A634" t="s">
        <v>1999</v>
      </c>
      <c r="B634" t="s">
        <v>1999</v>
      </c>
      <c r="C634">
        <f>_xlfn.XLOOKUP(A634,保证金登记!B:B,保证金登记!E:E)</f>
        <v>45497</v>
      </c>
      <c r="D634" t="str">
        <f>_xlfn.XLOOKUP(B634,[2]保证金申请!$A:$A,[2]保证金申请!$C:$C)</f>
        <v>2024-07-24</v>
      </c>
      <c r="E634" t="str">
        <f>_xlfn.XLOOKUP(A634,保证金登记!B:B,保证金登记!I:I)</f>
        <v>青海发投碱业有限公司</v>
      </c>
      <c r="F634" t="str">
        <f>_xlfn.XLOOKUP(B634,[2]保证金申请!$A:$A,[2]保证金申请!$Q:$Q)</f>
        <v>青海发投碱业有限公司</v>
      </c>
      <c r="G634">
        <f>_xlfn.XLOOKUP(A634,保证金登记!B:B,保证金登记!J:J)</f>
        <v>4000</v>
      </c>
      <c r="H634">
        <f>_xlfn.XLOOKUP(B634,[2]保证金申请!$A:$A,[2]保证金申请!$K:$K)</f>
        <v>4000</v>
      </c>
      <c r="I634">
        <f t="shared" si="27"/>
        <v>0</v>
      </c>
      <c r="J634">
        <f t="shared" si="28"/>
        <v>0</v>
      </c>
      <c r="K634" t="b">
        <f t="shared" si="29"/>
        <v>1</v>
      </c>
    </row>
    <row r="635" spans="1:11">
      <c r="A635" t="s">
        <v>2002</v>
      </c>
      <c r="B635" t="s">
        <v>2002</v>
      </c>
      <c r="C635">
        <f>_xlfn.XLOOKUP(A635,保证金登记!B:B,保证金登记!E:E)</f>
        <v>45499</v>
      </c>
      <c r="D635" t="str">
        <f>_xlfn.XLOOKUP(B635,[2]保证金申请!$A:$A,[2]保证金申请!$C:$C)</f>
        <v>2024-07-26</v>
      </c>
      <c r="E635" t="str">
        <f>_xlfn.XLOOKUP(A635,保证金登记!B:B,保证金登记!I:I)</f>
        <v>鞍山冀东水泥有限责任公司</v>
      </c>
      <c r="F635" t="str">
        <f>_xlfn.XLOOKUP(B635,[2]保证金申请!$A:$A,[2]保证金申请!$Q:$Q)</f>
        <v>鞍山冀东水泥有限责任公司</v>
      </c>
      <c r="G635">
        <f>_xlfn.XLOOKUP(A635,保证金登记!B:B,保证金登记!J:J)</f>
        <v>0</v>
      </c>
      <c r="H635">
        <f>_xlfn.XLOOKUP(B635,[2]保证金申请!$A:$A,[2]保证金申请!$K:$K)</f>
        <v>0</v>
      </c>
      <c r="I635">
        <f t="shared" si="27"/>
        <v>0</v>
      </c>
      <c r="J635">
        <f t="shared" si="28"/>
        <v>0</v>
      </c>
      <c r="K635" t="b">
        <f t="shared" si="29"/>
        <v>1</v>
      </c>
    </row>
    <row r="636" spans="1:11">
      <c r="A636" t="s">
        <v>2005</v>
      </c>
      <c r="B636" t="s">
        <v>2005</v>
      </c>
      <c r="C636">
        <f>_xlfn.XLOOKUP(A636,保证金登记!B:B,保证金登记!E:E)</f>
        <v>45516</v>
      </c>
      <c r="D636" t="str">
        <f>_xlfn.XLOOKUP(B636,[2]保证金申请!$A:$A,[2]保证金申请!$C:$C)</f>
        <v>2024-08-12</v>
      </c>
      <c r="E636" t="str">
        <f>_xlfn.XLOOKUP(A636,保证金登记!B:B,保证金登记!I:I)</f>
        <v>青海发投碱业有限公司</v>
      </c>
      <c r="F636" t="str">
        <f>_xlfn.XLOOKUP(B636,[2]保证金申请!$A:$A,[2]保证金申请!$Q:$Q)</f>
        <v>青海发投碱业有限公司</v>
      </c>
      <c r="G636">
        <f>_xlfn.XLOOKUP(A636,保证金登记!B:B,保证金登记!J:J)</f>
        <v>30000</v>
      </c>
      <c r="H636">
        <f>_xlfn.XLOOKUP(B636,[2]保证金申请!$A:$A,[2]保证金申请!$K:$K)</f>
        <v>30000</v>
      </c>
      <c r="I636">
        <f t="shared" si="27"/>
        <v>0</v>
      </c>
      <c r="J636">
        <f t="shared" si="28"/>
        <v>0</v>
      </c>
      <c r="K636" t="b">
        <f t="shared" si="29"/>
        <v>1</v>
      </c>
    </row>
    <row r="637" spans="1:11">
      <c r="A637" t="s">
        <v>2007</v>
      </c>
      <c r="B637" t="s">
        <v>2007</v>
      </c>
      <c r="C637">
        <f>_xlfn.XLOOKUP(A637,保证金登记!B:B,保证金登记!E:E)</f>
        <v>45520</v>
      </c>
      <c r="D637" t="str">
        <f>_xlfn.XLOOKUP(B637,[2]保证金申请!$A:$A,[2]保证金申请!$C:$C)</f>
        <v>2024-08-16</v>
      </c>
      <c r="E637" t="str">
        <f>_xlfn.XLOOKUP(A637,保证金登记!B:B,保证金登记!I:I)</f>
        <v>上海宝华国际招标有限公司</v>
      </c>
      <c r="F637" t="str">
        <f>_xlfn.XLOOKUP(B637,[2]保证金申请!$A:$A,[2]保证金申请!$Q:$Q)</f>
        <v>上海宝华国际招标有限公司</v>
      </c>
      <c r="G637">
        <f>_xlfn.XLOOKUP(A637,保证金登记!B:B,保证金登记!J:J)</f>
        <v>74200</v>
      </c>
      <c r="H637">
        <f>_xlfn.XLOOKUP(B637,[2]保证金申请!$A:$A,[2]保证金申请!$K:$K)</f>
        <v>74200</v>
      </c>
      <c r="I637">
        <f t="shared" si="27"/>
        <v>0</v>
      </c>
      <c r="J637">
        <f t="shared" si="28"/>
        <v>0</v>
      </c>
      <c r="K637" t="b">
        <f t="shared" si="29"/>
        <v>1</v>
      </c>
    </row>
    <row r="638" spans="1:11">
      <c r="A638" t="s">
        <v>2010</v>
      </c>
      <c r="B638" t="s">
        <v>2010</v>
      </c>
      <c r="C638">
        <f>_xlfn.XLOOKUP(A638,保证金登记!B:B,保证金登记!E:E)</f>
        <v>45540</v>
      </c>
      <c r="D638" t="str">
        <f>_xlfn.XLOOKUP(B638,[2]保证金申请!$A:$A,[2]保证金申请!$C:$C)</f>
        <v>2024-09-05</v>
      </c>
      <c r="E638" t="str">
        <f>_xlfn.XLOOKUP(A638,保证金登记!B:B,保证金登记!I:I)</f>
        <v>青海发投碱业有限公司</v>
      </c>
      <c r="F638" t="str">
        <f>_xlfn.XLOOKUP(B638,[2]保证金申请!$A:$A,[2]保证金申请!$Q:$Q)</f>
        <v>青海发投碱业有限公司</v>
      </c>
      <c r="G638">
        <f>_xlfn.XLOOKUP(A638,保证金登记!B:B,保证金登记!J:J)</f>
        <v>10000</v>
      </c>
      <c r="H638">
        <f>_xlfn.XLOOKUP(B638,[2]保证金申请!$A:$A,[2]保证金申请!$K:$K)</f>
        <v>10000</v>
      </c>
      <c r="I638">
        <f t="shared" si="27"/>
        <v>0</v>
      </c>
      <c r="J638">
        <f t="shared" si="28"/>
        <v>0</v>
      </c>
      <c r="K638" t="b">
        <f t="shared" si="29"/>
        <v>1</v>
      </c>
    </row>
    <row r="639" spans="1:11">
      <c r="A639" t="s">
        <v>2012</v>
      </c>
      <c r="B639" t="s">
        <v>2012</v>
      </c>
      <c r="C639">
        <f>_xlfn.XLOOKUP(A639,保证金登记!B:B,保证金登记!E:E)</f>
        <v>45545</v>
      </c>
      <c r="D639" t="str">
        <f>_xlfn.XLOOKUP(B639,[2]保证金申请!$A:$A,[2]保证金申请!$C:$C)</f>
        <v>2024-09-10</v>
      </c>
      <c r="E639" t="str">
        <f>_xlfn.XLOOKUP(A639,保证金登记!B:B,保证金登记!I:I)</f>
        <v>青海盐湖镁业有限公司</v>
      </c>
      <c r="F639" t="str">
        <f>_xlfn.XLOOKUP(B639,[2]保证金申请!$A:$A,[2]保证金申请!$Q:$Q)</f>
        <v>青海盐湖镁业有限公司</v>
      </c>
      <c r="G639">
        <f>_xlfn.XLOOKUP(A639,保证金登记!B:B,保证金登记!J:J)</f>
        <v>20000</v>
      </c>
      <c r="H639">
        <f>_xlfn.XLOOKUP(B639,[2]保证金申请!$A:$A,[2]保证金申请!$K:$K)</f>
        <v>20000</v>
      </c>
      <c r="I639">
        <f t="shared" si="27"/>
        <v>0</v>
      </c>
      <c r="J639">
        <f t="shared" si="28"/>
        <v>0</v>
      </c>
      <c r="K639" t="b">
        <f t="shared" si="29"/>
        <v>1</v>
      </c>
    </row>
    <row r="640" spans="1:11">
      <c r="A640" t="s">
        <v>2014</v>
      </c>
      <c r="B640" t="s">
        <v>2014</v>
      </c>
      <c r="C640">
        <f>_xlfn.XLOOKUP(A640,保证金登记!B:B,保证金登记!E:E)</f>
        <v>45545</v>
      </c>
      <c r="D640" t="str">
        <f>_xlfn.XLOOKUP(B640,[2]保证金申请!$A:$A,[2]保证金申请!$C:$C)</f>
        <v>2024-09-10</v>
      </c>
      <c r="E640" t="str">
        <f>_xlfn.XLOOKUP(A640,保证金登记!B:B,保证金登记!I:I)</f>
        <v>青海盐湖镁业有限公司</v>
      </c>
      <c r="F640" t="str">
        <f>_xlfn.XLOOKUP(B640,[2]保证金申请!$A:$A,[2]保证金申请!$Q:$Q)</f>
        <v>青海盐湖镁业有限公司</v>
      </c>
      <c r="G640">
        <f>_xlfn.XLOOKUP(A640,保证金登记!B:B,保证金登记!J:J)</f>
        <v>20000</v>
      </c>
      <c r="H640">
        <f>_xlfn.XLOOKUP(B640,[2]保证金申请!$A:$A,[2]保证金申请!$K:$K)</f>
        <v>20000</v>
      </c>
      <c r="I640">
        <f t="shared" si="27"/>
        <v>0</v>
      </c>
      <c r="J640">
        <f t="shared" si="28"/>
        <v>0</v>
      </c>
      <c r="K640" t="b">
        <f t="shared" si="29"/>
        <v>1</v>
      </c>
    </row>
    <row r="641" spans="1:11">
      <c r="A641" t="s">
        <v>2016</v>
      </c>
      <c r="B641" t="s">
        <v>2016</v>
      </c>
      <c r="C641">
        <f>_xlfn.XLOOKUP(A641,保证金登记!B:B,保证金登记!E:E)</f>
        <v>45545</v>
      </c>
      <c r="D641" t="str">
        <f>_xlfn.XLOOKUP(B641,[2]保证金申请!$A:$A,[2]保证金申请!$C:$C)</f>
        <v>2024-09-10</v>
      </c>
      <c r="E641" t="str">
        <f>_xlfn.XLOOKUP(A641,保证金登记!B:B,保证金登记!I:I)</f>
        <v>江苏永钢集团有限公司</v>
      </c>
      <c r="F641" t="str">
        <f>_xlfn.XLOOKUP(B641,[2]保证金申请!$A:$A,[2]保证金申请!$Q:$Q)</f>
        <v>江苏永钢集团有限公司</v>
      </c>
      <c r="G641">
        <f>_xlfn.XLOOKUP(A641,保证金登记!B:B,保证金登记!J:J)</f>
        <v>10000</v>
      </c>
      <c r="H641">
        <f>_xlfn.XLOOKUP(B641,[2]保证金申请!$A:$A,[2]保证金申请!$K:$K)</f>
        <v>10000</v>
      </c>
      <c r="I641">
        <f t="shared" si="27"/>
        <v>0</v>
      </c>
      <c r="J641">
        <f t="shared" si="28"/>
        <v>0</v>
      </c>
      <c r="K641" t="b">
        <f t="shared" si="29"/>
        <v>1</v>
      </c>
    </row>
    <row r="642" spans="1:11">
      <c r="A642" t="s">
        <v>2018</v>
      </c>
      <c r="B642" t="s">
        <v>2018</v>
      </c>
      <c r="C642">
        <f>_xlfn.XLOOKUP(A642,保证金登记!B:B,保证金登记!E:E)</f>
        <v>45547</v>
      </c>
      <c r="D642" t="str">
        <f>_xlfn.XLOOKUP(B642,[2]保证金申请!$A:$A,[2]保证金申请!$C:$C)</f>
        <v>2024-09-12</v>
      </c>
      <c r="E642" t="str">
        <f>_xlfn.XLOOKUP(A642,保证金登记!B:B,保证金登记!I:I)</f>
        <v>云图新能源材料（荆州）有限公司</v>
      </c>
      <c r="F642" t="str">
        <f>_xlfn.XLOOKUP(B642,[2]保证金申请!$A:$A,[2]保证金申请!$Q:$Q)</f>
        <v>云图新能源材料（荆州）有限公司</v>
      </c>
      <c r="G642">
        <f>_xlfn.XLOOKUP(A642,保证金登记!B:B,保证金登记!J:J)</f>
        <v>20000</v>
      </c>
      <c r="H642">
        <f>_xlfn.XLOOKUP(B642,[2]保证金申请!$A:$A,[2]保证金申请!$K:$K)</f>
        <v>20000</v>
      </c>
      <c r="I642">
        <f t="shared" ref="I642:I705" si="30">C642-D642</f>
        <v>0</v>
      </c>
      <c r="J642">
        <f t="shared" ref="J642:J705" si="31">G642-H642</f>
        <v>0</v>
      </c>
      <c r="K642" t="b">
        <f t="shared" ref="K642:K705" si="32">EXACT(E642,F642)</f>
        <v>1</v>
      </c>
    </row>
    <row r="643" spans="1:11">
      <c r="A643" t="s">
        <v>2021</v>
      </c>
      <c r="B643" t="s">
        <v>2021</v>
      </c>
      <c r="C643">
        <f>_xlfn.XLOOKUP(A643,保证金登记!B:B,保证金登记!E:E)</f>
        <v>45549</v>
      </c>
      <c r="D643" t="str">
        <f>_xlfn.XLOOKUP(B643,[2]保证金申请!$A:$A,[2]保证金申请!$C:$C)</f>
        <v>2024-09-14</v>
      </c>
      <c r="E643" t="str">
        <f>_xlfn.XLOOKUP(A643,保证金登记!B:B,保证金登记!I:I)</f>
        <v>上海宝华国际招标有限公司(伊犁钢铁)</v>
      </c>
      <c r="F643" t="str">
        <f>_xlfn.XLOOKUP(B643,[2]保证金申请!$A:$A,[2]保证金申请!$Q:$Q)</f>
        <v/>
      </c>
      <c r="G643">
        <f>_xlfn.XLOOKUP(A643,保证金登记!B:B,保证金登记!J:J)</f>
        <v>40000</v>
      </c>
      <c r="H643">
        <f>_xlfn.XLOOKUP(B643,[2]保证金申请!$A:$A,[2]保证金申请!$K:$K)</f>
        <v>40000</v>
      </c>
      <c r="I643">
        <f t="shared" si="30"/>
        <v>0</v>
      </c>
      <c r="J643">
        <f t="shared" si="31"/>
        <v>0</v>
      </c>
      <c r="K643" t="b">
        <f t="shared" si="32"/>
        <v>0</v>
      </c>
    </row>
    <row r="644" spans="1:11">
      <c r="A644" t="s">
        <v>2024</v>
      </c>
      <c r="B644" t="s">
        <v>2024</v>
      </c>
      <c r="C644">
        <f>_xlfn.XLOOKUP(A644,保证金登记!B:B,保证金登记!E:E)</f>
        <v>45555</v>
      </c>
      <c r="D644" t="str">
        <f>_xlfn.XLOOKUP(B644,[2]保证金申请!$A:$A,[2]保证金申请!$C:$C)</f>
        <v>2024-09-20</v>
      </c>
      <c r="E644" t="str">
        <f>_xlfn.XLOOKUP(A644,保证金登记!B:B,保证金登记!I:I)</f>
        <v>上海宝华国际招标有限公司(伊犁钢铁)</v>
      </c>
      <c r="F644" t="str">
        <f>_xlfn.XLOOKUP(B644,[2]保证金申请!$A:$A,[2]保证金申请!$Q:$Q)</f>
        <v>上海宝华国际招标有限公司</v>
      </c>
      <c r="G644">
        <f>_xlfn.XLOOKUP(A644,保证金登记!B:B,保证金登记!J:J)</f>
        <v>24000</v>
      </c>
      <c r="H644">
        <f>_xlfn.XLOOKUP(B644,[2]保证金申请!$A:$A,[2]保证金申请!$K:$K)</f>
        <v>24000</v>
      </c>
      <c r="I644">
        <f t="shared" si="30"/>
        <v>0</v>
      </c>
      <c r="J644">
        <f t="shared" si="31"/>
        <v>0</v>
      </c>
      <c r="K644" t="b">
        <f t="shared" si="32"/>
        <v>0</v>
      </c>
    </row>
    <row r="645" spans="1:11">
      <c r="A645" t="s">
        <v>2026</v>
      </c>
      <c r="B645" t="s">
        <v>2026</v>
      </c>
      <c r="C645">
        <f>_xlfn.XLOOKUP(A645,保证金登记!B:B,保证金登记!E:E)</f>
        <v>45556</v>
      </c>
      <c r="D645" t="str">
        <f>_xlfn.XLOOKUP(B645,[2]保证金申请!$A:$A,[2]保证金申请!$C:$C)</f>
        <v>2024-09-21</v>
      </c>
      <c r="E645" t="str">
        <f>_xlfn.XLOOKUP(A645,保证金登记!B:B,保证金登记!I:I)</f>
        <v>日照钢铁有限公司</v>
      </c>
      <c r="F645" t="str">
        <f>_xlfn.XLOOKUP(B645,[2]保证金申请!$A:$A,[2]保证金申请!$Q:$Q)</f>
        <v>日照钢铁有限公司</v>
      </c>
      <c r="G645">
        <f>_xlfn.XLOOKUP(A645,保证金登记!B:B,保证金登记!J:J)</f>
        <v>10000</v>
      </c>
      <c r="H645">
        <f>_xlfn.XLOOKUP(B645,[2]保证金申请!$A:$A,[2]保证金申请!$K:$K)</f>
        <v>10000</v>
      </c>
      <c r="I645">
        <f t="shared" si="30"/>
        <v>0</v>
      </c>
      <c r="J645">
        <f t="shared" si="31"/>
        <v>0</v>
      </c>
      <c r="K645" t="b">
        <f t="shared" si="32"/>
        <v>1</v>
      </c>
    </row>
    <row r="646" spans="1:11">
      <c r="A646" t="s">
        <v>2028</v>
      </c>
      <c r="B646" t="s">
        <v>2028</v>
      </c>
      <c r="C646">
        <f>_xlfn.XLOOKUP(A646,保证金登记!B:B,保证金登记!E:E)</f>
        <v>45562</v>
      </c>
      <c r="D646" t="str">
        <f>_xlfn.XLOOKUP(B646,[2]保证金申请!$A:$A,[2]保证金申请!$C:$C)</f>
        <v>2024-09-27</v>
      </c>
      <c r="E646" t="str">
        <f>_xlfn.XLOOKUP(A646,保证金登记!B:B,保证金登记!I:I)</f>
        <v>青海发投碱业有限公司</v>
      </c>
      <c r="F646" t="str">
        <f>_xlfn.XLOOKUP(B646,[2]保证金申请!$A:$A,[2]保证金申请!$Q:$Q)</f>
        <v>青海发投碱业有限公司</v>
      </c>
      <c r="G646">
        <f>_xlfn.XLOOKUP(A646,保证金登记!B:B,保证金登记!J:J)</f>
        <v>35000</v>
      </c>
      <c r="H646">
        <f>_xlfn.XLOOKUP(B646,[2]保证金申请!$A:$A,[2]保证金申请!$K:$K)</f>
        <v>35000</v>
      </c>
      <c r="I646">
        <f t="shared" si="30"/>
        <v>0</v>
      </c>
      <c r="J646">
        <f t="shared" si="31"/>
        <v>0</v>
      </c>
      <c r="K646" t="b">
        <f t="shared" si="32"/>
        <v>1</v>
      </c>
    </row>
    <row r="647" spans="1:11">
      <c r="A647" t="s">
        <v>2031</v>
      </c>
      <c r="B647" t="s">
        <v>2031</v>
      </c>
      <c r="C647">
        <f>_xlfn.XLOOKUP(A647,保证金登记!B:B,保证金登记!E:E)</f>
        <v>45562</v>
      </c>
      <c r="D647" t="str">
        <f>_xlfn.XLOOKUP(B647,[2]保证金申请!$A:$A,[2]保证金申请!$C:$C)</f>
        <v>2024-09-27</v>
      </c>
      <c r="E647" t="str">
        <f>_xlfn.XLOOKUP(A647,保证金登记!B:B,保证金登记!I:I)</f>
        <v>青海发投碱业有限公司</v>
      </c>
      <c r="F647" t="str">
        <f>_xlfn.XLOOKUP(B647,[2]保证金申请!$A:$A,[2]保证金申请!$Q:$Q)</f>
        <v>青海发投碱业有限公司</v>
      </c>
      <c r="G647">
        <f>_xlfn.XLOOKUP(A647,保证金登记!B:B,保证金登记!J:J)</f>
        <v>35000</v>
      </c>
      <c r="H647">
        <f>_xlfn.XLOOKUP(B647,[2]保证金申请!$A:$A,[2]保证金申请!$K:$K)</f>
        <v>35000</v>
      </c>
      <c r="I647">
        <f t="shared" si="30"/>
        <v>0</v>
      </c>
      <c r="J647">
        <f t="shared" si="31"/>
        <v>0</v>
      </c>
      <c r="K647" t="b">
        <f t="shared" si="32"/>
        <v>1</v>
      </c>
    </row>
    <row r="648" spans="1:11">
      <c r="A648" t="s">
        <v>2032</v>
      </c>
      <c r="B648" t="s">
        <v>2032</v>
      </c>
      <c r="C648">
        <f>_xlfn.XLOOKUP(A648,保证金登记!B:B,保证金登记!E:E)</f>
        <v>45562</v>
      </c>
      <c r="D648" t="str">
        <f>_xlfn.XLOOKUP(B648,[2]保证金申请!$A:$A,[2]保证金申请!$C:$C)</f>
        <v>2024-09-27</v>
      </c>
      <c r="E648" t="str">
        <f>_xlfn.XLOOKUP(A648,保证金登记!B:B,保证金登记!I:I)</f>
        <v>青海发投碱业有限公司</v>
      </c>
      <c r="F648" t="str">
        <f>_xlfn.XLOOKUP(B648,[2]保证金申请!$A:$A,[2]保证金申请!$Q:$Q)</f>
        <v>湖北岚丹建设工程有限公司离心机节能增效农民工工资保证金专户</v>
      </c>
      <c r="G648">
        <f>_xlfn.XLOOKUP(A648,保证金登记!B:B,保证金登记!J:J)</f>
        <v>35000</v>
      </c>
      <c r="H648">
        <f>_xlfn.XLOOKUP(B648,[2]保证金申请!$A:$A,[2]保证金申请!$K:$K)</f>
        <v>35000</v>
      </c>
      <c r="I648">
        <f t="shared" si="30"/>
        <v>0</v>
      </c>
      <c r="J648">
        <f t="shared" si="31"/>
        <v>0</v>
      </c>
      <c r="K648" t="b">
        <f t="shared" si="32"/>
        <v>0</v>
      </c>
    </row>
    <row r="649" spans="1:11">
      <c r="A649" t="s">
        <v>2033</v>
      </c>
      <c r="B649" t="s">
        <v>2033</v>
      </c>
      <c r="C649">
        <f>_xlfn.XLOOKUP(A649,保证金登记!B:B,保证金登记!E:E)</f>
        <v>45564</v>
      </c>
      <c r="D649" t="str">
        <f>_xlfn.XLOOKUP(B649,[2]保证金申请!$A:$A,[2]保证金申请!$C:$C)</f>
        <v>2024-09-29</v>
      </c>
      <c r="E649" t="str">
        <f>_xlfn.XLOOKUP(A649,保证金登记!B:B,保证金登记!I:I)</f>
        <v>安徽省优质采科技发展有限责任公司（六国化工）</v>
      </c>
      <c r="F649" t="str">
        <f>_xlfn.XLOOKUP(B649,[2]保证金申请!$A:$A,[2]保证金申请!$Q:$Q)</f>
        <v>安徽省优质采科技发展有限责任公司</v>
      </c>
      <c r="G649">
        <f>_xlfn.XLOOKUP(A649,保证金登记!B:B,保证金登记!J:J)</f>
        <v>2000</v>
      </c>
      <c r="H649">
        <f>_xlfn.XLOOKUP(B649,[2]保证金申请!$A:$A,[2]保证金申请!$K:$K)</f>
        <v>2000</v>
      </c>
      <c r="I649">
        <f t="shared" si="30"/>
        <v>0</v>
      </c>
      <c r="J649">
        <f t="shared" si="31"/>
        <v>0</v>
      </c>
      <c r="K649" t="b">
        <f t="shared" si="32"/>
        <v>0</v>
      </c>
    </row>
    <row r="650" spans="1:11">
      <c r="A650" t="s">
        <v>2035</v>
      </c>
      <c r="B650" t="s">
        <v>2035</v>
      </c>
      <c r="C650">
        <f>_xlfn.XLOOKUP(A650,保证金登记!B:B,保证金登记!E:E)</f>
        <v>45565</v>
      </c>
      <c r="D650" t="str">
        <f>_xlfn.XLOOKUP(B650,[2]保证金申请!$A:$A,[2]保证金申请!$C:$C)</f>
        <v>2024-09-30</v>
      </c>
      <c r="E650" t="str">
        <f>_xlfn.XLOOKUP(A650,保证金登记!B:B,保证金登记!I:I)</f>
        <v>中国电能成套设备有限公司（山西铝业）</v>
      </c>
      <c r="F650" t="str">
        <f>_xlfn.XLOOKUP(B650,[2]保证金申请!$A:$A,[2]保证金申请!$Q:$Q)</f>
        <v>中国电能成套设备有限公司</v>
      </c>
      <c r="G650">
        <f>_xlfn.XLOOKUP(A650,保证金登记!B:B,保证金登记!J:J)</f>
        <v>120875</v>
      </c>
      <c r="H650">
        <f>_xlfn.XLOOKUP(B650,[2]保证金申请!$A:$A,[2]保证金申请!$K:$K)</f>
        <v>120875</v>
      </c>
      <c r="I650">
        <f t="shared" si="30"/>
        <v>0</v>
      </c>
      <c r="J650">
        <f t="shared" si="31"/>
        <v>0</v>
      </c>
      <c r="K650" t="b">
        <f t="shared" si="32"/>
        <v>0</v>
      </c>
    </row>
    <row r="651" spans="1:11">
      <c r="A651" t="s">
        <v>2038</v>
      </c>
      <c r="B651" t="s">
        <v>2038</v>
      </c>
      <c r="C651">
        <f>_xlfn.XLOOKUP(A651,保证金登记!B:B,保证金登记!E:E)</f>
        <v>45588</v>
      </c>
      <c r="D651" t="str">
        <f>_xlfn.XLOOKUP(B651,[2]保证金申请!$A:$A,[2]保证金申请!$C:$C)</f>
        <v>2024-10-23</v>
      </c>
      <c r="E651" t="str">
        <f>_xlfn.XLOOKUP(A651,保证金登记!B:B,保证金登记!I:I)</f>
        <v>青海发投碱业有限公司</v>
      </c>
      <c r="F651" t="str">
        <f>_xlfn.XLOOKUP(B651,[2]保证金申请!$A:$A,[2]保证金申请!$Q:$Q)</f>
        <v>青海发投碱业有限公司</v>
      </c>
      <c r="G651">
        <f>_xlfn.XLOOKUP(A651,保证金登记!B:B,保证金登记!J:J)</f>
        <v>10000</v>
      </c>
      <c r="H651">
        <f>_xlfn.XLOOKUP(B651,[2]保证金申请!$A:$A,[2]保证金申请!$K:$K)</f>
        <v>10000</v>
      </c>
      <c r="I651">
        <f t="shared" si="30"/>
        <v>0</v>
      </c>
      <c r="J651">
        <f t="shared" si="31"/>
        <v>0</v>
      </c>
      <c r="K651" t="b">
        <f t="shared" si="32"/>
        <v>1</v>
      </c>
    </row>
    <row r="652" spans="1:11">
      <c r="A652" t="s">
        <v>2043</v>
      </c>
      <c r="B652" t="s">
        <v>2043</v>
      </c>
      <c r="C652">
        <f>_xlfn.XLOOKUP(A652,保证金登记!B:B,保证金登记!E:E)</f>
        <v>45591</v>
      </c>
      <c r="D652" t="str">
        <f>_xlfn.XLOOKUP(B652,[2]保证金申请!$A:$A,[2]保证金申请!$C:$C)</f>
        <v>2024-10-26</v>
      </c>
      <c r="E652" t="str">
        <f>_xlfn.XLOOKUP(A652,保证金登记!B:B,保证金登记!I:I)</f>
        <v>新疆伊犁钢铁有限责任公司</v>
      </c>
      <c r="F652" t="str">
        <f>_xlfn.XLOOKUP(B652,[2]保证金申请!$A:$A,[2]保证金申请!$Q:$Q)</f>
        <v>新疆伊犁钢铁有限责任公司</v>
      </c>
      <c r="G652">
        <f>_xlfn.XLOOKUP(A652,保证金登记!B:B,保证金登记!J:J)</f>
        <v>25536.9</v>
      </c>
      <c r="H652">
        <f>_xlfn.XLOOKUP(B652,[2]保证金申请!$A:$A,[2]保证金申请!$K:$K)</f>
        <v>25536.9</v>
      </c>
      <c r="I652">
        <f t="shared" si="30"/>
        <v>0</v>
      </c>
      <c r="J652">
        <f t="shared" si="31"/>
        <v>0</v>
      </c>
      <c r="K652" t="b">
        <f t="shared" si="32"/>
        <v>1</v>
      </c>
    </row>
    <row r="653" spans="1:11">
      <c r="A653" t="s">
        <v>2045</v>
      </c>
      <c r="B653" t="s">
        <v>2045</v>
      </c>
      <c r="C653">
        <f>_xlfn.XLOOKUP(A653,保证金登记!B:B,保证金登记!E:E)</f>
        <v>45591</v>
      </c>
      <c r="D653" t="str">
        <f>_xlfn.XLOOKUP(B653,[2]保证金申请!$A:$A,[2]保证金申请!$C:$C)</f>
        <v>2024-10-26</v>
      </c>
      <c r="E653" t="str">
        <f>_xlfn.XLOOKUP(A653,保证金登记!B:B,保证金登记!I:I)</f>
        <v>新疆伊犁钢铁有限责任公司</v>
      </c>
      <c r="F653" t="str">
        <f>_xlfn.XLOOKUP(B653,[2]保证金申请!$A:$A,[2]保证金申请!$Q:$Q)</f>
        <v>新疆伊犁钢铁有限责任公司</v>
      </c>
      <c r="G653">
        <f>_xlfn.XLOOKUP(A653,保证金登记!B:B,保证金登记!J:J)</f>
        <v>4644.08</v>
      </c>
      <c r="H653">
        <f>_xlfn.XLOOKUP(B653,[2]保证金申请!$A:$A,[2]保证金申请!$K:$K)</f>
        <v>4644.08</v>
      </c>
      <c r="I653">
        <f t="shared" si="30"/>
        <v>0</v>
      </c>
      <c r="J653">
        <f t="shared" si="31"/>
        <v>0</v>
      </c>
      <c r="K653" t="b">
        <f t="shared" si="32"/>
        <v>1</v>
      </c>
    </row>
    <row r="654" spans="1:11">
      <c r="A654" t="s">
        <v>2047</v>
      </c>
      <c r="B654" t="s">
        <v>2047</v>
      </c>
      <c r="C654">
        <f>_xlfn.XLOOKUP(A654,保证金登记!B:B,保证金登记!E:E)</f>
        <v>45591</v>
      </c>
      <c r="D654" t="str">
        <f>_xlfn.XLOOKUP(B654,[2]保证金申请!$A:$A,[2]保证金申请!$C:$C)</f>
        <v>2024-10-26</v>
      </c>
      <c r="E654" t="str">
        <f>_xlfn.XLOOKUP(A654,保证金登记!B:B,保证金登记!I:I)</f>
        <v>新疆伊犁钢铁有限责任公司</v>
      </c>
      <c r="F654" t="str">
        <f>_xlfn.XLOOKUP(B654,[2]保证金申请!$A:$A,[2]保证金申请!$Q:$Q)</f>
        <v>新疆伊犁钢铁有限责任公司</v>
      </c>
      <c r="G654">
        <f>_xlfn.XLOOKUP(A654,保证金登记!B:B,保证金登记!J:J)</f>
        <v>20838.39</v>
      </c>
      <c r="H654">
        <f>_xlfn.XLOOKUP(B654,[2]保证金申请!$A:$A,[2]保证金申请!$K:$K)</f>
        <v>20838.39</v>
      </c>
      <c r="I654">
        <f t="shared" si="30"/>
        <v>0</v>
      </c>
      <c r="J654">
        <f t="shared" si="31"/>
        <v>0</v>
      </c>
      <c r="K654" t="b">
        <f t="shared" si="32"/>
        <v>1</v>
      </c>
    </row>
    <row r="655" spans="1:11">
      <c r="A655" t="s">
        <v>2049</v>
      </c>
      <c r="B655" t="s">
        <v>2049</v>
      </c>
      <c r="C655">
        <f>_xlfn.XLOOKUP(A655,保证金登记!B:B,保证金登记!E:E)</f>
        <v>45593</v>
      </c>
      <c r="D655" t="str">
        <f>_xlfn.XLOOKUP(B655,[2]保证金申请!$A:$A,[2]保证金申请!$C:$C)</f>
        <v>2024-10-28</v>
      </c>
      <c r="E655" t="str">
        <f>_xlfn.XLOOKUP(A655,保证金登记!B:B,保证金登记!I:I)</f>
        <v>唐山中厚板材有限公司</v>
      </c>
      <c r="F655" t="str">
        <f>_xlfn.XLOOKUP(B655,[2]保证金申请!$A:$A,[2]保证金申请!$Q:$Q)</f>
        <v>唐山中厚板材有限公司</v>
      </c>
      <c r="G655">
        <f>_xlfn.XLOOKUP(A655,保证金登记!B:B,保证金登记!J:J)</f>
        <v>5200</v>
      </c>
      <c r="H655">
        <f>_xlfn.XLOOKUP(B655,[2]保证金申请!$A:$A,[2]保证金申请!$K:$K)</f>
        <v>5200</v>
      </c>
      <c r="I655">
        <f t="shared" si="30"/>
        <v>0</v>
      </c>
      <c r="J655">
        <f t="shared" si="31"/>
        <v>0</v>
      </c>
      <c r="K655" t="b">
        <f t="shared" si="32"/>
        <v>1</v>
      </c>
    </row>
    <row r="656" spans="1:11">
      <c r="A656" t="s">
        <v>2051</v>
      </c>
      <c r="B656" t="s">
        <v>2051</v>
      </c>
      <c r="C656">
        <f>_xlfn.XLOOKUP(A656,保证金登记!B:B,保证金登记!E:E)</f>
        <v>45595</v>
      </c>
      <c r="D656" t="str">
        <f>_xlfn.XLOOKUP(B656,[2]保证金申请!$A:$A,[2]保证金申请!$C:$C)</f>
        <v>2024-10-30</v>
      </c>
      <c r="E656" t="str">
        <f>_xlfn.XLOOKUP(A656,保证金登记!B:B,保证金登记!I:I)</f>
        <v>新疆伊犁钢铁有限责任公司</v>
      </c>
      <c r="F656" t="str">
        <f>_xlfn.XLOOKUP(B656,[2]保证金申请!$A:$A,[2]保证金申请!$Q:$Q)</f>
        <v>新疆伊犁钢铁有限责任公司</v>
      </c>
      <c r="G656">
        <f>_xlfn.XLOOKUP(A656,保证金登记!B:B,保证金登记!J:J)</f>
        <v>15500</v>
      </c>
      <c r="H656">
        <f>_xlfn.XLOOKUP(B656,[2]保证金申请!$A:$A,[2]保证金申请!$K:$K)</f>
        <v>15500</v>
      </c>
      <c r="I656">
        <f t="shared" si="30"/>
        <v>0</v>
      </c>
      <c r="J656">
        <f t="shared" si="31"/>
        <v>0</v>
      </c>
      <c r="K656" t="b">
        <f t="shared" si="32"/>
        <v>1</v>
      </c>
    </row>
    <row r="657" spans="1:11">
      <c r="A657" t="s">
        <v>2053</v>
      </c>
      <c r="B657" t="s">
        <v>2053</v>
      </c>
      <c r="C657">
        <f>_xlfn.XLOOKUP(A657,保证金登记!B:B,保证金登记!E:E)</f>
        <v>45595</v>
      </c>
      <c r="D657" t="str">
        <f>_xlfn.XLOOKUP(B657,[2]保证金申请!$A:$A,[2]保证金申请!$C:$C)</f>
        <v>2024-10-30</v>
      </c>
      <c r="E657" t="str">
        <f>_xlfn.XLOOKUP(A657,保证金登记!B:B,保证金登记!I:I)</f>
        <v>新疆伊犁钢铁有限责任公司</v>
      </c>
      <c r="F657" t="str">
        <f>_xlfn.XLOOKUP(B657,[2]保证金申请!$A:$A,[2]保证金申请!$Q:$Q)</f>
        <v>新疆伊犁钢铁有限责任公司</v>
      </c>
      <c r="G657">
        <f>_xlfn.XLOOKUP(A657,保证金登记!B:B,保证金登记!J:J)</f>
        <v>69500</v>
      </c>
      <c r="H657">
        <f>_xlfn.XLOOKUP(B657,[2]保证金申请!$A:$A,[2]保证金申请!$K:$K)</f>
        <v>69500</v>
      </c>
      <c r="I657">
        <f t="shared" si="30"/>
        <v>0</v>
      </c>
      <c r="J657">
        <f t="shared" si="31"/>
        <v>0</v>
      </c>
      <c r="K657" t="b">
        <f t="shared" si="32"/>
        <v>1</v>
      </c>
    </row>
    <row r="658" spans="1:11">
      <c r="A658" t="s">
        <v>2055</v>
      </c>
      <c r="B658" t="s">
        <v>2055</v>
      </c>
      <c r="C658">
        <f>_xlfn.XLOOKUP(A658,保证金登记!B:B,保证金登记!E:E)</f>
        <v>45595</v>
      </c>
      <c r="D658" t="str">
        <f>_xlfn.XLOOKUP(B658,[2]保证金申请!$A:$A,[2]保证金申请!$C:$C)</f>
        <v>2024-10-30</v>
      </c>
      <c r="E658" t="str">
        <f>_xlfn.XLOOKUP(A658,保证金登记!B:B,保证金登记!I:I)</f>
        <v>新疆伊犁钢铁有限责任公司</v>
      </c>
      <c r="F658" t="str">
        <f>_xlfn.XLOOKUP(B658,[2]保证金申请!$A:$A,[2]保证金申请!$Q:$Q)</f>
        <v>新疆伊犁钢铁有限责任公司</v>
      </c>
      <c r="G658">
        <f>_xlfn.XLOOKUP(A658,保证金登记!B:B,保证金登记!J:J)</f>
        <v>85100</v>
      </c>
      <c r="H658">
        <f>_xlfn.XLOOKUP(B658,[2]保证金申请!$A:$A,[2]保证金申请!$K:$K)</f>
        <v>85100</v>
      </c>
      <c r="I658">
        <f t="shared" si="30"/>
        <v>0</v>
      </c>
      <c r="J658">
        <f t="shared" si="31"/>
        <v>0</v>
      </c>
      <c r="K658" t="b">
        <f t="shared" si="32"/>
        <v>1</v>
      </c>
    </row>
    <row r="659" spans="1:11">
      <c r="A659" t="s">
        <v>2057</v>
      </c>
      <c r="B659" t="s">
        <v>2057</v>
      </c>
      <c r="C659">
        <f>_xlfn.XLOOKUP(A659,保证金登记!B:B,保证金登记!E:E)</f>
        <v>45598</v>
      </c>
      <c r="D659" t="str">
        <f>_xlfn.XLOOKUP(B659,[2]保证金申请!$A:$A,[2]保证金申请!$C:$C)</f>
        <v>2024-11-02</v>
      </c>
      <c r="E659" t="str">
        <f>_xlfn.XLOOKUP(A659,保证金登记!B:B,保证金登记!I:I)</f>
        <v>巴彦淖尔中联水泥有限公司</v>
      </c>
      <c r="F659" t="str">
        <f>_xlfn.XLOOKUP(B659,[2]保证金申请!$A:$A,[2]保证金申请!$Q:$Q)</f>
        <v>巴彦淖尔中联水泥有限公司</v>
      </c>
      <c r="G659">
        <f>_xlfn.XLOOKUP(A659,保证金登记!B:B,保证金登记!J:J)</f>
        <v>20000</v>
      </c>
      <c r="H659">
        <f>_xlfn.XLOOKUP(B659,[2]保证金申请!$A:$A,[2]保证金申请!$K:$K)</f>
        <v>20000</v>
      </c>
      <c r="I659">
        <f t="shared" si="30"/>
        <v>0</v>
      </c>
      <c r="J659">
        <f t="shared" si="31"/>
        <v>0</v>
      </c>
      <c r="K659" t="b">
        <f t="shared" si="32"/>
        <v>1</v>
      </c>
    </row>
    <row r="660" spans="1:11">
      <c r="A660" t="s">
        <v>2059</v>
      </c>
      <c r="B660" t="s">
        <v>2059</v>
      </c>
      <c r="C660">
        <f>_xlfn.XLOOKUP(A660,保证金登记!B:B,保证金登记!E:E)</f>
        <v>45600</v>
      </c>
      <c r="D660" t="str">
        <f>_xlfn.XLOOKUP(B660,[2]保证金申请!$A:$A,[2]保证金申请!$C:$C)</f>
        <v>2024-11-04</v>
      </c>
      <c r="E660" t="str">
        <f>_xlfn.XLOOKUP(A660,保证金登记!B:B,保证金登记!I:I)</f>
        <v>国家电投集团山西铝业有限公司</v>
      </c>
      <c r="F660" t="str">
        <f>_xlfn.XLOOKUP(B660,[2]保证金申请!$A:$A,[2]保证金申请!$Q:$Q)</f>
        <v>国家电投集团山西铝业有限公司</v>
      </c>
      <c r="G660">
        <f>_xlfn.XLOOKUP(A660,保证金登记!B:B,保证金登记!J:J)</f>
        <v>47100</v>
      </c>
      <c r="H660">
        <f>_xlfn.XLOOKUP(B660,[2]保证金申请!$A:$A,[2]保证金申请!$K:$K)</f>
        <v>47100</v>
      </c>
      <c r="I660">
        <f t="shared" si="30"/>
        <v>0</v>
      </c>
      <c r="J660">
        <f t="shared" si="31"/>
        <v>0</v>
      </c>
      <c r="K660" t="b">
        <f t="shared" si="32"/>
        <v>1</v>
      </c>
    </row>
    <row r="661" spans="1:11">
      <c r="A661" t="s">
        <v>2063</v>
      </c>
      <c r="B661" t="s">
        <v>2063</v>
      </c>
      <c r="C661">
        <f>_xlfn.XLOOKUP(A661,保证金登记!B:B,保证金登记!E:E)</f>
        <v>45602</v>
      </c>
      <c r="D661" t="str">
        <f>_xlfn.XLOOKUP(B661,[2]保证金申请!$A:$A,[2]保证金申请!$C:$C)</f>
        <v>2024-11-06</v>
      </c>
      <c r="E661" t="str">
        <f>_xlfn.XLOOKUP(A661,保证金登记!B:B,保证金登记!I:I)</f>
        <v>青海发投碱业有限公司</v>
      </c>
      <c r="F661" t="str">
        <f>_xlfn.XLOOKUP(B661,[2]保证金申请!$A:$A,[2]保证金申请!$Q:$Q)</f>
        <v>青海发投碱业有限公司</v>
      </c>
      <c r="G661">
        <f>_xlfn.XLOOKUP(A661,保证金登记!B:B,保证金登记!J:J)</f>
        <v>10000</v>
      </c>
      <c r="H661">
        <f>_xlfn.XLOOKUP(B661,[2]保证金申请!$A:$A,[2]保证金申请!$K:$K)</f>
        <v>10000</v>
      </c>
      <c r="I661">
        <f t="shared" si="30"/>
        <v>0</v>
      </c>
      <c r="J661">
        <f t="shared" si="31"/>
        <v>0</v>
      </c>
      <c r="K661" t="b">
        <f t="shared" si="32"/>
        <v>1</v>
      </c>
    </row>
    <row r="662" spans="1:11">
      <c r="A662" t="s">
        <v>2065</v>
      </c>
      <c r="B662" t="s">
        <v>2065</v>
      </c>
      <c r="C662">
        <f>_xlfn.XLOOKUP(A662,保证金登记!B:B,保证金登记!E:E)</f>
        <v>45608</v>
      </c>
      <c r="D662" t="str">
        <f>_xlfn.XLOOKUP(B662,[2]保证金申请!$A:$A,[2]保证金申请!$C:$C)</f>
        <v>2024-11-12</v>
      </c>
      <c r="E662" t="str">
        <f>_xlfn.XLOOKUP(A662,保证金登记!B:B,保证金登记!I:I)</f>
        <v>国家电投集团山西铝业有限公司</v>
      </c>
      <c r="F662" t="str">
        <f>_xlfn.XLOOKUP(B662,[2]保证金申请!$A:$A,[2]保证金申请!$Q:$Q)</f>
        <v>中国电能成套设备有限公司</v>
      </c>
      <c r="G662">
        <f>_xlfn.XLOOKUP(A662,保证金登记!B:B,保证金登记!J:J)</f>
        <v>94500</v>
      </c>
      <c r="H662">
        <f>_xlfn.XLOOKUP(B662,[2]保证金申请!$A:$A,[2]保证金申请!$K:$K)</f>
        <v>94500</v>
      </c>
      <c r="I662">
        <f t="shared" si="30"/>
        <v>0</v>
      </c>
      <c r="J662">
        <f t="shared" si="31"/>
        <v>0</v>
      </c>
      <c r="K662" t="b">
        <f t="shared" si="32"/>
        <v>0</v>
      </c>
    </row>
    <row r="663" spans="1:11">
      <c r="A663" t="s">
        <v>2067</v>
      </c>
      <c r="B663" t="s">
        <v>2067</v>
      </c>
      <c r="C663">
        <f>_xlfn.XLOOKUP(A663,保证金登记!B:B,保证金登记!E:E)</f>
        <v>45611</v>
      </c>
      <c r="D663" t="str">
        <f>_xlfn.XLOOKUP(B663,[2]保证金申请!$A:$A,[2]保证金申请!$C:$C)</f>
        <v>2024-11-15</v>
      </c>
      <c r="E663" t="str">
        <f>_xlfn.XLOOKUP(A663,保证金登记!B:B,保证金登记!I:I)</f>
        <v>甘肃上峰水泥股份有限公司</v>
      </c>
      <c r="F663" t="str">
        <f>_xlfn.XLOOKUP(B663,[2]保证金申请!$A:$A,[2]保证金申请!$Q:$Q)</f>
        <v>甘肃上峰水泥股份有限公司</v>
      </c>
      <c r="G663">
        <f>_xlfn.XLOOKUP(A663,保证金登记!B:B,保证金登记!J:J)</f>
        <v>20000</v>
      </c>
      <c r="H663">
        <f>_xlfn.XLOOKUP(B663,[2]保证金申请!$A:$A,[2]保证金申请!$K:$K)</f>
        <v>20000</v>
      </c>
      <c r="I663">
        <f t="shared" si="30"/>
        <v>0</v>
      </c>
      <c r="J663">
        <f t="shared" si="31"/>
        <v>0</v>
      </c>
      <c r="K663" t="b">
        <f t="shared" si="32"/>
        <v>1</v>
      </c>
    </row>
    <row r="664" spans="1:11">
      <c r="A664" t="s">
        <v>2069</v>
      </c>
      <c r="B664" t="s">
        <v>2069</v>
      </c>
      <c r="C664">
        <f>_xlfn.XLOOKUP(A664,保证金登记!B:B,保证金登记!E:E)</f>
        <v>45611</v>
      </c>
      <c r="D664" t="str">
        <f>_xlfn.XLOOKUP(B664,[2]保证金申请!$A:$A,[2]保证金申请!$C:$C)</f>
        <v>2024-11-15</v>
      </c>
      <c r="E664" t="str">
        <f>_xlfn.XLOOKUP(A664,保证金登记!B:B,保证金登记!I:I)</f>
        <v>甘肃上峰水泥股份有限公司</v>
      </c>
      <c r="F664" t="str">
        <f>_xlfn.XLOOKUP(B664,[2]保证金申请!$A:$A,[2]保证金申请!$Q:$Q)</f>
        <v>甘肃上峰水泥股份有限公司</v>
      </c>
      <c r="G664">
        <f>_xlfn.XLOOKUP(A664,保证金登记!B:B,保证金登记!J:J)</f>
        <v>5000</v>
      </c>
      <c r="H664">
        <f>_xlfn.XLOOKUP(B664,[2]保证金申请!$A:$A,[2]保证金申请!$K:$K)</f>
        <v>5000</v>
      </c>
      <c r="I664">
        <f t="shared" si="30"/>
        <v>0</v>
      </c>
      <c r="J664">
        <f t="shared" si="31"/>
        <v>0</v>
      </c>
      <c r="K664" t="b">
        <f t="shared" si="32"/>
        <v>1</v>
      </c>
    </row>
    <row r="665" spans="1:11">
      <c r="A665" t="s">
        <v>2071</v>
      </c>
      <c r="B665" t="s">
        <v>2071</v>
      </c>
      <c r="C665">
        <f>_xlfn.XLOOKUP(A665,保证金登记!B:B,保证金登记!E:E)</f>
        <v>45622</v>
      </c>
      <c r="D665" t="str">
        <f>_xlfn.XLOOKUP(B665,[2]保证金申请!$A:$A,[2]保证金申请!$C:$C)</f>
        <v>2024-11-26</v>
      </c>
      <c r="E665" t="str">
        <f>_xlfn.XLOOKUP(A665,保证金登记!B:B,保证金登记!I:I)</f>
        <v>中盐内蒙古化工股份有限公司</v>
      </c>
      <c r="F665" t="str">
        <f>_xlfn.XLOOKUP(B665,[2]保证金申请!$A:$A,[2]保证金申请!$Q:$Q)</f>
        <v>中盐内蒙古化工股份有限公司</v>
      </c>
      <c r="G665">
        <f>_xlfn.XLOOKUP(A665,保证金登记!B:B,保证金登记!J:J)</f>
        <v>8000</v>
      </c>
      <c r="H665">
        <f>_xlfn.XLOOKUP(B665,[2]保证金申请!$A:$A,[2]保证金申请!$K:$K)</f>
        <v>8000</v>
      </c>
      <c r="I665">
        <f t="shared" si="30"/>
        <v>0</v>
      </c>
      <c r="J665">
        <f t="shared" si="31"/>
        <v>0</v>
      </c>
      <c r="K665" t="b">
        <f t="shared" si="32"/>
        <v>1</v>
      </c>
    </row>
    <row r="666" spans="1:11">
      <c r="A666" t="s">
        <v>2074</v>
      </c>
      <c r="B666" t="s">
        <v>2074</v>
      </c>
      <c r="C666">
        <f>_xlfn.XLOOKUP(A666,保证金登记!B:B,保证金登记!E:E)</f>
        <v>45624</v>
      </c>
      <c r="D666" t="str">
        <f>_xlfn.XLOOKUP(B666,[2]保证金申请!$A:$A,[2]保证金申请!$C:$C)</f>
        <v>2024-11-28</v>
      </c>
      <c r="E666" t="str">
        <f>_xlfn.XLOOKUP(A666,保证金登记!B:B,保证金登记!I:I)</f>
        <v>邵玉海（闫玲）</v>
      </c>
      <c r="F666" t="str">
        <f>_xlfn.XLOOKUP(B666,[2]保证金申请!$A:$A,[2]保证金申请!$Q:$Q)</f>
        <v>闫玲</v>
      </c>
      <c r="G666">
        <f>_xlfn.XLOOKUP(A666,保证金登记!B:B,保证金登记!J:J)</f>
        <v>8500</v>
      </c>
      <c r="H666">
        <f>_xlfn.XLOOKUP(B666,[2]保证金申请!$A:$A,[2]保证金申请!$K:$K)</f>
        <v>8500</v>
      </c>
      <c r="I666">
        <f t="shared" si="30"/>
        <v>0</v>
      </c>
      <c r="J666">
        <f t="shared" si="31"/>
        <v>0</v>
      </c>
      <c r="K666" t="b">
        <f t="shared" si="32"/>
        <v>0</v>
      </c>
    </row>
    <row r="667" spans="1:11">
      <c r="A667" t="s">
        <v>2077</v>
      </c>
      <c r="B667" t="s">
        <v>2077</v>
      </c>
      <c r="C667">
        <f>_xlfn.XLOOKUP(A667,保证金登记!B:B,保证金登记!E:E)</f>
        <v>45626</v>
      </c>
      <c r="D667" t="str">
        <f>_xlfn.XLOOKUP(B667,[2]保证金申请!$A:$A,[2]保证金申请!$C:$C)</f>
        <v>2024-11-30</v>
      </c>
      <c r="E667" t="str">
        <f>_xlfn.XLOOKUP(A667,保证金登记!B:B,保证金登记!I:I)</f>
        <v>江苏永钢集团有限公司</v>
      </c>
      <c r="F667" t="str">
        <f>_xlfn.XLOOKUP(B667,[2]保证金申请!$A:$A,[2]保证金申请!$Q:$Q)</f>
        <v>江苏永钢集团有限公司</v>
      </c>
      <c r="G667">
        <f>_xlfn.XLOOKUP(A667,保证金登记!B:B,保证金登记!J:J)</f>
        <v>10000</v>
      </c>
      <c r="H667">
        <f>_xlfn.XLOOKUP(B667,[2]保证金申请!$A:$A,[2]保证金申请!$K:$K)</f>
        <v>10000</v>
      </c>
      <c r="I667">
        <f t="shared" si="30"/>
        <v>0</v>
      </c>
      <c r="J667">
        <f t="shared" si="31"/>
        <v>0</v>
      </c>
      <c r="K667" t="b">
        <f t="shared" si="32"/>
        <v>1</v>
      </c>
    </row>
    <row r="668" spans="1:11">
      <c r="A668" t="s">
        <v>2079</v>
      </c>
      <c r="B668" t="s">
        <v>2079</v>
      </c>
      <c r="C668">
        <f>_xlfn.XLOOKUP(A668,保证金登记!B:B,保证金登记!E:E)</f>
        <v>45636</v>
      </c>
      <c r="D668" t="str">
        <f>_xlfn.XLOOKUP(B668,[2]保证金申请!$A:$A,[2]保证金申请!$C:$C)</f>
        <v>2024-12-10</v>
      </c>
      <c r="E668" t="str">
        <f>_xlfn.XLOOKUP(A668,保证金登记!B:B,保证金登记!I:I)</f>
        <v>上海宝华国际招标有限公司（新疆伊犁钢铁）</v>
      </c>
      <c r="F668" t="str">
        <f>_xlfn.XLOOKUP(B668,[2]保证金申请!$A:$A,[2]保证金申请!$Q:$Q)</f>
        <v>上海宝华国际招标有限公司;</v>
      </c>
      <c r="G668">
        <f>_xlfn.XLOOKUP(A668,保证金登记!B:B,保证金登记!J:J)</f>
        <v>15000</v>
      </c>
      <c r="H668">
        <f>_xlfn.XLOOKUP(B668,[2]保证金申请!$A:$A,[2]保证金申请!$K:$K)</f>
        <v>15000</v>
      </c>
      <c r="I668">
        <f t="shared" si="30"/>
        <v>0</v>
      </c>
      <c r="J668">
        <f t="shared" si="31"/>
        <v>0</v>
      </c>
      <c r="K668" t="b">
        <f t="shared" si="32"/>
        <v>0</v>
      </c>
    </row>
    <row r="669" spans="1:11">
      <c r="A669" t="s">
        <v>2082</v>
      </c>
      <c r="B669" t="s">
        <v>2082</v>
      </c>
      <c r="C669">
        <f>_xlfn.XLOOKUP(A669,保证金登记!B:B,保证金登记!E:E)</f>
        <v>45637</v>
      </c>
      <c r="D669" t="str">
        <f>_xlfn.XLOOKUP(B669,[2]保证金申请!$A:$A,[2]保证金申请!$C:$C)</f>
        <v>2024-12-11</v>
      </c>
      <c r="E669" t="str">
        <f>_xlfn.XLOOKUP(A669,保证金登记!B:B,保证金登记!I:I)</f>
        <v>中盐内蒙古化工股份有限公司盐碱分公司</v>
      </c>
      <c r="F669" t="str">
        <f>_xlfn.XLOOKUP(B669,[2]保证金申请!$A:$A,[2]保证金申请!$Q:$Q)</f>
        <v>中盐内蒙古化工股份有限公司盐碱分公司</v>
      </c>
      <c r="G669">
        <f>_xlfn.XLOOKUP(A669,保证金登记!B:B,保证金登记!J:J)</f>
        <v>0</v>
      </c>
      <c r="H669">
        <f>_xlfn.XLOOKUP(B669,[2]保证金申请!$A:$A,[2]保证金申请!$K:$K)</f>
        <v>0</v>
      </c>
      <c r="I669">
        <f t="shared" si="30"/>
        <v>0</v>
      </c>
      <c r="J669">
        <f t="shared" si="31"/>
        <v>0</v>
      </c>
      <c r="K669" t="b">
        <f t="shared" si="32"/>
        <v>1</v>
      </c>
    </row>
    <row r="670" spans="1:11">
      <c r="A670" t="s">
        <v>2085</v>
      </c>
      <c r="B670" t="s">
        <v>2085</v>
      </c>
      <c r="C670">
        <f>_xlfn.XLOOKUP(A670,保证金登记!B:B,保证金登记!E:E)</f>
        <v>45637</v>
      </c>
      <c r="D670" t="str">
        <f>_xlfn.XLOOKUP(B670,[2]保证金申请!$A:$A,[2]保证金申请!$C:$C)</f>
        <v>2024-12-11</v>
      </c>
      <c r="E670" t="str">
        <f>_xlfn.XLOOKUP(A670,保证金登记!B:B,保证金登记!I:I)</f>
        <v>中盐内蒙古化工股份有限公司盐碱分公司</v>
      </c>
      <c r="F670" t="str">
        <f>_xlfn.XLOOKUP(B670,[2]保证金申请!$A:$A,[2]保证金申请!$Q:$Q)</f>
        <v>中盐内蒙古化工股份有限公司盐碱分公司</v>
      </c>
      <c r="G670">
        <f>_xlfn.XLOOKUP(A670,保证金登记!B:B,保证金登记!J:J)</f>
        <v>57000</v>
      </c>
      <c r="H670">
        <f>_xlfn.XLOOKUP(B670,[2]保证金申请!$A:$A,[2]保证金申请!$K:$K)</f>
        <v>57000</v>
      </c>
      <c r="I670">
        <f t="shared" si="30"/>
        <v>0</v>
      </c>
      <c r="J670">
        <f t="shared" si="31"/>
        <v>0</v>
      </c>
      <c r="K670" t="b">
        <f t="shared" si="32"/>
        <v>1</v>
      </c>
    </row>
    <row r="671" spans="1:11">
      <c r="A671" t="s">
        <v>2086</v>
      </c>
      <c r="B671" t="s">
        <v>2086</v>
      </c>
      <c r="C671">
        <f>_xlfn.XLOOKUP(A671,保证金登记!B:B,保证金登记!E:E)</f>
        <v>45638</v>
      </c>
      <c r="D671" t="str">
        <f>_xlfn.XLOOKUP(B671,[2]保证金申请!$A:$A,[2]保证金申请!$C:$C)</f>
        <v>2024-12-12</v>
      </c>
      <c r="E671" t="str">
        <f>_xlfn.XLOOKUP(A671,保证金登记!B:B,保证金登记!I:I)</f>
        <v>湘潭瑞通球团有限公司</v>
      </c>
      <c r="F671" t="str">
        <f>_xlfn.XLOOKUP(B671,[2]保证金申请!$A:$A,[2]保证金申请!$Q:$Q)</f>
        <v>湘潭瑞通球团有限公司</v>
      </c>
      <c r="G671">
        <f>_xlfn.XLOOKUP(A671,保证金登记!B:B,保证金登记!J:J)</f>
        <v>5000</v>
      </c>
      <c r="H671">
        <f>_xlfn.XLOOKUP(B671,[2]保证金申请!$A:$A,[2]保证金申请!$K:$K)</f>
        <v>5000</v>
      </c>
      <c r="I671">
        <f t="shared" si="30"/>
        <v>0</v>
      </c>
      <c r="J671">
        <f t="shared" si="31"/>
        <v>0</v>
      </c>
      <c r="K671" t="b">
        <f t="shared" si="32"/>
        <v>1</v>
      </c>
    </row>
    <row r="672" spans="1:11">
      <c r="A672" t="s">
        <v>2089</v>
      </c>
      <c r="B672" t="s">
        <v>2089</v>
      </c>
      <c r="C672">
        <f>_xlfn.XLOOKUP(A672,保证金登记!B:B,保证金登记!E:E)</f>
        <v>45640</v>
      </c>
      <c r="D672" t="str">
        <f>_xlfn.XLOOKUP(B672,[2]保证金申请!$A:$A,[2]保证金申请!$C:$C)</f>
        <v>2024-12-14</v>
      </c>
      <c r="E672" t="str">
        <f>_xlfn.XLOOKUP(A672,保证金登记!B:B,保证金登记!I:I)</f>
        <v>河北金隅鼎鑫水泥有限公司</v>
      </c>
      <c r="F672" t="str">
        <f>_xlfn.XLOOKUP(B672,[2]保证金申请!$A:$A,[2]保证金申请!$Q:$Q)</f>
        <v>河北金隅鼎鑫水泥有限公司</v>
      </c>
      <c r="G672">
        <f>_xlfn.XLOOKUP(A672,保证金登记!B:B,保证金登记!J:J)</f>
        <v>5000</v>
      </c>
      <c r="H672">
        <f>_xlfn.XLOOKUP(B672,[2]保证金申请!$A:$A,[2]保证金申请!$K:$K)</f>
        <v>5000</v>
      </c>
      <c r="I672">
        <f t="shared" si="30"/>
        <v>0</v>
      </c>
      <c r="J672">
        <f t="shared" si="31"/>
        <v>0</v>
      </c>
      <c r="K672" t="b">
        <f t="shared" si="32"/>
        <v>1</v>
      </c>
    </row>
    <row r="673" spans="1:11">
      <c r="A673" t="s">
        <v>2091</v>
      </c>
      <c r="B673" t="s">
        <v>2091</v>
      </c>
      <c r="C673">
        <f>_xlfn.XLOOKUP(A673,保证金登记!B:B,保证金登记!E:E)</f>
        <v>45642</v>
      </c>
      <c r="D673" t="str">
        <f>_xlfn.XLOOKUP(B673,[2]保证金申请!$A:$A,[2]保证金申请!$C:$C)</f>
        <v>2024-12-16</v>
      </c>
      <c r="E673" t="str">
        <f>_xlfn.XLOOKUP(A673,保证金登记!B:B,保证金登记!I:I)</f>
        <v>淄博飞源化工有限公司（厦工(三明)重型机器有限公司）</v>
      </c>
      <c r="F673" t="str">
        <f>_xlfn.XLOOKUP(B673,[2]保证金申请!$A:$A,[2]保证金申请!$Q:$Q)</f>
        <v>淄博飞源化工有限公司</v>
      </c>
      <c r="G673">
        <f>_xlfn.XLOOKUP(A673,保证金登记!B:B,保证金登记!J:J)</f>
        <v>1000</v>
      </c>
      <c r="H673">
        <f>_xlfn.XLOOKUP(B673,[2]保证金申请!$A:$A,[2]保证金申请!$K:$K)</f>
        <v>1000</v>
      </c>
      <c r="I673">
        <f t="shared" si="30"/>
        <v>0</v>
      </c>
      <c r="J673">
        <f t="shared" si="31"/>
        <v>0</v>
      </c>
      <c r="K673" t="b">
        <f t="shared" si="32"/>
        <v>0</v>
      </c>
    </row>
    <row r="674" spans="1:11">
      <c r="A674" t="s">
        <v>2094</v>
      </c>
      <c r="B674" t="s">
        <v>2094</v>
      </c>
      <c r="C674">
        <f>_xlfn.XLOOKUP(A674,保证金登记!B:B,保证金登记!E:E)</f>
        <v>45656</v>
      </c>
      <c r="D674" t="str">
        <f>_xlfn.XLOOKUP(B674,[2]保证金申请!$A:$A,[2]保证金申请!$C:$C)</f>
        <v>2024-12-30</v>
      </c>
      <c r="E674" t="str">
        <f>_xlfn.XLOOKUP(A674,保证金登记!B:B,保证金登记!I:I)</f>
        <v>江苏永钢集团有限公司</v>
      </c>
      <c r="F674" t="str">
        <f>_xlfn.XLOOKUP(B674,[2]保证金申请!$A:$A,[2]保证金申请!$Q:$Q)</f>
        <v>江苏永钢集团有限公司</v>
      </c>
      <c r="G674">
        <f>_xlfn.XLOOKUP(A674,保证金登记!B:B,保证金登记!J:J)</f>
        <v>10000</v>
      </c>
      <c r="H674">
        <f>_xlfn.XLOOKUP(B674,[2]保证金申请!$A:$A,[2]保证金申请!$K:$K)</f>
        <v>10000</v>
      </c>
      <c r="I674">
        <f t="shared" si="30"/>
        <v>0</v>
      </c>
      <c r="J674">
        <f t="shared" si="31"/>
        <v>0</v>
      </c>
      <c r="K674" t="b">
        <f t="shared" si="32"/>
        <v>1</v>
      </c>
    </row>
    <row r="675" spans="1:11">
      <c r="A675" t="s">
        <v>2096</v>
      </c>
      <c r="B675" t="s">
        <v>2096</v>
      </c>
      <c r="C675">
        <f>_xlfn.XLOOKUP(A675,保证金登记!B:B,保证金登记!E:E)</f>
        <v>45656</v>
      </c>
      <c r="D675" t="str">
        <f>_xlfn.XLOOKUP(B675,[2]保证金申请!$A:$A,[2]保证金申请!$C:$C)</f>
        <v>2024-12-30</v>
      </c>
      <c r="E675" t="str">
        <f>_xlfn.XLOOKUP(A675,保证金登记!B:B,保证金登记!I:I)</f>
        <v>青海发投碱业有限公司</v>
      </c>
      <c r="F675" t="str">
        <f>_xlfn.XLOOKUP(B675,[2]保证金申请!$A:$A,[2]保证金申请!$Q:$Q)</f>
        <v>青海发投碱业有限公司</v>
      </c>
      <c r="G675">
        <f>_xlfn.XLOOKUP(A675,保证金登记!B:B,保证金登记!J:J)</f>
        <v>6500</v>
      </c>
      <c r="H675">
        <f>_xlfn.XLOOKUP(B675,[2]保证金申请!$A:$A,[2]保证金申请!$K:$K)</f>
        <v>6500</v>
      </c>
      <c r="I675">
        <f t="shared" si="30"/>
        <v>0</v>
      </c>
      <c r="J675">
        <f t="shared" si="31"/>
        <v>0</v>
      </c>
      <c r="K675" t="b">
        <f t="shared" si="32"/>
        <v>1</v>
      </c>
    </row>
    <row r="676" spans="1:11">
      <c r="A676" t="s">
        <v>2098</v>
      </c>
      <c r="B676" t="s">
        <v>2098</v>
      </c>
      <c r="C676">
        <f>_xlfn.XLOOKUP(A676,保证金登记!B:B,保证金登记!E:E)</f>
        <v>45656</v>
      </c>
      <c r="D676" t="str">
        <f>_xlfn.XLOOKUP(B676,[2]保证金申请!$A:$A,[2]保证金申请!$C:$C)</f>
        <v>2024-12-30</v>
      </c>
      <c r="E676" t="str">
        <f>_xlfn.XLOOKUP(A676,保证金登记!B:B,保证金登记!I:I)</f>
        <v>青海发投碱业有限公司</v>
      </c>
      <c r="F676" t="str">
        <f>_xlfn.XLOOKUP(B676,[2]保证金申请!$A:$A,[2]保证金申请!$Q:$Q)</f>
        <v>青海发投碱业有限公司</v>
      </c>
      <c r="G676">
        <f>_xlfn.XLOOKUP(A676,保证金登记!B:B,保证金登记!J:J)</f>
        <v>6500</v>
      </c>
      <c r="H676">
        <f>_xlfn.XLOOKUP(B676,[2]保证金申请!$A:$A,[2]保证金申请!$K:$K)</f>
        <v>6500</v>
      </c>
      <c r="I676">
        <f t="shared" si="30"/>
        <v>0</v>
      </c>
      <c r="J676">
        <f t="shared" si="31"/>
        <v>0</v>
      </c>
      <c r="K676" t="b">
        <f t="shared" si="32"/>
        <v>1</v>
      </c>
    </row>
    <row r="677" spans="1:11">
      <c r="A677" t="s">
        <v>2100</v>
      </c>
      <c r="B677" t="s">
        <v>2100</v>
      </c>
      <c r="C677">
        <f>_xlfn.XLOOKUP(A677,保证金登记!B:B,保证金登记!E:E)</f>
        <v>45656</v>
      </c>
      <c r="D677" t="str">
        <f>_xlfn.XLOOKUP(B677,[2]保证金申请!$A:$A,[2]保证金申请!$C:$C)</f>
        <v>2024-12-30</v>
      </c>
      <c r="E677" t="str">
        <f>_xlfn.XLOOKUP(A677,保证金登记!B:B,保证金登记!I:I)</f>
        <v>湖北岚丹建设工程有限公司用于青海发投碱业有限公司农民工工资保证金</v>
      </c>
      <c r="F677" t="str">
        <f>_xlfn.XLOOKUP(B677,[2]保证金申请!$A:$A,[2]保证金申请!$Q:$Q)</f>
        <v>湖北岚丹建设工程有限公司</v>
      </c>
      <c r="G677">
        <f>_xlfn.XLOOKUP(A677,保证金登记!B:B,保证金登记!J:J)</f>
        <v>6500</v>
      </c>
      <c r="H677">
        <f>_xlfn.XLOOKUP(B677,[2]保证金申请!$A:$A,[2]保证金申请!$K:$K)</f>
        <v>6500</v>
      </c>
      <c r="I677">
        <f t="shared" si="30"/>
        <v>0</v>
      </c>
      <c r="J677">
        <f t="shared" si="31"/>
        <v>0</v>
      </c>
      <c r="K677" t="b">
        <f t="shared" si="32"/>
        <v>0</v>
      </c>
    </row>
    <row r="678" spans="1:11">
      <c r="A678" t="s">
        <v>2102</v>
      </c>
      <c r="B678" t="s">
        <v>2102</v>
      </c>
      <c r="C678">
        <f>_xlfn.XLOOKUP(A678,保证金登记!B:B,保证金登记!E:E)</f>
        <v>45660</v>
      </c>
      <c r="D678" t="str">
        <f>_xlfn.XLOOKUP(B678,[2]保证金申请!$A:$A,[2]保证金申请!$C:$C)</f>
        <v>2025-01-03</v>
      </c>
      <c r="E678" t="str">
        <f>_xlfn.XLOOKUP(A678,保证金登记!B:B,保证金登记!I:I)</f>
        <v>福建安砂建福水泥有限公司</v>
      </c>
      <c r="F678" t="str">
        <f>_xlfn.XLOOKUP(B678,[2]保证金申请!$A:$A,[2]保证金申请!$Q:$Q)</f>
        <v>福建安砂建福水泥有限公司</v>
      </c>
      <c r="G678">
        <f>_xlfn.XLOOKUP(A678,保证金登记!B:B,保证金登记!J:J)</f>
        <v>5000</v>
      </c>
      <c r="H678">
        <f>_xlfn.XLOOKUP(B678,[2]保证金申请!$A:$A,[2]保证金申请!$K:$K)</f>
        <v>5000</v>
      </c>
      <c r="I678">
        <f t="shared" si="30"/>
        <v>0</v>
      </c>
      <c r="J678">
        <f t="shared" si="31"/>
        <v>0</v>
      </c>
      <c r="K678" t="b">
        <f t="shared" si="32"/>
        <v>1</v>
      </c>
    </row>
    <row r="679" spans="1:11">
      <c r="A679" t="s">
        <v>2104</v>
      </c>
      <c r="B679" t="s">
        <v>2104</v>
      </c>
      <c r="C679">
        <f>_xlfn.XLOOKUP(A679,保证金登记!B:B,保证金登记!E:E)</f>
        <v>45663</v>
      </c>
      <c r="D679" t="str">
        <f>_xlfn.XLOOKUP(B679,[2]保证金申请!$A:$A,[2]保证金申请!$C:$C)</f>
        <v>2025-01-06</v>
      </c>
      <c r="E679" t="str">
        <f>_xlfn.XLOOKUP(A679,保证金登记!B:B,保证金登记!I:I)</f>
        <v>湘潭瑞通球团有限公司</v>
      </c>
      <c r="F679" t="str">
        <f>_xlfn.XLOOKUP(B679,[2]保证金申请!$A:$A,[2]保证金申请!$Q:$Q)</f>
        <v>湘潭瑞通球团有限公司</v>
      </c>
      <c r="G679">
        <f>_xlfn.XLOOKUP(A679,保证金登记!B:B,保证金登记!J:J)</f>
        <v>5000</v>
      </c>
      <c r="H679">
        <f>_xlfn.XLOOKUP(B679,[2]保证金申请!$A:$A,[2]保证金申请!$K:$K)</f>
        <v>5000</v>
      </c>
      <c r="I679">
        <f t="shared" si="30"/>
        <v>0</v>
      </c>
      <c r="J679">
        <f t="shared" si="31"/>
        <v>0</v>
      </c>
      <c r="K679" t="b">
        <f t="shared" si="32"/>
        <v>1</v>
      </c>
    </row>
    <row r="680" spans="1:11">
      <c r="A680" t="s">
        <v>2107</v>
      </c>
      <c r="B680" t="s">
        <v>2107</v>
      </c>
      <c r="C680">
        <f>_xlfn.XLOOKUP(A680,保证金登记!B:B,保证金登记!E:E)</f>
        <v>45670</v>
      </c>
      <c r="D680" t="str">
        <f>_xlfn.XLOOKUP(B680,[2]保证金申请!$A:$A,[2]保证金申请!$C:$C)</f>
        <v>2025-01-13</v>
      </c>
      <c r="E680" t="str">
        <f>_xlfn.XLOOKUP(A680,保证金登记!B:B,保证金登记!I:I)</f>
        <v>河南晋开化工投资控股集团有限责任公司</v>
      </c>
      <c r="F680" t="str">
        <f>_xlfn.XLOOKUP(B680,[2]保证金申请!$A:$A,[2]保证金申请!$Q:$Q)</f>
        <v/>
      </c>
      <c r="G680">
        <f>_xlfn.XLOOKUP(A680,保证金登记!B:B,保证金登记!J:J)</f>
        <v>3000</v>
      </c>
      <c r="H680">
        <f>_xlfn.XLOOKUP(B680,[2]保证金申请!$A:$A,[2]保证金申请!$K:$K)</f>
        <v>3000</v>
      </c>
      <c r="I680">
        <f t="shared" si="30"/>
        <v>0</v>
      </c>
      <c r="J680">
        <f t="shared" si="31"/>
        <v>0</v>
      </c>
      <c r="K680" t="b">
        <f t="shared" si="32"/>
        <v>0</v>
      </c>
    </row>
    <row r="681" spans="1:11">
      <c r="A681" t="s">
        <v>2109</v>
      </c>
      <c r="B681" t="s">
        <v>2109</v>
      </c>
      <c r="C681">
        <f>_xlfn.XLOOKUP(A681,保证金登记!B:B,保证金登记!E:E)</f>
        <v>45671</v>
      </c>
      <c r="D681" t="str">
        <f>_xlfn.XLOOKUP(B681,[2]保证金申请!$A:$A,[2]保证金申请!$C:$C)</f>
        <v>2025-01-14</v>
      </c>
      <c r="E681" t="str">
        <f>_xlfn.XLOOKUP(A681,保证金登记!B:B,保证金登记!I:I)</f>
        <v>青海发投碱业有限公司</v>
      </c>
      <c r="F681" t="str">
        <f>_xlfn.XLOOKUP(B681,[2]保证金申请!$A:$A,[2]保证金申请!$Q:$Q)</f>
        <v>青海发投碱业有限公司</v>
      </c>
      <c r="G681">
        <f>_xlfn.XLOOKUP(A681,保证金登记!B:B,保证金登记!J:J)</f>
        <v>50000</v>
      </c>
      <c r="H681">
        <f>_xlfn.XLOOKUP(B681,[2]保证金申请!$A:$A,[2]保证金申请!$K:$K)</f>
        <v>50000</v>
      </c>
      <c r="I681">
        <f t="shared" si="30"/>
        <v>0</v>
      </c>
      <c r="J681">
        <f t="shared" si="31"/>
        <v>0</v>
      </c>
      <c r="K681" t="b">
        <f t="shared" si="32"/>
        <v>1</v>
      </c>
    </row>
    <row r="682" spans="1:11">
      <c r="A682" t="s">
        <v>2111</v>
      </c>
      <c r="B682" t="s">
        <v>2111</v>
      </c>
      <c r="C682">
        <f>_xlfn.XLOOKUP(A682,保证金登记!B:B,保证金登记!E:E)</f>
        <v>45671</v>
      </c>
      <c r="D682" t="str">
        <f>_xlfn.XLOOKUP(B682,[2]保证金申请!$A:$A,[2]保证金申请!$C:$C)</f>
        <v>2025-01-14</v>
      </c>
      <c r="E682" t="str">
        <f>_xlfn.XLOOKUP(A682,保证金登记!B:B,保证金登记!I:I)</f>
        <v>青海发投碱业有限公司</v>
      </c>
      <c r="F682" t="str">
        <f>_xlfn.XLOOKUP(B682,[2]保证金申请!$A:$A,[2]保证金申请!$Q:$Q)</f>
        <v>青海发投碱业有限公司</v>
      </c>
      <c r="G682">
        <f>_xlfn.XLOOKUP(A682,保证金登记!B:B,保证金登记!J:J)</f>
        <v>50000</v>
      </c>
      <c r="H682">
        <f>_xlfn.XLOOKUP(B682,[2]保证金申请!$A:$A,[2]保证金申请!$K:$K)</f>
        <v>50000</v>
      </c>
      <c r="I682">
        <f t="shared" si="30"/>
        <v>0</v>
      </c>
      <c r="J682">
        <f t="shared" si="31"/>
        <v>0</v>
      </c>
      <c r="K682" t="b">
        <f t="shared" si="32"/>
        <v>1</v>
      </c>
    </row>
    <row r="683" spans="1:11">
      <c r="A683" t="s">
        <v>2112</v>
      </c>
      <c r="B683" t="s">
        <v>2112</v>
      </c>
      <c r="C683">
        <f>_xlfn.XLOOKUP(A683,保证金登记!B:B,保证金登记!E:E)</f>
        <v>45671</v>
      </c>
      <c r="D683" t="str">
        <f>_xlfn.XLOOKUP(B683,[2]保证金申请!$A:$A,[2]保证金申请!$C:$C)</f>
        <v>2025-01-14</v>
      </c>
      <c r="E683" t="str">
        <f>_xlfn.XLOOKUP(A683,保证金登记!B:B,保证金登记!I:I)</f>
        <v>青海发投碱业有限公司</v>
      </c>
      <c r="F683" t="str">
        <f>_xlfn.XLOOKUP(B683,[2]保证金申请!$A:$A,[2]保证金申请!$Q:$Q)</f>
        <v>武汉开明高新科技有限公司</v>
      </c>
      <c r="G683">
        <f>_xlfn.XLOOKUP(A683,保证金登记!B:B,保证金登记!J:J)</f>
        <v>50000</v>
      </c>
      <c r="H683">
        <f>_xlfn.XLOOKUP(B683,[2]保证金申请!$A:$A,[2]保证金申请!$K:$K)</f>
        <v>50000</v>
      </c>
      <c r="I683">
        <f t="shared" si="30"/>
        <v>0</v>
      </c>
      <c r="J683">
        <f t="shared" si="31"/>
        <v>0</v>
      </c>
      <c r="K683" t="b">
        <f t="shared" si="32"/>
        <v>0</v>
      </c>
    </row>
    <row r="684" spans="1:11">
      <c r="A684" t="s">
        <v>2113</v>
      </c>
      <c r="B684" t="s">
        <v>2113</v>
      </c>
      <c r="C684">
        <f>_xlfn.XLOOKUP(A684,保证金登记!B:B,保证金登记!E:E)</f>
        <v>45679</v>
      </c>
      <c r="D684" t="str">
        <f>_xlfn.XLOOKUP(B684,[2]保证金申请!$A:$A,[2]保证金申请!$C:$C)</f>
        <v>2025-01-22</v>
      </c>
      <c r="E684" t="str">
        <f>_xlfn.XLOOKUP(A684,保证金登记!B:B,保证金登记!I:I)</f>
        <v>山东招标股份有限公司</v>
      </c>
      <c r="F684" t="str">
        <f>_xlfn.XLOOKUP(B684,[2]保证金申请!$A:$A,[2]保证金申请!$Q:$Q)</f>
        <v>山东招标股份有限公司</v>
      </c>
      <c r="G684">
        <f>_xlfn.XLOOKUP(A684,保证金登记!B:B,保证金登记!J:J)</f>
        <v>10000</v>
      </c>
      <c r="H684">
        <f>_xlfn.XLOOKUP(B684,[2]保证金申请!$A:$A,[2]保证金申请!$K:$K)</f>
        <v>10000</v>
      </c>
      <c r="I684">
        <f t="shared" si="30"/>
        <v>0</v>
      </c>
      <c r="J684">
        <f t="shared" si="31"/>
        <v>0</v>
      </c>
      <c r="K684" t="b">
        <f t="shared" si="32"/>
        <v>1</v>
      </c>
    </row>
    <row r="685" spans="1:11">
      <c r="A685" t="s">
        <v>2116</v>
      </c>
      <c r="B685" t="s">
        <v>2116</v>
      </c>
      <c r="C685">
        <f>_xlfn.XLOOKUP(A685,保证金登记!B:B,保证金登记!E:E)</f>
        <v>45680</v>
      </c>
      <c r="D685" t="str">
        <f>_xlfn.XLOOKUP(B685,[2]保证金申请!$A:$A,[2]保证金申请!$C:$C)</f>
        <v>2025-01-23</v>
      </c>
      <c r="E685" t="str">
        <f>_xlfn.XLOOKUP(A685,保证金登记!B:B,保证金登记!I:I)</f>
        <v>萍乡萍钢安源钢铁有限公司</v>
      </c>
      <c r="F685" t="str">
        <f>_xlfn.XLOOKUP(B685,[2]保证金申请!$A:$A,[2]保证金申请!$Q:$Q)</f>
        <v>36001752010052504776</v>
      </c>
      <c r="G685">
        <f>_xlfn.XLOOKUP(A685,保证金登记!B:B,保证金登记!J:J)</f>
        <v>15000</v>
      </c>
      <c r="H685">
        <f>_xlfn.XLOOKUP(B685,[2]保证金申请!$A:$A,[2]保证金申请!$K:$K)</f>
        <v>15000</v>
      </c>
      <c r="I685">
        <f t="shared" si="30"/>
        <v>0</v>
      </c>
      <c r="J685">
        <f t="shared" si="31"/>
        <v>0</v>
      </c>
      <c r="K685" t="b">
        <f t="shared" si="32"/>
        <v>0</v>
      </c>
    </row>
    <row r="686" spans="1:11">
      <c r="A686" t="s">
        <v>2119</v>
      </c>
      <c r="B686" t="s">
        <v>2119</v>
      </c>
      <c r="C686">
        <f>_xlfn.XLOOKUP(A686,保证金登记!B:B,保证金登记!E:E)</f>
        <v>45681</v>
      </c>
      <c r="D686" t="str">
        <f>_xlfn.XLOOKUP(B686,[2]保证金申请!$A:$A,[2]保证金申请!$C:$C)</f>
        <v>2025-01-24</v>
      </c>
      <c r="E686" t="str">
        <f>_xlfn.XLOOKUP(A686,保证金登记!B:B,保证金登记!I:I)</f>
        <v>安徽金岩高岭土新材料股份有限公司</v>
      </c>
      <c r="F686" t="str">
        <f>_xlfn.XLOOKUP(B686,[2]保证金申请!$A:$A,[2]保证金申请!$Q:$Q)</f>
        <v>安徽金岩高岭土新材料股份有限公司</v>
      </c>
      <c r="G686">
        <f>_xlfn.XLOOKUP(A686,保证金登记!B:B,保证金登记!J:J)</f>
        <v>10000</v>
      </c>
      <c r="H686">
        <f>_xlfn.XLOOKUP(B686,[2]保证金申请!$A:$A,[2]保证金申请!$K:$K)</f>
        <v>10000</v>
      </c>
      <c r="I686">
        <f t="shared" si="30"/>
        <v>0</v>
      </c>
      <c r="J686">
        <f t="shared" si="31"/>
        <v>0</v>
      </c>
      <c r="K686" t="b">
        <f t="shared" si="32"/>
        <v>1</v>
      </c>
    </row>
    <row r="687" spans="1:11">
      <c r="A687" t="s">
        <v>2122</v>
      </c>
      <c r="B687" t="s">
        <v>2122</v>
      </c>
      <c r="C687">
        <f>_xlfn.XLOOKUP(A687,保证金登记!B:B,保证金登记!E:E)</f>
        <v>45693</v>
      </c>
      <c r="D687" t="str">
        <f>_xlfn.XLOOKUP(B687,[2]保证金申请!$A:$A,[2]保证金申请!$C:$C)</f>
        <v>2025-02-05</v>
      </c>
      <c r="E687" t="str">
        <f>_xlfn.XLOOKUP(A687,保证金登记!B:B,保证金登记!I:I)</f>
        <v>青海发投碱业有限公司</v>
      </c>
      <c r="F687" t="str">
        <f>_xlfn.XLOOKUP(B687,[2]保证金申请!$A:$A,[2]保证金申请!$Q:$Q)</f>
        <v>青海发投碱业有限公司</v>
      </c>
      <c r="G687">
        <f>_xlfn.XLOOKUP(A687,保证金登记!B:B,保证金登记!J:J)</f>
        <v>3675</v>
      </c>
      <c r="H687">
        <f>_xlfn.XLOOKUP(B687,[2]保证金申请!$A:$A,[2]保证金申请!$K:$K)</f>
        <v>3675</v>
      </c>
      <c r="I687">
        <f t="shared" si="30"/>
        <v>0</v>
      </c>
      <c r="J687">
        <f t="shared" si="31"/>
        <v>0</v>
      </c>
      <c r="K687" t="b">
        <f t="shared" si="32"/>
        <v>1</v>
      </c>
    </row>
    <row r="688" spans="1:11">
      <c r="A688" t="s">
        <v>2124</v>
      </c>
      <c r="B688" t="s">
        <v>2124</v>
      </c>
      <c r="C688">
        <f>_xlfn.XLOOKUP(A688,保证金登记!B:B,保证金登记!E:E)</f>
        <v>45693</v>
      </c>
      <c r="D688" t="str">
        <f>_xlfn.XLOOKUP(B688,[2]保证金申请!$A:$A,[2]保证金申请!$C:$C)</f>
        <v>2025-02-05</v>
      </c>
      <c r="E688" t="str">
        <f>_xlfn.XLOOKUP(A688,保证金登记!B:B,保证金登记!I:I)</f>
        <v>青海发投碱业有限公司</v>
      </c>
      <c r="F688" t="str">
        <f>_xlfn.XLOOKUP(B688,[2]保证金申请!$A:$A,[2]保证金申请!$Q:$Q)</f>
        <v>青海发投碱业有限公司</v>
      </c>
      <c r="G688">
        <f>_xlfn.XLOOKUP(A688,保证金登记!B:B,保证金登记!J:J)</f>
        <v>3675</v>
      </c>
      <c r="H688">
        <f>_xlfn.XLOOKUP(B688,[2]保证金申请!$A:$A,[2]保证金申请!$K:$K)</f>
        <v>3675</v>
      </c>
      <c r="I688">
        <f t="shared" si="30"/>
        <v>0</v>
      </c>
      <c r="J688">
        <f t="shared" si="31"/>
        <v>0</v>
      </c>
      <c r="K688" t="b">
        <f t="shared" si="32"/>
        <v>1</v>
      </c>
    </row>
    <row r="689" spans="1:11">
      <c r="A689" t="s">
        <v>2125</v>
      </c>
      <c r="B689" t="s">
        <v>2125</v>
      </c>
      <c r="C689">
        <f>_xlfn.XLOOKUP(A689,保证金登记!B:B,保证金登记!E:E)</f>
        <v>45693</v>
      </c>
      <c r="D689" t="str">
        <f>_xlfn.XLOOKUP(B689,[2]保证金申请!$A:$A,[2]保证金申请!$C:$C)</f>
        <v>2025-02-05</v>
      </c>
      <c r="E689" t="str">
        <f>_xlfn.XLOOKUP(A689,保证金登记!B:B,保证金登记!I:I)</f>
        <v>青海发投碱业有限公司</v>
      </c>
      <c r="F689" t="str">
        <f>_xlfn.XLOOKUP(B689,[2]保证金申请!$A:$A,[2]保证金申请!$Q:$Q)</f>
        <v>武汉开明高新科技有限公司</v>
      </c>
      <c r="G689">
        <f>_xlfn.XLOOKUP(A689,保证金登记!B:B,保证金登记!J:J)</f>
        <v>3675</v>
      </c>
      <c r="H689">
        <f>_xlfn.XLOOKUP(B689,[2]保证金申请!$A:$A,[2]保证金申请!$K:$K)</f>
        <v>3675</v>
      </c>
      <c r="I689">
        <f t="shared" si="30"/>
        <v>0</v>
      </c>
      <c r="J689">
        <f t="shared" si="31"/>
        <v>0</v>
      </c>
      <c r="K689" t="b">
        <f t="shared" si="32"/>
        <v>0</v>
      </c>
    </row>
    <row r="690" spans="1:11">
      <c r="A690" t="s">
        <v>2723</v>
      </c>
      <c r="B690" t="s">
        <v>2723</v>
      </c>
      <c r="C690" t="e">
        <f>_xlfn.XLOOKUP(A690,保证金登记!B:B,保证金登记!E:E)</f>
        <v>#N/A</v>
      </c>
      <c r="D690" t="str">
        <f>_xlfn.XLOOKUP(B690,[2]保证金申请!$A:$A,[2]保证金申请!$C:$C)</f>
        <v>2025-02-17</v>
      </c>
      <c r="E690" t="e">
        <f>_xlfn.XLOOKUP(A690,保证金登记!B:B,保证金登记!I:I)</f>
        <v>#N/A</v>
      </c>
      <c r="F690" t="str">
        <f>_xlfn.XLOOKUP(B690,[2]保证金申请!$A:$A,[2]保证金申请!$Q:$Q)</f>
        <v>光采招标（深圳）有限公司</v>
      </c>
      <c r="G690" t="e">
        <f>_xlfn.XLOOKUP(A690,保证金登记!B:B,保证金登记!J:J)</f>
        <v>#N/A</v>
      </c>
      <c r="H690">
        <f>_xlfn.XLOOKUP(B690,[2]保证金申请!$A:$A,[2]保证金申请!$K:$K)</f>
        <v>0</v>
      </c>
      <c r="I690" t="e">
        <f t="shared" si="30"/>
        <v>#N/A</v>
      </c>
      <c r="J690" t="e">
        <f t="shared" si="31"/>
        <v>#N/A</v>
      </c>
      <c r="K690" t="e">
        <f t="shared" si="32"/>
        <v>#N/A</v>
      </c>
    </row>
    <row r="691" spans="1:11">
      <c r="A691" t="s">
        <v>2126</v>
      </c>
      <c r="B691" t="s">
        <v>2126</v>
      </c>
      <c r="C691">
        <f>_xlfn.XLOOKUP(A691,保证金登记!B:B,保证金登记!E:E)</f>
        <v>45705</v>
      </c>
      <c r="D691" t="str">
        <f>_xlfn.XLOOKUP(B691,[2]保证金申请!$A:$A,[2]保证金申请!$C:$C)</f>
        <v>2025-02-17</v>
      </c>
      <c r="E691" t="str">
        <f>_xlfn.XLOOKUP(A691,保证金登记!B:B,保证金登记!I:I)</f>
        <v>池州恒鑫材料科技有限公司</v>
      </c>
      <c r="F691" t="str">
        <f>_xlfn.XLOOKUP(B691,[2]保证金申请!$A:$A,[2]保证金申请!$Q:$Q)</f>
        <v>池州恒鑫材料科技有限公司</v>
      </c>
      <c r="G691">
        <f>_xlfn.XLOOKUP(A691,保证金登记!B:B,保证金登记!J:J)</f>
        <v>10000</v>
      </c>
      <c r="H691">
        <f>_xlfn.XLOOKUP(B691,[2]保证金申请!$A:$A,[2]保证金申请!$K:$K)</f>
        <v>10000</v>
      </c>
      <c r="I691">
        <f t="shared" si="30"/>
        <v>0</v>
      </c>
      <c r="J691">
        <f t="shared" si="31"/>
        <v>0</v>
      </c>
      <c r="K691" t="b">
        <f t="shared" si="32"/>
        <v>1</v>
      </c>
    </row>
    <row r="692" spans="1:11">
      <c r="A692" t="s">
        <v>2129</v>
      </c>
      <c r="B692" t="s">
        <v>2129</v>
      </c>
      <c r="C692">
        <f>_xlfn.XLOOKUP(A692,保证金登记!B:B,保证金登记!E:E)</f>
        <v>45706</v>
      </c>
      <c r="D692" t="str">
        <f>_xlfn.XLOOKUP(B692,[2]保证金申请!$A:$A,[2]保证金申请!$C:$C)</f>
        <v>2025-02-18</v>
      </c>
      <c r="E692" t="str">
        <f>_xlfn.XLOOKUP(A692,保证金登记!B:B,保证金登记!I:I)</f>
        <v>亚太森博（山东）浆纸有限公司</v>
      </c>
      <c r="F692" t="str">
        <f>_xlfn.XLOOKUP(B692,[2]保证金申请!$A:$A,[2]保证金申请!$Q:$Q)</f>
        <v>亚太森博（山东）浆纸有限公司</v>
      </c>
      <c r="G692">
        <f>_xlfn.XLOOKUP(A692,保证金登记!B:B,保证金登记!J:J)</f>
        <v>50000</v>
      </c>
      <c r="H692">
        <f>_xlfn.XLOOKUP(B692,[2]保证金申请!$A:$A,[2]保证金申请!$K:$K)</f>
        <v>50000</v>
      </c>
      <c r="I692">
        <f t="shared" si="30"/>
        <v>0</v>
      </c>
      <c r="J692">
        <f t="shared" si="31"/>
        <v>0</v>
      </c>
      <c r="K692" t="b">
        <f t="shared" si="32"/>
        <v>1</v>
      </c>
    </row>
    <row r="693" spans="1:11">
      <c r="A693" t="s">
        <v>2133</v>
      </c>
      <c r="B693" t="s">
        <v>2133</v>
      </c>
      <c r="C693">
        <f>_xlfn.XLOOKUP(A693,保证金登记!B:B,保证金登记!E:E)</f>
        <v>45708</v>
      </c>
      <c r="D693" t="str">
        <f>_xlfn.XLOOKUP(B693,[2]保证金申请!$A:$A,[2]保证金申请!$C:$C)</f>
        <v>2025-02-20</v>
      </c>
      <c r="E693" t="str">
        <f>_xlfn.XLOOKUP(A693,保证金登记!B:B,保证金登记!I:I)</f>
        <v>青海发投碱业有限公司</v>
      </c>
      <c r="F693" t="str">
        <f>_xlfn.XLOOKUP(B693,[2]保证金申请!$A:$A,[2]保证金申请!$Q:$Q)</f>
        <v>青海发投碱业有限公司</v>
      </c>
      <c r="G693">
        <f>_xlfn.XLOOKUP(A693,保证金登记!B:B,保证金登记!J:J)</f>
        <v>12000</v>
      </c>
      <c r="H693">
        <f>_xlfn.XLOOKUP(B693,[2]保证金申请!$A:$A,[2]保证金申请!$K:$K)</f>
        <v>12000</v>
      </c>
      <c r="I693">
        <f t="shared" si="30"/>
        <v>0</v>
      </c>
      <c r="J693">
        <f t="shared" si="31"/>
        <v>0</v>
      </c>
      <c r="K693" t="b">
        <f t="shared" si="32"/>
        <v>1</v>
      </c>
    </row>
    <row r="694" spans="1:11">
      <c r="A694" t="s">
        <v>2135</v>
      </c>
      <c r="B694" t="s">
        <v>2135</v>
      </c>
      <c r="C694">
        <f>_xlfn.XLOOKUP(A694,保证金登记!B:B,保证金登记!E:E)</f>
        <v>45711</v>
      </c>
      <c r="D694" t="str">
        <f>_xlfn.XLOOKUP(B694,[2]保证金申请!$A:$A,[2]保证金申请!$C:$C)</f>
        <v>2025-02-23</v>
      </c>
      <c r="E694" t="str">
        <f>_xlfn.XLOOKUP(A694,保证金登记!B:B,保证金登记!I:I)</f>
        <v>江苏永钢集团有限公司</v>
      </c>
      <c r="F694" t="str">
        <f>_xlfn.XLOOKUP(B694,[2]保证金申请!$A:$A,[2]保证金申请!$Q:$Q)</f>
        <v>江苏永钢集团有限公司</v>
      </c>
      <c r="G694">
        <f>_xlfn.XLOOKUP(A694,保证金登记!B:B,保证金登记!J:J)</f>
        <v>10000</v>
      </c>
      <c r="H694">
        <f>_xlfn.XLOOKUP(B694,[2]保证金申请!$A:$A,[2]保证金申请!$K:$K)</f>
        <v>10000</v>
      </c>
      <c r="I694">
        <f t="shared" si="30"/>
        <v>0</v>
      </c>
      <c r="J694">
        <f t="shared" si="31"/>
        <v>0</v>
      </c>
      <c r="K694" t="b">
        <f t="shared" si="32"/>
        <v>1</v>
      </c>
    </row>
    <row r="695" spans="1:11">
      <c r="A695" t="s">
        <v>2137</v>
      </c>
      <c r="B695" t="s">
        <v>2137</v>
      </c>
      <c r="C695">
        <f>_xlfn.XLOOKUP(A695,保证金登记!B:B,保证金登记!E:E)</f>
        <v>45712</v>
      </c>
      <c r="D695" t="str">
        <f>_xlfn.XLOOKUP(B695,[2]保证金申请!$A:$A,[2]保证金申请!$C:$C)</f>
        <v>2025-02-24</v>
      </c>
      <c r="E695" t="str">
        <f>_xlfn.XLOOKUP(A695,保证金登记!B:B,保证金登记!I:I)</f>
        <v>洛阳中联水泥有限公司</v>
      </c>
      <c r="F695" t="str">
        <f>_xlfn.XLOOKUP(B695,[2]保证金申请!$A:$A,[2]保证金申请!$Q:$Q)</f>
        <v>洛阳中联水泥有限公司</v>
      </c>
      <c r="G695">
        <f>_xlfn.XLOOKUP(A695,保证金登记!B:B,保证金登记!J:J)</f>
        <v>20000</v>
      </c>
      <c r="H695">
        <f>_xlfn.XLOOKUP(B695,[2]保证金申请!$A:$A,[2]保证金申请!$K:$K)</f>
        <v>20000</v>
      </c>
      <c r="I695">
        <f t="shared" si="30"/>
        <v>0</v>
      </c>
      <c r="J695">
        <f t="shared" si="31"/>
        <v>0</v>
      </c>
      <c r="K695" t="b">
        <f t="shared" si="32"/>
        <v>1</v>
      </c>
    </row>
    <row r="696" spans="1:11">
      <c r="A696" t="s">
        <v>2140</v>
      </c>
      <c r="B696" t="s">
        <v>2140</v>
      </c>
      <c r="C696">
        <f>_xlfn.XLOOKUP(A696,保证金登记!B:B,保证金登记!E:E)</f>
        <v>45712</v>
      </c>
      <c r="D696" t="str">
        <f>_xlfn.XLOOKUP(B696,[2]保证金申请!$A:$A,[2]保证金申请!$C:$C)</f>
        <v>2025-02-24</v>
      </c>
      <c r="E696" t="str">
        <f>_xlfn.XLOOKUP(A696,保证金登记!B:B,保证金登记!I:I)</f>
        <v>青海发投碱业有限公司</v>
      </c>
      <c r="F696" t="str">
        <f>_xlfn.XLOOKUP(B696,[2]保证金申请!$A:$A,[2]保证金申请!$Q:$Q)</f>
        <v>青海发投碱业有限公司</v>
      </c>
      <c r="G696">
        <f>_xlfn.XLOOKUP(A696,保证金登记!B:B,保证金登记!J:J)</f>
        <v>10000</v>
      </c>
      <c r="H696">
        <f>_xlfn.XLOOKUP(B696,[2]保证金申请!$A:$A,[2]保证金申请!$K:$K)</f>
        <v>10000</v>
      </c>
      <c r="I696">
        <f t="shared" si="30"/>
        <v>0</v>
      </c>
      <c r="J696">
        <f t="shared" si="31"/>
        <v>0</v>
      </c>
      <c r="K696" t="b">
        <f t="shared" si="32"/>
        <v>1</v>
      </c>
    </row>
    <row r="697" spans="1:11">
      <c r="A697" t="s">
        <v>2142</v>
      </c>
      <c r="B697" t="s">
        <v>2142</v>
      </c>
      <c r="C697">
        <f>_xlfn.XLOOKUP(A697,保证金登记!B:B,保证金登记!E:E)</f>
        <v>45715</v>
      </c>
      <c r="D697" t="str">
        <f>_xlfn.XLOOKUP(B697,[2]保证金申请!$A:$A,[2]保证金申请!$C:$C)</f>
        <v>2025-02-27</v>
      </c>
      <c r="E697" t="str">
        <f>_xlfn.XLOOKUP(A697,保证金登记!B:B,保证金登记!I:I)</f>
        <v>中盐青海昆仑碱业有限公司</v>
      </c>
      <c r="F697" t="str">
        <f>_xlfn.XLOOKUP(B697,[2]保证金申请!$A:$A,[2]保证金申请!$Q:$Q)</f>
        <v>中盐青海昆仑碱业有限公司</v>
      </c>
      <c r="G697">
        <f>_xlfn.XLOOKUP(A697,保证金登记!B:B,保证金登记!J:J)</f>
        <v>0</v>
      </c>
      <c r="H697">
        <f>_xlfn.XLOOKUP(B697,[2]保证金申请!$A:$A,[2]保证金申请!$K:$K)</f>
        <v>0</v>
      </c>
      <c r="I697">
        <f t="shared" si="30"/>
        <v>0</v>
      </c>
      <c r="J697">
        <f t="shared" si="31"/>
        <v>0</v>
      </c>
      <c r="K697" t="b">
        <f t="shared" si="32"/>
        <v>1</v>
      </c>
    </row>
    <row r="698" spans="1:11">
      <c r="A698" t="s">
        <v>2144</v>
      </c>
      <c r="B698" t="s">
        <v>2144</v>
      </c>
      <c r="C698">
        <f>_xlfn.XLOOKUP(A698,保证金登记!B:B,保证金登记!E:E)</f>
        <v>45716</v>
      </c>
      <c r="D698" t="str">
        <f>_xlfn.XLOOKUP(B698,[2]保证金申请!$A:$A,[2]保证金申请!$C:$C)</f>
        <v>2025-02-28</v>
      </c>
      <c r="E698" t="str">
        <f>_xlfn.XLOOKUP(A698,保证金登记!B:B,保证金登记!I:I)</f>
        <v>宝武集团鄂城钢铁有限公司</v>
      </c>
      <c r="F698" t="str">
        <f>_xlfn.XLOOKUP(B698,[2]保证金申请!$A:$A,[2]保证金申请!$Q:$Q)</f>
        <v>上海宝华国际招标有限公司华中分公司</v>
      </c>
      <c r="G698">
        <f>_xlfn.XLOOKUP(A698,保证金登记!B:B,保证金登记!J:J)</f>
        <v>3000</v>
      </c>
      <c r="H698">
        <f>_xlfn.XLOOKUP(B698,[2]保证金申请!$A:$A,[2]保证金申请!$K:$K)</f>
        <v>3000</v>
      </c>
      <c r="I698">
        <f t="shared" si="30"/>
        <v>0</v>
      </c>
      <c r="J698">
        <f t="shared" si="31"/>
        <v>0</v>
      </c>
      <c r="K698" t="b">
        <f t="shared" si="32"/>
        <v>0</v>
      </c>
    </row>
    <row r="699" spans="1:11">
      <c r="A699" t="s">
        <v>2147</v>
      </c>
      <c r="B699" t="s">
        <v>2147</v>
      </c>
      <c r="C699">
        <f>_xlfn.XLOOKUP(A699,保证金登记!B:B,保证金登记!E:E)</f>
        <v>45716</v>
      </c>
      <c r="D699" t="str">
        <f>_xlfn.XLOOKUP(B699,[2]保证金申请!$A:$A,[2]保证金申请!$C:$C)</f>
        <v>2025-02-28</v>
      </c>
      <c r="E699" t="str">
        <f>_xlfn.XLOOKUP(A699,保证金登记!B:B,保证金登记!I:I)</f>
        <v>青海发投碱业有限公司</v>
      </c>
      <c r="F699" t="str">
        <f>_xlfn.XLOOKUP(B699,[2]保证金申请!$A:$A,[2]保证金申请!$Q:$Q)</f>
        <v>青海发投碱业有限公司</v>
      </c>
      <c r="G699">
        <f>_xlfn.XLOOKUP(A699,保证金登记!B:B,保证金登记!J:J)</f>
        <v>0</v>
      </c>
      <c r="H699">
        <f>_xlfn.XLOOKUP(B699,[2]保证金申请!$A:$A,[2]保证金申请!$K:$K)</f>
        <v>0</v>
      </c>
      <c r="I699">
        <f t="shared" si="30"/>
        <v>0</v>
      </c>
      <c r="J699">
        <f t="shared" si="31"/>
        <v>0</v>
      </c>
      <c r="K699" t="b">
        <f t="shared" si="32"/>
        <v>1</v>
      </c>
    </row>
    <row r="700" spans="1:11">
      <c r="A700" t="s">
        <v>2149</v>
      </c>
      <c r="B700" t="s">
        <v>2149</v>
      </c>
      <c r="C700">
        <f>_xlfn.XLOOKUP(A700,保证金登记!B:B,保证金登记!E:E)</f>
        <v>45723</v>
      </c>
      <c r="D700" t="str">
        <f>_xlfn.XLOOKUP(B700,[2]保证金申请!$A:$A,[2]保证金申请!$C:$C)</f>
        <v>2025-03-07</v>
      </c>
      <c r="E700" t="str">
        <f>_xlfn.XLOOKUP(A700,保证金登记!B:B,保证金登记!I:I)</f>
        <v>青海发投碱业有限公司</v>
      </c>
      <c r="F700" t="str">
        <f>_xlfn.XLOOKUP(B700,[2]保证金申请!$A:$A,[2]保证金申请!$Q:$Q)</f>
        <v>青海发投碱业有限公司</v>
      </c>
      <c r="G700">
        <f>_xlfn.XLOOKUP(A700,保证金登记!B:B,保证金登记!J:J)</f>
        <v>10000</v>
      </c>
      <c r="H700">
        <f>_xlfn.XLOOKUP(B700,[2]保证金申请!$A:$A,[2]保证金申请!$K:$K)</f>
        <v>10000</v>
      </c>
      <c r="I700">
        <f t="shared" si="30"/>
        <v>0</v>
      </c>
      <c r="J700">
        <f t="shared" si="31"/>
        <v>0</v>
      </c>
      <c r="K700" t="b">
        <f t="shared" si="32"/>
        <v>1</v>
      </c>
    </row>
    <row r="701" spans="1:11">
      <c r="A701" t="s">
        <v>2152</v>
      </c>
      <c r="B701" t="s">
        <v>2152</v>
      </c>
      <c r="C701">
        <f>_xlfn.XLOOKUP(A701,保证金登记!B:B,保证金登记!E:E)</f>
        <v>45723</v>
      </c>
      <c r="D701" t="str">
        <f>_xlfn.XLOOKUP(B701,[2]保证金申请!$A:$A,[2]保证金申请!$C:$C)</f>
        <v>2025-03-07</v>
      </c>
      <c r="E701" t="str">
        <f>_xlfn.XLOOKUP(A701,保证金登记!B:B,保证金登记!I:I)</f>
        <v>青海发投碱业有限公司</v>
      </c>
      <c r="F701" t="str">
        <f>_xlfn.XLOOKUP(B701,[2]保证金申请!$A:$A,[2]保证金申请!$Q:$Q)</f>
        <v>青海发投碱业有限公司</v>
      </c>
      <c r="G701">
        <f>_xlfn.XLOOKUP(A701,保证金登记!B:B,保证金登记!J:J)</f>
        <v>325</v>
      </c>
      <c r="H701">
        <f>_xlfn.XLOOKUP(B701,[2]保证金申请!$A:$A,[2]保证金申请!$K:$K)</f>
        <v>325</v>
      </c>
      <c r="I701">
        <f t="shared" si="30"/>
        <v>0</v>
      </c>
      <c r="J701">
        <f t="shared" si="31"/>
        <v>0</v>
      </c>
      <c r="K701" t="b">
        <f t="shared" si="32"/>
        <v>1</v>
      </c>
    </row>
    <row r="702" spans="1:11">
      <c r="A702" t="s">
        <v>2153</v>
      </c>
      <c r="B702" t="s">
        <v>2153</v>
      </c>
      <c r="C702">
        <f>_xlfn.XLOOKUP(A702,保证金登记!B:B,保证金登记!E:E)</f>
        <v>45723</v>
      </c>
      <c r="D702" t="str">
        <f>_xlfn.XLOOKUP(B702,[2]保证金申请!$A:$A,[2]保证金申请!$C:$C)</f>
        <v>2025-03-07</v>
      </c>
      <c r="E702" t="str">
        <f>_xlfn.XLOOKUP(A702,保证金登记!B:B,保证金登记!I:I)</f>
        <v>青海发投碱业有限公司（胡敏转河南祥光）</v>
      </c>
      <c r="F702" t="str">
        <f>_xlfn.XLOOKUP(B702,[2]保证金申请!$A:$A,[2]保证金申请!$Q:$Q)</f>
        <v/>
      </c>
      <c r="G702">
        <f>_xlfn.XLOOKUP(A702,保证金登记!B:B,保证金登记!J:J)</f>
        <v>20000</v>
      </c>
      <c r="H702">
        <f>_xlfn.XLOOKUP(B702,[2]保证金申请!$A:$A,[2]保证金申请!$K:$K)</f>
        <v>20000</v>
      </c>
      <c r="I702">
        <f t="shared" si="30"/>
        <v>0</v>
      </c>
      <c r="J702">
        <f t="shared" si="31"/>
        <v>0</v>
      </c>
      <c r="K702" t="b">
        <f t="shared" si="32"/>
        <v>0</v>
      </c>
    </row>
    <row r="703" spans="1:11">
      <c r="A703" t="s">
        <v>2157</v>
      </c>
      <c r="B703" t="s">
        <v>2157</v>
      </c>
      <c r="C703">
        <f>_xlfn.XLOOKUP(A703,保证金登记!B:B,保证金登记!E:E)</f>
        <v>45727</v>
      </c>
      <c r="D703" t="str">
        <f>_xlfn.XLOOKUP(B703,[2]保证金申请!$A:$A,[2]保证金申请!$C:$C)</f>
        <v>2025-03-11</v>
      </c>
      <c r="E703" t="str">
        <f>_xlfn.XLOOKUP(A703,保证金登记!B:B,保证金登记!I:I)</f>
        <v>青海发投碱业有限公司</v>
      </c>
      <c r="F703" t="str">
        <f>_xlfn.XLOOKUP(B703,[2]保证金申请!$A:$A,[2]保证金申请!$Q:$Q)</f>
        <v>青海发投碱业有限公司</v>
      </c>
      <c r="G703">
        <f>_xlfn.XLOOKUP(A703,保证金登记!B:B,保证金登记!J:J)</f>
        <v>28000</v>
      </c>
      <c r="H703">
        <f>_xlfn.XLOOKUP(B703,[2]保证金申请!$A:$A,[2]保证金申请!$K:$K)</f>
        <v>28000</v>
      </c>
      <c r="I703">
        <f t="shared" si="30"/>
        <v>0</v>
      </c>
      <c r="J703">
        <f t="shared" si="31"/>
        <v>0</v>
      </c>
      <c r="K703" t="b">
        <f t="shared" si="32"/>
        <v>1</v>
      </c>
    </row>
    <row r="704" spans="1:11">
      <c r="A704" t="s">
        <v>2159</v>
      </c>
      <c r="B704" t="s">
        <v>2159</v>
      </c>
      <c r="C704">
        <f>_xlfn.XLOOKUP(A704,保证金登记!B:B,保证金登记!E:E)</f>
        <v>45727</v>
      </c>
      <c r="D704" t="str">
        <f>_xlfn.XLOOKUP(B704,[2]保证金申请!$A:$A,[2]保证金申请!$C:$C)</f>
        <v>2025-03-11</v>
      </c>
      <c r="E704" t="str">
        <f>_xlfn.XLOOKUP(A704,保证金登记!B:B,保证金登记!I:I)</f>
        <v>青海发投碱业有限公司</v>
      </c>
      <c r="F704" t="str">
        <f>_xlfn.XLOOKUP(B704,[2]保证金申请!$A:$A,[2]保证金申请!$Q:$Q)</f>
        <v>青海发投碱业有限公司</v>
      </c>
      <c r="G704">
        <f>_xlfn.XLOOKUP(A704,保证金登记!B:B,保证金登记!J:J)</f>
        <v>28000</v>
      </c>
      <c r="H704">
        <f>_xlfn.XLOOKUP(B704,[2]保证金申请!$A:$A,[2]保证金申请!$K:$K)</f>
        <v>28000</v>
      </c>
      <c r="I704">
        <f t="shared" si="30"/>
        <v>0</v>
      </c>
      <c r="J704">
        <f t="shared" si="31"/>
        <v>0</v>
      </c>
      <c r="K704" t="b">
        <f t="shared" si="32"/>
        <v>1</v>
      </c>
    </row>
    <row r="705" spans="1:11">
      <c r="A705" t="s">
        <v>2160</v>
      </c>
      <c r="B705" t="s">
        <v>2160</v>
      </c>
      <c r="C705">
        <f>_xlfn.XLOOKUP(A705,保证金登记!B:B,保证金登记!E:E)</f>
        <v>45727</v>
      </c>
      <c r="D705" t="str">
        <f>_xlfn.XLOOKUP(B705,[2]保证金申请!$A:$A,[2]保证金申请!$C:$C)</f>
        <v>2025-03-11</v>
      </c>
      <c r="E705" t="str">
        <f>_xlfn.XLOOKUP(A705,保证金登记!B:B,保证金登记!I:I)</f>
        <v>青海发投碱业有限公司</v>
      </c>
      <c r="F705" t="str">
        <f>_xlfn.XLOOKUP(B705,[2]保证金申请!$A:$A,[2]保证金申请!$Q:$Q)</f>
        <v>武汉开明高新科技有限公司</v>
      </c>
      <c r="G705">
        <f>_xlfn.XLOOKUP(A705,保证金登记!B:B,保证金登记!J:J)</f>
        <v>28000</v>
      </c>
      <c r="H705">
        <f>_xlfn.XLOOKUP(B705,[2]保证金申请!$A:$A,[2]保证金申请!$K:$K)</f>
        <v>28000</v>
      </c>
      <c r="I705">
        <f t="shared" si="30"/>
        <v>0</v>
      </c>
      <c r="J705">
        <f t="shared" si="31"/>
        <v>0</v>
      </c>
      <c r="K705" t="b">
        <f t="shared" si="32"/>
        <v>0</v>
      </c>
    </row>
    <row r="706" spans="1:11">
      <c r="A706" t="s">
        <v>2162</v>
      </c>
      <c r="B706" t="s">
        <v>2162</v>
      </c>
      <c r="C706">
        <f>_xlfn.XLOOKUP(A706,保证金登记!B:B,保证金登记!E:E)</f>
        <v>45730</v>
      </c>
      <c r="D706" t="str">
        <f>_xlfn.XLOOKUP(B706,[2]保证金申请!$A:$A,[2]保证金申请!$C:$C)</f>
        <v>2025-03-14</v>
      </c>
      <c r="E706" t="str">
        <f>_xlfn.XLOOKUP(A706,保证金登记!B:B,保证金登记!I:I)</f>
        <v>保定太行和益环保科技有限公司</v>
      </c>
      <c r="F706" t="str">
        <f>_xlfn.XLOOKUP(B706,[2]保证金申请!$A:$A,[2]保证金申请!$Q:$Q)</f>
        <v>保定太行和益环保科技有限公司</v>
      </c>
      <c r="G706">
        <f>_xlfn.XLOOKUP(A706,保证金登记!B:B,保证金登记!J:J)</f>
        <v>3000</v>
      </c>
      <c r="H706">
        <f>_xlfn.XLOOKUP(B706,[2]保证金申请!$A:$A,[2]保证金申请!$K:$K)</f>
        <v>3000</v>
      </c>
      <c r="I706">
        <f t="shared" ref="I706:I716" si="33">C706-D706</f>
        <v>0</v>
      </c>
      <c r="J706">
        <f t="shared" ref="J706:J716" si="34">G706-H706</f>
        <v>0</v>
      </c>
      <c r="K706" t="b">
        <f t="shared" ref="K706:K716" si="35">EXACT(E706,F706)</f>
        <v>1</v>
      </c>
    </row>
    <row r="707" spans="1:11">
      <c r="A707" t="s">
        <v>2165</v>
      </c>
      <c r="B707" t="s">
        <v>2165</v>
      </c>
      <c r="C707">
        <f>_xlfn.XLOOKUP(A707,保证金登记!B:B,保证金登记!E:E)</f>
        <v>45731</v>
      </c>
      <c r="D707" t="str">
        <f>_xlfn.XLOOKUP(B707,[2]保证金申请!$A:$A,[2]保证金申请!$C:$C)</f>
        <v>2025-03-15</v>
      </c>
      <c r="E707" t="str">
        <f>_xlfn.XLOOKUP(A707,保证金登记!B:B,保证金登记!I:I)</f>
        <v>河南豫光锌业有限公司</v>
      </c>
      <c r="F707" t="str">
        <f>_xlfn.XLOOKUP(B707,[2]保证金申请!$A:$A,[2]保证金申请!$Q:$Q)</f>
        <v>河南豫光锌业有限公司</v>
      </c>
      <c r="G707">
        <f>_xlfn.XLOOKUP(A707,保证金登记!B:B,保证金登记!J:J)</f>
        <v>10000</v>
      </c>
      <c r="H707">
        <f>_xlfn.XLOOKUP(B707,[2]保证金申请!$A:$A,[2]保证金申请!$K:$K)</f>
        <v>10000</v>
      </c>
      <c r="I707">
        <f t="shared" si="33"/>
        <v>0</v>
      </c>
      <c r="J707">
        <f t="shared" si="34"/>
        <v>0</v>
      </c>
      <c r="K707" t="b">
        <f t="shared" si="35"/>
        <v>1</v>
      </c>
    </row>
    <row r="708" spans="1:11">
      <c r="A708" t="s">
        <v>2169</v>
      </c>
      <c r="B708" t="s">
        <v>2169</v>
      </c>
      <c r="C708">
        <f>_xlfn.XLOOKUP(A708,保证金登记!B:B,保证金登记!E:E)</f>
        <v>45734</v>
      </c>
      <c r="D708" t="str">
        <f>_xlfn.XLOOKUP(B708,[2]保证金申请!$A:$A,[2]保证金申请!$C:$C)</f>
        <v>2025-03-18</v>
      </c>
      <c r="E708" t="str">
        <f>_xlfn.XLOOKUP(A708,保证金登记!B:B,保证金登记!I:I)</f>
        <v>保定太行和益环保科技有限公司</v>
      </c>
      <c r="F708" t="str">
        <f>_xlfn.XLOOKUP(B708,[2]保证金申请!$A:$A,[2]保证金申请!$Q:$Q)</f>
        <v>保定太行和益环保科技有限公司</v>
      </c>
      <c r="G708">
        <f>_xlfn.XLOOKUP(A708,保证金登记!B:B,保证金登记!J:J)</f>
        <v>3000</v>
      </c>
      <c r="H708">
        <f>_xlfn.XLOOKUP(B708,[2]保证金申请!$A:$A,[2]保证金申请!$K:$K)</f>
        <v>3000</v>
      </c>
      <c r="I708">
        <f t="shared" si="33"/>
        <v>0</v>
      </c>
      <c r="J708">
        <f t="shared" si="34"/>
        <v>0</v>
      </c>
      <c r="K708" t="b">
        <f t="shared" si="35"/>
        <v>1</v>
      </c>
    </row>
    <row r="709" spans="1:11">
      <c r="A709" t="s">
        <v>2170</v>
      </c>
      <c r="B709" t="s">
        <v>2170</v>
      </c>
      <c r="C709">
        <f>_xlfn.XLOOKUP(A709,保证金登记!B:B,保证金登记!E:E)</f>
        <v>45734</v>
      </c>
      <c r="D709" t="str">
        <f>_xlfn.XLOOKUP(B709,[2]保证金申请!$A:$A,[2]保证金申请!$C:$C)</f>
        <v>2025-03-18</v>
      </c>
      <c r="E709" t="str">
        <f>_xlfn.XLOOKUP(A709,保证金登记!B:B,保证金登记!I:I)</f>
        <v>青海发投碱业有限公司</v>
      </c>
      <c r="F709" t="str">
        <f>_xlfn.XLOOKUP(B709,[2]保证金申请!$A:$A,[2]保证金申请!$Q:$Q)</f>
        <v>青海发投碱业有限公司</v>
      </c>
      <c r="G709">
        <f>_xlfn.XLOOKUP(A709,保证金登记!B:B,保证金登记!J:J)</f>
        <v>37000</v>
      </c>
      <c r="H709">
        <f>_xlfn.XLOOKUP(B709,[2]保证金申请!$A:$A,[2]保证金申请!$K:$K)</f>
        <v>37000</v>
      </c>
      <c r="I709">
        <f t="shared" si="33"/>
        <v>0</v>
      </c>
      <c r="J709">
        <f t="shared" si="34"/>
        <v>0</v>
      </c>
      <c r="K709" t="b">
        <f t="shared" si="35"/>
        <v>1</v>
      </c>
    </row>
    <row r="710" spans="1:11">
      <c r="A710" t="s">
        <v>2172</v>
      </c>
      <c r="B710" t="s">
        <v>2172</v>
      </c>
      <c r="C710">
        <f>_xlfn.XLOOKUP(A710,保证金登记!B:B,保证金登记!E:E)</f>
        <v>45734</v>
      </c>
      <c r="D710" t="str">
        <f>_xlfn.XLOOKUP(B710,[2]保证金申请!$A:$A,[2]保证金申请!$C:$C)</f>
        <v>2025-03-18</v>
      </c>
      <c r="E710" t="str">
        <f>_xlfn.XLOOKUP(A710,保证金登记!B:B,保证金登记!I:I)</f>
        <v>青海发投碱业有限公司</v>
      </c>
      <c r="F710" t="str">
        <f>_xlfn.XLOOKUP(B710,[2]保证金申请!$A:$A,[2]保证金申请!$Q:$Q)</f>
        <v>青海发投碱业有限公司</v>
      </c>
      <c r="G710">
        <f>_xlfn.XLOOKUP(A710,保证金登记!B:B,保证金登记!J:J)</f>
        <v>37000</v>
      </c>
      <c r="H710">
        <f>_xlfn.XLOOKUP(B710,[2]保证金申请!$A:$A,[2]保证金申请!$K:$K)</f>
        <v>37000</v>
      </c>
      <c r="I710">
        <f t="shared" si="33"/>
        <v>0</v>
      </c>
      <c r="J710">
        <f t="shared" si="34"/>
        <v>0</v>
      </c>
      <c r="K710" t="b">
        <f t="shared" si="35"/>
        <v>1</v>
      </c>
    </row>
    <row r="711" spans="1:11">
      <c r="A711" t="s">
        <v>2173</v>
      </c>
      <c r="B711" t="s">
        <v>2173</v>
      </c>
      <c r="C711">
        <f>_xlfn.XLOOKUP(A711,保证金登记!B:B,保证金登记!E:E)</f>
        <v>45734</v>
      </c>
      <c r="D711" t="str">
        <f>_xlfn.XLOOKUP(B711,[2]保证金申请!$A:$A,[2]保证金申请!$C:$C)</f>
        <v>2025-03-18</v>
      </c>
      <c r="E711" t="str">
        <f>_xlfn.XLOOKUP(A711,保证金登记!B:B,保证金登记!I:I)</f>
        <v>青海发投碱业有限公司</v>
      </c>
      <c r="F711" t="str">
        <f>_xlfn.XLOOKUP(B711,[2]保证金申请!$A:$A,[2]保证金申请!$Q:$Q)</f>
        <v>青海发投碱业有限公司</v>
      </c>
      <c r="G711">
        <f>_xlfn.XLOOKUP(A711,保证金登记!B:B,保证金登记!J:J)</f>
        <v>18000</v>
      </c>
      <c r="H711">
        <f>_xlfn.XLOOKUP(B711,[2]保证金申请!$A:$A,[2]保证金申请!$K:$K)</f>
        <v>18000</v>
      </c>
      <c r="I711">
        <f t="shared" si="33"/>
        <v>0</v>
      </c>
      <c r="J711">
        <f t="shared" si="34"/>
        <v>0</v>
      </c>
      <c r="K711" t="b">
        <f t="shared" si="35"/>
        <v>1</v>
      </c>
    </row>
    <row r="712" spans="1:11">
      <c r="A712" t="s">
        <v>2175</v>
      </c>
      <c r="B712" t="s">
        <v>2175</v>
      </c>
      <c r="C712">
        <f>_xlfn.XLOOKUP(A712,保证金登记!B:B,保证金登记!E:E)</f>
        <v>45734</v>
      </c>
      <c r="D712" t="str">
        <f>_xlfn.XLOOKUP(B712,[2]保证金申请!$A:$A,[2]保证金申请!$C:$C)</f>
        <v>2025-03-18</v>
      </c>
      <c r="E712" t="str">
        <f>_xlfn.XLOOKUP(A712,保证金登记!B:B,保证金登记!I:I)</f>
        <v>青海发投碱业有限公司</v>
      </c>
      <c r="F712" t="str">
        <f>_xlfn.XLOOKUP(B712,[2]保证金申请!$A:$A,[2]保证金申请!$Q:$Q)</f>
        <v>青海发投碱业有限公司</v>
      </c>
      <c r="G712">
        <f>_xlfn.XLOOKUP(A712,保证金登记!B:B,保证金登记!J:J)</f>
        <v>17875</v>
      </c>
      <c r="H712">
        <f>_xlfn.XLOOKUP(B712,[2]保证金申请!$A:$A,[2]保证金申请!$K:$K)</f>
        <v>17875</v>
      </c>
      <c r="I712">
        <f t="shared" si="33"/>
        <v>0</v>
      </c>
      <c r="J712">
        <f t="shared" si="34"/>
        <v>0</v>
      </c>
      <c r="K712" t="b">
        <f t="shared" si="35"/>
        <v>1</v>
      </c>
    </row>
    <row r="713" spans="1:11">
      <c r="A713" t="s">
        <v>2176</v>
      </c>
      <c r="B713" t="s">
        <v>2176</v>
      </c>
      <c r="C713">
        <f>_xlfn.XLOOKUP(A713,保证金登记!B:B,保证金登记!E:E)</f>
        <v>45734</v>
      </c>
      <c r="D713" t="str">
        <f>_xlfn.XLOOKUP(B713,[2]保证金申请!$A:$A,[2]保证金申请!$C:$C)</f>
        <v>2025-03-18</v>
      </c>
      <c r="E713" t="str">
        <f>_xlfn.XLOOKUP(A713,保证金登记!B:B,保证金登记!I:I)</f>
        <v>青海发投碱业有限公司</v>
      </c>
      <c r="F713" t="str">
        <f>_xlfn.XLOOKUP(B713,[2]保证金申请!$A:$A,[2]保证金申请!$Q:$Q)</f>
        <v>青海发投碱业有限公司</v>
      </c>
      <c r="G713">
        <f>_xlfn.XLOOKUP(A713,保证金登记!B:B,保证金登记!J:J)</f>
        <v>37000</v>
      </c>
      <c r="H713">
        <f>_xlfn.XLOOKUP(B713,[2]保证金申请!$A:$A,[2]保证金申请!$K:$K)</f>
        <v>37000</v>
      </c>
      <c r="I713">
        <f t="shared" si="33"/>
        <v>0</v>
      </c>
      <c r="J713">
        <f t="shared" si="34"/>
        <v>0</v>
      </c>
      <c r="K713" t="b">
        <f t="shared" si="35"/>
        <v>1</v>
      </c>
    </row>
    <row r="714" spans="1:11">
      <c r="A714" t="s">
        <v>2178</v>
      </c>
      <c r="B714" t="s">
        <v>2178</v>
      </c>
      <c r="C714">
        <f>_xlfn.XLOOKUP(A714,保证金登记!B:B,保证金登记!E:E)</f>
        <v>45734</v>
      </c>
      <c r="D714" t="str">
        <f>_xlfn.XLOOKUP(B714,[2]保证金申请!$A:$A,[2]保证金申请!$C:$C)</f>
        <v>2025-03-18</v>
      </c>
      <c r="E714" t="str">
        <f>_xlfn.XLOOKUP(A714,保证金登记!B:B,保证金登记!I:I)</f>
        <v>青海发投碱业有限公司</v>
      </c>
      <c r="F714" t="str">
        <f>_xlfn.XLOOKUP(B714,[2]保证金申请!$A:$A,[2]保证金申请!$Q:$Q)</f>
        <v>青海发投碱业有限公司</v>
      </c>
      <c r="G714">
        <f>_xlfn.XLOOKUP(A714,保证金登记!B:B,保证金登记!J:J)</f>
        <v>0</v>
      </c>
      <c r="H714">
        <f>_xlfn.XLOOKUP(B714,[2]保证金申请!$A:$A,[2]保证金申请!$K:$K)</f>
        <v>0</v>
      </c>
      <c r="I714">
        <f t="shared" si="33"/>
        <v>0</v>
      </c>
      <c r="J714">
        <f t="shared" si="34"/>
        <v>0</v>
      </c>
      <c r="K714" t="b">
        <f t="shared" si="35"/>
        <v>1</v>
      </c>
    </row>
    <row r="715" spans="1:11">
      <c r="A715" t="s">
        <v>2180</v>
      </c>
      <c r="B715" t="s">
        <v>2180</v>
      </c>
      <c r="C715">
        <f>_xlfn.XLOOKUP(A715,保证金登记!B:B,保证金登记!E:E)</f>
        <v>45734</v>
      </c>
      <c r="D715" t="str">
        <f>_xlfn.XLOOKUP(B715,[2]保证金申请!$A:$A,[2]保证金申请!$C:$C)</f>
        <v>2025-03-18</v>
      </c>
      <c r="E715" t="str">
        <f>_xlfn.XLOOKUP(A715,保证金登记!B:B,保证金登记!I:I)</f>
        <v>奎山水泥有限公司</v>
      </c>
      <c r="F715" t="str">
        <f>_xlfn.XLOOKUP(B715,[2]保证金申请!$A:$A,[2]保证金申请!$Q:$Q)</f>
        <v>奎山水泥有限公司</v>
      </c>
      <c r="G715">
        <f>_xlfn.XLOOKUP(A715,保证金登记!B:B,保证金登记!J:J)</f>
        <v>10000</v>
      </c>
      <c r="H715">
        <f>_xlfn.XLOOKUP(B715,[2]保证金申请!$A:$A,[2]保证金申请!$K:$K)</f>
        <v>10000</v>
      </c>
      <c r="I715">
        <f t="shared" si="33"/>
        <v>0</v>
      </c>
      <c r="J715">
        <f t="shared" si="34"/>
        <v>0</v>
      </c>
      <c r="K715" t="b">
        <f t="shared" si="35"/>
        <v>1</v>
      </c>
    </row>
    <row r="716" spans="1:11">
      <c r="A716" t="s">
        <v>2182</v>
      </c>
      <c r="B716" t="s">
        <v>2182</v>
      </c>
      <c r="C716">
        <f>_xlfn.XLOOKUP(A716,保证金登记!B:B,保证金登记!E:E)</f>
        <v>45735</v>
      </c>
      <c r="D716" t="str">
        <f>_xlfn.XLOOKUP(B716,[2]保证金申请!$A:$A,[2]保证金申请!$C:$C)</f>
        <v>2025-03-19</v>
      </c>
      <c r="E716" t="str">
        <f>_xlfn.XLOOKUP(A716,保证金登记!B:B,保证金登记!I:I)</f>
        <v>青海发投碱业有限公司</v>
      </c>
      <c r="F716" t="str">
        <f>_xlfn.XLOOKUP(B716,[2]保证金申请!$A:$A,[2]保证金申请!$Q:$Q)</f>
        <v>青海发投碱业有限公司</v>
      </c>
      <c r="G716">
        <f>_xlfn.XLOOKUP(A716,保证金登记!B:B,保证金登记!J:J)</f>
        <v>17875</v>
      </c>
      <c r="H716">
        <f>_xlfn.XLOOKUP(B716,[2]保证金申请!$A:$A,[2]保证金申请!$K:$K)</f>
        <v>17875</v>
      </c>
      <c r="I716">
        <f t="shared" si="33"/>
        <v>0</v>
      </c>
      <c r="J716">
        <f t="shared" si="34"/>
        <v>0</v>
      </c>
      <c r="K716" t="b">
        <f t="shared" si="35"/>
        <v>1</v>
      </c>
    </row>
    <row r="717" spans="1:11">
      <c r="A717" t="s">
        <v>2183</v>
      </c>
      <c r="B717" t="s">
        <v>2183</v>
      </c>
      <c r="C717">
        <f>_xlfn.XLOOKUP(A717,保证金登记!B:B,保证金登记!E:E)</f>
        <v>45737</v>
      </c>
      <c r="D717" t="str">
        <f>_xlfn.XLOOKUP(B717,[2]保证金申请!$A:$A,[2]保证金申请!$C:$C)</f>
        <v>2025-03-21</v>
      </c>
      <c r="E717" t="str">
        <f>_xlfn.XLOOKUP(A717,保证金登记!B:B,保证金登记!I:I)</f>
        <v>青海发投碱业有限公司</v>
      </c>
      <c r="F717" t="str">
        <f>_xlfn.XLOOKUP(B717,[2]保证金申请!$A:$A,[2]保证金申请!$Q:$Q)</f>
        <v>湖北岚丹建设工程有限公司离心机节能增效农民工工资保证金专户</v>
      </c>
    </row>
    <row r="718" spans="1:11">
      <c r="A718" t="s">
        <v>2184</v>
      </c>
      <c r="B718" t="s">
        <v>2184</v>
      </c>
      <c r="C718">
        <f>_xlfn.XLOOKUP(A718,保证金登记!B:B,保证金登记!E:E)</f>
        <v>45738</v>
      </c>
      <c r="D718" t="str">
        <f>_xlfn.XLOOKUP(B718,[2]保证金申请!$A:$A,[2]保证金申请!$C:$C)</f>
        <v>2025-03-22</v>
      </c>
      <c r="E718" t="str">
        <f>_xlfn.XLOOKUP(A718,保证金登记!B:B,保证金登记!I:I)</f>
        <v>江苏永钢集团有限公司</v>
      </c>
      <c r="F718" t="str">
        <f>_xlfn.XLOOKUP(B718,[2]保证金申请!$A:$A,[2]保证金申请!$Q:$Q)</f>
        <v>江苏永钢集团有限公司</v>
      </c>
    </row>
    <row r="719" spans="1:11">
      <c r="A719" t="s">
        <v>2186</v>
      </c>
      <c r="B719" t="s">
        <v>2186</v>
      </c>
      <c r="C719">
        <f>_xlfn.XLOOKUP(A719,保证金登记!B:B,保证金登记!E:E)</f>
        <v>45740</v>
      </c>
      <c r="D719" t="str">
        <f>_xlfn.XLOOKUP(B719,[2]保证金申请!$A:$A,[2]保证金申请!$C:$C)</f>
        <v>2025-03-24</v>
      </c>
      <c r="E719" t="str">
        <f>_xlfn.XLOOKUP(A719,保证金登记!B:B,保证金登记!I:I)</f>
        <v>江苏唐电电力安装有限公司</v>
      </c>
      <c r="F719" t="str">
        <f>_xlfn.XLOOKUP(B719,[2]保证金申请!$A:$A,[2]保证金申请!$Q:$Q)</f>
        <v>中机国际招标有限公司</v>
      </c>
    </row>
    <row r="720" spans="1:11">
      <c r="A720" t="s">
        <v>2190</v>
      </c>
      <c r="B720" t="s">
        <v>2190</v>
      </c>
      <c r="C720">
        <f>_xlfn.XLOOKUP(A720,保证金登记!B:B,保证金登记!E:E)</f>
        <v>45742</v>
      </c>
      <c r="D720" t="str">
        <f>_xlfn.XLOOKUP(B720,[2]保证金申请!$A:$A,[2]保证金申请!$C:$C)</f>
        <v>2025-03-26</v>
      </c>
      <c r="E720" t="str">
        <f>_xlfn.XLOOKUP(A720,保证金登记!B:B,保证金登记!I:I)</f>
        <v>江苏唐电电力安装有限公司</v>
      </c>
      <c r="F720" t="str">
        <f>_xlfn.XLOOKUP(B720,[2]保证金申请!$A:$A,[2]保证金申请!$Q:$Q)</f>
        <v>江苏唐电电力安装有限公司</v>
      </c>
    </row>
  </sheetData>
  <sheetProtection formatCells="0" formatColumns="0" formatRows="0" insertRows="0" insertColumns="0" insertHyperlinks="0" deleteColumns="0" deleteRows="0" sort="0" autoFilter="0" pivotTables="0"/>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��蕁yaS�bё�kdWO��VYob�v-N��FU�R萬P~�_lpg(Wߍۏ�����5g0v��N��P[�2m]W�w�yr�y4l�llQ�S�Vl��zn�&^�SXbn��~�O(W�~ce��OYy��ve\�~�O��ё�&��&��&�-Nhg�R9��Shy�V���V6e>kUSMO�fkIl_f�0R-N�O&�7b-Nhg�R9��Shy�Q&�-Nё/e�N6enc-Nё/e�N6enc6enc6enc�Vh9�fk��QZ>k��]�Ncbd��Vh9�lQ�ST�y�S�f��S�fT:N�5��])Yq\4l�l	gP�lQ�S�e�{v�Q���S��[�x }	gP�#��NlQ�S�&��_nx��ge��~WUSge��~WUSёv��e�[E��V>k�YYO50CQёv��e�~W�S�N���swm~{r�_eg�&��Qёv��eёv��el�hQ�������/fg��vl��/f��vl��/f��v�V>kY��N180N@w�N�T*Ny��v�l�[�m2��bёSb���v/f-N�V5u��bWY��Y	gP�lQ�S1u�bh�O��ёl�e\�~�O��ё��VCQ��ScbCQ�[hQZ>k�&�hQ��~bk/e�NhQ��~bk/e�NN���swm~{r�_eg�&��Q�~bk/e�N3u����[E�/e�N�&��&��[yb-NN�SNN�SNT���V>k�N&�T���V>k�N&�T���V>k�N&�YONCQNy��v>k̑/e�Nё���CQ�cb>kCQ���VCQ6e>kUSMOfkIl_f�N&�USMOVnS_f蕁yaS�bё�kdWO��VYob�v-N��FU�R萬P~�_lpg(Wߍۏ�����5g0v��N��P[�2m]W�w�yr�y4l�llQ�S�Vl��zn�&^�SXbn��~�O(W�~ce��OYy��ve\�~�O��ё-Nhg�R9��Shy�V���V�0R-N�O&�7b-Nhg�R9��Shy�Q&�-Nё/e�N6enc-Nё/e�N6enc6enc6enc�Vh9�fk��QZ>k��]�Ncbd��Vh9��Q���S��[�x }	gP�#��NlQ�S�_nx��ge��~WUSge��~WUSёv��eёv��eёv��eёv��e�l�[�m2��bё蕁yaS�bё�kdWO��VYob�v-N��FU�R萬P~�_lpg(Wߍۏ�����5g0v��N��P[�2m]W�w�yr�y4l�llQ�S�Vl��zn�&^�SXbn��~�O(W�~ce��OYy��ve\�~�O��ё-Nhg�R9��Shy�V���V�0R-N�O&�7b-Nhg�R9��Shy�Q&�-Nё/e�N6enc-Nё/e�N6enc6enc6enc�Vh9�fk��QZ>k��]�Ncbd��Vh9��Q���S��[�x }	gP�#��NlQ�S�_nx��ge��~WUSge��~WUSёv��eёv��eёv��eёv��e�l�[�m2��bё
</file>

<file path=customXml/item2.xml>��penc�Ɖh�penc�Ɖh�
</file>

<file path=customXml/item3.xml>��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WWO_wpscloud_20260521192124-597ff31d3d</Application>
  <HeadingPairs>
    <vt:vector size="2" baseType="variant">
      <vt:variant>
        <vt:lpstr>工作表</vt:lpstr>
      </vt:variant>
      <vt:variant>
        <vt:i4>9</vt:i4>
      </vt:variant>
    </vt:vector>
  </HeadingPairs>
  <TitlesOfParts>
    <vt:vector size="9" baseType="lpstr">
      <vt:lpstr>保证金登记</vt:lpstr>
      <vt:lpstr>退款明细</vt:lpstr>
      <vt:lpstr>标书</vt:lpstr>
      <vt:lpstr>Sheet1 (2)</vt:lpstr>
      <vt:lpstr>Sheet2</vt:lpstr>
      <vt:lpstr>Sheet3-婷</vt:lpstr>
      <vt:lpstr>Sheet4-婷</vt:lpstr>
      <vt:lpstr>Sheet5-婷</vt:lpstr>
      <vt:lpstr>编号对比</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93161</dc:creator>
  <cp:lastModifiedBy>黄婷</cp:lastModifiedBy>
  <dcterms:created xsi:type="dcterms:W3CDTF">2024-07-08T15:05:00Z</dcterms:created>
  <dcterms:modified xsi:type="dcterms:W3CDTF">2026-06-29T04:10:00Z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E456D770A4AAC92DFF2398683C29980B_33</vt:lpwstr>
  </property>
  <property fmtid="{D5CDD505-2E9C-101B-9397-08002B2CF9AE}" pid="3" name="KSOProductBuildVer">
    <vt:lpwstr>2052-12.1.0.26895</vt:lpwstr>
  </property>
  <property fmtid="{D5CDD505-2E9C-101B-9397-08002B2CF9AE}" pid="4" name="KSOReadingLayout">
    <vt:bool>true</vt:bool>
  </property>
  <property fmtid="{D5CDD505-2E9C-101B-9397-08002B2CF9AE}" pid="5" name="CalculationRule">
    <vt:i4>0</vt:i4>
  </property>
</Properties>
</file>